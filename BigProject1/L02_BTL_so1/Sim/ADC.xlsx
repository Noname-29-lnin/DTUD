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ocument_forme\project_tiny\Cource_report\DTUD\BigProject1\04_ADC\"/>
    </mc:Choice>
  </mc:AlternateContent>
  <xr:revisionPtr revIDLastSave="0" documentId="13_ncr:1_{0AEFE00C-61D3-49BA-832F-6557C626AF9F}" xr6:coauthVersionLast="47" xr6:coauthVersionMax="47" xr10:uidLastSave="{00000000-0000-0000-0000-000000000000}"/>
  <bookViews>
    <workbookView xWindow="-120" yWindow="-120" windowWidth="29040" windowHeight="15720" firstSheet="2" activeTab="2" xr2:uid="{E6E4C7D1-E780-4FA1-B8FF-60F1C49D2116}"/>
  </bookViews>
  <sheets>
    <sheet name="Cal_NTC" sheetId="6" r:id="rId1"/>
    <sheet name="Cal_Error" sheetId="4" r:id="rId2"/>
    <sheet name="AD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3" l="1"/>
  <c r="O2" i="6"/>
  <c r="N2" i="6"/>
  <c r="R2" i="6" l="1"/>
  <c r="S2" i="6"/>
  <c r="B22" i="6"/>
  <c r="B23" i="6" s="1"/>
  <c r="B24" i="6" s="1"/>
  <c r="B26" i="6"/>
  <c r="B9" i="6"/>
  <c r="B7" i="6"/>
  <c r="F2" i="6" a="1"/>
  <c r="G7" i="6" s="1"/>
  <c r="K2" i="3"/>
  <c r="C16" i="3"/>
  <c r="B16" i="3"/>
  <c r="D16" i="3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2" i="4"/>
  <c r="E2" i="4"/>
  <c r="F2" i="4" s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D27" i="3"/>
  <c r="J2" i="3"/>
  <c r="K3" i="3"/>
  <c r="J4" i="3"/>
  <c r="A2" i="4" a="1"/>
  <c r="B25" i="4" s="1"/>
  <c r="D35" i="3"/>
  <c r="D36" i="3"/>
  <c r="D37" i="3"/>
  <c r="D38" i="3"/>
  <c r="D39" i="3"/>
  <c r="D40" i="3"/>
  <c r="D41" i="3"/>
  <c r="D34" i="3"/>
  <c r="C49" i="3"/>
  <c r="C47" i="3"/>
  <c r="B15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L437" i="3" s="1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J3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B27" i="3"/>
  <c r="C26" i="3"/>
  <c r="D20" i="3"/>
  <c r="B20" i="3"/>
  <c r="D30" i="3"/>
  <c r="B30" i="3"/>
  <c r="D29" i="3"/>
  <c r="B29" i="3"/>
  <c r="C24" i="3"/>
  <c r="C17" i="3"/>
  <c r="K256" i="6" l="1"/>
  <c r="K372" i="6"/>
  <c r="N256" i="6"/>
  <c r="N217" i="6"/>
  <c r="K103" i="6"/>
  <c r="K153" i="6"/>
  <c r="K217" i="6"/>
  <c r="K590" i="6"/>
  <c r="K526" i="6"/>
  <c r="N601" i="6"/>
  <c r="G512" i="6"/>
  <c r="O512" i="6" s="1"/>
  <c r="G409" i="6"/>
  <c r="O409" i="6" s="1"/>
  <c r="S409" i="6" s="1"/>
  <c r="G308" i="6"/>
  <c r="G206" i="6"/>
  <c r="G103" i="6"/>
  <c r="G601" i="6"/>
  <c r="O601" i="6" s="1"/>
  <c r="G500" i="6"/>
  <c r="H500" i="6" s="1"/>
  <c r="J500" i="6" s="1"/>
  <c r="L500" i="6" s="1"/>
  <c r="N500" i="6" s="1"/>
  <c r="G398" i="6"/>
  <c r="H398" i="6" s="1"/>
  <c r="J398" i="6" s="1"/>
  <c r="G295" i="6"/>
  <c r="I295" i="6" s="1"/>
  <c r="G192" i="6"/>
  <c r="H192" i="6" s="1"/>
  <c r="J192" i="6" s="1"/>
  <c r="G89" i="6"/>
  <c r="G590" i="6"/>
  <c r="H590" i="6" s="1"/>
  <c r="J590" i="6" s="1"/>
  <c r="L590" i="6" s="1"/>
  <c r="N590" i="6" s="1"/>
  <c r="G487" i="6"/>
  <c r="O487" i="6" s="1"/>
  <c r="G384" i="6"/>
  <c r="O384" i="6" s="1"/>
  <c r="G281" i="6"/>
  <c r="G180" i="6"/>
  <c r="O180" i="6" s="1"/>
  <c r="G78" i="6"/>
  <c r="O78" i="6" s="1"/>
  <c r="G576" i="6"/>
  <c r="O576" i="6" s="1"/>
  <c r="S576" i="6" s="1"/>
  <c r="G473" i="6"/>
  <c r="O473" i="6" s="1"/>
  <c r="G372" i="6"/>
  <c r="G270" i="6"/>
  <c r="H270" i="6" s="1"/>
  <c r="J270" i="6" s="1"/>
  <c r="L270" i="6" s="1"/>
  <c r="N270" i="6" s="1"/>
  <c r="G167" i="6"/>
  <c r="G64" i="6"/>
  <c r="O64" i="6" s="1"/>
  <c r="S64" i="6" s="1"/>
  <c r="G564" i="6"/>
  <c r="H564" i="6" s="1"/>
  <c r="J564" i="6" s="1"/>
  <c r="G462" i="6"/>
  <c r="H462" i="6" s="1"/>
  <c r="J462" i="6" s="1"/>
  <c r="G359" i="6"/>
  <c r="H359" i="6" s="1"/>
  <c r="J359" i="6" s="1"/>
  <c r="G256" i="6"/>
  <c r="H256" i="6" s="1"/>
  <c r="J256" i="6" s="1"/>
  <c r="L256" i="6" s="1"/>
  <c r="G153" i="6"/>
  <c r="G52" i="6"/>
  <c r="G551" i="6"/>
  <c r="O551" i="6" s="1"/>
  <c r="G448" i="6"/>
  <c r="O448" i="6" s="1"/>
  <c r="S448" i="6" s="1"/>
  <c r="G345" i="6"/>
  <c r="O345" i="6" s="1"/>
  <c r="G244" i="6"/>
  <c r="O244" i="6" s="1"/>
  <c r="G142" i="6"/>
  <c r="G39" i="6"/>
  <c r="G537" i="6"/>
  <c r="O537" i="6" s="1"/>
  <c r="S537" i="6" s="1"/>
  <c r="G436" i="6"/>
  <c r="G334" i="6"/>
  <c r="H334" i="6" s="1"/>
  <c r="J334" i="6" s="1"/>
  <c r="L334" i="6" s="1"/>
  <c r="N334" i="6" s="1"/>
  <c r="G231" i="6"/>
  <c r="I231" i="6" s="1"/>
  <c r="G128" i="6"/>
  <c r="O128" i="6" s="1"/>
  <c r="S128" i="6" s="1"/>
  <c r="G25" i="6"/>
  <c r="O25" i="6" s="1"/>
  <c r="G526" i="6"/>
  <c r="H526" i="6" s="1"/>
  <c r="J526" i="6" s="1"/>
  <c r="L526" i="6" s="1"/>
  <c r="N526" i="6" s="1"/>
  <c r="G423" i="6"/>
  <c r="O423" i="6" s="1"/>
  <c r="G320" i="6"/>
  <c r="H320" i="6" s="1"/>
  <c r="J320" i="6" s="1"/>
  <c r="L320" i="6" s="1"/>
  <c r="N320" i="6" s="1"/>
  <c r="G217" i="6"/>
  <c r="H217" i="6" s="1"/>
  <c r="J217" i="6" s="1"/>
  <c r="L217" i="6" s="1"/>
  <c r="G116" i="6"/>
  <c r="G14" i="6"/>
  <c r="H14" i="6" s="1"/>
  <c r="J14" i="6" s="1"/>
  <c r="O7" i="6"/>
  <c r="I7" i="6"/>
  <c r="H7" i="6"/>
  <c r="J7" i="6" s="1"/>
  <c r="L7" i="6" s="1"/>
  <c r="N7" i="6" s="1"/>
  <c r="G592" i="6"/>
  <c r="G580" i="6"/>
  <c r="G567" i="6"/>
  <c r="G553" i="6"/>
  <c r="G542" i="6"/>
  <c r="G528" i="6"/>
  <c r="G516" i="6"/>
  <c r="G503" i="6"/>
  <c r="G489" i="6"/>
  <c r="G478" i="6"/>
  <c r="G464" i="6"/>
  <c r="G452" i="6"/>
  <c r="G439" i="6"/>
  <c r="G425" i="6"/>
  <c r="G414" i="6"/>
  <c r="G400" i="6"/>
  <c r="G388" i="6"/>
  <c r="G375" i="6"/>
  <c r="G361" i="6"/>
  <c r="G350" i="6"/>
  <c r="G336" i="6"/>
  <c r="G324" i="6"/>
  <c r="G311" i="6"/>
  <c r="G297" i="6"/>
  <c r="G286" i="6"/>
  <c r="G272" i="6"/>
  <c r="G260" i="6"/>
  <c r="G247" i="6"/>
  <c r="G233" i="6"/>
  <c r="G222" i="6"/>
  <c r="G208" i="6"/>
  <c r="G196" i="6"/>
  <c r="G183" i="6"/>
  <c r="G169" i="6"/>
  <c r="G158" i="6"/>
  <c r="G144" i="6"/>
  <c r="G132" i="6"/>
  <c r="G119" i="6"/>
  <c r="G105" i="6"/>
  <c r="G94" i="6"/>
  <c r="G80" i="6"/>
  <c r="G68" i="6"/>
  <c r="G55" i="6"/>
  <c r="G41" i="6"/>
  <c r="G30" i="6"/>
  <c r="G16" i="6"/>
  <c r="G4" i="6"/>
  <c r="H384" i="6"/>
  <c r="J384" i="6" s="1"/>
  <c r="I601" i="6"/>
  <c r="I537" i="6"/>
  <c r="I473" i="6"/>
  <c r="S601" i="6"/>
  <c r="S487" i="6"/>
  <c r="O462" i="6"/>
  <c r="I462" i="6"/>
  <c r="O436" i="6"/>
  <c r="I436" i="6"/>
  <c r="H436" i="6"/>
  <c r="J436" i="6" s="1"/>
  <c r="L436" i="6" s="1"/>
  <c r="N436" i="6" s="1"/>
  <c r="I398" i="6"/>
  <c r="O295" i="6"/>
  <c r="H244" i="6"/>
  <c r="J244" i="6" s="1"/>
  <c r="O192" i="6"/>
  <c r="O142" i="6"/>
  <c r="I142" i="6"/>
  <c r="O52" i="6"/>
  <c r="I52" i="6"/>
  <c r="H52" i="6"/>
  <c r="J52" i="6" s="1"/>
  <c r="I487" i="6"/>
  <c r="G591" i="6"/>
  <c r="G577" i="6"/>
  <c r="G566" i="6"/>
  <c r="G552" i="6"/>
  <c r="G540" i="6"/>
  <c r="G527" i="6"/>
  <c r="G513" i="6"/>
  <c r="G502" i="6"/>
  <c r="G488" i="6"/>
  <c r="G476" i="6"/>
  <c r="G463" i="6"/>
  <c r="G449" i="6"/>
  <c r="G438" i="6"/>
  <c r="G424" i="6"/>
  <c r="G412" i="6"/>
  <c r="G399" i="6"/>
  <c r="G385" i="6"/>
  <c r="G374" i="6"/>
  <c r="G360" i="6"/>
  <c r="G348" i="6"/>
  <c r="G335" i="6"/>
  <c r="G321" i="6"/>
  <c r="G310" i="6"/>
  <c r="G296" i="6"/>
  <c r="G284" i="6"/>
  <c r="G271" i="6"/>
  <c r="G257" i="6"/>
  <c r="G246" i="6"/>
  <c r="G232" i="6"/>
  <c r="G220" i="6"/>
  <c r="G207" i="6"/>
  <c r="G193" i="6"/>
  <c r="G182" i="6"/>
  <c r="G168" i="6"/>
  <c r="G156" i="6"/>
  <c r="G143" i="6"/>
  <c r="G129" i="6"/>
  <c r="G118" i="6"/>
  <c r="G104" i="6"/>
  <c r="G92" i="6"/>
  <c r="G79" i="6"/>
  <c r="G65" i="6"/>
  <c r="G54" i="6"/>
  <c r="G40" i="6"/>
  <c r="G28" i="6"/>
  <c r="G15" i="6"/>
  <c r="H601" i="6"/>
  <c r="J601" i="6" s="1"/>
  <c r="L601" i="6" s="1"/>
  <c r="H576" i="6"/>
  <c r="J576" i="6" s="1"/>
  <c r="K576" i="6" s="1"/>
  <c r="H551" i="6"/>
  <c r="J551" i="6" s="1"/>
  <c r="L551" i="6" s="1"/>
  <c r="N551" i="6" s="1"/>
  <c r="H537" i="6"/>
  <c r="J537" i="6" s="1"/>
  <c r="K537" i="6" s="1"/>
  <c r="H512" i="6"/>
  <c r="J512" i="6" s="1"/>
  <c r="H487" i="6"/>
  <c r="J487" i="6" s="1"/>
  <c r="H473" i="6"/>
  <c r="J473" i="6" s="1"/>
  <c r="L473" i="6" s="1"/>
  <c r="N473" i="6" s="1"/>
  <c r="I409" i="6"/>
  <c r="O590" i="6"/>
  <c r="I590" i="6"/>
  <c r="S512" i="6"/>
  <c r="O359" i="6"/>
  <c r="I359" i="6"/>
  <c r="O308" i="6"/>
  <c r="I308" i="6"/>
  <c r="H308" i="6"/>
  <c r="J308" i="6" s="1"/>
  <c r="K308" i="6" s="1"/>
  <c r="O256" i="6"/>
  <c r="I256" i="6"/>
  <c r="O206" i="6"/>
  <c r="I206" i="6"/>
  <c r="O89" i="6"/>
  <c r="I89" i="6"/>
  <c r="I526" i="6"/>
  <c r="O500" i="6"/>
  <c r="I500" i="6"/>
  <c r="S423" i="6"/>
  <c r="O372" i="6"/>
  <c r="I372" i="6"/>
  <c r="H372" i="6"/>
  <c r="J372" i="6" s="1"/>
  <c r="L372" i="6" s="1"/>
  <c r="N372" i="6" s="1"/>
  <c r="O320" i="6"/>
  <c r="I320" i="6"/>
  <c r="O281" i="6"/>
  <c r="I281" i="6"/>
  <c r="O231" i="6"/>
  <c r="O153" i="6"/>
  <c r="I153" i="6"/>
  <c r="O116" i="6"/>
  <c r="I116" i="6"/>
  <c r="H116" i="6"/>
  <c r="J116" i="6" s="1"/>
  <c r="O39" i="6"/>
  <c r="I39" i="6"/>
  <c r="H206" i="6"/>
  <c r="J206" i="6" s="1"/>
  <c r="L206" i="6" s="1"/>
  <c r="N206" i="6" s="1"/>
  <c r="H142" i="6"/>
  <c r="J142" i="6" s="1"/>
  <c r="L142" i="6" s="1"/>
  <c r="N142" i="6" s="1"/>
  <c r="H78" i="6"/>
  <c r="J78" i="6" s="1"/>
  <c r="G588" i="6"/>
  <c r="G561" i="6"/>
  <c r="G536" i="6"/>
  <c r="G511" i="6"/>
  <c r="G486" i="6"/>
  <c r="G460" i="6"/>
  <c r="G433" i="6"/>
  <c r="G408" i="6"/>
  <c r="G383" i="6"/>
  <c r="G358" i="6"/>
  <c r="G332" i="6"/>
  <c r="G305" i="6"/>
  <c r="G280" i="6"/>
  <c r="G255" i="6"/>
  <c r="G230" i="6"/>
  <c r="G204" i="6"/>
  <c r="G177" i="6"/>
  <c r="G152" i="6"/>
  <c r="G140" i="6"/>
  <c r="G113" i="6"/>
  <c r="G88" i="6"/>
  <c r="G63" i="6"/>
  <c r="G38" i="6"/>
  <c r="G12" i="6"/>
  <c r="H281" i="6"/>
  <c r="J281" i="6" s="1"/>
  <c r="L281" i="6" s="1"/>
  <c r="N281" i="6" s="1"/>
  <c r="H153" i="6"/>
  <c r="J153" i="6" s="1"/>
  <c r="H89" i="6"/>
  <c r="J89" i="6" s="1"/>
  <c r="L89" i="6" s="1"/>
  <c r="N89" i="6" s="1"/>
  <c r="I448" i="6"/>
  <c r="I384" i="6"/>
  <c r="G599" i="6"/>
  <c r="G585" i="6"/>
  <c r="G574" i="6"/>
  <c r="G560" i="6"/>
  <c r="G548" i="6"/>
  <c r="G535" i="6"/>
  <c r="G521" i="6"/>
  <c r="G510" i="6"/>
  <c r="G496" i="6"/>
  <c r="G484" i="6"/>
  <c r="G471" i="6"/>
  <c r="G457" i="6"/>
  <c r="G446" i="6"/>
  <c r="G432" i="6"/>
  <c r="G420" i="6"/>
  <c r="G407" i="6"/>
  <c r="G393" i="6"/>
  <c r="G382" i="6"/>
  <c r="G368" i="6"/>
  <c r="G356" i="6"/>
  <c r="G343" i="6"/>
  <c r="G329" i="6"/>
  <c r="G318" i="6"/>
  <c r="G304" i="6"/>
  <c r="G292" i="6"/>
  <c r="G279" i="6"/>
  <c r="G265" i="6"/>
  <c r="G254" i="6"/>
  <c r="G240" i="6"/>
  <c r="G228" i="6"/>
  <c r="G215" i="6"/>
  <c r="G201" i="6"/>
  <c r="G190" i="6"/>
  <c r="G176" i="6"/>
  <c r="G164" i="6"/>
  <c r="G151" i="6"/>
  <c r="G137" i="6"/>
  <c r="G126" i="6"/>
  <c r="G112" i="6"/>
  <c r="G100" i="6"/>
  <c r="G87" i="6"/>
  <c r="G73" i="6"/>
  <c r="G62" i="6"/>
  <c r="G48" i="6"/>
  <c r="G36" i="6"/>
  <c r="G23" i="6"/>
  <c r="G9" i="6"/>
  <c r="S551" i="6"/>
  <c r="S473" i="6"/>
  <c r="S384" i="6"/>
  <c r="O334" i="6"/>
  <c r="I334" i="6"/>
  <c r="O270" i="6"/>
  <c r="I270" i="6"/>
  <c r="O217" i="6"/>
  <c r="I217" i="6"/>
  <c r="O167" i="6"/>
  <c r="I167" i="6"/>
  <c r="O103" i="6"/>
  <c r="I103" i="6"/>
  <c r="O14" i="6"/>
  <c r="I14" i="6"/>
  <c r="I551" i="6"/>
  <c r="G600" i="6"/>
  <c r="G575" i="6"/>
  <c r="G550" i="6"/>
  <c r="G524" i="6"/>
  <c r="G497" i="6"/>
  <c r="G472" i="6"/>
  <c r="G447" i="6"/>
  <c r="G422" i="6"/>
  <c r="G396" i="6"/>
  <c r="G369" i="6"/>
  <c r="G344" i="6"/>
  <c r="G319" i="6"/>
  <c r="G294" i="6"/>
  <c r="G268" i="6"/>
  <c r="G241" i="6"/>
  <c r="G216" i="6"/>
  <c r="G191" i="6"/>
  <c r="G166" i="6"/>
  <c r="G127" i="6"/>
  <c r="G102" i="6"/>
  <c r="G76" i="6"/>
  <c r="G49" i="6"/>
  <c r="G24" i="6"/>
  <c r="H25" i="6"/>
  <c r="J25" i="6" s="1"/>
  <c r="L25" i="6" s="1"/>
  <c r="N25" i="6" s="1"/>
  <c r="G598" i="6"/>
  <c r="G584" i="6"/>
  <c r="G572" i="6"/>
  <c r="G559" i="6"/>
  <c r="G545" i="6"/>
  <c r="G534" i="6"/>
  <c r="G520" i="6"/>
  <c r="G508" i="6"/>
  <c r="G495" i="6"/>
  <c r="G481" i="6"/>
  <c r="G470" i="6"/>
  <c r="G456" i="6"/>
  <c r="G444" i="6"/>
  <c r="G431" i="6"/>
  <c r="G417" i="6"/>
  <c r="G406" i="6"/>
  <c r="G392" i="6"/>
  <c r="G380" i="6"/>
  <c r="G367" i="6"/>
  <c r="G353" i="6"/>
  <c r="G342" i="6"/>
  <c r="G328" i="6"/>
  <c r="G316" i="6"/>
  <c r="G303" i="6"/>
  <c r="G289" i="6"/>
  <c r="G278" i="6"/>
  <c r="G264" i="6"/>
  <c r="G252" i="6"/>
  <c r="G239" i="6"/>
  <c r="G225" i="6"/>
  <c r="G214" i="6"/>
  <c r="G200" i="6"/>
  <c r="G188" i="6"/>
  <c r="G175" i="6"/>
  <c r="G161" i="6"/>
  <c r="G150" i="6"/>
  <c r="G136" i="6"/>
  <c r="G124" i="6"/>
  <c r="G111" i="6"/>
  <c r="G97" i="6"/>
  <c r="G86" i="6"/>
  <c r="G72" i="6"/>
  <c r="G60" i="6"/>
  <c r="G47" i="6"/>
  <c r="G33" i="6"/>
  <c r="G22" i="6"/>
  <c r="G8" i="6"/>
  <c r="H423" i="6"/>
  <c r="J423" i="6" s="1"/>
  <c r="H295" i="6"/>
  <c r="J295" i="6" s="1"/>
  <c r="L295" i="6" s="1"/>
  <c r="N295" i="6" s="1"/>
  <c r="H231" i="6"/>
  <c r="J231" i="6" s="1"/>
  <c r="L231" i="6" s="1"/>
  <c r="N231" i="6" s="1"/>
  <c r="H167" i="6"/>
  <c r="J167" i="6" s="1"/>
  <c r="K167" i="6" s="1"/>
  <c r="H103" i="6"/>
  <c r="J103" i="6" s="1"/>
  <c r="L103" i="6" s="1"/>
  <c r="N103" i="6" s="1"/>
  <c r="H39" i="6"/>
  <c r="J39" i="6" s="1"/>
  <c r="K39" i="6" s="1"/>
  <c r="I576" i="6"/>
  <c r="I512" i="6"/>
  <c r="I423" i="6"/>
  <c r="G596" i="6"/>
  <c r="G583" i="6"/>
  <c r="G569" i="6"/>
  <c r="G558" i="6"/>
  <c r="G544" i="6"/>
  <c r="G532" i="6"/>
  <c r="G519" i="6"/>
  <c r="G505" i="6"/>
  <c r="G494" i="6"/>
  <c r="G480" i="6"/>
  <c r="G468" i="6"/>
  <c r="G455" i="6"/>
  <c r="G441" i="6"/>
  <c r="G430" i="6"/>
  <c r="G416" i="6"/>
  <c r="G404" i="6"/>
  <c r="G391" i="6"/>
  <c r="G377" i="6"/>
  <c r="G366" i="6"/>
  <c r="G352" i="6"/>
  <c r="G340" i="6"/>
  <c r="G327" i="6"/>
  <c r="G313" i="6"/>
  <c r="G302" i="6"/>
  <c r="G288" i="6"/>
  <c r="G276" i="6"/>
  <c r="G263" i="6"/>
  <c r="G249" i="6"/>
  <c r="G238" i="6"/>
  <c r="G224" i="6"/>
  <c r="G212" i="6"/>
  <c r="G199" i="6"/>
  <c r="G185" i="6"/>
  <c r="G174" i="6"/>
  <c r="G160" i="6"/>
  <c r="G148" i="6"/>
  <c r="G135" i="6"/>
  <c r="G121" i="6"/>
  <c r="G110" i="6"/>
  <c r="G96" i="6"/>
  <c r="G84" i="6"/>
  <c r="G71" i="6"/>
  <c r="G57" i="6"/>
  <c r="G46" i="6"/>
  <c r="G32" i="6"/>
  <c r="G20" i="6"/>
  <c r="G10" i="6"/>
  <c r="G18" i="6"/>
  <c r="G26" i="6"/>
  <c r="G34" i="6"/>
  <c r="G42" i="6"/>
  <c r="G50" i="6"/>
  <c r="G58" i="6"/>
  <c r="G66" i="6"/>
  <c r="G74" i="6"/>
  <c r="G82" i="6"/>
  <c r="G90" i="6"/>
  <c r="G98" i="6"/>
  <c r="G106" i="6"/>
  <c r="G114" i="6"/>
  <c r="G122" i="6"/>
  <c r="G130" i="6"/>
  <c r="G138" i="6"/>
  <c r="G146" i="6"/>
  <c r="G154" i="6"/>
  <c r="G162" i="6"/>
  <c r="G170" i="6"/>
  <c r="G178" i="6"/>
  <c r="G186" i="6"/>
  <c r="G194" i="6"/>
  <c r="G202" i="6"/>
  <c r="G210" i="6"/>
  <c r="G218" i="6"/>
  <c r="G226" i="6"/>
  <c r="G234" i="6"/>
  <c r="G242" i="6"/>
  <c r="G250" i="6"/>
  <c r="G258" i="6"/>
  <c r="G266" i="6"/>
  <c r="G274" i="6"/>
  <c r="G282" i="6"/>
  <c r="G290" i="6"/>
  <c r="G298" i="6"/>
  <c r="G306" i="6"/>
  <c r="G314" i="6"/>
  <c r="G322" i="6"/>
  <c r="G330" i="6"/>
  <c r="G338" i="6"/>
  <c r="G346" i="6"/>
  <c r="G354" i="6"/>
  <c r="G362" i="6"/>
  <c r="G370" i="6"/>
  <c r="G378" i="6"/>
  <c r="G386" i="6"/>
  <c r="G394" i="6"/>
  <c r="G402" i="6"/>
  <c r="G410" i="6"/>
  <c r="G418" i="6"/>
  <c r="G426" i="6"/>
  <c r="G434" i="6"/>
  <c r="G442" i="6"/>
  <c r="G450" i="6"/>
  <c r="G458" i="6"/>
  <c r="G466" i="6"/>
  <c r="G474" i="6"/>
  <c r="G482" i="6"/>
  <c r="G490" i="6"/>
  <c r="G498" i="6"/>
  <c r="G506" i="6"/>
  <c r="G514" i="6"/>
  <c r="G522" i="6"/>
  <c r="G530" i="6"/>
  <c r="G538" i="6"/>
  <c r="G546" i="6"/>
  <c r="G554" i="6"/>
  <c r="G562" i="6"/>
  <c r="G570" i="6"/>
  <c r="G578" i="6"/>
  <c r="G586" i="6"/>
  <c r="G594" i="6"/>
  <c r="G602" i="6"/>
  <c r="G3" i="6"/>
  <c r="G11" i="6"/>
  <c r="G19" i="6"/>
  <c r="G27" i="6"/>
  <c r="G35" i="6"/>
  <c r="G43" i="6"/>
  <c r="G51" i="6"/>
  <c r="G59" i="6"/>
  <c r="G67" i="6"/>
  <c r="G75" i="6"/>
  <c r="G83" i="6"/>
  <c r="G91" i="6"/>
  <c r="G99" i="6"/>
  <c r="G107" i="6"/>
  <c r="G115" i="6"/>
  <c r="G123" i="6"/>
  <c r="G131" i="6"/>
  <c r="G139" i="6"/>
  <c r="G147" i="6"/>
  <c r="G155" i="6"/>
  <c r="G163" i="6"/>
  <c r="G171" i="6"/>
  <c r="G179" i="6"/>
  <c r="G187" i="6"/>
  <c r="G195" i="6"/>
  <c r="G203" i="6"/>
  <c r="G211" i="6"/>
  <c r="G219" i="6"/>
  <c r="G227" i="6"/>
  <c r="G235" i="6"/>
  <c r="G243" i="6"/>
  <c r="G251" i="6"/>
  <c r="G259" i="6"/>
  <c r="G267" i="6"/>
  <c r="G275" i="6"/>
  <c r="G283" i="6"/>
  <c r="G291" i="6"/>
  <c r="G299" i="6"/>
  <c r="G307" i="6"/>
  <c r="G315" i="6"/>
  <c r="G323" i="6"/>
  <c r="G331" i="6"/>
  <c r="G339" i="6"/>
  <c r="G347" i="6"/>
  <c r="G355" i="6"/>
  <c r="G363" i="6"/>
  <c r="G371" i="6"/>
  <c r="G379" i="6"/>
  <c r="G387" i="6"/>
  <c r="G395" i="6"/>
  <c r="G403" i="6"/>
  <c r="G411" i="6"/>
  <c r="G419" i="6"/>
  <c r="G427" i="6"/>
  <c r="G435" i="6"/>
  <c r="G443" i="6"/>
  <c r="G451" i="6"/>
  <c r="G459" i="6"/>
  <c r="G467" i="6"/>
  <c r="G475" i="6"/>
  <c r="G483" i="6"/>
  <c r="G491" i="6"/>
  <c r="G499" i="6"/>
  <c r="G507" i="6"/>
  <c r="G515" i="6"/>
  <c r="G523" i="6"/>
  <c r="G531" i="6"/>
  <c r="G539" i="6"/>
  <c r="G547" i="6"/>
  <c r="G555" i="6"/>
  <c r="G563" i="6"/>
  <c r="G571" i="6"/>
  <c r="G579" i="6"/>
  <c r="G587" i="6"/>
  <c r="G595" i="6"/>
  <c r="G5" i="6"/>
  <c r="G13" i="6"/>
  <c r="G21" i="6"/>
  <c r="G29" i="6"/>
  <c r="G37" i="6"/>
  <c r="G45" i="6"/>
  <c r="G53" i="6"/>
  <c r="G61" i="6"/>
  <c r="G69" i="6"/>
  <c r="G77" i="6"/>
  <c r="G85" i="6"/>
  <c r="G93" i="6"/>
  <c r="G101" i="6"/>
  <c r="G109" i="6"/>
  <c r="G117" i="6"/>
  <c r="G125" i="6"/>
  <c r="G133" i="6"/>
  <c r="G141" i="6"/>
  <c r="G149" i="6"/>
  <c r="G157" i="6"/>
  <c r="G165" i="6"/>
  <c r="G173" i="6"/>
  <c r="G181" i="6"/>
  <c r="G189" i="6"/>
  <c r="G197" i="6"/>
  <c r="G205" i="6"/>
  <c r="G213" i="6"/>
  <c r="G221" i="6"/>
  <c r="G229" i="6"/>
  <c r="G237" i="6"/>
  <c r="G245" i="6"/>
  <c r="G253" i="6"/>
  <c r="G261" i="6"/>
  <c r="G269" i="6"/>
  <c r="G277" i="6"/>
  <c r="G285" i="6"/>
  <c r="G293" i="6"/>
  <c r="G301" i="6"/>
  <c r="G309" i="6"/>
  <c r="G317" i="6"/>
  <c r="G325" i="6"/>
  <c r="G333" i="6"/>
  <c r="G341" i="6"/>
  <c r="G349" i="6"/>
  <c r="G357" i="6"/>
  <c r="G365" i="6"/>
  <c r="G373" i="6"/>
  <c r="G381" i="6"/>
  <c r="G389" i="6"/>
  <c r="G397" i="6"/>
  <c r="G405" i="6"/>
  <c r="G413" i="6"/>
  <c r="G421" i="6"/>
  <c r="G429" i="6"/>
  <c r="G437" i="6"/>
  <c r="G445" i="6"/>
  <c r="G453" i="6"/>
  <c r="G461" i="6"/>
  <c r="G469" i="6"/>
  <c r="G477" i="6"/>
  <c r="G485" i="6"/>
  <c r="G493" i="6"/>
  <c r="G501" i="6"/>
  <c r="G509" i="6"/>
  <c r="G517" i="6"/>
  <c r="G525" i="6"/>
  <c r="G533" i="6"/>
  <c r="G541" i="6"/>
  <c r="G549" i="6"/>
  <c r="G557" i="6"/>
  <c r="G565" i="6"/>
  <c r="G573" i="6"/>
  <c r="G581" i="6"/>
  <c r="G589" i="6"/>
  <c r="G597" i="6"/>
  <c r="G593" i="6"/>
  <c r="G582" i="6"/>
  <c r="G568" i="6"/>
  <c r="G556" i="6"/>
  <c r="G543" i="6"/>
  <c r="G529" i="6"/>
  <c r="G518" i="6"/>
  <c r="G504" i="6"/>
  <c r="G492" i="6"/>
  <c r="G479" i="6"/>
  <c r="G465" i="6"/>
  <c r="G454" i="6"/>
  <c r="G440" i="6"/>
  <c r="G428" i="6"/>
  <c r="G415" i="6"/>
  <c r="G401" i="6"/>
  <c r="G390" i="6"/>
  <c r="G376" i="6"/>
  <c r="G364" i="6"/>
  <c r="G351" i="6"/>
  <c r="G337" i="6"/>
  <c r="G326" i="6"/>
  <c r="G312" i="6"/>
  <c r="G300" i="6"/>
  <c r="G287" i="6"/>
  <c r="G273" i="6"/>
  <c r="G262" i="6"/>
  <c r="G248" i="6"/>
  <c r="G236" i="6"/>
  <c r="G223" i="6"/>
  <c r="G209" i="6"/>
  <c r="G198" i="6"/>
  <c r="G184" i="6"/>
  <c r="G172" i="6"/>
  <c r="G159" i="6"/>
  <c r="G145" i="6"/>
  <c r="G134" i="6"/>
  <c r="G120" i="6"/>
  <c r="G108" i="6"/>
  <c r="G95" i="6"/>
  <c r="G81" i="6"/>
  <c r="G70" i="6"/>
  <c r="G56" i="6"/>
  <c r="G44" i="6"/>
  <c r="G31" i="6"/>
  <c r="G17" i="6"/>
  <c r="G6" i="6"/>
  <c r="F2" i="6"/>
  <c r="G2" i="6" s="1"/>
  <c r="L565" i="3"/>
  <c r="L339" i="3"/>
  <c r="M339" i="3" s="1"/>
  <c r="M567" i="3"/>
  <c r="L599" i="3"/>
  <c r="L591" i="3"/>
  <c r="M591" i="3" s="1"/>
  <c r="L583" i="3"/>
  <c r="M583" i="3" s="1"/>
  <c r="L575" i="3"/>
  <c r="M575" i="3" s="1"/>
  <c r="L567" i="3"/>
  <c r="L559" i="3"/>
  <c r="L551" i="3"/>
  <c r="L543" i="3"/>
  <c r="M543" i="3" s="1"/>
  <c r="L535" i="3"/>
  <c r="L527" i="3"/>
  <c r="M527" i="3" s="1"/>
  <c r="L519" i="3"/>
  <c r="M519" i="3" s="1"/>
  <c r="L511" i="3"/>
  <c r="M511" i="3" s="1"/>
  <c r="L503" i="3"/>
  <c r="L495" i="3"/>
  <c r="L487" i="3"/>
  <c r="L479" i="3"/>
  <c r="M479" i="3" s="1"/>
  <c r="L471" i="3"/>
  <c r="L463" i="3"/>
  <c r="L455" i="3"/>
  <c r="M455" i="3" s="1"/>
  <c r="L447" i="3"/>
  <c r="M447" i="3" s="1"/>
  <c r="L439" i="3"/>
  <c r="M439" i="3" s="1"/>
  <c r="L431" i="3"/>
  <c r="L423" i="3"/>
  <c r="L415" i="3"/>
  <c r="M415" i="3" s="1"/>
  <c r="L407" i="3"/>
  <c r="L399" i="3"/>
  <c r="M399" i="3" s="1"/>
  <c r="L391" i="3"/>
  <c r="M391" i="3" s="1"/>
  <c r="L383" i="3"/>
  <c r="M383" i="3" s="1"/>
  <c r="L375" i="3"/>
  <c r="L367" i="3"/>
  <c r="L359" i="3"/>
  <c r="L351" i="3"/>
  <c r="L343" i="3"/>
  <c r="M343" i="3" s="1"/>
  <c r="L335" i="3"/>
  <c r="M335" i="3" s="1"/>
  <c r="L327" i="3"/>
  <c r="L319" i="3"/>
  <c r="M319" i="3" s="1"/>
  <c r="L311" i="3"/>
  <c r="L303" i="3"/>
  <c r="L295" i="3"/>
  <c r="M295" i="3" s="1"/>
  <c r="L287" i="3"/>
  <c r="L279" i="3"/>
  <c r="M279" i="3" s="1"/>
  <c r="L271" i="3"/>
  <c r="M271" i="3" s="1"/>
  <c r="M473" i="3"/>
  <c r="M495" i="3"/>
  <c r="M431" i="3"/>
  <c r="M158" i="3"/>
  <c r="N158" i="3" s="1"/>
  <c r="M599" i="3"/>
  <c r="M551" i="3"/>
  <c r="M503" i="3"/>
  <c r="M463" i="3"/>
  <c r="M375" i="3"/>
  <c r="M541" i="3"/>
  <c r="M525" i="3"/>
  <c r="M461" i="3"/>
  <c r="M437" i="3"/>
  <c r="M397" i="3"/>
  <c r="M285" i="3"/>
  <c r="M269" i="3"/>
  <c r="L597" i="3"/>
  <c r="L589" i="3"/>
  <c r="L581" i="3"/>
  <c r="M581" i="3" s="1"/>
  <c r="L573" i="3"/>
  <c r="M573" i="3" s="1"/>
  <c r="L557" i="3"/>
  <c r="M557" i="3" s="1"/>
  <c r="L549" i="3"/>
  <c r="M549" i="3" s="1"/>
  <c r="L541" i="3"/>
  <c r="L533" i="3"/>
  <c r="M533" i="3" s="1"/>
  <c r="L525" i="3"/>
  <c r="L517" i="3"/>
  <c r="M517" i="3" s="1"/>
  <c r="L509" i="3"/>
  <c r="M509" i="3" s="1"/>
  <c r="L493" i="3"/>
  <c r="M493" i="3" s="1"/>
  <c r="L485" i="3"/>
  <c r="M485" i="3" s="1"/>
  <c r="L477" i="3"/>
  <c r="M477" i="3" s="1"/>
  <c r="L469" i="3"/>
  <c r="M469" i="3" s="1"/>
  <c r="L461" i="3"/>
  <c r="L453" i="3"/>
  <c r="M453" i="3" s="1"/>
  <c r="L445" i="3"/>
  <c r="M445" i="3" s="1"/>
  <c r="L429" i="3"/>
  <c r="M429" i="3" s="1"/>
  <c r="L421" i="3"/>
  <c r="M421" i="3" s="1"/>
  <c r="L413" i="3"/>
  <c r="M413" i="3" s="1"/>
  <c r="L405" i="3"/>
  <c r="M405" i="3" s="1"/>
  <c r="L397" i="3"/>
  <c r="L389" i="3"/>
  <c r="M389" i="3" s="1"/>
  <c r="M471" i="3"/>
  <c r="M423" i="3"/>
  <c r="M359" i="3"/>
  <c r="M311" i="3"/>
  <c r="M565" i="3"/>
  <c r="M444" i="3"/>
  <c r="M396" i="3"/>
  <c r="M559" i="3"/>
  <c r="M407" i="3"/>
  <c r="M367" i="3"/>
  <c r="M327" i="3"/>
  <c r="M287" i="3"/>
  <c r="M597" i="3"/>
  <c r="M595" i="3"/>
  <c r="M523" i="3"/>
  <c r="M315" i="3"/>
  <c r="L371" i="3"/>
  <c r="M371" i="3" s="1"/>
  <c r="M535" i="3"/>
  <c r="M487" i="3"/>
  <c r="M351" i="3"/>
  <c r="M303" i="3"/>
  <c r="M589" i="3"/>
  <c r="C15" i="3"/>
  <c r="C44" i="3" s="1"/>
  <c r="L3" i="3"/>
  <c r="L53" i="3"/>
  <c r="M53" i="3" s="1"/>
  <c r="L117" i="3"/>
  <c r="L181" i="3"/>
  <c r="M181" i="3" s="1"/>
  <c r="L245" i="3"/>
  <c r="M245" i="3" s="1"/>
  <c r="L307" i="3"/>
  <c r="M307" i="3" s="1"/>
  <c r="M482" i="3"/>
  <c r="M434" i="3"/>
  <c r="N434" i="3" s="1"/>
  <c r="L501" i="3"/>
  <c r="M501" i="3" s="1"/>
  <c r="L598" i="3"/>
  <c r="M598" i="3" s="1"/>
  <c r="L590" i="3"/>
  <c r="M590" i="3" s="1"/>
  <c r="L582" i="3"/>
  <c r="M582" i="3" s="1"/>
  <c r="N582" i="3" s="1"/>
  <c r="L574" i="3"/>
  <c r="M574" i="3" s="1"/>
  <c r="L566" i="3"/>
  <c r="M566" i="3" s="1"/>
  <c r="L558" i="3"/>
  <c r="M558" i="3" s="1"/>
  <c r="L550" i="3"/>
  <c r="M550" i="3" s="1"/>
  <c r="L542" i="3"/>
  <c r="M542" i="3" s="1"/>
  <c r="O542" i="3" s="1"/>
  <c r="P542" i="3" s="1"/>
  <c r="Q542" i="3" s="1"/>
  <c r="L534" i="3"/>
  <c r="M534" i="3" s="1"/>
  <c r="L526" i="3"/>
  <c r="M526" i="3" s="1"/>
  <c r="L518" i="3"/>
  <c r="M518" i="3" s="1"/>
  <c r="L510" i="3"/>
  <c r="M510" i="3" s="1"/>
  <c r="L502" i="3"/>
  <c r="M502" i="3" s="1"/>
  <c r="L494" i="3"/>
  <c r="M494" i="3" s="1"/>
  <c r="L486" i="3"/>
  <c r="M486" i="3" s="1"/>
  <c r="O486" i="3" s="1"/>
  <c r="P486" i="3" s="1"/>
  <c r="Q486" i="3" s="1"/>
  <c r="L478" i="3"/>
  <c r="M478" i="3" s="1"/>
  <c r="N478" i="3" s="1"/>
  <c r="L470" i="3"/>
  <c r="M470" i="3" s="1"/>
  <c r="N470" i="3" s="1"/>
  <c r="L462" i="3"/>
  <c r="M462" i="3" s="1"/>
  <c r="L454" i="3"/>
  <c r="M454" i="3" s="1"/>
  <c r="O454" i="3" s="1"/>
  <c r="P454" i="3" s="1"/>
  <c r="Q454" i="3" s="1"/>
  <c r="L446" i="3"/>
  <c r="M446" i="3" s="1"/>
  <c r="L438" i="3"/>
  <c r="M438" i="3" s="1"/>
  <c r="L430" i="3"/>
  <c r="M430" i="3" s="1"/>
  <c r="L422" i="3"/>
  <c r="M422" i="3" s="1"/>
  <c r="L414" i="3"/>
  <c r="M414" i="3" s="1"/>
  <c r="O414" i="3" s="1"/>
  <c r="P414" i="3" s="1"/>
  <c r="Q414" i="3" s="1"/>
  <c r="L406" i="3"/>
  <c r="M406" i="3" s="1"/>
  <c r="L398" i="3"/>
  <c r="M398" i="3" s="1"/>
  <c r="N398" i="3" s="1"/>
  <c r="L390" i="3"/>
  <c r="M390" i="3" s="1"/>
  <c r="O390" i="3" s="1"/>
  <c r="P390" i="3" s="1"/>
  <c r="Q390" i="3" s="1"/>
  <c r="L382" i="3"/>
  <c r="M382" i="3" s="1"/>
  <c r="L374" i="3"/>
  <c r="M374" i="3" s="1"/>
  <c r="L366" i="3"/>
  <c r="M366" i="3" s="1"/>
  <c r="N366" i="3" s="1"/>
  <c r="L358" i="3"/>
  <c r="M358" i="3" s="1"/>
  <c r="L350" i="3"/>
  <c r="M350" i="3" s="1"/>
  <c r="L342" i="3"/>
  <c r="M342" i="3" s="1"/>
  <c r="O342" i="3" s="1"/>
  <c r="P342" i="3" s="1"/>
  <c r="Q342" i="3" s="1"/>
  <c r="L334" i="3"/>
  <c r="M334" i="3" s="1"/>
  <c r="L326" i="3"/>
  <c r="M326" i="3" s="1"/>
  <c r="L318" i="3"/>
  <c r="M318" i="3" s="1"/>
  <c r="L310" i="3"/>
  <c r="M310" i="3" s="1"/>
  <c r="O310" i="3" s="1"/>
  <c r="P310" i="3" s="1"/>
  <c r="Q310" i="3" s="1"/>
  <c r="L302" i="3"/>
  <c r="M302" i="3" s="1"/>
  <c r="L294" i="3"/>
  <c r="M294" i="3" s="1"/>
  <c r="L286" i="3"/>
  <c r="M286" i="3" s="1"/>
  <c r="N286" i="3" s="1"/>
  <c r="L278" i="3"/>
  <c r="M278" i="3" s="1"/>
  <c r="L270" i="3"/>
  <c r="M270" i="3" s="1"/>
  <c r="L262" i="3"/>
  <c r="M262" i="3" s="1"/>
  <c r="L254" i="3"/>
  <c r="M254" i="3" s="1"/>
  <c r="O254" i="3" s="1"/>
  <c r="P254" i="3" s="1"/>
  <c r="Q254" i="3" s="1"/>
  <c r="L246" i="3"/>
  <c r="M246" i="3" s="1"/>
  <c r="L238" i="3"/>
  <c r="M238" i="3" s="1"/>
  <c r="L230" i="3"/>
  <c r="M230" i="3" s="1"/>
  <c r="N230" i="3" s="1"/>
  <c r="L222" i="3"/>
  <c r="M222" i="3" s="1"/>
  <c r="L214" i="3"/>
  <c r="M214" i="3" s="1"/>
  <c r="O214" i="3" s="1"/>
  <c r="P214" i="3" s="1"/>
  <c r="Q214" i="3" s="1"/>
  <c r="L206" i="3"/>
  <c r="M206" i="3" s="1"/>
  <c r="L198" i="3"/>
  <c r="M198" i="3" s="1"/>
  <c r="L190" i="3"/>
  <c r="M190" i="3" s="1"/>
  <c r="L182" i="3"/>
  <c r="M182" i="3" s="1"/>
  <c r="L174" i="3"/>
  <c r="M174" i="3" s="1"/>
  <c r="L166" i="3"/>
  <c r="M166" i="3" s="1"/>
  <c r="L158" i="3"/>
  <c r="L150" i="3"/>
  <c r="M150" i="3" s="1"/>
  <c r="O150" i="3" s="1"/>
  <c r="P150" i="3" s="1"/>
  <c r="Q150" i="3" s="1"/>
  <c r="L142" i="3"/>
  <c r="M142" i="3" s="1"/>
  <c r="L134" i="3"/>
  <c r="M134" i="3" s="1"/>
  <c r="O134" i="3" s="1"/>
  <c r="P134" i="3" s="1"/>
  <c r="Q134" i="3" s="1"/>
  <c r="L126" i="3"/>
  <c r="M126" i="3" s="1"/>
  <c r="L118" i="3"/>
  <c r="M118" i="3" s="1"/>
  <c r="O118" i="3" s="1"/>
  <c r="P118" i="3" s="1"/>
  <c r="Q118" i="3" s="1"/>
  <c r="L110" i="3"/>
  <c r="M110" i="3" s="1"/>
  <c r="L102" i="3"/>
  <c r="M102" i="3" s="1"/>
  <c r="L94" i="3"/>
  <c r="M94" i="3" s="1"/>
  <c r="N94" i="3" s="1"/>
  <c r="L86" i="3"/>
  <c r="M86" i="3" s="1"/>
  <c r="L78" i="3"/>
  <c r="M78" i="3" s="1"/>
  <c r="L70" i="3"/>
  <c r="M70" i="3" s="1"/>
  <c r="N70" i="3" s="1"/>
  <c r="L62" i="3"/>
  <c r="M62" i="3" s="1"/>
  <c r="N62" i="3" s="1"/>
  <c r="L54" i="3"/>
  <c r="M54" i="3" s="1"/>
  <c r="L46" i="3"/>
  <c r="M46" i="3" s="1"/>
  <c r="L38" i="3"/>
  <c r="M38" i="3" s="1"/>
  <c r="L30" i="3"/>
  <c r="M30" i="3" s="1"/>
  <c r="L22" i="3"/>
  <c r="M22" i="3" s="1"/>
  <c r="O22" i="3" s="1"/>
  <c r="P22" i="3" s="1"/>
  <c r="Q22" i="3" s="1"/>
  <c r="L14" i="3"/>
  <c r="M14" i="3" s="1"/>
  <c r="L6" i="3"/>
  <c r="M6" i="3" s="1"/>
  <c r="M133" i="3"/>
  <c r="M117" i="3"/>
  <c r="M101" i="3"/>
  <c r="L381" i="3"/>
  <c r="M381" i="3" s="1"/>
  <c r="L373" i="3"/>
  <c r="M373" i="3" s="1"/>
  <c r="L365" i="3"/>
  <c r="M365" i="3" s="1"/>
  <c r="L357" i="3"/>
  <c r="M357" i="3" s="1"/>
  <c r="L349" i="3"/>
  <c r="M349" i="3" s="1"/>
  <c r="L341" i="3"/>
  <c r="M341" i="3" s="1"/>
  <c r="L333" i="3"/>
  <c r="M333" i="3" s="1"/>
  <c r="L325" i="3"/>
  <c r="M325" i="3" s="1"/>
  <c r="L317" i="3"/>
  <c r="M317" i="3" s="1"/>
  <c r="L309" i="3"/>
  <c r="M309" i="3" s="1"/>
  <c r="L301" i="3"/>
  <c r="M301" i="3" s="1"/>
  <c r="L293" i="3"/>
  <c r="M293" i="3" s="1"/>
  <c r="L285" i="3"/>
  <c r="L277" i="3"/>
  <c r="M277" i="3" s="1"/>
  <c r="L269" i="3"/>
  <c r="L261" i="3"/>
  <c r="M261" i="3" s="1"/>
  <c r="L253" i="3"/>
  <c r="M253" i="3" s="1"/>
  <c r="L237" i="3"/>
  <c r="M237" i="3" s="1"/>
  <c r="L229" i="3"/>
  <c r="M229" i="3" s="1"/>
  <c r="L221" i="3"/>
  <c r="M221" i="3" s="1"/>
  <c r="L213" i="3"/>
  <c r="M213" i="3" s="1"/>
  <c r="L205" i="3"/>
  <c r="M205" i="3" s="1"/>
  <c r="L197" i="3"/>
  <c r="M197" i="3" s="1"/>
  <c r="L189" i="3"/>
  <c r="M189" i="3" s="1"/>
  <c r="L173" i="3"/>
  <c r="M173" i="3" s="1"/>
  <c r="L165" i="3"/>
  <c r="M165" i="3" s="1"/>
  <c r="L157" i="3"/>
  <c r="M157" i="3" s="1"/>
  <c r="L149" i="3"/>
  <c r="M149" i="3" s="1"/>
  <c r="L141" i="3"/>
  <c r="M141" i="3" s="1"/>
  <c r="L133" i="3"/>
  <c r="L125" i="3"/>
  <c r="M125" i="3" s="1"/>
  <c r="L109" i="3"/>
  <c r="M109" i="3" s="1"/>
  <c r="L101" i="3"/>
  <c r="L93" i="3"/>
  <c r="M93" i="3" s="1"/>
  <c r="L85" i="3"/>
  <c r="M85" i="3" s="1"/>
  <c r="L77" i="3"/>
  <c r="M77" i="3" s="1"/>
  <c r="L69" i="3"/>
  <c r="M69" i="3" s="1"/>
  <c r="L61" i="3"/>
  <c r="M61" i="3" s="1"/>
  <c r="L45" i="3"/>
  <c r="M45" i="3" s="1"/>
  <c r="L37" i="3"/>
  <c r="M37" i="3" s="1"/>
  <c r="L29" i="3"/>
  <c r="M29" i="3" s="1"/>
  <c r="L21" i="3"/>
  <c r="M21" i="3" s="1"/>
  <c r="M20" i="3"/>
  <c r="M3" i="3"/>
  <c r="N3" i="3" s="1"/>
  <c r="L596" i="3"/>
  <c r="M596" i="3" s="1"/>
  <c r="L588" i="3"/>
  <c r="M588" i="3" s="1"/>
  <c r="L580" i="3"/>
  <c r="M580" i="3" s="1"/>
  <c r="L572" i="3"/>
  <c r="M572" i="3" s="1"/>
  <c r="L564" i="3"/>
  <c r="M564" i="3" s="1"/>
  <c r="L556" i="3"/>
  <c r="M556" i="3" s="1"/>
  <c r="L548" i="3"/>
  <c r="M548" i="3" s="1"/>
  <c r="L540" i="3"/>
  <c r="M540" i="3" s="1"/>
  <c r="L532" i="3"/>
  <c r="M532" i="3" s="1"/>
  <c r="L524" i="3"/>
  <c r="M524" i="3" s="1"/>
  <c r="L516" i="3"/>
  <c r="M516" i="3" s="1"/>
  <c r="L508" i="3"/>
  <c r="M508" i="3" s="1"/>
  <c r="L500" i="3"/>
  <c r="M500" i="3" s="1"/>
  <c r="L492" i="3"/>
  <c r="M492" i="3" s="1"/>
  <c r="L484" i="3"/>
  <c r="M484" i="3" s="1"/>
  <c r="L476" i="3"/>
  <c r="M476" i="3" s="1"/>
  <c r="L468" i="3"/>
  <c r="M468" i="3" s="1"/>
  <c r="L460" i="3"/>
  <c r="M460" i="3" s="1"/>
  <c r="L452" i="3"/>
  <c r="M452" i="3" s="1"/>
  <c r="L444" i="3"/>
  <c r="L436" i="3"/>
  <c r="M436" i="3" s="1"/>
  <c r="L428" i="3"/>
  <c r="M428" i="3" s="1"/>
  <c r="L420" i="3"/>
  <c r="M420" i="3" s="1"/>
  <c r="L412" i="3"/>
  <c r="M412" i="3" s="1"/>
  <c r="L404" i="3"/>
  <c r="M404" i="3" s="1"/>
  <c r="L396" i="3"/>
  <c r="L388" i="3"/>
  <c r="M388" i="3" s="1"/>
  <c r="L380" i="3"/>
  <c r="M380" i="3" s="1"/>
  <c r="L372" i="3"/>
  <c r="M372" i="3" s="1"/>
  <c r="L364" i="3"/>
  <c r="M364" i="3" s="1"/>
  <c r="L356" i="3"/>
  <c r="M356" i="3" s="1"/>
  <c r="L348" i="3"/>
  <c r="M348" i="3" s="1"/>
  <c r="L340" i="3"/>
  <c r="M340" i="3" s="1"/>
  <c r="L332" i="3"/>
  <c r="M332" i="3" s="1"/>
  <c r="L324" i="3"/>
  <c r="M324" i="3" s="1"/>
  <c r="L316" i="3"/>
  <c r="M316" i="3" s="1"/>
  <c r="L308" i="3"/>
  <c r="M308" i="3" s="1"/>
  <c r="L300" i="3"/>
  <c r="M300" i="3" s="1"/>
  <c r="L292" i="3"/>
  <c r="M292" i="3" s="1"/>
  <c r="L284" i="3"/>
  <c r="M284" i="3" s="1"/>
  <c r="L12" i="3"/>
  <c r="M12" i="3" s="1"/>
  <c r="M123" i="3"/>
  <c r="M107" i="3"/>
  <c r="L2" i="3"/>
  <c r="L595" i="3"/>
  <c r="L587" i="3"/>
  <c r="M587" i="3" s="1"/>
  <c r="L579" i="3"/>
  <c r="M579" i="3" s="1"/>
  <c r="L571" i="3"/>
  <c r="M571" i="3" s="1"/>
  <c r="L563" i="3"/>
  <c r="M563" i="3" s="1"/>
  <c r="L555" i="3"/>
  <c r="M555" i="3" s="1"/>
  <c r="L547" i="3"/>
  <c r="M547" i="3" s="1"/>
  <c r="L539" i="3"/>
  <c r="M539" i="3" s="1"/>
  <c r="L531" i="3"/>
  <c r="M531" i="3" s="1"/>
  <c r="L523" i="3"/>
  <c r="L515" i="3"/>
  <c r="M515" i="3" s="1"/>
  <c r="L507" i="3"/>
  <c r="M507" i="3" s="1"/>
  <c r="L499" i="3"/>
  <c r="M499" i="3" s="1"/>
  <c r="L491" i="3"/>
  <c r="M491" i="3" s="1"/>
  <c r="L483" i="3"/>
  <c r="M483" i="3" s="1"/>
  <c r="L475" i="3"/>
  <c r="M475" i="3" s="1"/>
  <c r="L467" i="3"/>
  <c r="M467" i="3" s="1"/>
  <c r="L459" i="3"/>
  <c r="M459" i="3" s="1"/>
  <c r="L451" i="3"/>
  <c r="M451" i="3" s="1"/>
  <c r="L443" i="3"/>
  <c r="M443" i="3" s="1"/>
  <c r="L435" i="3"/>
  <c r="M435" i="3" s="1"/>
  <c r="L427" i="3"/>
  <c r="M427" i="3" s="1"/>
  <c r="L419" i="3"/>
  <c r="M419" i="3" s="1"/>
  <c r="L411" i="3"/>
  <c r="M411" i="3" s="1"/>
  <c r="L403" i="3"/>
  <c r="M403" i="3" s="1"/>
  <c r="L395" i="3"/>
  <c r="M395" i="3" s="1"/>
  <c r="L387" i="3"/>
  <c r="M387" i="3" s="1"/>
  <c r="L379" i="3"/>
  <c r="M379" i="3" s="1"/>
  <c r="L363" i="3"/>
  <c r="M363" i="3" s="1"/>
  <c r="L355" i="3"/>
  <c r="M355" i="3" s="1"/>
  <c r="L347" i="3"/>
  <c r="M347" i="3" s="1"/>
  <c r="L331" i="3"/>
  <c r="M331" i="3" s="1"/>
  <c r="L323" i="3"/>
  <c r="M323" i="3" s="1"/>
  <c r="L315" i="3"/>
  <c r="M250" i="3"/>
  <c r="N250" i="3" s="1"/>
  <c r="M234" i="3"/>
  <c r="L602" i="3"/>
  <c r="M602" i="3" s="1"/>
  <c r="L594" i="3"/>
  <c r="M594" i="3" s="1"/>
  <c r="N594" i="3" s="1"/>
  <c r="L586" i="3"/>
  <c r="M586" i="3" s="1"/>
  <c r="O586" i="3" s="1"/>
  <c r="P586" i="3" s="1"/>
  <c r="Q586" i="3" s="1"/>
  <c r="L578" i="3"/>
  <c r="M578" i="3" s="1"/>
  <c r="N578" i="3" s="1"/>
  <c r="L570" i="3"/>
  <c r="M570" i="3" s="1"/>
  <c r="N570" i="3" s="1"/>
  <c r="L562" i="3"/>
  <c r="M562" i="3" s="1"/>
  <c r="L554" i="3"/>
  <c r="M554" i="3" s="1"/>
  <c r="O554" i="3" s="1"/>
  <c r="P554" i="3" s="1"/>
  <c r="Q554" i="3" s="1"/>
  <c r="L546" i="3"/>
  <c r="M546" i="3" s="1"/>
  <c r="L538" i="3"/>
  <c r="M538" i="3" s="1"/>
  <c r="L530" i="3"/>
  <c r="M530" i="3" s="1"/>
  <c r="O530" i="3" s="1"/>
  <c r="P530" i="3" s="1"/>
  <c r="Q530" i="3" s="1"/>
  <c r="L522" i="3"/>
  <c r="M522" i="3" s="1"/>
  <c r="O522" i="3" s="1"/>
  <c r="P522" i="3" s="1"/>
  <c r="Q522" i="3" s="1"/>
  <c r="L514" i="3"/>
  <c r="M514" i="3" s="1"/>
  <c r="L506" i="3"/>
  <c r="M506" i="3" s="1"/>
  <c r="N506" i="3" s="1"/>
  <c r="L498" i="3"/>
  <c r="M498" i="3" s="1"/>
  <c r="L490" i="3"/>
  <c r="M490" i="3" s="1"/>
  <c r="O490" i="3" s="1"/>
  <c r="P490" i="3" s="1"/>
  <c r="Q490" i="3" s="1"/>
  <c r="L482" i="3"/>
  <c r="L474" i="3"/>
  <c r="M474" i="3" s="1"/>
  <c r="L466" i="3"/>
  <c r="M466" i="3" s="1"/>
  <c r="L458" i="3"/>
  <c r="M458" i="3" s="1"/>
  <c r="O458" i="3" s="1"/>
  <c r="P458" i="3" s="1"/>
  <c r="Q458" i="3" s="1"/>
  <c r="L450" i="3"/>
  <c r="M450" i="3" s="1"/>
  <c r="L442" i="3"/>
  <c r="M442" i="3" s="1"/>
  <c r="N442" i="3" s="1"/>
  <c r="L434" i="3"/>
  <c r="L426" i="3"/>
  <c r="M426" i="3" s="1"/>
  <c r="O426" i="3" s="1"/>
  <c r="P426" i="3" s="1"/>
  <c r="Q426" i="3" s="1"/>
  <c r="L418" i="3"/>
  <c r="M418" i="3" s="1"/>
  <c r="L410" i="3"/>
  <c r="M410" i="3" s="1"/>
  <c r="N410" i="3" s="1"/>
  <c r="L402" i="3"/>
  <c r="M402" i="3" s="1"/>
  <c r="N402" i="3" s="1"/>
  <c r="L394" i="3"/>
  <c r="M394" i="3" s="1"/>
  <c r="O394" i="3" s="1"/>
  <c r="P394" i="3" s="1"/>
  <c r="Q394" i="3" s="1"/>
  <c r="L386" i="3"/>
  <c r="M386" i="3" s="1"/>
  <c r="N386" i="3" s="1"/>
  <c r="L378" i="3"/>
  <c r="M378" i="3" s="1"/>
  <c r="L370" i="3"/>
  <c r="M370" i="3" s="1"/>
  <c r="L362" i="3"/>
  <c r="M362" i="3" s="1"/>
  <c r="O362" i="3" s="1"/>
  <c r="P362" i="3" s="1"/>
  <c r="Q362" i="3" s="1"/>
  <c r="L354" i="3"/>
  <c r="M354" i="3" s="1"/>
  <c r="L346" i="3"/>
  <c r="M346" i="3" s="1"/>
  <c r="M297" i="3"/>
  <c r="M89" i="3"/>
  <c r="O89" i="3" s="1"/>
  <c r="P89" i="3" s="1"/>
  <c r="Q89" i="3" s="1"/>
  <c r="M41" i="3"/>
  <c r="O41" i="3" s="1"/>
  <c r="P41" i="3" s="1"/>
  <c r="Q41" i="3" s="1"/>
  <c r="L601" i="3"/>
  <c r="M601" i="3" s="1"/>
  <c r="L593" i="3"/>
  <c r="M593" i="3" s="1"/>
  <c r="O593" i="3" s="1"/>
  <c r="P593" i="3" s="1"/>
  <c r="Q593" i="3" s="1"/>
  <c r="L585" i="3"/>
  <c r="M585" i="3" s="1"/>
  <c r="N585" i="3" s="1"/>
  <c r="L577" i="3"/>
  <c r="M577" i="3" s="1"/>
  <c r="L569" i="3"/>
  <c r="M569" i="3" s="1"/>
  <c r="O569" i="3" s="1"/>
  <c r="P569" i="3" s="1"/>
  <c r="Q569" i="3" s="1"/>
  <c r="L561" i="3"/>
  <c r="M561" i="3" s="1"/>
  <c r="O561" i="3" s="1"/>
  <c r="P561" i="3" s="1"/>
  <c r="Q561" i="3" s="1"/>
  <c r="L553" i="3"/>
  <c r="M553" i="3" s="1"/>
  <c r="L545" i="3"/>
  <c r="M545" i="3" s="1"/>
  <c r="O545" i="3" s="1"/>
  <c r="P545" i="3" s="1"/>
  <c r="Q545" i="3" s="1"/>
  <c r="L537" i="3"/>
  <c r="M537" i="3" s="1"/>
  <c r="O537" i="3" s="1"/>
  <c r="P537" i="3" s="1"/>
  <c r="Q537" i="3" s="1"/>
  <c r="L529" i="3"/>
  <c r="M529" i="3" s="1"/>
  <c r="O529" i="3" s="1"/>
  <c r="P529" i="3" s="1"/>
  <c r="Q529" i="3" s="1"/>
  <c r="L521" i="3"/>
  <c r="M521" i="3" s="1"/>
  <c r="O521" i="3" s="1"/>
  <c r="P521" i="3" s="1"/>
  <c r="Q521" i="3" s="1"/>
  <c r="L513" i="3"/>
  <c r="M513" i="3" s="1"/>
  <c r="L505" i="3"/>
  <c r="M505" i="3" s="1"/>
  <c r="L497" i="3"/>
  <c r="M497" i="3" s="1"/>
  <c r="L489" i="3"/>
  <c r="M489" i="3" s="1"/>
  <c r="O489" i="3" s="1"/>
  <c r="P489" i="3" s="1"/>
  <c r="Q489" i="3" s="1"/>
  <c r="L481" i="3"/>
  <c r="M481" i="3" s="1"/>
  <c r="O481" i="3" s="1"/>
  <c r="P481" i="3" s="1"/>
  <c r="Q481" i="3" s="1"/>
  <c r="L473" i="3"/>
  <c r="L465" i="3"/>
  <c r="M465" i="3" s="1"/>
  <c r="N465" i="3" s="1"/>
  <c r="L457" i="3"/>
  <c r="M457" i="3" s="1"/>
  <c r="O457" i="3" s="1"/>
  <c r="P457" i="3" s="1"/>
  <c r="Q457" i="3" s="1"/>
  <c r="L449" i="3"/>
  <c r="M449" i="3" s="1"/>
  <c r="O449" i="3" s="1"/>
  <c r="P449" i="3" s="1"/>
  <c r="Q449" i="3" s="1"/>
  <c r="L441" i="3"/>
  <c r="M441" i="3" s="1"/>
  <c r="N441" i="3" s="1"/>
  <c r="L433" i="3"/>
  <c r="M433" i="3" s="1"/>
  <c r="O433" i="3" s="1"/>
  <c r="P433" i="3" s="1"/>
  <c r="Q433" i="3" s="1"/>
  <c r="L425" i="3"/>
  <c r="M425" i="3" s="1"/>
  <c r="L417" i="3"/>
  <c r="M417" i="3" s="1"/>
  <c r="L409" i="3"/>
  <c r="M409" i="3" s="1"/>
  <c r="O409" i="3" s="1"/>
  <c r="P409" i="3" s="1"/>
  <c r="Q409" i="3" s="1"/>
  <c r="L401" i="3"/>
  <c r="M401" i="3" s="1"/>
  <c r="O401" i="3" s="1"/>
  <c r="P401" i="3" s="1"/>
  <c r="Q401" i="3" s="1"/>
  <c r="L393" i="3"/>
  <c r="M393" i="3" s="1"/>
  <c r="O393" i="3" s="1"/>
  <c r="P393" i="3" s="1"/>
  <c r="Q393" i="3" s="1"/>
  <c r="L385" i="3"/>
  <c r="M385" i="3" s="1"/>
  <c r="N385" i="3" s="1"/>
  <c r="L377" i="3"/>
  <c r="M377" i="3" s="1"/>
  <c r="O377" i="3" s="1"/>
  <c r="P377" i="3" s="1"/>
  <c r="Q377" i="3" s="1"/>
  <c r="M280" i="3"/>
  <c r="O280" i="3" s="1"/>
  <c r="P280" i="3" s="1"/>
  <c r="Q280" i="3" s="1"/>
  <c r="M232" i="3"/>
  <c r="M152" i="3"/>
  <c r="O152" i="3" s="1"/>
  <c r="P152" i="3" s="1"/>
  <c r="Q152" i="3" s="1"/>
  <c r="M24" i="3"/>
  <c r="L600" i="3"/>
  <c r="M600" i="3" s="1"/>
  <c r="L592" i="3"/>
  <c r="M592" i="3" s="1"/>
  <c r="O592" i="3" s="1"/>
  <c r="P592" i="3" s="1"/>
  <c r="Q592" i="3" s="1"/>
  <c r="L584" i="3"/>
  <c r="M584" i="3" s="1"/>
  <c r="O584" i="3" s="1"/>
  <c r="P584" i="3" s="1"/>
  <c r="Q584" i="3" s="1"/>
  <c r="L576" i="3"/>
  <c r="M576" i="3" s="1"/>
  <c r="O576" i="3" s="1"/>
  <c r="P576" i="3" s="1"/>
  <c r="Q576" i="3" s="1"/>
  <c r="L568" i="3"/>
  <c r="M568" i="3" s="1"/>
  <c r="L560" i="3"/>
  <c r="M560" i="3" s="1"/>
  <c r="O560" i="3" s="1"/>
  <c r="P560" i="3" s="1"/>
  <c r="Q560" i="3" s="1"/>
  <c r="L552" i="3"/>
  <c r="M552" i="3" s="1"/>
  <c r="O552" i="3" s="1"/>
  <c r="P552" i="3" s="1"/>
  <c r="Q552" i="3" s="1"/>
  <c r="L544" i="3"/>
  <c r="M544" i="3" s="1"/>
  <c r="O544" i="3" s="1"/>
  <c r="P544" i="3" s="1"/>
  <c r="Q544" i="3" s="1"/>
  <c r="L536" i="3"/>
  <c r="M536" i="3" s="1"/>
  <c r="L528" i="3"/>
  <c r="M528" i="3" s="1"/>
  <c r="O528" i="3" s="1"/>
  <c r="P528" i="3" s="1"/>
  <c r="Q528" i="3" s="1"/>
  <c r="L520" i="3"/>
  <c r="M520" i="3" s="1"/>
  <c r="O520" i="3" s="1"/>
  <c r="P520" i="3" s="1"/>
  <c r="Q520" i="3" s="1"/>
  <c r="L512" i="3"/>
  <c r="M512" i="3" s="1"/>
  <c r="O512" i="3" s="1"/>
  <c r="P512" i="3" s="1"/>
  <c r="Q512" i="3" s="1"/>
  <c r="L504" i="3"/>
  <c r="M504" i="3" s="1"/>
  <c r="L496" i="3"/>
  <c r="M496" i="3" s="1"/>
  <c r="L488" i="3"/>
  <c r="M488" i="3" s="1"/>
  <c r="O488" i="3" s="1"/>
  <c r="P488" i="3" s="1"/>
  <c r="Q488" i="3" s="1"/>
  <c r="L480" i="3"/>
  <c r="M480" i="3" s="1"/>
  <c r="O480" i="3" s="1"/>
  <c r="P480" i="3" s="1"/>
  <c r="Q480" i="3" s="1"/>
  <c r="L472" i="3"/>
  <c r="M472" i="3" s="1"/>
  <c r="L464" i="3"/>
  <c r="M464" i="3" s="1"/>
  <c r="O464" i="3" s="1"/>
  <c r="P464" i="3" s="1"/>
  <c r="Q464" i="3" s="1"/>
  <c r="L456" i="3"/>
  <c r="M456" i="3" s="1"/>
  <c r="O456" i="3" s="1"/>
  <c r="P456" i="3" s="1"/>
  <c r="Q456" i="3" s="1"/>
  <c r="L448" i="3"/>
  <c r="M448" i="3" s="1"/>
  <c r="O448" i="3" s="1"/>
  <c r="P448" i="3" s="1"/>
  <c r="Q448" i="3" s="1"/>
  <c r="L440" i="3"/>
  <c r="M440" i="3" s="1"/>
  <c r="N440" i="3" s="1"/>
  <c r="L432" i="3"/>
  <c r="M432" i="3" s="1"/>
  <c r="O432" i="3" s="1"/>
  <c r="P432" i="3" s="1"/>
  <c r="Q432" i="3" s="1"/>
  <c r="L424" i="3"/>
  <c r="M424" i="3" s="1"/>
  <c r="O424" i="3" s="1"/>
  <c r="P424" i="3" s="1"/>
  <c r="Q424" i="3" s="1"/>
  <c r="L416" i="3"/>
  <c r="M416" i="3" s="1"/>
  <c r="O416" i="3" s="1"/>
  <c r="P416" i="3" s="1"/>
  <c r="Q416" i="3" s="1"/>
  <c r="L408" i="3"/>
  <c r="M408" i="3" s="1"/>
  <c r="L400" i="3"/>
  <c r="M400" i="3" s="1"/>
  <c r="O400" i="3" s="1"/>
  <c r="P400" i="3" s="1"/>
  <c r="Q400" i="3" s="1"/>
  <c r="L392" i="3"/>
  <c r="M392" i="3" s="1"/>
  <c r="O392" i="3" s="1"/>
  <c r="P392" i="3" s="1"/>
  <c r="Q392" i="3" s="1"/>
  <c r="L384" i="3"/>
  <c r="M384" i="3" s="1"/>
  <c r="O384" i="3" s="1"/>
  <c r="P384" i="3" s="1"/>
  <c r="Q384" i="3" s="1"/>
  <c r="L376" i="3"/>
  <c r="M376" i="3" s="1"/>
  <c r="L368" i="3"/>
  <c r="M368" i="3" s="1"/>
  <c r="O368" i="3" s="1"/>
  <c r="P368" i="3" s="1"/>
  <c r="Q368" i="3" s="1"/>
  <c r="L360" i="3"/>
  <c r="M360" i="3" s="1"/>
  <c r="N360" i="3" s="1"/>
  <c r="L352" i="3"/>
  <c r="M352" i="3" s="1"/>
  <c r="O352" i="3" s="1"/>
  <c r="P352" i="3" s="1"/>
  <c r="Q352" i="3" s="1"/>
  <c r="L13" i="3"/>
  <c r="M13" i="3" s="1"/>
  <c r="L5" i="3"/>
  <c r="M5" i="3" s="1"/>
  <c r="L276" i="3"/>
  <c r="M276" i="3" s="1"/>
  <c r="L268" i="3"/>
  <c r="M268" i="3" s="1"/>
  <c r="L260" i="3"/>
  <c r="M260" i="3" s="1"/>
  <c r="L252" i="3"/>
  <c r="M252" i="3" s="1"/>
  <c r="L244" i="3"/>
  <c r="M244" i="3" s="1"/>
  <c r="L236" i="3"/>
  <c r="M236" i="3" s="1"/>
  <c r="L228" i="3"/>
  <c r="M228" i="3" s="1"/>
  <c r="L220" i="3"/>
  <c r="M220" i="3" s="1"/>
  <c r="L212" i="3"/>
  <c r="M212" i="3" s="1"/>
  <c r="L204" i="3"/>
  <c r="M204" i="3" s="1"/>
  <c r="L196" i="3"/>
  <c r="M196" i="3" s="1"/>
  <c r="L188" i="3"/>
  <c r="M188" i="3" s="1"/>
  <c r="L180" i="3"/>
  <c r="M180" i="3" s="1"/>
  <c r="L172" i="3"/>
  <c r="M172" i="3" s="1"/>
  <c r="L164" i="3"/>
  <c r="M164" i="3" s="1"/>
  <c r="L156" i="3"/>
  <c r="M156" i="3" s="1"/>
  <c r="L148" i="3"/>
  <c r="M148" i="3" s="1"/>
  <c r="L140" i="3"/>
  <c r="M140" i="3" s="1"/>
  <c r="L132" i="3"/>
  <c r="M132" i="3" s="1"/>
  <c r="L124" i="3"/>
  <c r="M124" i="3" s="1"/>
  <c r="L116" i="3"/>
  <c r="M116" i="3" s="1"/>
  <c r="L108" i="3"/>
  <c r="M108" i="3" s="1"/>
  <c r="L100" i="3"/>
  <c r="M100" i="3" s="1"/>
  <c r="L92" i="3"/>
  <c r="M92" i="3" s="1"/>
  <c r="L84" i="3"/>
  <c r="M84" i="3" s="1"/>
  <c r="L76" i="3"/>
  <c r="M76" i="3" s="1"/>
  <c r="L68" i="3"/>
  <c r="M68" i="3" s="1"/>
  <c r="L60" i="3"/>
  <c r="M60" i="3" s="1"/>
  <c r="L52" i="3"/>
  <c r="M52" i="3" s="1"/>
  <c r="L44" i="3"/>
  <c r="M44" i="3" s="1"/>
  <c r="L36" i="3"/>
  <c r="M36" i="3" s="1"/>
  <c r="L28" i="3"/>
  <c r="M28" i="3" s="1"/>
  <c r="L20" i="3"/>
  <c r="L4" i="3"/>
  <c r="M4" i="3" s="1"/>
  <c r="N4" i="3" s="1"/>
  <c r="L299" i="3"/>
  <c r="M299" i="3" s="1"/>
  <c r="L291" i="3"/>
  <c r="M291" i="3" s="1"/>
  <c r="L283" i="3"/>
  <c r="M283" i="3" s="1"/>
  <c r="L275" i="3"/>
  <c r="M275" i="3" s="1"/>
  <c r="L267" i="3"/>
  <c r="M267" i="3" s="1"/>
  <c r="L259" i="3"/>
  <c r="M259" i="3" s="1"/>
  <c r="L251" i="3"/>
  <c r="M251" i="3" s="1"/>
  <c r="L243" i="3"/>
  <c r="M243" i="3" s="1"/>
  <c r="L235" i="3"/>
  <c r="M235" i="3" s="1"/>
  <c r="L227" i="3"/>
  <c r="M227" i="3" s="1"/>
  <c r="L219" i="3"/>
  <c r="M219" i="3" s="1"/>
  <c r="L211" i="3"/>
  <c r="M211" i="3" s="1"/>
  <c r="L203" i="3"/>
  <c r="M203" i="3" s="1"/>
  <c r="L195" i="3"/>
  <c r="M195" i="3" s="1"/>
  <c r="L187" i="3"/>
  <c r="M187" i="3" s="1"/>
  <c r="L179" i="3"/>
  <c r="M179" i="3" s="1"/>
  <c r="L171" i="3"/>
  <c r="M171" i="3" s="1"/>
  <c r="L163" i="3"/>
  <c r="M163" i="3" s="1"/>
  <c r="L155" i="3"/>
  <c r="M155" i="3" s="1"/>
  <c r="L147" i="3"/>
  <c r="M147" i="3" s="1"/>
  <c r="L139" i="3"/>
  <c r="M139" i="3" s="1"/>
  <c r="L131" i="3"/>
  <c r="M131" i="3" s="1"/>
  <c r="L123" i="3"/>
  <c r="L115" i="3"/>
  <c r="M115" i="3" s="1"/>
  <c r="L107" i="3"/>
  <c r="L99" i="3"/>
  <c r="M99" i="3" s="1"/>
  <c r="L91" i="3"/>
  <c r="M91" i="3" s="1"/>
  <c r="L83" i="3"/>
  <c r="M83" i="3" s="1"/>
  <c r="L75" i="3"/>
  <c r="M75" i="3" s="1"/>
  <c r="L67" i="3"/>
  <c r="M67" i="3" s="1"/>
  <c r="L59" i="3"/>
  <c r="M59" i="3" s="1"/>
  <c r="L51" i="3"/>
  <c r="M51" i="3" s="1"/>
  <c r="L43" i="3"/>
  <c r="M43" i="3" s="1"/>
  <c r="L35" i="3"/>
  <c r="M35" i="3" s="1"/>
  <c r="L27" i="3"/>
  <c r="M27" i="3" s="1"/>
  <c r="L19" i="3"/>
  <c r="M19" i="3" s="1"/>
  <c r="L11" i="3"/>
  <c r="M11" i="3" s="1"/>
  <c r="L338" i="3"/>
  <c r="M338" i="3" s="1"/>
  <c r="L330" i="3"/>
  <c r="M330" i="3" s="1"/>
  <c r="O330" i="3" s="1"/>
  <c r="P330" i="3" s="1"/>
  <c r="Q330" i="3" s="1"/>
  <c r="L322" i="3"/>
  <c r="M322" i="3" s="1"/>
  <c r="L314" i="3"/>
  <c r="M314" i="3" s="1"/>
  <c r="N314" i="3" s="1"/>
  <c r="L306" i="3"/>
  <c r="M306" i="3" s="1"/>
  <c r="N306" i="3" s="1"/>
  <c r="L298" i="3"/>
  <c r="M298" i="3" s="1"/>
  <c r="L290" i="3"/>
  <c r="M290" i="3" s="1"/>
  <c r="L282" i="3"/>
  <c r="M282" i="3" s="1"/>
  <c r="L274" i="3"/>
  <c r="M274" i="3" s="1"/>
  <c r="L266" i="3"/>
  <c r="M266" i="3" s="1"/>
  <c r="L258" i="3"/>
  <c r="M258" i="3" s="1"/>
  <c r="L250" i="3"/>
  <c r="L242" i="3"/>
  <c r="M242" i="3" s="1"/>
  <c r="N242" i="3" s="1"/>
  <c r="L234" i="3"/>
  <c r="L226" i="3"/>
  <c r="M226" i="3" s="1"/>
  <c r="L218" i="3"/>
  <c r="M218" i="3" s="1"/>
  <c r="L210" i="3"/>
  <c r="M210" i="3" s="1"/>
  <c r="N210" i="3" s="1"/>
  <c r="L202" i="3"/>
  <c r="M202" i="3" s="1"/>
  <c r="L194" i="3"/>
  <c r="M194" i="3" s="1"/>
  <c r="L186" i="3"/>
  <c r="M186" i="3" s="1"/>
  <c r="N186" i="3" s="1"/>
  <c r="L178" i="3"/>
  <c r="M178" i="3" s="1"/>
  <c r="N178" i="3" s="1"/>
  <c r="L170" i="3"/>
  <c r="M170" i="3" s="1"/>
  <c r="L162" i="3"/>
  <c r="M162" i="3" s="1"/>
  <c r="N162" i="3" s="1"/>
  <c r="L154" i="3"/>
  <c r="M154" i="3" s="1"/>
  <c r="L146" i="3"/>
  <c r="M146" i="3" s="1"/>
  <c r="L138" i="3"/>
  <c r="M138" i="3" s="1"/>
  <c r="L130" i="3"/>
  <c r="M130" i="3" s="1"/>
  <c r="L122" i="3"/>
  <c r="M122" i="3" s="1"/>
  <c r="L114" i="3"/>
  <c r="M114" i="3" s="1"/>
  <c r="N114" i="3" s="1"/>
  <c r="L106" i="3"/>
  <c r="M106" i="3" s="1"/>
  <c r="L98" i="3"/>
  <c r="M98" i="3" s="1"/>
  <c r="N98" i="3" s="1"/>
  <c r="L90" i="3"/>
  <c r="M90" i="3" s="1"/>
  <c r="L82" i="3"/>
  <c r="M82" i="3" s="1"/>
  <c r="L74" i="3"/>
  <c r="M74" i="3" s="1"/>
  <c r="N74" i="3" s="1"/>
  <c r="L66" i="3"/>
  <c r="M66" i="3" s="1"/>
  <c r="N66" i="3" s="1"/>
  <c r="L58" i="3"/>
  <c r="M58" i="3" s="1"/>
  <c r="N58" i="3" s="1"/>
  <c r="L50" i="3"/>
  <c r="M50" i="3" s="1"/>
  <c r="O50" i="3" s="1"/>
  <c r="P50" i="3" s="1"/>
  <c r="Q50" i="3" s="1"/>
  <c r="L42" i="3"/>
  <c r="M42" i="3" s="1"/>
  <c r="L34" i="3"/>
  <c r="M34" i="3" s="1"/>
  <c r="O34" i="3" s="1"/>
  <c r="P34" i="3" s="1"/>
  <c r="Q34" i="3" s="1"/>
  <c r="L26" i="3"/>
  <c r="M26" i="3" s="1"/>
  <c r="O26" i="3" s="1"/>
  <c r="P26" i="3" s="1"/>
  <c r="Q26" i="3" s="1"/>
  <c r="L18" i="3"/>
  <c r="M18" i="3" s="1"/>
  <c r="O18" i="3" s="1"/>
  <c r="P18" i="3" s="1"/>
  <c r="Q18" i="3" s="1"/>
  <c r="L10" i="3"/>
  <c r="M10" i="3" s="1"/>
  <c r="O10" i="3" s="1"/>
  <c r="L369" i="3"/>
  <c r="M369" i="3" s="1"/>
  <c r="O369" i="3" s="1"/>
  <c r="P369" i="3" s="1"/>
  <c r="Q369" i="3" s="1"/>
  <c r="L361" i="3"/>
  <c r="M361" i="3" s="1"/>
  <c r="N361" i="3" s="1"/>
  <c r="L353" i="3"/>
  <c r="M353" i="3" s="1"/>
  <c r="N353" i="3" s="1"/>
  <c r="L345" i="3"/>
  <c r="M345" i="3" s="1"/>
  <c r="O345" i="3" s="1"/>
  <c r="P345" i="3" s="1"/>
  <c r="Q345" i="3" s="1"/>
  <c r="L337" i="3"/>
  <c r="M337" i="3" s="1"/>
  <c r="L329" i="3"/>
  <c r="M329" i="3" s="1"/>
  <c r="L321" i="3"/>
  <c r="M321" i="3" s="1"/>
  <c r="N321" i="3" s="1"/>
  <c r="L313" i="3"/>
  <c r="M313" i="3" s="1"/>
  <c r="O313" i="3" s="1"/>
  <c r="P313" i="3" s="1"/>
  <c r="Q313" i="3" s="1"/>
  <c r="L305" i="3"/>
  <c r="M305" i="3" s="1"/>
  <c r="O305" i="3" s="1"/>
  <c r="P305" i="3" s="1"/>
  <c r="Q305" i="3" s="1"/>
  <c r="L297" i="3"/>
  <c r="L289" i="3"/>
  <c r="M289" i="3" s="1"/>
  <c r="N289" i="3" s="1"/>
  <c r="L281" i="3"/>
  <c r="M281" i="3" s="1"/>
  <c r="L273" i="3"/>
  <c r="M273" i="3" s="1"/>
  <c r="O273" i="3" s="1"/>
  <c r="P273" i="3" s="1"/>
  <c r="Q273" i="3" s="1"/>
  <c r="L265" i="3"/>
  <c r="M265" i="3" s="1"/>
  <c r="O265" i="3" s="1"/>
  <c r="P265" i="3" s="1"/>
  <c r="Q265" i="3" s="1"/>
  <c r="L257" i="3"/>
  <c r="M257" i="3" s="1"/>
  <c r="L249" i="3"/>
  <c r="M249" i="3" s="1"/>
  <c r="N249" i="3" s="1"/>
  <c r="L241" i="3"/>
  <c r="M241" i="3" s="1"/>
  <c r="O241" i="3" s="1"/>
  <c r="P241" i="3" s="1"/>
  <c r="Q241" i="3" s="1"/>
  <c r="L233" i="3"/>
  <c r="M233" i="3" s="1"/>
  <c r="L225" i="3"/>
  <c r="M225" i="3" s="1"/>
  <c r="L217" i="3"/>
  <c r="M217" i="3" s="1"/>
  <c r="L209" i="3"/>
  <c r="M209" i="3" s="1"/>
  <c r="L201" i="3"/>
  <c r="M201" i="3" s="1"/>
  <c r="O201" i="3" s="1"/>
  <c r="P201" i="3" s="1"/>
  <c r="Q201" i="3" s="1"/>
  <c r="L193" i="3"/>
  <c r="M193" i="3" s="1"/>
  <c r="O193" i="3" s="1"/>
  <c r="P193" i="3" s="1"/>
  <c r="Q193" i="3" s="1"/>
  <c r="L185" i="3"/>
  <c r="M185" i="3" s="1"/>
  <c r="O185" i="3" s="1"/>
  <c r="P185" i="3" s="1"/>
  <c r="Q185" i="3" s="1"/>
  <c r="L177" i="3"/>
  <c r="M177" i="3" s="1"/>
  <c r="O177" i="3" s="1"/>
  <c r="P177" i="3" s="1"/>
  <c r="Q177" i="3" s="1"/>
  <c r="L169" i="3"/>
  <c r="M169" i="3" s="1"/>
  <c r="L161" i="3"/>
  <c r="M161" i="3" s="1"/>
  <c r="L153" i="3"/>
  <c r="M153" i="3" s="1"/>
  <c r="L145" i="3"/>
  <c r="M145" i="3" s="1"/>
  <c r="O145" i="3" s="1"/>
  <c r="P145" i="3" s="1"/>
  <c r="Q145" i="3" s="1"/>
  <c r="L137" i="3"/>
  <c r="M137" i="3" s="1"/>
  <c r="N137" i="3" s="1"/>
  <c r="L129" i="3"/>
  <c r="M129" i="3" s="1"/>
  <c r="N129" i="3" s="1"/>
  <c r="L121" i="3"/>
  <c r="M121" i="3" s="1"/>
  <c r="O121" i="3" s="1"/>
  <c r="P121" i="3" s="1"/>
  <c r="Q121" i="3" s="1"/>
  <c r="L113" i="3"/>
  <c r="M113" i="3" s="1"/>
  <c r="O113" i="3" s="1"/>
  <c r="P113" i="3" s="1"/>
  <c r="Q113" i="3" s="1"/>
  <c r="L105" i="3"/>
  <c r="M105" i="3" s="1"/>
  <c r="L97" i="3"/>
  <c r="M97" i="3" s="1"/>
  <c r="N97" i="3" s="1"/>
  <c r="L89" i="3"/>
  <c r="L81" i="3"/>
  <c r="M81" i="3" s="1"/>
  <c r="O81" i="3" s="1"/>
  <c r="P81" i="3" s="1"/>
  <c r="Q81" i="3" s="1"/>
  <c r="L73" i="3"/>
  <c r="M73" i="3" s="1"/>
  <c r="O73" i="3" s="1"/>
  <c r="P73" i="3" s="1"/>
  <c r="Q73" i="3" s="1"/>
  <c r="L65" i="3"/>
  <c r="M65" i="3" s="1"/>
  <c r="O65" i="3" s="1"/>
  <c r="P65" i="3" s="1"/>
  <c r="Q65" i="3" s="1"/>
  <c r="L57" i="3"/>
  <c r="M57" i="3" s="1"/>
  <c r="N57" i="3" s="1"/>
  <c r="L49" i="3"/>
  <c r="M49" i="3" s="1"/>
  <c r="N49" i="3" s="1"/>
  <c r="L41" i="3"/>
  <c r="L33" i="3"/>
  <c r="M33" i="3" s="1"/>
  <c r="O33" i="3" s="1"/>
  <c r="P33" i="3" s="1"/>
  <c r="Q33" i="3" s="1"/>
  <c r="L25" i="3"/>
  <c r="M25" i="3" s="1"/>
  <c r="L17" i="3"/>
  <c r="M17" i="3" s="1"/>
  <c r="L9" i="3"/>
  <c r="M9" i="3" s="1"/>
  <c r="L344" i="3"/>
  <c r="M344" i="3" s="1"/>
  <c r="L336" i="3"/>
  <c r="M336" i="3" s="1"/>
  <c r="O336" i="3" s="1"/>
  <c r="P336" i="3" s="1"/>
  <c r="Q336" i="3" s="1"/>
  <c r="L328" i="3"/>
  <c r="M328" i="3" s="1"/>
  <c r="O328" i="3" s="1"/>
  <c r="P328" i="3" s="1"/>
  <c r="Q328" i="3" s="1"/>
  <c r="L320" i="3"/>
  <c r="M320" i="3" s="1"/>
  <c r="N320" i="3" s="1"/>
  <c r="L312" i="3"/>
  <c r="M312" i="3" s="1"/>
  <c r="O312" i="3" s="1"/>
  <c r="P312" i="3" s="1"/>
  <c r="Q312" i="3" s="1"/>
  <c r="L304" i="3"/>
  <c r="M304" i="3" s="1"/>
  <c r="L296" i="3"/>
  <c r="M296" i="3" s="1"/>
  <c r="N296" i="3" s="1"/>
  <c r="L288" i="3"/>
  <c r="M288" i="3" s="1"/>
  <c r="L280" i="3"/>
  <c r="L272" i="3"/>
  <c r="M272" i="3" s="1"/>
  <c r="L264" i="3"/>
  <c r="M264" i="3" s="1"/>
  <c r="L256" i="3"/>
  <c r="M256" i="3" s="1"/>
  <c r="L248" i="3"/>
  <c r="M248" i="3" s="1"/>
  <c r="N248" i="3" s="1"/>
  <c r="L240" i="3"/>
  <c r="M240" i="3" s="1"/>
  <c r="N240" i="3" s="1"/>
  <c r="L232" i="3"/>
  <c r="L224" i="3"/>
  <c r="M224" i="3" s="1"/>
  <c r="L216" i="3"/>
  <c r="M216" i="3" s="1"/>
  <c r="L208" i="3"/>
  <c r="M208" i="3" s="1"/>
  <c r="L200" i="3"/>
  <c r="M200" i="3" s="1"/>
  <c r="L192" i="3"/>
  <c r="M192" i="3" s="1"/>
  <c r="O192" i="3" s="1"/>
  <c r="P192" i="3" s="1"/>
  <c r="Q192" i="3" s="1"/>
  <c r="L184" i="3"/>
  <c r="M184" i="3" s="1"/>
  <c r="O184" i="3" s="1"/>
  <c r="P184" i="3" s="1"/>
  <c r="Q184" i="3" s="1"/>
  <c r="L176" i="3"/>
  <c r="M176" i="3" s="1"/>
  <c r="L168" i="3"/>
  <c r="M168" i="3" s="1"/>
  <c r="L160" i="3"/>
  <c r="M160" i="3" s="1"/>
  <c r="L152" i="3"/>
  <c r="L144" i="3"/>
  <c r="M144" i="3" s="1"/>
  <c r="O144" i="3" s="1"/>
  <c r="P144" i="3" s="1"/>
  <c r="Q144" i="3" s="1"/>
  <c r="L136" i="3"/>
  <c r="M136" i="3" s="1"/>
  <c r="O136" i="3" s="1"/>
  <c r="P136" i="3" s="1"/>
  <c r="Q136" i="3" s="1"/>
  <c r="L128" i="3"/>
  <c r="M128" i="3" s="1"/>
  <c r="L120" i="3"/>
  <c r="M120" i="3" s="1"/>
  <c r="N120" i="3" s="1"/>
  <c r="L112" i="3"/>
  <c r="M112" i="3" s="1"/>
  <c r="L104" i="3"/>
  <c r="M104" i="3" s="1"/>
  <c r="L96" i="3"/>
  <c r="M96" i="3" s="1"/>
  <c r="L88" i="3"/>
  <c r="M88" i="3" s="1"/>
  <c r="L80" i="3"/>
  <c r="M80" i="3" s="1"/>
  <c r="L72" i="3"/>
  <c r="M72" i="3" s="1"/>
  <c r="N72" i="3" s="1"/>
  <c r="L64" i="3"/>
  <c r="M64" i="3" s="1"/>
  <c r="N64" i="3" s="1"/>
  <c r="L56" i="3"/>
  <c r="M56" i="3" s="1"/>
  <c r="O56" i="3" s="1"/>
  <c r="P56" i="3" s="1"/>
  <c r="Q56" i="3" s="1"/>
  <c r="L48" i="3"/>
  <c r="M48" i="3" s="1"/>
  <c r="L40" i="3"/>
  <c r="M40" i="3" s="1"/>
  <c r="L32" i="3"/>
  <c r="M32" i="3" s="1"/>
  <c r="O32" i="3" s="1"/>
  <c r="P32" i="3" s="1"/>
  <c r="Q32" i="3" s="1"/>
  <c r="L24" i="3"/>
  <c r="L16" i="3"/>
  <c r="M16" i="3" s="1"/>
  <c r="N16" i="3" s="1"/>
  <c r="L8" i="3"/>
  <c r="M8" i="3" s="1"/>
  <c r="L263" i="3"/>
  <c r="M263" i="3" s="1"/>
  <c r="L255" i="3"/>
  <c r="M255" i="3" s="1"/>
  <c r="L247" i="3"/>
  <c r="M247" i="3" s="1"/>
  <c r="L239" i="3"/>
  <c r="M239" i="3" s="1"/>
  <c r="L231" i="3"/>
  <c r="M231" i="3" s="1"/>
  <c r="L223" i="3"/>
  <c r="M223" i="3" s="1"/>
  <c r="L215" i="3"/>
  <c r="M215" i="3" s="1"/>
  <c r="L207" i="3"/>
  <c r="M207" i="3" s="1"/>
  <c r="L199" i="3"/>
  <c r="M199" i="3" s="1"/>
  <c r="L191" i="3"/>
  <c r="M191" i="3" s="1"/>
  <c r="L183" i="3"/>
  <c r="M183" i="3" s="1"/>
  <c r="L175" i="3"/>
  <c r="M175" i="3" s="1"/>
  <c r="L167" i="3"/>
  <c r="M167" i="3" s="1"/>
  <c r="L159" i="3"/>
  <c r="M159" i="3" s="1"/>
  <c r="L151" i="3"/>
  <c r="M151" i="3" s="1"/>
  <c r="L143" i="3"/>
  <c r="M143" i="3" s="1"/>
  <c r="L135" i="3"/>
  <c r="M135" i="3" s="1"/>
  <c r="L127" i="3"/>
  <c r="M127" i="3" s="1"/>
  <c r="L119" i="3"/>
  <c r="M119" i="3" s="1"/>
  <c r="L111" i="3"/>
  <c r="M111" i="3" s="1"/>
  <c r="L103" i="3"/>
  <c r="M103" i="3" s="1"/>
  <c r="L95" i="3"/>
  <c r="M95" i="3" s="1"/>
  <c r="L87" i="3"/>
  <c r="M87" i="3" s="1"/>
  <c r="L79" i="3"/>
  <c r="M79" i="3" s="1"/>
  <c r="L71" i="3"/>
  <c r="M71" i="3" s="1"/>
  <c r="L63" i="3"/>
  <c r="M63" i="3" s="1"/>
  <c r="L55" i="3"/>
  <c r="M55" i="3" s="1"/>
  <c r="L47" i="3"/>
  <c r="M47" i="3" s="1"/>
  <c r="L39" i="3"/>
  <c r="M39" i="3" s="1"/>
  <c r="L31" i="3"/>
  <c r="M31" i="3" s="1"/>
  <c r="L23" i="3"/>
  <c r="M23" i="3" s="1"/>
  <c r="L15" i="3"/>
  <c r="M15" i="3" s="1"/>
  <c r="L7" i="3"/>
  <c r="M7" i="3" s="1"/>
  <c r="O314" i="3"/>
  <c r="P314" i="3" s="1"/>
  <c r="Q314" i="3" s="1"/>
  <c r="O434" i="3"/>
  <c r="P434" i="3" s="1"/>
  <c r="Q434" i="3" s="1"/>
  <c r="O570" i="3"/>
  <c r="P570" i="3" s="1"/>
  <c r="Q570" i="3" s="1"/>
  <c r="O506" i="3"/>
  <c r="P506" i="3" s="1"/>
  <c r="Q506" i="3" s="1"/>
  <c r="O442" i="3"/>
  <c r="P442" i="3" s="1"/>
  <c r="Q442" i="3" s="1"/>
  <c r="N486" i="3"/>
  <c r="O230" i="3"/>
  <c r="P230" i="3" s="1"/>
  <c r="Q230" i="3" s="1"/>
  <c r="O470" i="3"/>
  <c r="P470" i="3" s="1"/>
  <c r="Q470" i="3" s="1"/>
  <c r="N310" i="3"/>
  <c r="O16" i="3"/>
  <c r="P16" i="3" s="1"/>
  <c r="Q16" i="3" s="1"/>
  <c r="N449" i="3"/>
  <c r="N185" i="3"/>
  <c r="N273" i="3"/>
  <c r="N81" i="3"/>
  <c r="N537" i="3"/>
  <c r="N313" i="3"/>
  <c r="N121" i="3"/>
  <c r="N409" i="3"/>
  <c r="N593" i="3"/>
  <c r="O249" i="3"/>
  <c r="P249" i="3" s="1"/>
  <c r="Q249" i="3" s="1"/>
  <c r="N34" i="3"/>
  <c r="B429" i="4"/>
  <c r="B333" i="4"/>
  <c r="F333" i="4" s="1"/>
  <c r="B307" i="4"/>
  <c r="C307" i="4" s="1"/>
  <c r="B125" i="4"/>
  <c r="C125" i="4" s="1"/>
  <c r="C25" i="4"/>
  <c r="F25" i="4"/>
  <c r="B335" i="4"/>
  <c r="B107" i="4"/>
  <c r="C429" i="4"/>
  <c r="F429" i="4"/>
  <c r="B578" i="4"/>
  <c r="B514" i="4"/>
  <c r="B513" i="4"/>
  <c r="B235" i="4"/>
  <c r="B498" i="4"/>
  <c r="B227" i="4"/>
  <c r="B450" i="4"/>
  <c r="B205" i="4"/>
  <c r="F125" i="4"/>
  <c r="B449" i="4"/>
  <c r="B127" i="4"/>
  <c r="B577" i="4"/>
  <c r="B562" i="4"/>
  <c r="B561" i="4"/>
  <c r="B497" i="4"/>
  <c r="B428" i="4"/>
  <c r="B303" i="4"/>
  <c r="B204" i="4"/>
  <c r="B99" i="4"/>
  <c r="B546" i="4"/>
  <c r="B482" i="4"/>
  <c r="B399" i="4"/>
  <c r="B284" i="4"/>
  <c r="B179" i="4"/>
  <c r="B73" i="4"/>
  <c r="B545" i="4"/>
  <c r="B481" i="4"/>
  <c r="B397" i="4"/>
  <c r="B283" i="4"/>
  <c r="B175" i="4"/>
  <c r="B71" i="4"/>
  <c r="B594" i="4"/>
  <c r="B530" i="4"/>
  <c r="B466" i="4"/>
  <c r="B367" i="4"/>
  <c r="B255" i="4"/>
  <c r="B156" i="4"/>
  <c r="B22" i="4"/>
  <c r="B593" i="4"/>
  <c r="B529" i="4"/>
  <c r="B465" i="4"/>
  <c r="B365" i="4"/>
  <c r="B253" i="4"/>
  <c r="B155" i="4"/>
  <c r="B14" i="4"/>
  <c r="B591" i="4"/>
  <c r="B575" i="4"/>
  <c r="B559" i="4"/>
  <c r="B543" i="4"/>
  <c r="B527" i="4"/>
  <c r="B511" i="4"/>
  <c r="B495" i="4"/>
  <c r="B479" i="4"/>
  <c r="B463" i="4"/>
  <c r="B446" i="4"/>
  <c r="B426" i="4"/>
  <c r="B395" i="4"/>
  <c r="B363" i="4"/>
  <c r="B331" i="4"/>
  <c r="B301" i="4"/>
  <c r="B275" i="4"/>
  <c r="B252" i="4"/>
  <c r="B223" i="4"/>
  <c r="B203" i="4"/>
  <c r="B173" i="4"/>
  <c r="B147" i="4"/>
  <c r="B124" i="4"/>
  <c r="B95" i="4"/>
  <c r="B70" i="4"/>
  <c r="B9" i="4"/>
  <c r="B587" i="4"/>
  <c r="B571" i="4"/>
  <c r="B555" i="4"/>
  <c r="B539" i="4"/>
  <c r="B523" i="4"/>
  <c r="B507" i="4"/>
  <c r="B491" i="4"/>
  <c r="B475" i="4"/>
  <c r="B459" i="4"/>
  <c r="B442" i="4"/>
  <c r="B419" i="4"/>
  <c r="B387" i="4"/>
  <c r="B355" i="4"/>
  <c r="B323" i="4"/>
  <c r="B300" i="4"/>
  <c r="B271" i="4"/>
  <c r="B251" i="4"/>
  <c r="B221" i="4"/>
  <c r="B195" i="4"/>
  <c r="B172" i="4"/>
  <c r="B143" i="4"/>
  <c r="B123" i="4"/>
  <c r="B93" i="4"/>
  <c r="B54" i="4"/>
  <c r="B7" i="4"/>
  <c r="B602" i="4"/>
  <c r="B586" i="4"/>
  <c r="B570" i="4"/>
  <c r="B554" i="4"/>
  <c r="B538" i="4"/>
  <c r="B522" i="4"/>
  <c r="B506" i="4"/>
  <c r="B490" i="4"/>
  <c r="B474" i="4"/>
  <c r="B458" i="4"/>
  <c r="B441" i="4"/>
  <c r="B415" i="4"/>
  <c r="B383" i="4"/>
  <c r="B351" i="4"/>
  <c r="B319" i="4"/>
  <c r="B299" i="4"/>
  <c r="B269" i="4"/>
  <c r="B243" i="4"/>
  <c r="B220" i="4"/>
  <c r="B191" i="4"/>
  <c r="B171" i="4"/>
  <c r="B141" i="4"/>
  <c r="B115" i="4"/>
  <c r="B92" i="4"/>
  <c r="B46" i="4"/>
  <c r="B6" i="4"/>
  <c r="B601" i="4"/>
  <c r="B585" i="4"/>
  <c r="B569" i="4"/>
  <c r="B553" i="4"/>
  <c r="B537" i="4"/>
  <c r="B521" i="4"/>
  <c r="B505" i="4"/>
  <c r="B489" i="4"/>
  <c r="B473" i="4"/>
  <c r="B457" i="4"/>
  <c r="B439" i="4"/>
  <c r="B413" i="4"/>
  <c r="B381" i="4"/>
  <c r="B349" i="4"/>
  <c r="B317" i="4"/>
  <c r="B291" i="4"/>
  <c r="B268" i="4"/>
  <c r="B239" i="4"/>
  <c r="B219" i="4"/>
  <c r="B189" i="4"/>
  <c r="B163" i="4"/>
  <c r="B140" i="4"/>
  <c r="B111" i="4"/>
  <c r="B91" i="4"/>
  <c r="B41" i="4"/>
  <c r="B599" i="4"/>
  <c r="B583" i="4"/>
  <c r="B567" i="4"/>
  <c r="B551" i="4"/>
  <c r="B535" i="4"/>
  <c r="B519" i="4"/>
  <c r="B503" i="4"/>
  <c r="B487" i="4"/>
  <c r="B471" i="4"/>
  <c r="B455" i="4"/>
  <c r="B437" i="4"/>
  <c r="B411" i="4"/>
  <c r="B379" i="4"/>
  <c r="B347" i="4"/>
  <c r="B316" i="4"/>
  <c r="B287" i="4"/>
  <c r="B267" i="4"/>
  <c r="B237" i="4"/>
  <c r="B211" i="4"/>
  <c r="B188" i="4"/>
  <c r="B159" i="4"/>
  <c r="B139" i="4"/>
  <c r="B109" i="4"/>
  <c r="B83" i="4"/>
  <c r="B39" i="4"/>
  <c r="B595" i="4"/>
  <c r="B579" i="4"/>
  <c r="B563" i="4"/>
  <c r="B547" i="4"/>
  <c r="B531" i="4"/>
  <c r="B515" i="4"/>
  <c r="B499" i="4"/>
  <c r="B483" i="4"/>
  <c r="B467" i="4"/>
  <c r="B451" i="4"/>
  <c r="B431" i="4"/>
  <c r="B403" i="4"/>
  <c r="B371" i="4"/>
  <c r="B339" i="4"/>
  <c r="B315" i="4"/>
  <c r="B285" i="4"/>
  <c r="B259" i="4"/>
  <c r="B236" i="4"/>
  <c r="B207" i="4"/>
  <c r="B187" i="4"/>
  <c r="B157" i="4"/>
  <c r="B131" i="4"/>
  <c r="B108" i="4"/>
  <c r="B78" i="4"/>
  <c r="B38" i="4"/>
  <c r="B600" i="4"/>
  <c r="B592" i="4"/>
  <c r="B584" i="4"/>
  <c r="B576" i="4"/>
  <c r="B568" i="4"/>
  <c r="B560" i="4"/>
  <c r="B552" i="4"/>
  <c r="B544" i="4"/>
  <c r="B536" i="4"/>
  <c r="B528" i="4"/>
  <c r="B520" i="4"/>
  <c r="B512" i="4"/>
  <c r="B504" i="4"/>
  <c r="B496" i="4"/>
  <c r="B488" i="4"/>
  <c r="B480" i="4"/>
  <c r="B472" i="4"/>
  <c r="B464" i="4"/>
  <c r="B456" i="4"/>
  <c r="B447" i="4"/>
  <c r="B438" i="4"/>
  <c r="B427" i="4"/>
  <c r="B412" i="4"/>
  <c r="B396" i="4"/>
  <c r="B380" i="4"/>
  <c r="B364" i="4"/>
  <c r="B348" i="4"/>
  <c r="B332" i="4"/>
  <c r="B598" i="4"/>
  <c r="B590" i="4"/>
  <c r="B582" i="4"/>
  <c r="B574" i="4"/>
  <c r="B566" i="4"/>
  <c r="B558" i="4"/>
  <c r="B550" i="4"/>
  <c r="B542" i="4"/>
  <c r="B534" i="4"/>
  <c r="B526" i="4"/>
  <c r="B518" i="4"/>
  <c r="B510" i="4"/>
  <c r="B502" i="4"/>
  <c r="B494" i="4"/>
  <c r="B486" i="4"/>
  <c r="B478" i="4"/>
  <c r="B470" i="4"/>
  <c r="B462" i="4"/>
  <c r="B454" i="4"/>
  <c r="B445" i="4"/>
  <c r="B436" i="4"/>
  <c r="B423" i="4"/>
  <c r="B407" i="4"/>
  <c r="B391" i="4"/>
  <c r="B375" i="4"/>
  <c r="B359" i="4"/>
  <c r="B343" i="4"/>
  <c r="B327" i="4"/>
  <c r="B311" i="4"/>
  <c r="B295" i="4"/>
  <c r="B279" i="4"/>
  <c r="B263" i="4"/>
  <c r="B247" i="4"/>
  <c r="B231" i="4"/>
  <c r="B215" i="4"/>
  <c r="B199" i="4"/>
  <c r="B183" i="4"/>
  <c r="B167" i="4"/>
  <c r="B151" i="4"/>
  <c r="B135" i="4"/>
  <c r="B119" i="4"/>
  <c r="B103" i="4"/>
  <c r="B87" i="4"/>
  <c r="B62" i="4"/>
  <c r="B30" i="4"/>
  <c r="B597" i="4"/>
  <c r="B589" i="4"/>
  <c r="B581" i="4"/>
  <c r="B573" i="4"/>
  <c r="B565" i="4"/>
  <c r="B557" i="4"/>
  <c r="B549" i="4"/>
  <c r="B541" i="4"/>
  <c r="B533" i="4"/>
  <c r="B525" i="4"/>
  <c r="B517" i="4"/>
  <c r="B509" i="4"/>
  <c r="B501" i="4"/>
  <c r="B493" i="4"/>
  <c r="B485" i="4"/>
  <c r="B477" i="4"/>
  <c r="B469" i="4"/>
  <c r="B461" i="4"/>
  <c r="B453" i="4"/>
  <c r="B444" i="4"/>
  <c r="B435" i="4"/>
  <c r="B421" i="4"/>
  <c r="B405" i="4"/>
  <c r="B389" i="4"/>
  <c r="B373" i="4"/>
  <c r="B357" i="4"/>
  <c r="B341" i="4"/>
  <c r="B325" i="4"/>
  <c r="B309" i="4"/>
  <c r="B293" i="4"/>
  <c r="B277" i="4"/>
  <c r="B261" i="4"/>
  <c r="B245" i="4"/>
  <c r="B229" i="4"/>
  <c r="B213" i="4"/>
  <c r="B197" i="4"/>
  <c r="B181" i="4"/>
  <c r="B165" i="4"/>
  <c r="B149" i="4"/>
  <c r="B133" i="4"/>
  <c r="B117" i="4"/>
  <c r="B101" i="4"/>
  <c r="B85" i="4"/>
  <c r="B57" i="4"/>
  <c r="A2" i="4"/>
  <c r="B2" i="4" s="1"/>
  <c r="B10" i="4"/>
  <c r="B18" i="4"/>
  <c r="B26" i="4"/>
  <c r="B34" i="4"/>
  <c r="B42" i="4"/>
  <c r="B50" i="4"/>
  <c r="B58" i="4"/>
  <c r="B66" i="4"/>
  <c r="B74" i="4"/>
  <c r="B3" i="4"/>
  <c r="B11" i="4"/>
  <c r="B19" i="4"/>
  <c r="B27" i="4"/>
  <c r="B35" i="4"/>
  <c r="B43" i="4"/>
  <c r="B51" i="4"/>
  <c r="B59" i="4"/>
  <c r="B67" i="4"/>
  <c r="B75" i="4"/>
  <c r="B5" i="4"/>
  <c r="B13" i="4"/>
  <c r="B21" i="4"/>
  <c r="B29" i="4"/>
  <c r="B37" i="4"/>
  <c r="B45" i="4"/>
  <c r="B53" i="4"/>
  <c r="B61" i="4"/>
  <c r="B69" i="4"/>
  <c r="B77" i="4"/>
  <c r="B8" i="4"/>
  <c r="B16" i="4"/>
  <c r="B24" i="4"/>
  <c r="B32" i="4"/>
  <c r="B40" i="4"/>
  <c r="B48" i="4"/>
  <c r="B56" i="4"/>
  <c r="B64" i="4"/>
  <c r="B72" i="4"/>
  <c r="B80" i="4"/>
  <c r="B15" i="4"/>
  <c r="B31" i="4"/>
  <c r="B47" i="4"/>
  <c r="B63" i="4"/>
  <c r="B79" i="4"/>
  <c r="B88" i="4"/>
  <c r="B96" i="4"/>
  <c r="B104" i="4"/>
  <c r="B112" i="4"/>
  <c r="B120" i="4"/>
  <c r="B128" i="4"/>
  <c r="B136" i="4"/>
  <c r="B144" i="4"/>
  <c r="B152" i="4"/>
  <c r="B160" i="4"/>
  <c r="B168" i="4"/>
  <c r="B176" i="4"/>
  <c r="B184" i="4"/>
  <c r="B192" i="4"/>
  <c r="B200" i="4"/>
  <c r="B208" i="4"/>
  <c r="B216" i="4"/>
  <c r="B224" i="4"/>
  <c r="B232" i="4"/>
  <c r="B240" i="4"/>
  <c r="B248" i="4"/>
  <c r="B256" i="4"/>
  <c r="B264" i="4"/>
  <c r="B272" i="4"/>
  <c r="B280" i="4"/>
  <c r="B288" i="4"/>
  <c r="B296" i="4"/>
  <c r="B304" i="4"/>
  <c r="B312" i="4"/>
  <c r="B320" i="4"/>
  <c r="B328" i="4"/>
  <c r="B336" i="4"/>
  <c r="B344" i="4"/>
  <c r="B352" i="4"/>
  <c r="B360" i="4"/>
  <c r="B368" i="4"/>
  <c r="B376" i="4"/>
  <c r="B384" i="4"/>
  <c r="B392" i="4"/>
  <c r="B400" i="4"/>
  <c r="B408" i="4"/>
  <c r="B416" i="4"/>
  <c r="B424" i="4"/>
  <c r="B432" i="4"/>
  <c r="B440" i="4"/>
  <c r="B448" i="4"/>
  <c r="B17" i="4"/>
  <c r="B33" i="4"/>
  <c r="B49" i="4"/>
  <c r="B65" i="4"/>
  <c r="B81" i="4"/>
  <c r="B89" i="4"/>
  <c r="B97" i="4"/>
  <c r="B105" i="4"/>
  <c r="B113" i="4"/>
  <c r="B121" i="4"/>
  <c r="B129" i="4"/>
  <c r="B137" i="4"/>
  <c r="B145" i="4"/>
  <c r="B153" i="4"/>
  <c r="B161" i="4"/>
  <c r="B169" i="4"/>
  <c r="B177" i="4"/>
  <c r="B185" i="4"/>
  <c r="B193" i="4"/>
  <c r="B201" i="4"/>
  <c r="B209" i="4"/>
  <c r="B217" i="4"/>
  <c r="B225" i="4"/>
  <c r="B233" i="4"/>
  <c r="B241" i="4"/>
  <c r="B249" i="4"/>
  <c r="B257" i="4"/>
  <c r="B265" i="4"/>
  <c r="B273" i="4"/>
  <c r="B281" i="4"/>
  <c r="B289" i="4"/>
  <c r="B297" i="4"/>
  <c r="B305" i="4"/>
  <c r="B313" i="4"/>
  <c r="B321" i="4"/>
  <c r="B329" i="4"/>
  <c r="B337" i="4"/>
  <c r="B345" i="4"/>
  <c r="B353" i="4"/>
  <c r="B361" i="4"/>
  <c r="B369" i="4"/>
  <c r="B377" i="4"/>
  <c r="B385" i="4"/>
  <c r="B393" i="4"/>
  <c r="B401" i="4"/>
  <c r="B409" i="4"/>
  <c r="B417" i="4"/>
  <c r="B425" i="4"/>
  <c r="B433" i="4"/>
  <c r="B4" i="4"/>
  <c r="B20" i="4"/>
  <c r="B36" i="4"/>
  <c r="B52" i="4"/>
  <c r="B68" i="4"/>
  <c r="B82" i="4"/>
  <c r="B90" i="4"/>
  <c r="B98" i="4"/>
  <c r="B106" i="4"/>
  <c r="B114" i="4"/>
  <c r="B122" i="4"/>
  <c r="B130" i="4"/>
  <c r="B138" i="4"/>
  <c r="B146" i="4"/>
  <c r="B154" i="4"/>
  <c r="B162" i="4"/>
  <c r="B170" i="4"/>
  <c r="B178" i="4"/>
  <c r="B186" i="4"/>
  <c r="B194" i="4"/>
  <c r="B202" i="4"/>
  <c r="B210" i="4"/>
  <c r="B218" i="4"/>
  <c r="B226" i="4"/>
  <c r="B234" i="4"/>
  <c r="B242" i="4"/>
  <c r="B250" i="4"/>
  <c r="B258" i="4"/>
  <c r="B266" i="4"/>
  <c r="B274" i="4"/>
  <c r="B282" i="4"/>
  <c r="B290" i="4"/>
  <c r="B298" i="4"/>
  <c r="B306" i="4"/>
  <c r="B314" i="4"/>
  <c r="B322" i="4"/>
  <c r="B330" i="4"/>
  <c r="B338" i="4"/>
  <c r="B346" i="4"/>
  <c r="B354" i="4"/>
  <c r="B362" i="4"/>
  <c r="B370" i="4"/>
  <c r="B378" i="4"/>
  <c r="B386" i="4"/>
  <c r="B394" i="4"/>
  <c r="B402" i="4"/>
  <c r="B410" i="4"/>
  <c r="B418" i="4"/>
  <c r="B12" i="4"/>
  <c r="B28" i="4"/>
  <c r="B44" i="4"/>
  <c r="B60" i="4"/>
  <c r="B76" i="4"/>
  <c r="B86" i="4"/>
  <c r="B94" i="4"/>
  <c r="B102" i="4"/>
  <c r="B110" i="4"/>
  <c r="B118" i="4"/>
  <c r="B126" i="4"/>
  <c r="B134" i="4"/>
  <c r="B142" i="4"/>
  <c r="B150" i="4"/>
  <c r="B158" i="4"/>
  <c r="B166" i="4"/>
  <c r="B174" i="4"/>
  <c r="B182" i="4"/>
  <c r="B190" i="4"/>
  <c r="B198" i="4"/>
  <c r="B206" i="4"/>
  <c r="B214" i="4"/>
  <c r="B222" i="4"/>
  <c r="B230" i="4"/>
  <c r="B238" i="4"/>
  <c r="B246" i="4"/>
  <c r="B254" i="4"/>
  <c r="B262" i="4"/>
  <c r="B270" i="4"/>
  <c r="B278" i="4"/>
  <c r="B286" i="4"/>
  <c r="B294" i="4"/>
  <c r="B302" i="4"/>
  <c r="B310" i="4"/>
  <c r="B318" i="4"/>
  <c r="B326" i="4"/>
  <c r="B334" i="4"/>
  <c r="B342" i="4"/>
  <c r="B350" i="4"/>
  <c r="B358" i="4"/>
  <c r="B366" i="4"/>
  <c r="B374" i="4"/>
  <c r="B382" i="4"/>
  <c r="B390" i="4"/>
  <c r="B398" i="4"/>
  <c r="B406" i="4"/>
  <c r="B414" i="4"/>
  <c r="B422" i="4"/>
  <c r="B430" i="4"/>
  <c r="B596" i="4"/>
  <c r="B588" i="4"/>
  <c r="B580" i="4"/>
  <c r="B572" i="4"/>
  <c r="B564" i="4"/>
  <c r="B556" i="4"/>
  <c r="B548" i="4"/>
  <c r="B540" i="4"/>
  <c r="B532" i="4"/>
  <c r="B524" i="4"/>
  <c r="B516" i="4"/>
  <c r="B508" i="4"/>
  <c r="B500" i="4"/>
  <c r="B492" i="4"/>
  <c r="B484" i="4"/>
  <c r="B476" i="4"/>
  <c r="B468" i="4"/>
  <c r="B460" i="4"/>
  <c r="B452" i="4"/>
  <c r="B443" i="4"/>
  <c r="B434" i="4"/>
  <c r="B420" i="4"/>
  <c r="B404" i="4"/>
  <c r="B388" i="4"/>
  <c r="B372" i="4"/>
  <c r="B356" i="4"/>
  <c r="B340" i="4"/>
  <c r="B324" i="4"/>
  <c r="B308" i="4"/>
  <c r="B292" i="4"/>
  <c r="B276" i="4"/>
  <c r="B260" i="4"/>
  <c r="B244" i="4"/>
  <c r="B228" i="4"/>
  <c r="B212" i="4"/>
  <c r="B196" i="4"/>
  <c r="B180" i="4"/>
  <c r="B164" i="4"/>
  <c r="B148" i="4"/>
  <c r="B132" i="4"/>
  <c r="B116" i="4"/>
  <c r="B100" i="4"/>
  <c r="B84" i="4"/>
  <c r="B55" i="4"/>
  <c r="B23" i="4"/>
  <c r="N584" i="3"/>
  <c r="P10" i="3"/>
  <c r="Q10" i="3" s="1"/>
  <c r="N368" i="3" l="1"/>
  <c r="N560" i="3"/>
  <c r="N586" i="3"/>
  <c r="O97" i="3"/>
  <c r="P97" i="3" s="1"/>
  <c r="Q97" i="3" s="1"/>
  <c r="N522" i="3"/>
  <c r="O366" i="3"/>
  <c r="P366" i="3" s="1"/>
  <c r="Q366" i="3" s="1"/>
  <c r="N394" i="3"/>
  <c r="O64" i="3"/>
  <c r="P64" i="3" s="1"/>
  <c r="Q64" i="3" s="1"/>
  <c r="N432" i="3"/>
  <c r="N50" i="3"/>
  <c r="N254" i="3"/>
  <c r="O240" i="3"/>
  <c r="P240" i="3" s="1"/>
  <c r="Q240" i="3" s="1"/>
  <c r="N458" i="3"/>
  <c r="N118" i="3"/>
  <c r="N424" i="3"/>
  <c r="O360" i="3"/>
  <c r="P360" i="3" s="1"/>
  <c r="Q360" i="3" s="1"/>
  <c r="O578" i="3"/>
  <c r="P578" i="3" s="1"/>
  <c r="Q578" i="3" s="1"/>
  <c r="O306" i="3"/>
  <c r="P306" i="3" s="1"/>
  <c r="Q306" i="3" s="1"/>
  <c r="O320" i="3"/>
  <c r="P320" i="3" s="1"/>
  <c r="Q320" i="3" s="1"/>
  <c r="O289" i="3"/>
  <c r="P289" i="3" s="1"/>
  <c r="Q289" i="3" s="1"/>
  <c r="N192" i="3"/>
  <c r="O361" i="3"/>
  <c r="P361" i="3" s="1"/>
  <c r="Q361" i="3" s="1"/>
  <c r="O248" i="3"/>
  <c r="P248" i="3" s="1"/>
  <c r="Q248" i="3" s="1"/>
  <c r="O62" i="3"/>
  <c r="P62" i="3" s="1"/>
  <c r="Q62" i="3" s="1"/>
  <c r="O440" i="3"/>
  <c r="P440" i="3" s="1"/>
  <c r="Q440" i="3" s="1"/>
  <c r="N488" i="3"/>
  <c r="N552" i="3"/>
  <c r="N561" i="3"/>
  <c r="N481" i="3"/>
  <c r="N312" i="3"/>
  <c r="N545" i="3"/>
  <c r="O386" i="3"/>
  <c r="P386" i="3" s="1"/>
  <c r="Q386" i="3" s="1"/>
  <c r="R528" i="3"/>
  <c r="S528" i="3" s="1"/>
  <c r="V528" i="3" s="1"/>
  <c r="R544" i="3"/>
  <c r="R586" i="3"/>
  <c r="S586" i="3" s="1"/>
  <c r="V586" i="3" s="1"/>
  <c r="L359" i="6"/>
  <c r="N359" i="6" s="1"/>
  <c r="K359" i="6"/>
  <c r="L462" i="6"/>
  <c r="N462" i="6" s="1"/>
  <c r="K462" i="6"/>
  <c r="L398" i="6"/>
  <c r="N398" i="6" s="1"/>
  <c r="K398" i="6"/>
  <c r="H345" i="6"/>
  <c r="J345" i="6" s="1"/>
  <c r="K345" i="6" s="1"/>
  <c r="H180" i="6"/>
  <c r="J180" i="6" s="1"/>
  <c r="O526" i="6"/>
  <c r="L52" i="6"/>
  <c r="N52" i="6" s="1"/>
  <c r="K52" i="6"/>
  <c r="L244" i="6"/>
  <c r="N244" i="6" s="1"/>
  <c r="K244" i="6"/>
  <c r="O398" i="6"/>
  <c r="P398" i="6" s="1"/>
  <c r="L14" i="6"/>
  <c r="N14" i="6" s="1"/>
  <c r="P14" i="6" s="1"/>
  <c r="K14" i="6"/>
  <c r="K500" i="6"/>
  <c r="K25" i="6"/>
  <c r="H409" i="6"/>
  <c r="J409" i="6" s="1"/>
  <c r="I78" i="6"/>
  <c r="I180" i="6"/>
  <c r="I244" i="6"/>
  <c r="K551" i="6"/>
  <c r="K89" i="6"/>
  <c r="K270" i="6"/>
  <c r="K142" i="6"/>
  <c r="L564" i="6"/>
  <c r="N564" i="6" s="1"/>
  <c r="K564" i="6"/>
  <c r="I64" i="6"/>
  <c r="I25" i="6"/>
  <c r="K281" i="6"/>
  <c r="K231" i="6"/>
  <c r="I128" i="6"/>
  <c r="L423" i="6"/>
  <c r="N423" i="6" s="1"/>
  <c r="K423" i="6"/>
  <c r="L78" i="6"/>
  <c r="N78" i="6" s="1"/>
  <c r="K78" i="6"/>
  <c r="L116" i="6"/>
  <c r="N116" i="6" s="1"/>
  <c r="P116" i="6" s="1"/>
  <c r="K116" i="6"/>
  <c r="L487" i="6"/>
  <c r="N487" i="6" s="1"/>
  <c r="K487" i="6"/>
  <c r="K601" i="6"/>
  <c r="K473" i="6"/>
  <c r="K436" i="6"/>
  <c r="K7" i="6"/>
  <c r="I564" i="6"/>
  <c r="L512" i="6"/>
  <c r="N512" i="6" s="1"/>
  <c r="P512" i="6" s="1"/>
  <c r="K512" i="6"/>
  <c r="H128" i="6"/>
  <c r="J128" i="6" s="1"/>
  <c r="L192" i="6"/>
  <c r="N192" i="6" s="1"/>
  <c r="K192" i="6"/>
  <c r="K295" i="6"/>
  <c r="K334" i="6"/>
  <c r="K206" i="6"/>
  <c r="O564" i="6"/>
  <c r="S564" i="6" s="1"/>
  <c r="I345" i="6"/>
  <c r="L384" i="6"/>
  <c r="N384" i="6" s="1"/>
  <c r="Q384" i="6" s="1"/>
  <c r="K384" i="6"/>
  <c r="I192" i="6"/>
  <c r="K320" i="6"/>
  <c r="H64" i="6"/>
  <c r="J64" i="6" s="1"/>
  <c r="K64" i="6" s="1"/>
  <c r="H448" i="6"/>
  <c r="J448" i="6" s="1"/>
  <c r="K448" i="6" s="1"/>
  <c r="O416" i="6"/>
  <c r="I416" i="6"/>
  <c r="H416" i="6"/>
  <c r="J416" i="6" s="1"/>
  <c r="K416" i="6" s="1"/>
  <c r="O110" i="6"/>
  <c r="I110" i="6"/>
  <c r="H110" i="6"/>
  <c r="J110" i="6" s="1"/>
  <c r="K110" i="6" s="1"/>
  <c r="O212" i="6"/>
  <c r="I212" i="6"/>
  <c r="H212" i="6"/>
  <c r="J212" i="6" s="1"/>
  <c r="K212" i="6" s="1"/>
  <c r="O313" i="6"/>
  <c r="I313" i="6"/>
  <c r="H313" i="6"/>
  <c r="J313" i="6" s="1"/>
  <c r="K313" i="6" s="1"/>
  <c r="O519" i="6"/>
  <c r="H519" i="6"/>
  <c r="J519" i="6" s="1"/>
  <c r="K519" i="6" s="1"/>
  <c r="I519" i="6"/>
  <c r="P359" i="6"/>
  <c r="L537" i="6"/>
  <c r="N537" i="6" s="1"/>
  <c r="O65" i="6"/>
  <c r="I65" i="6"/>
  <c r="H65" i="6"/>
  <c r="J65" i="6" s="1"/>
  <c r="K65" i="6" s="1"/>
  <c r="O168" i="6"/>
  <c r="I168" i="6"/>
  <c r="H168" i="6"/>
  <c r="J168" i="6" s="1"/>
  <c r="K168" i="6" s="1"/>
  <c r="O271" i="6"/>
  <c r="I271" i="6"/>
  <c r="H271" i="6"/>
  <c r="J271" i="6" s="1"/>
  <c r="K271" i="6" s="1"/>
  <c r="O374" i="6"/>
  <c r="I374" i="6"/>
  <c r="H374" i="6"/>
  <c r="J374" i="6" s="1"/>
  <c r="K374" i="6" s="1"/>
  <c r="O476" i="6"/>
  <c r="I476" i="6"/>
  <c r="H476" i="6"/>
  <c r="J476" i="6" s="1"/>
  <c r="K476" i="6" s="1"/>
  <c r="O577" i="6"/>
  <c r="I577" i="6"/>
  <c r="H577" i="6"/>
  <c r="J577" i="6" s="1"/>
  <c r="K577" i="6" s="1"/>
  <c r="P601" i="6"/>
  <c r="Q601" i="6"/>
  <c r="O62" i="6"/>
  <c r="I62" i="6"/>
  <c r="H62" i="6"/>
  <c r="J62" i="6" s="1"/>
  <c r="K62" i="6" s="1"/>
  <c r="O164" i="6"/>
  <c r="I164" i="6"/>
  <c r="H164" i="6"/>
  <c r="J164" i="6" s="1"/>
  <c r="K164" i="6" s="1"/>
  <c r="O265" i="6"/>
  <c r="I265" i="6"/>
  <c r="H265" i="6"/>
  <c r="J265" i="6" s="1"/>
  <c r="K265" i="6" s="1"/>
  <c r="O368" i="6"/>
  <c r="I368" i="6"/>
  <c r="H368" i="6"/>
  <c r="J368" i="6" s="1"/>
  <c r="K368" i="6" s="1"/>
  <c r="O471" i="6"/>
  <c r="H471" i="6"/>
  <c r="J471" i="6" s="1"/>
  <c r="K471" i="6" s="1"/>
  <c r="I471" i="6"/>
  <c r="O574" i="6"/>
  <c r="I574" i="6"/>
  <c r="H574" i="6"/>
  <c r="J574" i="6" s="1"/>
  <c r="K574" i="6" s="1"/>
  <c r="O152" i="6"/>
  <c r="I152" i="6"/>
  <c r="H152" i="6"/>
  <c r="J152" i="6" s="1"/>
  <c r="K152" i="6" s="1"/>
  <c r="O358" i="6"/>
  <c r="I358" i="6"/>
  <c r="H358" i="6"/>
  <c r="J358" i="6" s="1"/>
  <c r="K358" i="6" s="1"/>
  <c r="O561" i="6"/>
  <c r="I561" i="6"/>
  <c r="H561" i="6"/>
  <c r="J561" i="6" s="1"/>
  <c r="K561" i="6" s="1"/>
  <c r="S39" i="6"/>
  <c r="S320" i="6"/>
  <c r="Q320" i="6"/>
  <c r="P551" i="6"/>
  <c r="Q551" i="6"/>
  <c r="P295" i="6"/>
  <c r="P372" i="6"/>
  <c r="O32" i="6"/>
  <c r="I32" i="6"/>
  <c r="H32" i="6"/>
  <c r="J32" i="6" s="1"/>
  <c r="K32" i="6" s="1"/>
  <c r="O135" i="6"/>
  <c r="I135" i="6"/>
  <c r="H135" i="6"/>
  <c r="J135" i="6" s="1"/>
  <c r="K135" i="6" s="1"/>
  <c r="O238" i="6"/>
  <c r="I238" i="6"/>
  <c r="H238" i="6"/>
  <c r="J238" i="6" s="1"/>
  <c r="K238" i="6" s="1"/>
  <c r="O340" i="6"/>
  <c r="I340" i="6"/>
  <c r="H340" i="6"/>
  <c r="J340" i="6" s="1"/>
  <c r="K340" i="6" s="1"/>
  <c r="O441" i="6"/>
  <c r="I441" i="6"/>
  <c r="H441" i="6"/>
  <c r="J441" i="6" s="1"/>
  <c r="K441" i="6" s="1"/>
  <c r="O544" i="6"/>
  <c r="I544" i="6"/>
  <c r="H544" i="6"/>
  <c r="J544" i="6" s="1"/>
  <c r="K544" i="6" s="1"/>
  <c r="P423" i="6"/>
  <c r="Q423" i="6"/>
  <c r="P25" i="6"/>
  <c r="L576" i="6"/>
  <c r="N576" i="6" s="1"/>
  <c r="O92" i="6"/>
  <c r="I92" i="6"/>
  <c r="H92" i="6"/>
  <c r="J92" i="6" s="1"/>
  <c r="K92" i="6" s="1"/>
  <c r="O193" i="6"/>
  <c r="I193" i="6"/>
  <c r="H193" i="6"/>
  <c r="J193" i="6" s="1"/>
  <c r="K193" i="6" s="1"/>
  <c r="O296" i="6"/>
  <c r="I296" i="6"/>
  <c r="H296" i="6"/>
  <c r="J296" i="6" s="1"/>
  <c r="K296" i="6" s="1"/>
  <c r="O399" i="6"/>
  <c r="I399" i="6"/>
  <c r="H399" i="6"/>
  <c r="J399" i="6" s="1"/>
  <c r="K399" i="6" s="1"/>
  <c r="O502" i="6"/>
  <c r="I502" i="6"/>
  <c r="H502" i="6"/>
  <c r="J502" i="6" s="1"/>
  <c r="K502" i="6" s="1"/>
  <c r="P473" i="6"/>
  <c r="Q473" i="6"/>
  <c r="O169" i="6"/>
  <c r="I169" i="6"/>
  <c r="H169" i="6"/>
  <c r="J169" i="6" s="1"/>
  <c r="K169" i="6" s="1"/>
  <c r="O272" i="6"/>
  <c r="I272" i="6"/>
  <c r="H272" i="6"/>
  <c r="J272" i="6" s="1"/>
  <c r="K272" i="6" s="1"/>
  <c r="L39" i="6"/>
  <c r="O22" i="6"/>
  <c r="I22" i="6"/>
  <c r="H22" i="6"/>
  <c r="J22" i="6" s="1"/>
  <c r="K22" i="6" s="1"/>
  <c r="O124" i="6"/>
  <c r="I124" i="6"/>
  <c r="H124" i="6"/>
  <c r="J124" i="6" s="1"/>
  <c r="K124" i="6" s="1"/>
  <c r="O225" i="6"/>
  <c r="I225" i="6"/>
  <c r="H225" i="6"/>
  <c r="J225" i="6" s="1"/>
  <c r="K225" i="6" s="1"/>
  <c r="O328" i="6"/>
  <c r="H328" i="6"/>
  <c r="J328" i="6" s="1"/>
  <c r="K328" i="6" s="1"/>
  <c r="I328" i="6"/>
  <c r="O431" i="6"/>
  <c r="H431" i="6"/>
  <c r="J431" i="6" s="1"/>
  <c r="K431" i="6" s="1"/>
  <c r="I431" i="6"/>
  <c r="O534" i="6"/>
  <c r="I534" i="6"/>
  <c r="H534" i="6"/>
  <c r="J534" i="6" s="1"/>
  <c r="K534" i="6" s="1"/>
  <c r="O49" i="6"/>
  <c r="I49" i="6"/>
  <c r="H49" i="6"/>
  <c r="J49" i="6" s="1"/>
  <c r="K49" i="6" s="1"/>
  <c r="O268" i="6"/>
  <c r="I268" i="6"/>
  <c r="H268" i="6"/>
  <c r="J268" i="6" s="1"/>
  <c r="K268" i="6" s="1"/>
  <c r="O472" i="6"/>
  <c r="I472" i="6"/>
  <c r="H472" i="6"/>
  <c r="J472" i="6" s="1"/>
  <c r="K472" i="6" s="1"/>
  <c r="S14" i="6"/>
  <c r="S270" i="6"/>
  <c r="Q270" i="6"/>
  <c r="L308" i="6"/>
  <c r="N308" i="6" s="1"/>
  <c r="P462" i="6"/>
  <c r="O70" i="6"/>
  <c r="I70" i="6"/>
  <c r="H70" i="6"/>
  <c r="J70" i="6" s="1"/>
  <c r="K70" i="6" s="1"/>
  <c r="O172" i="6"/>
  <c r="I172" i="6"/>
  <c r="H172" i="6"/>
  <c r="J172" i="6" s="1"/>
  <c r="K172" i="6" s="1"/>
  <c r="O273" i="6"/>
  <c r="I273" i="6"/>
  <c r="H273" i="6"/>
  <c r="J273" i="6" s="1"/>
  <c r="K273" i="6" s="1"/>
  <c r="O376" i="6"/>
  <c r="I376" i="6"/>
  <c r="H376" i="6"/>
  <c r="J376" i="6" s="1"/>
  <c r="K376" i="6" s="1"/>
  <c r="O479" i="6"/>
  <c r="I479" i="6"/>
  <c r="H479" i="6"/>
  <c r="J479" i="6" s="1"/>
  <c r="K479" i="6" s="1"/>
  <c r="O582" i="6"/>
  <c r="I582" i="6"/>
  <c r="H582" i="6"/>
  <c r="J582" i="6" s="1"/>
  <c r="K582" i="6" s="1"/>
  <c r="O549" i="6"/>
  <c r="I549" i="6"/>
  <c r="H549" i="6"/>
  <c r="J549" i="6" s="1"/>
  <c r="K549" i="6" s="1"/>
  <c r="O485" i="6"/>
  <c r="I485" i="6"/>
  <c r="H485" i="6"/>
  <c r="J485" i="6" s="1"/>
  <c r="K485" i="6" s="1"/>
  <c r="O421" i="6"/>
  <c r="I421" i="6"/>
  <c r="H421" i="6"/>
  <c r="J421" i="6" s="1"/>
  <c r="K421" i="6" s="1"/>
  <c r="O357" i="6"/>
  <c r="H357" i="6"/>
  <c r="J357" i="6" s="1"/>
  <c r="K357" i="6" s="1"/>
  <c r="I357" i="6"/>
  <c r="O293" i="6"/>
  <c r="H293" i="6"/>
  <c r="J293" i="6" s="1"/>
  <c r="K293" i="6" s="1"/>
  <c r="I293" i="6"/>
  <c r="O229" i="6"/>
  <c r="H229" i="6"/>
  <c r="J229" i="6" s="1"/>
  <c r="K229" i="6" s="1"/>
  <c r="I229" i="6"/>
  <c r="O165" i="6"/>
  <c r="I165" i="6"/>
  <c r="H165" i="6"/>
  <c r="J165" i="6" s="1"/>
  <c r="K165" i="6" s="1"/>
  <c r="O101" i="6"/>
  <c r="I101" i="6"/>
  <c r="H101" i="6"/>
  <c r="J101" i="6" s="1"/>
  <c r="K101" i="6" s="1"/>
  <c r="O37" i="6"/>
  <c r="I37" i="6"/>
  <c r="H37" i="6"/>
  <c r="J37" i="6" s="1"/>
  <c r="K37" i="6" s="1"/>
  <c r="O571" i="6"/>
  <c r="I571" i="6"/>
  <c r="H571" i="6"/>
  <c r="J571" i="6" s="1"/>
  <c r="K571" i="6" s="1"/>
  <c r="O507" i="6"/>
  <c r="I507" i="6"/>
  <c r="H507" i="6"/>
  <c r="J507" i="6" s="1"/>
  <c r="K507" i="6" s="1"/>
  <c r="O443" i="6"/>
  <c r="I443" i="6"/>
  <c r="H443" i="6"/>
  <c r="J443" i="6" s="1"/>
  <c r="K443" i="6" s="1"/>
  <c r="O379" i="6"/>
  <c r="I379" i="6"/>
  <c r="H379" i="6"/>
  <c r="J379" i="6" s="1"/>
  <c r="K379" i="6" s="1"/>
  <c r="O315" i="6"/>
  <c r="I315" i="6"/>
  <c r="H315" i="6"/>
  <c r="J315" i="6" s="1"/>
  <c r="K315" i="6" s="1"/>
  <c r="O251" i="6"/>
  <c r="I251" i="6"/>
  <c r="H251" i="6"/>
  <c r="J251" i="6" s="1"/>
  <c r="K251" i="6" s="1"/>
  <c r="O187" i="6"/>
  <c r="I187" i="6"/>
  <c r="H187" i="6"/>
  <c r="J187" i="6" s="1"/>
  <c r="K187" i="6" s="1"/>
  <c r="O123" i="6"/>
  <c r="I123" i="6"/>
  <c r="H123" i="6"/>
  <c r="J123" i="6" s="1"/>
  <c r="K123" i="6" s="1"/>
  <c r="O59" i="6"/>
  <c r="I59" i="6"/>
  <c r="H59" i="6"/>
  <c r="J59" i="6" s="1"/>
  <c r="K59" i="6" s="1"/>
  <c r="O602" i="6"/>
  <c r="H602" i="6"/>
  <c r="J602" i="6" s="1"/>
  <c r="K602" i="6" s="1"/>
  <c r="I602" i="6"/>
  <c r="O538" i="6"/>
  <c r="H538" i="6"/>
  <c r="J538" i="6" s="1"/>
  <c r="K538" i="6" s="1"/>
  <c r="I538" i="6"/>
  <c r="O474" i="6"/>
  <c r="H474" i="6"/>
  <c r="J474" i="6" s="1"/>
  <c r="K474" i="6" s="1"/>
  <c r="I474" i="6"/>
  <c r="O410" i="6"/>
  <c r="H410" i="6"/>
  <c r="J410" i="6" s="1"/>
  <c r="K410" i="6" s="1"/>
  <c r="I410" i="6"/>
  <c r="O346" i="6"/>
  <c r="H346" i="6"/>
  <c r="J346" i="6" s="1"/>
  <c r="K346" i="6" s="1"/>
  <c r="I346" i="6"/>
  <c r="O282" i="6"/>
  <c r="H282" i="6"/>
  <c r="J282" i="6" s="1"/>
  <c r="K282" i="6" s="1"/>
  <c r="I282" i="6"/>
  <c r="O218" i="6"/>
  <c r="H218" i="6"/>
  <c r="J218" i="6" s="1"/>
  <c r="K218" i="6" s="1"/>
  <c r="I218" i="6"/>
  <c r="O154" i="6"/>
  <c r="H154" i="6"/>
  <c r="J154" i="6" s="1"/>
  <c r="K154" i="6" s="1"/>
  <c r="I154" i="6"/>
  <c r="O90" i="6"/>
  <c r="H90" i="6"/>
  <c r="J90" i="6" s="1"/>
  <c r="K90" i="6" s="1"/>
  <c r="I90" i="6"/>
  <c r="O26" i="6"/>
  <c r="H26" i="6"/>
  <c r="J26" i="6" s="1"/>
  <c r="K26" i="6" s="1"/>
  <c r="I26" i="6"/>
  <c r="P103" i="6"/>
  <c r="P89" i="6"/>
  <c r="P244" i="6"/>
  <c r="L167" i="6"/>
  <c r="N167" i="6" s="1"/>
  <c r="O47" i="6"/>
  <c r="I47" i="6"/>
  <c r="H47" i="6"/>
  <c r="J47" i="6" s="1"/>
  <c r="K47" i="6" s="1"/>
  <c r="O150" i="6"/>
  <c r="I150" i="6"/>
  <c r="H150" i="6"/>
  <c r="J150" i="6" s="1"/>
  <c r="K150" i="6" s="1"/>
  <c r="O252" i="6"/>
  <c r="I252" i="6"/>
  <c r="H252" i="6"/>
  <c r="J252" i="6" s="1"/>
  <c r="K252" i="6" s="1"/>
  <c r="O353" i="6"/>
  <c r="I353" i="6"/>
  <c r="H353" i="6"/>
  <c r="J353" i="6" s="1"/>
  <c r="K353" i="6" s="1"/>
  <c r="O456" i="6"/>
  <c r="H456" i="6"/>
  <c r="J456" i="6" s="1"/>
  <c r="K456" i="6" s="1"/>
  <c r="I456" i="6"/>
  <c r="O559" i="6"/>
  <c r="I559" i="6"/>
  <c r="H559" i="6"/>
  <c r="J559" i="6" s="1"/>
  <c r="K559" i="6" s="1"/>
  <c r="O102" i="6"/>
  <c r="I102" i="6"/>
  <c r="H102" i="6"/>
  <c r="J102" i="6" s="1"/>
  <c r="K102" i="6" s="1"/>
  <c r="O319" i="6"/>
  <c r="I319" i="6"/>
  <c r="H319" i="6"/>
  <c r="J319" i="6" s="1"/>
  <c r="K319" i="6" s="1"/>
  <c r="O524" i="6"/>
  <c r="I524" i="6"/>
  <c r="H524" i="6"/>
  <c r="J524" i="6" s="1"/>
  <c r="K524" i="6" s="1"/>
  <c r="S103" i="6"/>
  <c r="Q103" i="6"/>
  <c r="S334" i="6"/>
  <c r="Q334" i="6"/>
  <c r="O36" i="6"/>
  <c r="I36" i="6"/>
  <c r="H36" i="6"/>
  <c r="J36" i="6" s="1"/>
  <c r="K36" i="6" s="1"/>
  <c r="O137" i="6"/>
  <c r="I137" i="6"/>
  <c r="H137" i="6"/>
  <c r="J137" i="6" s="1"/>
  <c r="K137" i="6" s="1"/>
  <c r="O240" i="6"/>
  <c r="I240" i="6"/>
  <c r="H240" i="6"/>
  <c r="J240" i="6" s="1"/>
  <c r="K240" i="6" s="1"/>
  <c r="O343" i="6"/>
  <c r="I343" i="6"/>
  <c r="H343" i="6"/>
  <c r="J343" i="6" s="1"/>
  <c r="K343" i="6" s="1"/>
  <c r="O446" i="6"/>
  <c r="I446" i="6"/>
  <c r="H446" i="6"/>
  <c r="J446" i="6" s="1"/>
  <c r="K446" i="6" s="1"/>
  <c r="O548" i="6"/>
  <c r="I548" i="6"/>
  <c r="H548" i="6"/>
  <c r="J548" i="6" s="1"/>
  <c r="K548" i="6" s="1"/>
  <c r="L153" i="6"/>
  <c r="N153" i="6" s="1"/>
  <c r="Q153" i="6" s="1"/>
  <c r="O113" i="6"/>
  <c r="I113" i="6"/>
  <c r="H113" i="6"/>
  <c r="J113" i="6" s="1"/>
  <c r="K113" i="6" s="1"/>
  <c r="O305" i="6"/>
  <c r="I305" i="6"/>
  <c r="H305" i="6"/>
  <c r="J305" i="6" s="1"/>
  <c r="K305" i="6" s="1"/>
  <c r="O511" i="6"/>
  <c r="I511" i="6"/>
  <c r="H511" i="6"/>
  <c r="J511" i="6" s="1"/>
  <c r="K511" i="6" s="1"/>
  <c r="S281" i="6"/>
  <c r="Q281" i="6"/>
  <c r="S308" i="6"/>
  <c r="Q308" i="6"/>
  <c r="P487" i="6"/>
  <c r="Q487" i="6"/>
  <c r="P436" i="6"/>
  <c r="O95" i="6"/>
  <c r="I95" i="6"/>
  <c r="H95" i="6"/>
  <c r="J95" i="6" s="1"/>
  <c r="K95" i="6" s="1"/>
  <c r="O198" i="6"/>
  <c r="H198" i="6"/>
  <c r="J198" i="6" s="1"/>
  <c r="K198" i="6" s="1"/>
  <c r="I198" i="6"/>
  <c r="O300" i="6"/>
  <c r="I300" i="6"/>
  <c r="H300" i="6"/>
  <c r="J300" i="6" s="1"/>
  <c r="K300" i="6" s="1"/>
  <c r="O401" i="6"/>
  <c r="H401" i="6"/>
  <c r="J401" i="6" s="1"/>
  <c r="K401" i="6" s="1"/>
  <c r="I401" i="6"/>
  <c r="O504" i="6"/>
  <c r="H504" i="6"/>
  <c r="J504" i="6" s="1"/>
  <c r="K504" i="6" s="1"/>
  <c r="I504" i="6"/>
  <c r="O597" i="6"/>
  <c r="I597" i="6"/>
  <c r="H597" i="6"/>
  <c r="J597" i="6" s="1"/>
  <c r="K597" i="6" s="1"/>
  <c r="O533" i="6"/>
  <c r="I533" i="6"/>
  <c r="H533" i="6"/>
  <c r="J533" i="6" s="1"/>
  <c r="K533" i="6" s="1"/>
  <c r="O469" i="6"/>
  <c r="I469" i="6"/>
  <c r="H469" i="6"/>
  <c r="J469" i="6" s="1"/>
  <c r="K469" i="6" s="1"/>
  <c r="O405" i="6"/>
  <c r="I405" i="6"/>
  <c r="H405" i="6"/>
  <c r="J405" i="6" s="1"/>
  <c r="K405" i="6" s="1"/>
  <c r="O341" i="6"/>
  <c r="H341" i="6"/>
  <c r="J341" i="6" s="1"/>
  <c r="K341" i="6" s="1"/>
  <c r="I341" i="6"/>
  <c r="O277" i="6"/>
  <c r="H277" i="6"/>
  <c r="J277" i="6" s="1"/>
  <c r="K277" i="6" s="1"/>
  <c r="I277" i="6"/>
  <c r="O213" i="6"/>
  <c r="H213" i="6"/>
  <c r="J213" i="6" s="1"/>
  <c r="K213" i="6" s="1"/>
  <c r="I213" i="6"/>
  <c r="O149" i="6"/>
  <c r="I149" i="6"/>
  <c r="H149" i="6"/>
  <c r="J149" i="6" s="1"/>
  <c r="K149" i="6" s="1"/>
  <c r="O85" i="6"/>
  <c r="I85" i="6"/>
  <c r="H85" i="6"/>
  <c r="J85" i="6" s="1"/>
  <c r="K85" i="6" s="1"/>
  <c r="O21" i="6"/>
  <c r="I21" i="6"/>
  <c r="H21" i="6"/>
  <c r="J21" i="6" s="1"/>
  <c r="K21" i="6" s="1"/>
  <c r="O555" i="6"/>
  <c r="I555" i="6"/>
  <c r="H555" i="6"/>
  <c r="J555" i="6" s="1"/>
  <c r="K555" i="6" s="1"/>
  <c r="O491" i="6"/>
  <c r="I491" i="6"/>
  <c r="H491" i="6"/>
  <c r="J491" i="6" s="1"/>
  <c r="K491" i="6" s="1"/>
  <c r="O427" i="6"/>
  <c r="I427" i="6"/>
  <c r="H427" i="6"/>
  <c r="J427" i="6" s="1"/>
  <c r="K427" i="6" s="1"/>
  <c r="O363" i="6"/>
  <c r="I363" i="6"/>
  <c r="H363" i="6"/>
  <c r="J363" i="6" s="1"/>
  <c r="K363" i="6" s="1"/>
  <c r="O299" i="6"/>
  <c r="I299" i="6"/>
  <c r="H299" i="6"/>
  <c r="J299" i="6" s="1"/>
  <c r="K299" i="6" s="1"/>
  <c r="O235" i="6"/>
  <c r="I235" i="6"/>
  <c r="H235" i="6"/>
  <c r="J235" i="6" s="1"/>
  <c r="K235" i="6" s="1"/>
  <c r="O171" i="6"/>
  <c r="I171" i="6"/>
  <c r="H171" i="6"/>
  <c r="J171" i="6" s="1"/>
  <c r="K171" i="6" s="1"/>
  <c r="O107" i="6"/>
  <c r="I107" i="6"/>
  <c r="H107" i="6"/>
  <c r="J107" i="6" s="1"/>
  <c r="K107" i="6" s="1"/>
  <c r="O43" i="6"/>
  <c r="I43" i="6"/>
  <c r="H43" i="6"/>
  <c r="J43" i="6" s="1"/>
  <c r="K43" i="6" s="1"/>
  <c r="O586" i="6"/>
  <c r="H586" i="6"/>
  <c r="J586" i="6" s="1"/>
  <c r="K586" i="6" s="1"/>
  <c r="I586" i="6"/>
  <c r="O522" i="6"/>
  <c r="H522" i="6"/>
  <c r="J522" i="6" s="1"/>
  <c r="K522" i="6" s="1"/>
  <c r="I522" i="6"/>
  <c r="O458" i="6"/>
  <c r="H458" i="6"/>
  <c r="J458" i="6" s="1"/>
  <c r="K458" i="6" s="1"/>
  <c r="I458" i="6"/>
  <c r="O394" i="6"/>
  <c r="H394" i="6"/>
  <c r="J394" i="6" s="1"/>
  <c r="K394" i="6" s="1"/>
  <c r="I394" i="6"/>
  <c r="O330" i="6"/>
  <c r="H330" i="6"/>
  <c r="J330" i="6" s="1"/>
  <c r="K330" i="6" s="1"/>
  <c r="I330" i="6"/>
  <c r="O266" i="6"/>
  <c r="H266" i="6"/>
  <c r="J266" i="6" s="1"/>
  <c r="K266" i="6" s="1"/>
  <c r="I266" i="6"/>
  <c r="O202" i="6"/>
  <c r="H202" i="6"/>
  <c r="J202" i="6" s="1"/>
  <c r="K202" i="6" s="1"/>
  <c r="I202" i="6"/>
  <c r="O138" i="6"/>
  <c r="H138" i="6"/>
  <c r="J138" i="6" s="1"/>
  <c r="K138" i="6" s="1"/>
  <c r="I138" i="6"/>
  <c r="O74" i="6"/>
  <c r="H74" i="6"/>
  <c r="J74" i="6" s="1"/>
  <c r="K74" i="6" s="1"/>
  <c r="I74" i="6"/>
  <c r="O10" i="6"/>
  <c r="H10" i="6"/>
  <c r="J10" i="6" s="1"/>
  <c r="K10" i="6" s="1"/>
  <c r="I10" i="6"/>
  <c r="P231" i="6"/>
  <c r="P281" i="6"/>
  <c r="P526" i="6"/>
  <c r="P192" i="6"/>
  <c r="P7" i="6"/>
  <c r="S52" i="6"/>
  <c r="Q52" i="6"/>
  <c r="O41" i="6"/>
  <c r="I41" i="6"/>
  <c r="H41" i="6"/>
  <c r="J41" i="6" s="1"/>
  <c r="K41" i="6" s="1"/>
  <c r="O144" i="6"/>
  <c r="I144" i="6"/>
  <c r="H144" i="6"/>
  <c r="J144" i="6" s="1"/>
  <c r="K144" i="6" s="1"/>
  <c r="O247" i="6"/>
  <c r="I247" i="6"/>
  <c r="H247" i="6"/>
  <c r="J247" i="6" s="1"/>
  <c r="K247" i="6" s="1"/>
  <c r="O350" i="6"/>
  <c r="I350" i="6"/>
  <c r="H350" i="6"/>
  <c r="J350" i="6" s="1"/>
  <c r="K350" i="6" s="1"/>
  <c r="O452" i="6"/>
  <c r="I452" i="6"/>
  <c r="H452" i="6"/>
  <c r="J452" i="6" s="1"/>
  <c r="K452" i="6" s="1"/>
  <c r="O553" i="6"/>
  <c r="H553" i="6"/>
  <c r="J553" i="6" s="1"/>
  <c r="K553" i="6" s="1"/>
  <c r="I553" i="6"/>
  <c r="O81" i="6"/>
  <c r="I81" i="6"/>
  <c r="H81" i="6"/>
  <c r="J81" i="6" s="1"/>
  <c r="K81" i="6" s="1"/>
  <c r="O184" i="6"/>
  <c r="I184" i="6"/>
  <c r="H184" i="6"/>
  <c r="J184" i="6" s="1"/>
  <c r="K184" i="6" s="1"/>
  <c r="O287" i="6"/>
  <c r="I287" i="6"/>
  <c r="H287" i="6"/>
  <c r="J287" i="6" s="1"/>
  <c r="K287" i="6" s="1"/>
  <c r="O390" i="6"/>
  <c r="I390" i="6"/>
  <c r="H390" i="6"/>
  <c r="J390" i="6" s="1"/>
  <c r="K390" i="6" s="1"/>
  <c r="O492" i="6"/>
  <c r="I492" i="6"/>
  <c r="H492" i="6"/>
  <c r="J492" i="6" s="1"/>
  <c r="K492" i="6" s="1"/>
  <c r="O593" i="6"/>
  <c r="H593" i="6"/>
  <c r="J593" i="6" s="1"/>
  <c r="K593" i="6" s="1"/>
  <c r="I593" i="6"/>
  <c r="O541" i="6"/>
  <c r="I541" i="6"/>
  <c r="H541" i="6"/>
  <c r="J541" i="6" s="1"/>
  <c r="K541" i="6" s="1"/>
  <c r="O477" i="6"/>
  <c r="I477" i="6"/>
  <c r="H477" i="6"/>
  <c r="J477" i="6" s="1"/>
  <c r="K477" i="6" s="1"/>
  <c r="O413" i="6"/>
  <c r="I413" i="6"/>
  <c r="H413" i="6"/>
  <c r="J413" i="6" s="1"/>
  <c r="K413" i="6" s="1"/>
  <c r="O349" i="6"/>
  <c r="I349" i="6"/>
  <c r="H349" i="6"/>
  <c r="J349" i="6" s="1"/>
  <c r="K349" i="6" s="1"/>
  <c r="O285" i="6"/>
  <c r="I285" i="6"/>
  <c r="H285" i="6"/>
  <c r="J285" i="6" s="1"/>
  <c r="K285" i="6" s="1"/>
  <c r="O221" i="6"/>
  <c r="I221" i="6"/>
  <c r="H221" i="6"/>
  <c r="J221" i="6" s="1"/>
  <c r="K221" i="6" s="1"/>
  <c r="O157" i="6"/>
  <c r="H157" i="6"/>
  <c r="J157" i="6" s="1"/>
  <c r="K157" i="6" s="1"/>
  <c r="I157" i="6"/>
  <c r="O93" i="6"/>
  <c r="H93" i="6"/>
  <c r="J93" i="6" s="1"/>
  <c r="K93" i="6" s="1"/>
  <c r="I93" i="6"/>
  <c r="O29" i="6"/>
  <c r="H29" i="6"/>
  <c r="J29" i="6" s="1"/>
  <c r="K29" i="6" s="1"/>
  <c r="I29" i="6"/>
  <c r="O563" i="6"/>
  <c r="I563" i="6"/>
  <c r="H563" i="6"/>
  <c r="J563" i="6" s="1"/>
  <c r="K563" i="6" s="1"/>
  <c r="O499" i="6"/>
  <c r="I499" i="6"/>
  <c r="H499" i="6"/>
  <c r="J499" i="6" s="1"/>
  <c r="K499" i="6" s="1"/>
  <c r="O435" i="6"/>
  <c r="I435" i="6"/>
  <c r="H435" i="6"/>
  <c r="J435" i="6" s="1"/>
  <c r="K435" i="6" s="1"/>
  <c r="O371" i="6"/>
  <c r="I371" i="6"/>
  <c r="H371" i="6"/>
  <c r="J371" i="6" s="1"/>
  <c r="K371" i="6" s="1"/>
  <c r="O307" i="6"/>
  <c r="I307" i="6"/>
  <c r="H307" i="6"/>
  <c r="J307" i="6" s="1"/>
  <c r="K307" i="6" s="1"/>
  <c r="O243" i="6"/>
  <c r="I243" i="6"/>
  <c r="H243" i="6"/>
  <c r="J243" i="6" s="1"/>
  <c r="K243" i="6" s="1"/>
  <c r="O179" i="6"/>
  <c r="I179" i="6"/>
  <c r="H179" i="6"/>
  <c r="J179" i="6" s="1"/>
  <c r="K179" i="6" s="1"/>
  <c r="O115" i="6"/>
  <c r="I115" i="6"/>
  <c r="H115" i="6"/>
  <c r="J115" i="6" s="1"/>
  <c r="K115" i="6" s="1"/>
  <c r="O51" i="6"/>
  <c r="I51" i="6"/>
  <c r="H51" i="6"/>
  <c r="J51" i="6" s="1"/>
  <c r="K51" i="6" s="1"/>
  <c r="O594" i="6"/>
  <c r="H594" i="6"/>
  <c r="J594" i="6" s="1"/>
  <c r="K594" i="6" s="1"/>
  <c r="I594" i="6"/>
  <c r="O530" i="6"/>
  <c r="H530" i="6"/>
  <c r="J530" i="6" s="1"/>
  <c r="K530" i="6" s="1"/>
  <c r="I530" i="6"/>
  <c r="O466" i="6"/>
  <c r="H466" i="6"/>
  <c r="J466" i="6" s="1"/>
  <c r="K466" i="6" s="1"/>
  <c r="I466" i="6"/>
  <c r="O402" i="6"/>
  <c r="H402" i="6"/>
  <c r="J402" i="6" s="1"/>
  <c r="K402" i="6" s="1"/>
  <c r="I402" i="6"/>
  <c r="O338" i="6"/>
  <c r="H338" i="6"/>
  <c r="J338" i="6" s="1"/>
  <c r="K338" i="6" s="1"/>
  <c r="I338" i="6"/>
  <c r="O274" i="6"/>
  <c r="H274" i="6"/>
  <c r="J274" i="6" s="1"/>
  <c r="K274" i="6" s="1"/>
  <c r="I274" i="6"/>
  <c r="O210" i="6"/>
  <c r="H210" i="6"/>
  <c r="J210" i="6" s="1"/>
  <c r="K210" i="6" s="1"/>
  <c r="I210" i="6"/>
  <c r="O146" i="6"/>
  <c r="H146" i="6"/>
  <c r="J146" i="6" s="1"/>
  <c r="K146" i="6" s="1"/>
  <c r="I146" i="6"/>
  <c r="O82" i="6"/>
  <c r="H82" i="6"/>
  <c r="J82" i="6" s="1"/>
  <c r="K82" i="6" s="1"/>
  <c r="I82" i="6"/>
  <c r="O18" i="6"/>
  <c r="H18" i="6"/>
  <c r="J18" i="6" s="1"/>
  <c r="K18" i="6" s="1"/>
  <c r="I18" i="6"/>
  <c r="O20" i="6"/>
  <c r="I20" i="6"/>
  <c r="H20" i="6"/>
  <c r="J20" i="6" s="1"/>
  <c r="K20" i="6" s="1"/>
  <c r="O121" i="6"/>
  <c r="I121" i="6"/>
  <c r="H121" i="6"/>
  <c r="J121" i="6" s="1"/>
  <c r="K121" i="6" s="1"/>
  <c r="O224" i="6"/>
  <c r="I224" i="6"/>
  <c r="H224" i="6"/>
  <c r="J224" i="6" s="1"/>
  <c r="K224" i="6" s="1"/>
  <c r="O327" i="6"/>
  <c r="H327" i="6"/>
  <c r="J327" i="6" s="1"/>
  <c r="K327" i="6" s="1"/>
  <c r="I327" i="6"/>
  <c r="O430" i="6"/>
  <c r="I430" i="6"/>
  <c r="H430" i="6"/>
  <c r="J430" i="6" s="1"/>
  <c r="K430" i="6" s="1"/>
  <c r="O532" i="6"/>
  <c r="I532" i="6"/>
  <c r="H532" i="6"/>
  <c r="J532" i="6" s="1"/>
  <c r="K532" i="6" s="1"/>
  <c r="O33" i="6"/>
  <c r="I33" i="6"/>
  <c r="H33" i="6"/>
  <c r="J33" i="6" s="1"/>
  <c r="K33" i="6" s="1"/>
  <c r="O136" i="6"/>
  <c r="I136" i="6"/>
  <c r="H136" i="6"/>
  <c r="J136" i="6" s="1"/>
  <c r="K136" i="6" s="1"/>
  <c r="O239" i="6"/>
  <c r="I239" i="6"/>
  <c r="H239" i="6"/>
  <c r="J239" i="6" s="1"/>
  <c r="K239" i="6" s="1"/>
  <c r="O342" i="6"/>
  <c r="I342" i="6"/>
  <c r="H342" i="6"/>
  <c r="J342" i="6" s="1"/>
  <c r="K342" i="6" s="1"/>
  <c r="O444" i="6"/>
  <c r="I444" i="6"/>
  <c r="H444" i="6"/>
  <c r="J444" i="6" s="1"/>
  <c r="K444" i="6" s="1"/>
  <c r="O545" i="6"/>
  <c r="I545" i="6"/>
  <c r="H545" i="6"/>
  <c r="J545" i="6" s="1"/>
  <c r="K545" i="6" s="1"/>
  <c r="O76" i="6"/>
  <c r="I76" i="6"/>
  <c r="H76" i="6"/>
  <c r="J76" i="6" s="1"/>
  <c r="K76" i="6" s="1"/>
  <c r="O294" i="6"/>
  <c r="I294" i="6"/>
  <c r="H294" i="6"/>
  <c r="J294" i="6" s="1"/>
  <c r="K294" i="6" s="1"/>
  <c r="O497" i="6"/>
  <c r="I497" i="6"/>
  <c r="H497" i="6"/>
  <c r="J497" i="6" s="1"/>
  <c r="K497" i="6" s="1"/>
  <c r="O48" i="6"/>
  <c r="I48" i="6"/>
  <c r="H48" i="6"/>
  <c r="J48" i="6" s="1"/>
  <c r="K48" i="6" s="1"/>
  <c r="O151" i="6"/>
  <c r="I151" i="6"/>
  <c r="H151" i="6"/>
  <c r="J151" i="6" s="1"/>
  <c r="K151" i="6" s="1"/>
  <c r="O254" i="6"/>
  <c r="I254" i="6"/>
  <c r="H254" i="6"/>
  <c r="J254" i="6" s="1"/>
  <c r="K254" i="6" s="1"/>
  <c r="I356" i="6"/>
  <c r="O356" i="6"/>
  <c r="H356" i="6"/>
  <c r="J356" i="6" s="1"/>
  <c r="K356" i="6" s="1"/>
  <c r="O457" i="6"/>
  <c r="I457" i="6"/>
  <c r="H457" i="6"/>
  <c r="J457" i="6" s="1"/>
  <c r="K457" i="6" s="1"/>
  <c r="O560" i="6"/>
  <c r="I560" i="6"/>
  <c r="H560" i="6"/>
  <c r="J560" i="6" s="1"/>
  <c r="K560" i="6" s="1"/>
  <c r="O140" i="6"/>
  <c r="I140" i="6"/>
  <c r="H140" i="6"/>
  <c r="J140" i="6" s="1"/>
  <c r="K140" i="6" s="1"/>
  <c r="O332" i="6"/>
  <c r="I332" i="6"/>
  <c r="H332" i="6"/>
  <c r="J332" i="6" s="1"/>
  <c r="K332" i="6" s="1"/>
  <c r="O536" i="6"/>
  <c r="H536" i="6"/>
  <c r="J536" i="6" s="1"/>
  <c r="K536" i="6" s="1"/>
  <c r="I536" i="6"/>
  <c r="S153" i="6"/>
  <c r="S500" i="6"/>
  <c r="Q500" i="6"/>
  <c r="S89" i="6"/>
  <c r="Q89" i="6"/>
  <c r="O79" i="6"/>
  <c r="H79" i="6"/>
  <c r="J79" i="6" s="1"/>
  <c r="K79" i="6" s="1"/>
  <c r="I79" i="6"/>
  <c r="O182" i="6"/>
  <c r="I182" i="6"/>
  <c r="H182" i="6"/>
  <c r="J182" i="6" s="1"/>
  <c r="K182" i="6" s="1"/>
  <c r="O284" i="6"/>
  <c r="I284" i="6"/>
  <c r="H284" i="6"/>
  <c r="J284" i="6" s="1"/>
  <c r="K284" i="6" s="1"/>
  <c r="O385" i="6"/>
  <c r="H385" i="6"/>
  <c r="J385" i="6" s="1"/>
  <c r="K385" i="6" s="1"/>
  <c r="I385" i="6"/>
  <c r="O488" i="6"/>
  <c r="I488" i="6"/>
  <c r="H488" i="6"/>
  <c r="J488" i="6" s="1"/>
  <c r="K488" i="6" s="1"/>
  <c r="O591" i="6"/>
  <c r="I591" i="6"/>
  <c r="H591" i="6"/>
  <c r="J591" i="6" s="1"/>
  <c r="K591" i="6" s="1"/>
  <c r="P590" i="6"/>
  <c r="P384" i="6"/>
  <c r="S244" i="6"/>
  <c r="Q244" i="6"/>
  <c r="O55" i="6"/>
  <c r="I55" i="6"/>
  <c r="H55" i="6"/>
  <c r="J55" i="6" s="1"/>
  <c r="K55" i="6" s="1"/>
  <c r="O158" i="6"/>
  <c r="I158" i="6"/>
  <c r="H158" i="6"/>
  <c r="J158" i="6" s="1"/>
  <c r="K158" i="6" s="1"/>
  <c r="O260" i="6"/>
  <c r="I260" i="6"/>
  <c r="H260" i="6"/>
  <c r="J260" i="6" s="1"/>
  <c r="K260" i="6" s="1"/>
  <c r="O361" i="6"/>
  <c r="I361" i="6"/>
  <c r="H361" i="6"/>
  <c r="J361" i="6" s="1"/>
  <c r="K361" i="6" s="1"/>
  <c r="O464" i="6"/>
  <c r="H464" i="6"/>
  <c r="J464" i="6" s="1"/>
  <c r="K464" i="6" s="1"/>
  <c r="I464" i="6"/>
  <c r="O567" i="6"/>
  <c r="H567" i="6"/>
  <c r="J567" i="6" s="1"/>
  <c r="K567" i="6" s="1"/>
  <c r="I567" i="6"/>
  <c r="B25" i="6"/>
  <c r="I2" i="6"/>
  <c r="O6" i="6"/>
  <c r="I6" i="6"/>
  <c r="H6" i="6"/>
  <c r="J6" i="6" s="1"/>
  <c r="K6" i="6" s="1"/>
  <c r="O108" i="6"/>
  <c r="I108" i="6"/>
  <c r="H108" i="6"/>
  <c r="J108" i="6" s="1"/>
  <c r="K108" i="6" s="1"/>
  <c r="O209" i="6"/>
  <c r="I209" i="6"/>
  <c r="H209" i="6"/>
  <c r="J209" i="6" s="1"/>
  <c r="K209" i="6" s="1"/>
  <c r="O312" i="6"/>
  <c r="I312" i="6"/>
  <c r="H312" i="6"/>
  <c r="J312" i="6" s="1"/>
  <c r="K312" i="6" s="1"/>
  <c r="O415" i="6"/>
  <c r="H415" i="6"/>
  <c r="J415" i="6" s="1"/>
  <c r="K415" i="6" s="1"/>
  <c r="I415" i="6"/>
  <c r="O518" i="6"/>
  <c r="I518" i="6"/>
  <c r="H518" i="6"/>
  <c r="J518" i="6" s="1"/>
  <c r="K518" i="6" s="1"/>
  <c r="O589" i="6"/>
  <c r="I589" i="6"/>
  <c r="H589" i="6"/>
  <c r="J589" i="6" s="1"/>
  <c r="K589" i="6" s="1"/>
  <c r="O525" i="6"/>
  <c r="I525" i="6"/>
  <c r="H525" i="6"/>
  <c r="J525" i="6" s="1"/>
  <c r="K525" i="6" s="1"/>
  <c r="O461" i="6"/>
  <c r="I461" i="6"/>
  <c r="H461" i="6"/>
  <c r="J461" i="6" s="1"/>
  <c r="K461" i="6" s="1"/>
  <c r="O397" i="6"/>
  <c r="I397" i="6"/>
  <c r="H397" i="6"/>
  <c r="J397" i="6" s="1"/>
  <c r="K397" i="6" s="1"/>
  <c r="O333" i="6"/>
  <c r="I333" i="6"/>
  <c r="H333" i="6"/>
  <c r="J333" i="6" s="1"/>
  <c r="K333" i="6" s="1"/>
  <c r="O269" i="6"/>
  <c r="I269" i="6"/>
  <c r="H269" i="6"/>
  <c r="J269" i="6" s="1"/>
  <c r="K269" i="6" s="1"/>
  <c r="O205" i="6"/>
  <c r="I205" i="6"/>
  <c r="H205" i="6"/>
  <c r="J205" i="6" s="1"/>
  <c r="K205" i="6" s="1"/>
  <c r="O141" i="6"/>
  <c r="H141" i="6"/>
  <c r="J141" i="6" s="1"/>
  <c r="K141" i="6" s="1"/>
  <c r="I141" i="6"/>
  <c r="O77" i="6"/>
  <c r="H77" i="6"/>
  <c r="J77" i="6" s="1"/>
  <c r="K77" i="6" s="1"/>
  <c r="I77" i="6"/>
  <c r="O13" i="6"/>
  <c r="H13" i="6"/>
  <c r="J13" i="6" s="1"/>
  <c r="K13" i="6" s="1"/>
  <c r="I13" i="6"/>
  <c r="O547" i="6"/>
  <c r="I547" i="6"/>
  <c r="H547" i="6"/>
  <c r="J547" i="6" s="1"/>
  <c r="K547" i="6" s="1"/>
  <c r="O483" i="6"/>
  <c r="I483" i="6"/>
  <c r="H483" i="6"/>
  <c r="J483" i="6" s="1"/>
  <c r="K483" i="6" s="1"/>
  <c r="O419" i="6"/>
  <c r="I419" i="6"/>
  <c r="H419" i="6"/>
  <c r="J419" i="6" s="1"/>
  <c r="K419" i="6" s="1"/>
  <c r="O355" i="6"/>
  <c r="I355" i="6"/>
  <c r="H355" i="6"/>
  <c r="J355" i="6" s="1"/>
  <c r="K355" i="6" s="1"/>
  <c r="O291" i="6"/>
  <c r="I291" i="6"/>
  <c r="H291" i="6"/>
  <c r="J291" i="6" s="1"/>
  <c r="K291" i="6" s="1"/>
  <c r="O227" i="6"/>
  <c r="I227" i="6"/>
  <c r="H227" i="6"/>
  <c r="J227" i="6" s="1"/>
  <c r="K227" i="6" s="1"/>
  <c r="O163" i="6"/>
  <c r="I163" i="6"/>
  <c r="H163" i="6"/>
  <c r="J163" i="6" s="1"/>
  <c r="K163" i="6" s="1"/>
  <c r="O99" i="6"/>
  <c r="I99" i="6"/>
  <c r="H99" i="6"/>
  <c r="J99" i="6" s="1"/>
  <c r="K99" i="6" s="1"/>
  <c r="O35" i="6"/>
  <c r="I35" i="6"/>
  <c r="H35" i="6"/>
  <c r="J35" i="6" s="1"/>
  <c r="K35" i="6" s="1"/>
  <c r="O578" i="6"/>
  <c r="H578" i="6"/>
  <c r="J578" i="6" s="1"/>
  <c r="K578" i="6" s="1"/>
  <c r="I578" i="6"/>
  <c r="O514" i="6"/>
  <c r="H514" i="6"/>
  <c r="J514" i="6" s="1"/>
  <c r="K514" i="6" s="1"/>
  <c r="I514" i="6"/>
  <c r="O450" i="6"/>
  <c r="H450" i="6"/>
  <c r="J450" i="6" s="1"/>
  <c r="K450" i="6" s="1"/>
  <c r="I450" i="6"/>
  <c r="O386" i="6"/>
  <c r="H386" i="6"/>
  <c r="J386" i="6" s="1"/>
  <c r="K386" i="6" s="1"/>
  <c r="I386" i="6"/>
  <c r="O322" i="6"/>
  <c r="H322" i="6"/>
  <c r="J322" i="6" s="1"/>
  <c r="K322" i="6" s="1"/>
  <c r="I322" i="6"/>
  <c r="O258" i="6"/>
  <c r="H258" i="6"/>
  <c r="J258" i="6" s="1"/>
  <c r="K258" i="6" s="1"/>
  <c r="I258" i="6"/>
  <c r="O194" i="6"/>
  <c r="H194" i="6"/>
  <c r="J194" i="6" s="1"/>
  <c r="K194" i="6" s="1"/>
  <c r="I194" i="6"/>
  <c r="O130" i="6"/>
  <c r="H130" i="6"/>
  <c r="J130" i="6" s="1"/>
  <c r="K130" i="6" s="1"/>
  <c r="I130" i="6"/>
  <c r="O66" i="6"/>
  <c r="H66" i="6"/>
  <c r="J66" i="6" s="1"/>
  <c r="K66" i="6" s="1"/>
  <c r="I66" i="6"/>
  <c r="O46" i="6"/>
  <c r="I46" i="6"/>
  <c r="H46" i="6"/>
  <c r="J46" i="6" s="1"/>
  <c r="K46" i="6" s="1"/>
  <c r="O148" i="6"/>
  <c r="I148" i="6"/>
  <c r="H148" i="6"/>
  <c r="J148" i="6" s="1"/>
  <c r="K148" i="6" s="1"/>
  <c r="O249" i="6"/>
  <c r="I249" i="6"/>
  <c r="H249" i="6"/>
  <c r="J249" i="6" s="1"/>
  <c r="K249" i="6" s="1"/>
  <c r="O352" i="6"/>
  <c r="I352" i="6"/>
  <c r="H352" i="6"/>
  <c r="J352" i="6" s="1"/>
  <c r="K352" i="6" s="1"/>
  <c r="O455" i="6"/>
  <c r="H455" i="6"/>
  <c r="J455" i="6" s="1"/>
  <c r="K455" i="6" s="1"/>
  <c r="I455" i="6"/>
  <c r="O558" i="6"/>
  <c r="I558" i="6"/>
  <c r="H558" i="6"/>
  <c r="J558" i="6" s="1"/>
  <c r="K558" i="6" s="1"/>
  <c r="O60" i="6"/>
  <c r="I60" i="6"/>
  <c r="H60" i="6"/>
  <c r="J60" i="6" s="1"/>
  <c r="K60" i="6" s="1"/>
  <c r="O161" i="6"/>
  <c r="I161" i="6"/>
  <c r="H161" i="6"/>
  <c r="J161" i="6" s="1"/>
  <c r="K161" i="6" s="1"/>
  <c r="O264" i="6"/>
  <c r="H264" i="6"/>
  <c r="J264" i="6" s="1"/>
  <c r="K264" i="6" s="1"/>
  <c r="I264" i="6"/>
  <c r="O367" i="6"/>
  <c r="H367" i="6"/>
  <c r="J367" i="6" s="1"/>
  <c r="K367" i="6" s="1"/>
  <c r="I367" i="6"/>
  <c r="O470" i="6"/>
  <c r="I470" i="6"/>
  <c r="H470" i="6"/>
  <c r="J470" i="6" s="1"/>
  <c r="K470" i="6" s="1"/>
  <c r="O572" i="6"/>
  <c r="I572" i="6"/>
  <c r="H572" i="6"/>
  <c r="J572" i="6" s="1"/>
  <c r="K572" i="6" s="1"/>
  <c r="O127" i="6"/>
  <c r="I127" i="6"/>
  <c r="H127" i="6"/>
  <c r="J127" i="6" s="1"/>
  <c r="K127" i="6" s="1"/>
  <c r="O344" i="6"/>
  <c r="I344" i="6"/>
  <c r="H344" i="6"/>
  <c r="J344" i="6" s="1"/>
  <c r="K344" i="6" s="1"/>
  <c r="O550" i="6"/>
  <c r="I550" i="6"/>
  <c r="H550" i="6"/>
  <c r="J550" i="6" s="1"/>
  <c r="K550" i="6" s="1"/>
  <c r="O73" i="6"/>
  <c r="I73" i="6"/>
  <c r="H73" i="6"/>
  <c r="J73" i="6" s="1"/>
  <c r="K73" i="6" s="1"/>
  <c r="O176" i="6"/>
  <c r="I176" i="6"/>
  <c r="H176" i="6"/>
  <c r="J176" i="6" s="1"/>
  <c r="K176" i="6" s="1"/>
  <c r="O279" i="6"/>
  <c r="I279" i="6"/>
  <c r="H279" i="6"/>
  <c r="J279" i="6" s="1"/>
  <c r="K279" i="6" s="1"/>
  <c r="O382" i="6"/>
  <c r="I382" i="6"/>
  <c r="H382" i="6"/>
  <c r="J382" i="6" s="1"/>
  <c r="K382" i="6" s="1"/>
  <c r="I484" i="6"/>
  <c r="O484" i="6"/>
  <c r="H484" i="6"/>
  <c r="J484" i="6" s="1"/>
  <c r="K484" i="6" s="1"/>
  <c r="O585" i="6"/>
  <c r="H585" i="6"/>
  <c r="J585" i="6" s="1"/>
  <c r="K585" i="6" s="1"/>
  <c r="I585" i="6"/>
  <c r="O177" i="6"/>
  <c r="I177" i="6"/>
  <c r="H177" i="6"/>
  <c r="J177" i="6" s="1"/>
  <c r="K177" i="6" s="1"/>
  <c r="O383" i="6"/>
  <c r="I383" i="6"/>
  <c r="H383" i="6"/>
  <c r="J383" i="6" s="1"/>
  <c r="K383" i="6" s="1"/>
  <c r="O588" i="6"/>
  <c r="I588" i="6"/>
  <c r="H588" i="6"/>
  <c r="J588" i="6" s="1"/>
  <c r="K588" i="6" s="1"/>
  <c r="S526" i="6"/>
  <c r="Q526" i="6"/>
  <c r="O104" i="6"/>
  <c r="I104" i="6"/>
  <c r="H104" i="6"/>
  <c r="J104" i="6" s="1"/>
  <c r="K104" i="6" s="1"/>
  <c r="O207" i="6"/>
  <c r="I207" i="6"/>
  <c r="H207" i="6"/>
  <c r="J207" i="6" s="1"/>
  <c r="K207" i="6" s="1"/>
  <c r="O310" i="6"/>
  <c r="I310" i="6"/>
  <c r="H310" i="6"/>
  <c r="J310" i="6" s="1"/>
  <c r="K310" i="6" s="1"/>
  <c r="O412" i="6"/>
  <c r="I412" i="6"/>
  <c r="H412" i="6"/>
  <c r="J412" i="6" s="1"/>
  <c r="K412" i="6" s="1"/>
  <c r="O513" i="6"/>
  <c r="I513" i="6"/>
  <c r="H513" i="6"/>
  <c r="J513" i="6" s="1"/>
  <c r="K513" i="6" s="1"/>
  <c r="P564" i="6"/>
  <c r="P500" i="6"/>
  <c r="S295" i="6"/>
  <c r="Q295" i="6"/>
  <c r="O80" i="6"/>
  <c r="I80" i="6"/>
  <c r="H80" i="6"/>
  <c r="J80" i="6" s="1"/>
  <c r="K80" i="6" s="1"/>
  <c r="O183" i="6"/>
  <c r="I183" i="6"/>
  <c r="H183" i="6"/>
  <c r="J183" i="6" s="1"/>
  <c r="K183" i="6" s="1"/>
  <c r="O286" i="6"/>
  <c r="I286" i="6"/>
  <c r="H286" i="6"/>
  <c r="J286" i="6" s="1"/>
  <c r="K286" i="6" s="1"/>
  <c r="O388" i="6"/>
  <c r="I388" i="6"/>
  <c r="H388" i="6"/>
  <c r="J388" i="6" s="1"/>
  <c r="K388" i="6" s="1"/>
  <c r="O489" i="6"/>
  <c r="H489" i="6"/>
  <c r="J489" i="6" s="1"/>
  <c r="K489" i="6" s="1"/>
  <c r="I489" i="6"/>
  <c r="O592" i="6"/>
  <c r="H592" i="6"/>
  <c r="J592" i="6" s="1"/>
  <c r="K592" i="6" s="1"/>
  <c r="I592" i="6"/>
  <c r="O580" i="6"/>
  <c r="I580" i="6"/>
  <c r="H580" i="6"/>
  <c r="J580" i="6" s="1"/>
  <c r="K580" i="6" s="1"/>
  <c r="O17" i="6"/>
  <c r="I17" i="6"/>
  <c r="H17" i="6"/>
  <c r="J17" i="6" s="1"/>
  <c r="K17" i="6" s="1"/>
  <c r="O120" i="6"/>
  <c r="I120" i="6"/>
  <c r="H120" i="6"/>
  <c r="J120" i="6" s="1"/>
  <c r="K120" i="6" s="1"/>
  <c r="O223" i="6"/>
  <c r="I223" i="6"/>
  <c r="H223" i="6"/>
  <c r="J223" i="6" s="1"/>
  <c r="K223" i="6" s="1"/>
  <c r="O326" i="6"/>
  <c r="H326" i="6"/>
  <c r="J326" i="6" s="1"/>
  <c r="K326" i="6" s="1"/>
  <c r="I326" i="6"/>
  <c r="O428" i="6"/>
  <c r="I428" i="6"/>
  <c r="H428" i="6"/>
  <c r="J428" i="6" s="1"/>
  <c r="K428" i="6" s="1"/>
  <c r="O529" i="6"/>
  <c r="H529" i="6"/>
  <c r="J529" i="6" s="1"/>
  <c r="K529" i="6" s="1"/>
  <c r="I529" i="6"/>
  <c r="O581" i="6"/>
  <c r="I581" i="6"/>
  <c r="H581" i="6"/>
  <c r="J581" i="6" s="1"/>
  <c r="K581" i="6" s="1"/>
  <c r="O517" i="6"/>
  <c r="I517" i="6"/>
  <c r="H517" i="6"/>
  <c r="J517" i="6" s="1"/>
  <c r="K517" i="6" s="1"/>
  <c r="O453" i="6"/>
  <c r="I453" i="6"/>
  <c r="H453" i="6"/>
  <c r="J453" i="6" s="1"/>
  <c r="K453" i="6" s="1"/>
  <c r="O389" i="6"/>
  <c r="I389" i="6"/>
  <c r="H389" i="6"/>
  <c r="J389" i="6" s="1"/>
  <c r="K389" i="6" s="1"/>
  <c r="O325" i="6"/>
  <c r="I325" i="6"/>
  <c r="H325" i="6"/>
  <c r="J325" i="6" s="1"/>
  <c r="K325" i="6" s="1"/>
  <c r="O261" i="6"/>
  <c r="I261" i="6"/>
  <c r="H261" i="6"/>
  <c r="J261" i="6" s="1"/>
  <c r="K261" i="6" s="1"/>
  <c r="O197" i="6"/>
  <c r="I197" i="6"/>
  <c r="H197" i="6"/>
  <c r="J197" i="6" s="1"/>
  <c r="K197" i="6" s="1"/>
  <c r="O133" i="6"/>
  <c r="I133" i="6"/>
  <c r="H133" i="6"/>
  <c r="J133" i="6" s="1"/>
  <c r="K133" i="6" s="1"/>
  <c r="O69" i="6"/>
  <c r="I69" i="6"/>
  <c r="H69" i="6"/>
  <c r="J69" i="6" s="1"/>
  <c r="K69" i="6" s="1"/>
  <c r="O5" i="6"/>
  <c r="I5" i="6"/>
  <c r="H5" i="6"/>
  <c r="J5" i="6" s="1"/>
  <c r="K5" i="6" s="1"/>
  <c r="O539" i="6"/>
  <c r="I539" i="6"/>
  <c r="H539" i="6"/>
  <c r="J539" i="6" s="1"/>
  <c r="K539" i="6" s="1"/>
  <c r="O475" i="6"/>
  <c r="I475" i="6"/>
  <c r="H475" i="6"/>
  <c r="J475" i="6" s="1"/>
  <c r="K475" i="6" s="1"/>
  <c r="O411" i="6"/>
  <c r="I411" i="6"/>
  <c r="H411" i="6"/>
  <c r="J411" i="6" s="1"/>
  <c r="K411" i="6" s="1"/>
  <c r="O347" i="6"/>
  <c r="I347" i="6"/>
  <c r="H347" i="6"/>
  <c r="J347" i="6" s="1"/>
  <c r="K347" i="6" s="1"/>
  <c r="O283" i="6"/>
  <c r="I283" i="6"/>
  <c r="H283" i="6"/>
  <c r="J283" i="6" s="1"/>
  <c r="K283" i="6" s="1"/>
  <c r="O219" i="6"/>
  <c r="I219" i="6"/>
  <c r="H219" i="6"/>
  <c r="J219" i="6" s="1"/>
  <c r="K219" i="6" s="1"/>
  <c r="O155" i="6"/>
  <c r="I155" i="6"/>
  <c r="H155" i="6"/>
  <c r="J155" i="6" s="1"/>
  <c r="K155" i="6" s="1"/>
  <c r="O91" i="6"/>
  <c r="I91" i="6"/>
  <c r="H91" i="6"/>
  <c r="J91" i="6" s="1"/>
  <c r="K91" i="6" s="1"/>
  <c r="O27" i="6"/>
  <c r="I27" i="6"/>
  <c r="H27" i="6"/>
  <c r="J27" i="6" s="1"/>
  <c r="K27" i="6" s="1"/>
  <c r="O570" i="6"/>
  <c r="H570" i="6"/>
  <c r="J570" i="6" s="1"/>
  <c r="K570" i="6" s="1"/>
  <c r="I570" i="6"/>
  <c r="O506" i="6"/>
  <c r="H506" i="6"/>
  <c r="J506" i="6" s="1"/>
  <c r="K506" i="6" s="1"/>
  <c r="I506" i="6"/>
  <c r="O442" i="6"/>
  <c r="H442" i="6"/>
  <c r="J442" i="6" s="1"/>
  <c r="K442" i="6" s="1"/>
  <c r="I442" i="6"/>
  <c r="O378" i="6"/>
  <c r="H378" i="6"/>
  <c r="J378" i="6" s="1"/>
  <c r="K378" i="6" s="1"/>
  <c r="I378" i="6"/>
  <c r="O314" i="6"/>
  <c r="H314" i="6"/>
  <c r="J314" i="6" s="1"/>
  <c r="K314" i="6" s="1"/>
  <c r="I314" i="6"/>
  <c r="O250" i="6"/>
  <c r="H250" i="6"/>
  <c r="J250" i="6" s="1"/>
  <c r="K250" i="6" s="1"/>
  <c r="I250" i="6"/>
  <c r="O186" i="6"/>
  <c r="H186" i="6"/>
  <c r="J186" i="6" s="1"/>
  <c r="K186" i="6" s="1"/>
  <c r="I186" i="6"/>
  <c r="O122" i="6"/>
  <c r="H122" i="6"/>
  <c r="J122" i="6" s="1"/>
  <c r="K122" i="6" s="1"/>
  <c r="I122" i="6"/>
  <c r="O58" i="6"/>
  <c r="H58" i="6"/>
  <c r="J58" i="6" s="1"/>
  <c r="K58" i="6" s="1"/>
  <c r="I58" i="6"/>
  <c r="O57" i="6"/>
  <c r="I57" i="6"/>
  <c r="H57" i="6"/>
  <c r="J57" i="6" s="1"/>
  <c r="K57" i="6" s="1"/>
  <c r="O160" i="6"/>
  <c r="I160" i="6"/>
  <c r="H160" i="6"/>
  <c r="J160" i="6" s="1"/>
  <c r="K160" i="6" s="1"/>
  <c r="O263" i="6"/>
  <c r="H263" i="6"/>
  <c r="J263" i="6" s="1"/>
  <c r="K263" i="6" s="1"/>
  <c r="I263" i="6"/>
  <c r="O366" i="6"/>
  <c r="H366" i="6"/>
  <c r="J366" i="6" s="1"/>
  <c r="K366" i="6" s="1"/>
  <c r="I366" i="6"/>
  <c r="O468" i="6"/>
  <c r="I468" i="6"/>
  <c r="H468" i="6"/>
  <c r="J468" i="6" s="1"/>
  <c r="K468" i="6" s="1"/>
  <c r="O569" i="6"/>
  <c r="H569" i="6"/>
  <c r="J569" i="6" s="1"/>
  <c r="K569" i="6" s="1"/>
  <c r="I569" i="6"/>
  <c r="O72" i="6"/>
  <c r="I72" i="6"/>
  <c r="H72" i="6"/>
  <c r="J72" i="6" s="1"/>
  <c r="K72" i="6" s="1"/>
  <c r="O175" i="6"/>
  <c r="I175" i="6"/>
  <c r="H175" i="6"/>
  <c r="J175" i="6" s="1"/>
  <c r="K175" i="6" s="1"/>
  <c r="O278" i="6"/>
  <c r="H278" i="6"/>
  <c r="J278" i="6" s="1"/>
  <c r="K278" i="6" s="1"/>
  <c r="I278" i="6"/>
  <c r="O380" i="6"/>
  <c r="I380" i="6"/>
  <c r="H380" i="6"/>
  <c r="J380" i="6" s="1"/>
  <c r="K380" i="6" s="1"/>
  <c r="O481" i="6"/>
  <c r="I481" i="6"/>
  <c r="H481" i="6"/>
  <c r="J481" i="6" s="1"/>
  <c r="K481" i="6" s="1"/>
  <c r="O584" i="6"/>
  <c r="H584" i="6"/>
  <c r="J584" i="6" s="1"/>
  <c r="K584" i="6" s="1"/>
  <c r="I584" i="6"/>
  <c r="O166" i="6"/>
  <c r="I166" i="6"/>
  <c r="H166" i="6"/>
  <c r="J166" i="6" s="1"/>
  <c r="K166" i="6" s="1"/>
  <c r="O369" i="6"/>
  <c r="I369" i="6"/>
  <c r="H369" i="6"/>
  <c r="J369" i="6" s="1"/>
  <c r="K369" i="6" s="1"/>
  <c r="O575" i="6"/>
  <c r="I575" i="6"/>
  <c r="H575" i="6"/>
  <c r="J575" i="6" s="1"/>
  <c r="K575" i="6" s="1"/>
  <c r="S167" i="6"/>
  <c r="O87" i="6"/>
  <c r="I87" i="6"/>
  <c r="H87" i="6"/>
  <c r="J87" i="6" s="1"/>
  <c r="K87" i="6" s="1"/>
  <c r="O190" i="6"/>
  <c r="I190" i="6"/>
  <c r="H190" i="6"/>
  <c r="J190" i="6" s="1"/>
  <c r="K190" i="6" s="1"/>
  <c r="O292" i="6"/>
  <c r="I292" i="6"/>
  <c r="H292" i="6"/>
  <c r="J292" i="6" s="1"/>
  <c r="K292" i="6" s="1"/>
  <c r="O393" i="6"/>
  <c r="I393" i="6"/>
  <c r="H393" i="6"/>
  <c r="J393" i="6" s="1"/>
  <c r="K393" i="6" s="1"/>
  <c r="O496" i="6"/>
  <c r="I496" i="6"/>
  <c r="H496" i="6"/>
  <c r="J496" i="6" s="1"/>
  <c r="K496" i="6" s="1"/>
  <c r="O599" i="6"/>
  <c r="H599" i="6"/>
  <c r="J599" i="6" s="1"/>
  <c r="K599" i="6" s="1"/>
  <c r="I599" i="6"/>
  <c r="O12" i="6"/>
  <c r="I12" i="6"/>
  <c r="H12" i="6"/>
  <c r="J12" i="6" s="1"/>
  <c r="K12" i="6" s="1"/>
  <c r="O204" i="6"/>
  <c r="I204" i="6"/>
  <c r="H204" i="6"/>
  <c r="J204" i="6" s="1"/>
  <c r="K204" i="6" s="1"/>
  <c r="O408" i="6"/>
  <c r="I408" i="6"/>
  <c r="H408" i="6"/>
  <c r="J408" i="6" s="1"/>
  <c r="K408" i="6" s="1"/>
  <c r="S78" i="6"/>
  <c r="Q78" i="6"/>
  <c r="S180" i="6"/>
  <c r="S359" i="6"/>
  <c r="Q359" i="6"/>
  <c r="O15" i="6"/>
  <c r="I15" i="6"/>
  <c r="H15" i="6"/>
  <c r="J15" i="6" s="1"/>
  <c r="K15" i="6" s="1"/>
  <c r="O118" i="6"/>
  <c r="I118" i="6"/>
  <c r="H118" i="6"/>
  <c r="J118" i="6" s="1"/>
  <c r="K118" i="6" s="1"/>
  <c r="O220" i="6"/>
  <c r="I220" i="6"/>
  <c r="H220" i="6"/>
  <c r="J220" i="6" s="1"/>
  <c r="K220" i="6" s="1"/>
  <c r="O321" i="6"/>
  <c r="I321" i="6"/>
  <c r="H321" i="6"/>
  <c r="J321" i="6" s="1"/>
  <c r="K321" i="6" s="1"/>
  <c r="O424" i="6"/>
  <c r="I424" i="6"/>
  <c r="H424" i="6"/>
  <c r="J424" i="6" s="1"/>
  <c r="K424" i="6" s="1"/>
  <c r="O527" i="6"/>
  <c r="I527" i="6"/>
  <c r="H527" i="6"/>
  <c r="J527" i="6" s="1"/>
  <c r="K527" i="6" s="1"/>
  <c r="P334" i="6"/>
  <c r="P52" i="6"/>
  <c r="S142" i="6"/>
  <c r="Q142" i="6"/>
  <c r="S462" i="6"/>
  <c r="Q462" i="6"/>
  <c r="O94" i="6"/>
  <c r="I94" i="6"/>
  <c r="H94" i="6"/>
  <c r="J94" i="6" s="1"/>
  <c r="K94" i="6" s="1"/>
  <c r="O196" i="6"/>
  <c r="I196" i="6"/>
  <c r="H196" i="6"/>
  <c r="J196" i="6" s="1"/>
  <c r="K196" i="6" s="1"/>
  <c r="O297" i="6"/>
  <c r="I297" i="6"/>
  <c r="H297" i="6"/>
  <c r="J297" i="6" s="1"/>
  <c r="K297" i="6" s="1"/>
  <c r="O400" i="6"/>
  <c r="I400" i="6"/>
  <c r="H400" i="6"/>
  <c r="J400" i="6" s="1"/>
  <c r="K400" i="6" s="1"/>
  <c r="O503" i="6"/>
  <c r="H503" i="6"/>
  <c r="J503" i="6" s="1"/>
  <c r="K503" i="6" s="1"/>
  <c r="I503" i="6"/>
  <c r="O31" i="6"/>
  <c r="I31" i="6"/>
  <c r="H31" i="6"/>
  <c r="J31" i="6" s="1"/>
  <c r="K31" i="6" s="1"/>
  <c r="O134" i="6"/>
  <c r="I134" i="6"/>
  <c r="H134" i="6"/>
  <c r="J134" i="6" s="1"/>
  <c r="K134" i="6" s="1"/>
  <c r="O236" i="6"/>
  <c r="I236" i="6"/>
  <c r="H236" i="6"/>
  <c r="J236" i="6" s="1"/>
  <c r="K236" i="6" s="1"/>
  <c r="O337" i="6"/>
  <c r="I337" i="6"/>
  <c r="H337" i="6"/>
  <c r="J337" i="6" s="1"/>
  <c r="K337" i="6" s="1"/>
  <c r="O440" i="6"/>
  <c r="I440" i="6"/>
  <c r="H440" i="6"/>
  <c r="J440" i="6" s="1"/>
  <c r="K440" i="6" s="1"/>
  <c r="O543" i="6"/>
  <c r="I543" i="6"/>
  <c r="H543" i="6"/>
  <c r="J543" i="6" s="1"/>
  <c r="K543" i="6" s="1"/>
  <c r="O573" i="6"/>
  <c r="I573" i="6"/>
  <c r="H573" i="6"/>
  <c r="J573" i="6" s="1"/>
  <c r="K573" i="6" s="1"/>
  <c r="O509" i="6"/>
  <c r="I509" i="6"/>
  <c r="H509" i="6"/>
  <c r="J509" i="6" s="1"/>
  <c r="K509" i="6" s="1"/>
  <c r="O445" i="6"/>
  <c r="I445" i="6"/>
  <c r="H445" i="6"/>
  <c r="J445" i="6" s="1"/>
  <c r="K445" i="6" s="1"/>
  <c r="O381" i="6"/>
  <c r="I381" i="6"/>
  <c r="H381" i="6"/>
  <c r="J381" i="6" s="1"/>
  <c r="K381" i="6" s="1"/>
  <c r="O317" i="6"/>
  <c r="H317" i="6"/>
  <c r="J317" i="6" s="1"/>
  <c r="K317" i="6" s="1"/>
  <c r="I317" i="6"/>
  <c r="O253" i="6"/>
  <c r="H253" i="6"/>
  <c r="J253" i="6" s="1"/>
  <c r="K253" i="6" s="1"/>
  <c r="I253" i="6"/>
  <c r="O189" i="6"/>
  <c r="H189" i="6"/>
  <c r="J189" i="6" s="1"/>
  <c r="K189" i="6" s="1"/>
  <c r="I189" i="6"/>
  <c r="O125" i="6"/>
  <c r="H125" i="6"/>
  <c r="J125" i="6" s="1"/>
  <c r="K125" i="6" s="1"/>
  <c r="I125" i="6"/>
  <c r="O61" i="6"/>
  <c r="H61" i="6"/>
  <c r="J61" i="6" s="1"/>
  <c r="K61" i="6" s="1"/>
  <c r="I61" i="6"/>
  <c r="O595" i="6"/>
  <c r="I595" i="6"/>
  <c r="H595" i="6"/>
  <c r="J595" i="6" s="1"/>
  <c r="K595" i="6" s="1"/>
  <c r="O531" i="6"/>
  <c r="I531" i="6"/>
  <c r="H531" i="6"/>
  <c r="J531" i="6" s="1"/>
  <c r="K531" i="6" s="1"/>
  <c r="O467" i="6"/>
  <c r="I467" i="6"/>
  <c r="H467" i="6"/>
  <c r="J467" i="6" s="1"/>
  <c r="K467" i="6" s="1"/>
  <c r="O403" i="6"/>
  <c r="I403" i="6"/>
  <c r="H403" i="6"/>
  <c r="J403" i="6" s="1"/>
  <c r="K403" i="6" s="1"/>
  <c r="O339" i="6"/>
  <c r="I339" i="6"/>
  <c r="H339" i="6"/>
  <c r="J339" i="6" s="1"/>
  <c r="K339" i="6" s="1"/>
  <c r="O275" i="6"/>
  <c r="I275" i="6"/>
  <c r="H275" i="6"/>
  <c r="J275" i="6" s="1"/>
  <c r="K275" i="6" s="1"/>
  <c r="O211" i="6"/>
  <c r="I211" i="6"/>
  <c r="H211" i="6"/>
  <c r="J211" i="6" s="1"/>
  <c r="K211" i="6" s="1"/>
  <c r="O147" i="6"/>
  <c r="I147" i="6"/>
  <c r="H147" i="6"/>
  <c r="J147" i="6" s="1"/>
  <c r="K147" i="6" s="1"/>
  <c r="O83" i="6"/>
  <c r="I83" i="6"/>
  <c r="H83" i="6"/>
  <c r="J83" i="6" s="1"/>
  <c r="K83" i="6" s="1"/>
  <c r="O19" i="6"/>
  <c r="I19" i="6"/>
  <c r="H19" i="6"/>
  <c r="J19" i="6" s="1"/>
  <c r="K19" i="6" s="1"/>
  <c r="O562" i="6"/>
  <c r="H562" i="6"/>
  <c r="J562" i="6" s="1"/>
  <c r="K562" i="6" s="1"/>
  <c r="I562" i="6"/>
  <c r="O498" i="6"/>
  <c r="H498" i="6"/>
  <c r="J498" i="6" s="1"/>
  <c r="K498" i="6" s="1"/>
  <c r="I498" i="6"/>
  <c r="O434" i="6"/>
  <c r="H434" i="6"/>
  <c r="J434" i="6" s="1"/>
  <c r="K434" i="6" s="1"/>
  <c r="I434" i="6"/>
  <c r="O370" i="6"/>
  <c r="I370" i="6"/>
  <c r="H370" i="6"/>
  <c r="J370" i="6" s="1"/>
  <c r="K370" i="6" s="1"/>
  <c r="O306" i="6"/>
  <c r="I306" i="6"/>
  <c r="H306" i="6"/>
  <c r="J306" i="6" s="1"/>
  <c r="K306" i="6" s="1"/>
  <c r="O242" i="6"/>
  <c r="I242" i="6"/>
  <c r="H242" i="6"/>
  <c r="J242" i="6" s="1"/>
  <c r="K242" i="6" s="1"/>
  <c r="O178" i="6"/>
  <c r="I178" i="6"/>
  <c r="H178" i="6"/>
  <c r="J178" i="6" s="1"/>
  <c r="K178" i="6" s="1"/>
  <c r="O114" i="6"/>
  <c r="H114" i="6"/>
  <c r="J114" i="6" s="1"/>
  <c r="K114" i="6" s="1"/>
  <c r="I114" i="6"/>
  <c r="O50" i="6"/>
  <c r="H50" i="6"/>
  <c r="J50" i="6" s="1"/>
  <c r="K50" i="6" s="1"/>
  <c r="I50" i="6"/>
  <c r="O71" i="6"/>
  <c r="I71" i="6"/>
  <c r="H71" i="6"/>
  <c r="J71" i="6" s="1"/>
  <c r="K71" i="6" s="1"/>
  <c r="O174" i="6"/>
  <c r="I174" i="6"/>
  <c r="H174" i="6"/>
  <c r="J174" i="6" s="1"/>
  <c r="K174" i="6" s="1"/>
  <c r="O276" i="6"/>
  <c r="I276" i="6"/>
  <c r="H276" i="6"/>
  <c r="J276" i="6" s="1"/>
  <c r="K276" i="6" s="1"/>
  <c r="O377" i="6"/>
  <c r="I377" i="6"/>
  <c r="H377" i="6"/>
  <c r="J377" i="6" s="1"/>
  <c r="K377" i="6" s="1"/>
  <c r="O480" i="6"/>
  <c r="I480" i="6"/>
  <c r="H480" i="6"/>
  <c r="J480" i="6" s="1"/>
  <c r="K480" i="6" s="1"/>
  <c r="O583" i="6"/>
  <c r="H583" i="6"/>
  <c r="J583" i="6" s="1"/>
  <c r="K583" i="6" s="1"/>
  <c r="I583" i="6"/>
  <c r="O86" i="6"/>
  <c r="I86" i="6"/>
  <c r="H86" i="6"/>
  <c r="J86" i="6" s="1"/>
  <c r="K86" i="6" s="1"/>
  <c r="O188" i="6"/>
  <c r="I188" i="6"/>
  <c r="H188" i="6"/>
  <c r="J188" i="6" s="1"/>
  <c r="K188" i="6" s="1"/>
  <c r="O289" i="6"/>
  <c r="I289" i="6"/>
  <c r="H289" i="6"/>
  <c r="J289" i="6" s="1"/>
  <c r="K289" i="6" s="1"/>
  <c r="O392" i="6"/>
  <c r="H392" i="6"/>
  <c r="J392" i="6" s="1"/>
  <c r="K392" i="6" s="1"/>
  <c r="I392" i="6"/>
  <c r="O495" i="6"/>
  <c r="I495" i="6"/>
  <c r="H495" i="6"/>
  <c r="J495" i="6" s="1"/>
  <c r="K495" i="6" s="1"/>
  <c r="O598" i="6"/>
  <c r="I598" i="6"/>
  <c r="H598" i="6"/>
  <c r="J598" i="6" s="1"/>
  <c r="K598" i="6" s="1"/>
  <c r="O191" i="6"/>
  <c r="I191" i="6"/>
  <c r="H191" i="6"/>
  <c r="J191" i="6" s="1"/>
  <c r="K191" i="6" s="1"/>
  <c r="O396" i="6"/>
  <c r="I396" i="6"/>
  <c r="H396" i="6"/>
  <c r="J396" i="6" s="1"/>
  <c r="K396" i="6" s="1"/>
  <c r="O600" i="6"/>
  <c r="I600" i="6"/>
  <c r="H600" i="6"/>
  <c r="J600" i="6" s="1"/>
  <c r="K600" i="6" s="1"/>
  <c r="O100" i="6"/>
  <c r="I100" i="6"/>
  <c r="H100" i="6"/>
  <c r="J100" i="6" s="1"/>
  <c r="K100" i="6" s="1"/>
  <c r="O201" i="6"/>
  <c r="I201" i="6"/>
  <c r="H201" i="6"/>
  <c r="J201" i="6" s="1"/>
  <c r="K201" i="6" s="1"/>
  <c r="O304" i="6"/>
  <c r="I304" i="6"/>
  <c r="H304" i="6"/>
  <c r="J304" i="6" s="1"/>
  <c r="K304" i="6" s="1"/>
  <c r="O407" i="6"/>
  <c r="H407" i="6"/>
  <c r="J407" i="6" s="1"/>
  <c r="K407" i="6" s="1"/>
  <c r="I407" i="6"/>
  <c r="O510" i="6"/>
  <c r="I510" i="6"/>
  <c r="H510" i="6"/>
  <c r="J510" i="6" s="1"/>
  <c r="K510" i="6" s="1"/>
  <c r="O38" i="6"/>
  <c r="I38" i="6"/>
  <c r="H38" i="6"/>
  <c r="J38" i="6" s="1"/>
  <c r="K38" i="6" s="1"/>
  <c r="O230" i="6"/>
  <c r="I230" i="6"/>
  <c r="H230" i="6"/>
  <c r="J230" i="6" s="1"/>
  <c r="K230" i="6" s="1"/>
  <c r="O433" i="6"/>
  <c r="H433" i="6"/>
  <c r="J433" i="6" s="1"/>
  <c r="K433" i="6" s="1"/>
  <c r="I433" i="6"/>
  <c r="S372" i="6"/>
  <c r="Q372" i="6"/>
  <c r="S206" i="6"/>
  <c r="Q206" i="6"/>
  <c r="O28" i="6"/>
  <c r="I28" i="6"/>
  <c r="H28" i="6"/>
  <c r="J28" i="6" s="1"/>
  <c r="K28" i="6" s="1"/>
  <c r="O129" i="6"/>
  <c r="I129" i="6"/>
  <c r="H129" i="6"/>
  <c r="J129" i="6" s="1"/>
  <c r="K129" i="6" s="1"/>
  <c r="O232" i="6"/>
  <c r="I232" i="6"/>
  <c r="H232" i="6"/>
  <c r="J232" i="6" s="1"/>
  <c r="K232" i="6" s="1"/>
  <c r="O335" i="6"/>
  <c r="I335" i="6"/>
  <c r="H335" i="6"/>
  <c r="J335" i="6" s="1"/>
  <c r="K335" i="6" s="1"/>
  <c r="O438" i="6"/>
  <c r="I438" i="6"/>
  <c r="H438" i="6"/>
  <c r="J438" i="6" s="1"/>
  <c r="K438" i="6" s="1"/>
  <c r="O540" i="6"/>
  <c r="I540" i="6"/>
  <c r="H540" i="6"/>
  <c r="J540" i="6" s="1"/>
  <c r="K540" i="6" s="1"/>
  <c r="P270" i="6"/>
  <c r="P256" i="6"/>
  <c r="S345" i="6"/>
  <c r="O4" i="6"/>
  <c r="I4" i="6"/>
  <c r="H4" i="6"/>
  <c r="J4" i="6" s="1"/>
  <c r="K4" i="6" s="1"/>
  <c r="O105" i="6"/>
  <c r="I105" i="6"/>
  <c r="H105" i="6"/>
  <c r="J105" i="6" s="1"/>
  <c r="K105" i="6" s="1"/>
  <c r="O208" i="6"/>
  <c r="I208" i="6"/>
  <c r="H208" i="6"/>
  <c r="J208" i="6" s="1"/>
  <c r="K208" i="6" s="1"/>
  <c r="O311" i="6"/>
  <c r="I311" i="6"/>
  <c r="H311" i="6"/>
  <c r="J311" i="6" s="1"/>
  <c r="K311" i="6" s="1"/>
  <c r="O414" i="6"/>
  <c r="I414" i="6"/>
  <c r="H414" i="6"/>
  <c r="J414" i="6" s="1"/>
  <c r="K414" i="6" s="1"/>
  <c r="O516" i="6"/>
  <c r="I516" i="6"/>
  <c r="H516" i="6"/>
  <c r="J516" i="6" s="1"/>
  <c r="K516" i="6" s="1"/>
  <c r="P206" i="6"/>
  <c r="P142" i="6"/>
  <c r="P78" i="6"/>
  <c r="S436" i="6"/>
  <c r="Q436" i="6"/>
  <c r="O68" i="6"/>
  <c r="I68" i="6"/>
  <c r="H68" i="6"/>
  <c r="J68" i="6" s="1"/>
  <c r="K68" i="6" s="1"/>
  <c r="O478" i="6"/>
  <c r="I478" i="6"/>
  <c r="H478" i="6"/>
  <c r="J478" i="6" s="1"/>
  <c r="K478" i="6" s="1"/>
  <c r="O44" i="6"/>
  <c r="I44" i="6"/>
  <c r="H44" i="6"/>
  <c r="J44" i="6" s="1"/>
  <c r="K44" i="6" s="1"/>
  <c r="O145" i="6"/>
  <c r="I145" i="6"/>
  <c r="H145" i="6"/>
  <c r="J145" i="6" s="1"/>
  <c r="K145" i="6" s="1"/>
  <c r="O248" i="6"/>
  <c r="I248" i="6"/>
  <c r="H248" i="6"/>
  <c r="J248" i="6" s="1"/>
  <c r="K248" i="6" s="1"/>
  <c r="O351" i="6"/>
  <c r="I351" i="6"/>
  <c r="H351" i="6"/>
  <c r="J351" i="6" s="1"/>
  <c r="K351" i="6" s="1"/>
  <c r="O454" i="6"/>
  <c r="I454" i="6"/>
  <c r="H454" i="6"/>
  <c r="J454" i="6" s="1"/>
  <c r="K454" i="6" s="1"/>
  <c r="O556" i="6"/>
  <c r="I556" i="6"/>
  <c r="H556" i="6"/>
  <c r="J556" i="6" s="1"/>
  <c r="K556" i="6" s="1"/>
  <c r="O565" i="6"/>
  <c r="I565" i="6"/>
  <c r="H565" i="6"/>
  <c r="J565" i="6" s="1"/>
  <c r="K565" i="6" s="1"/>
  <c r="O501" i="6"/>
  <c r="I501" i="6"/>
  <c r="H501" i="6"/>
  <c r="J501" i="6" s="1"/>
  <c r="K501" i="6" s="1"/>
  <c r="O437" i="6"/>
  <c r="I437" i="6"/>
  <c r="H437" i="6"/>
  <c r="J437" i="6" s="1"/>
  <c r="K437" i="6" s="1"/>
  <c r="O373" i="6"/>
  <c r="I373" i="6"/>
  <c r="H373" i="6"/>
  <c r="J373" i="6" s="1"/>
  <c r="K373" i="6" s="1"/>
  <c r="O309" i="6"/>
  <c r="I309" i="6"/>
  <c r="H309" i="6"/>
  <c r="J309" i="6" s="1"/>
  <c r="K309" i="6" s="1"/>
  <c r="O245" i="6"/>
  <c r="I245" i="6"/>
  <c r="H245" i="6"/>
  <c r="J245" i="6" s="1"/>
  <c r="K245" i="6" s="1"/>
  <c r="O181" i="6"/>
  <c r="I181" i="6"/>
  <c r="H181" i="6"/>
  <c r="J181" i="6" s="1"/>
  <c r="K181" i="6" s="1"/>
  <c r="O117" i="6"/>
  <c r="I117" i="6"/>
  <c r="H117" i="6"/>
  <c r="J117" i="6" s="1"/>
  <c r="K117" i="6" s="1"/>
  <c r="O53" i="6"/>
  <c r="I53" i="6"/>
  <c r="H53" i="6"/>
  <c r="J53" i="6" s="1"/>
  <c r="K53" i="6" s="1"/>
  <c r="O587" i="6"/>
  <c r="I587" i="6"/>
  <c r="H587" i="6"/>
  <c r="J587" i="6" s="1"/>
  <c r="K587" i="6" s="1"/>
  <c r="O523" i="6"/>
  <c r="I523" i="6"/>
  <c r="H523" i="6"/>
  <c r="J523" i="6" s="1"/>
  <c r="K523" i="6" s="1"/>
  <c r="O459" i="6"/>
  <c r="I459" i="6"/>
  <c r="H459" i="6"/>
  <c r="J459" i="6" s="1"/>
  <c r="K459" i="6" s="1"/>
  <c r="O395" i="6"/>
  <c r="I395" i="6"/>
  <c r="H395" i="6"/>
  <c r="J395" i="6" s="1"/>
  <c r="K395" i="6" s="1"/>
  <c r="O331" i="6"/>
  <c r="I331" i="6"/>
  <c r="H331" i="6"/>
  <c r="J331" i="6" s="1"/>
  <c r="K331" i="6" s="1"/>
  <c r="O267" i="6"/>
  <c r="I267" i="6"/>
  <c r="H267" i="6"/>
  <c r="J267" i="6" s="1"/>
  <c r="K267" i="6" s="1"/>
  <c r="O203" i="6"/>
  <c r="I203" i="6"/>
  <c r="H203" i="6"/>
  <c r="J203" i="6" s="1"/>
  <c r="K203" i="6" s="1"/>
  <c r="O139" i="6"/>
  <c r="I139" i="6"/>
  <c r="H139" i="6"/>
  <c r="J139" i="6" s="1"/>
  <c r="K139" i="6" s="1"/>
  <c r="O75" i="6"/>
  <c r="I75" i="6"/>
  <c r="H75" i="6"/>
  <c r="J75" i="6" s="1"/>
  <c r="K75" i="6" s="1"/>
  <c r="O11" i="6"/>
  <c r="I11" i="6"/>
  <c r="H11" i="6"/>
  <c r="J11" i="6" s="1"/>
  <c r="K11" i="6" s="1"/>
  <c r="O554" i="6"/>
  <c r="H554" i="6"/>
  <c r="J554" i="6" s="1"/>
  <c r="K554" i="6" s="1"/>
  <c r="I554" i="6"/>
  <c r="O490" i="6"/>
  <c r="H490" i="6"/>
  <c r="J490" i="6" s="1"/>
  <c r="K490" i="6" s="1"/>
  <c r="I490" i="6"/>
  <c r="O426" i="6"/>
  <c r="H426" i="6"/>
  <c r="J426" i="6" s="1"/>
  <c r="K426" i="6" s="1"/>
  <c r="I426" i="6"/>
  <c r="O362" i="6"/>
  <c r="H362" i="6"/>
  <c r="J362" i="6" s="1"/>
  <c r="K362" i="6" s="1"/>
  <c r="I362" i="6"/>
  <c r="O298" i="6"/>
  <c r="H298" i="6"/>
  <c r="J298" i="6" s="1"/>
  <c r="K298" i="6" s="1"/>
  <c r="I298" i="6"/>
  <c r="O234" i="6"/>
  <c r="H234" i="6"/>
  <c r="J234" i="6" s="1"/>
  <c r="K234" i="6" s="1"/>
  <c r="I234" i="6"/>
  <c r="O170" i="6"/>
  <c r="H170" i="6"/>
  <c r="J170" i="6" s="1"/>
  <c r="K170" i="6" s="1"/>
  <c r="I170" i="6"/>
  <c r="O106" i="6"/>
  <c r="H106" i="6"/>
  <c r="J106" i="6" s="1"/>
  <c r="K106" i="6" s="1"/>
  <c r="I106" i="6"/>
  <c r="O42" i="6"/>
  <c r="H42" i="6"/>
  <c r="J42" i="6" s="1"/>
  <c r="K42" i="6" s="1"/>
  <c r="I42" i="6"/>
  <c r="O84" i="6"/>
  <c r="I84" i="6"/>
  <c r="H84" i="6"/>
  <c r="J84" i="6" s="1"/>
  <c r="K84" i="6" s="1"/>
  <c r="O185" i="6"/>
  <c r="I185" i="6"/>
  <c r="H185" i="6"/>
  <c r="J185" i="6" s="1"/>
  <c r="K185" i="6" s="1"/>
  <c r="O288" i="6"/>
  <c r="I288" i="6"/>
  <c r="H288" i="6"/>
  <c r="J288" i="6" s="1"/>
  <c r="K288" i="6" s="1"/>
  <c r="O391" i="6"/>
  <c r="H391" i="6"/>
  <c r="J391" i="6" s="1"/>
  <c r="K391" i="6" s="1"/>
  <c r="I391" i="6"/>
  <c r="O494" i="6"/>
  <c r="I494" i="6"/>
  <c r="H494" i="6"/>
  <c r="J494" i="6" s="1"/>
  <c r="K494" i="6" s="1"/>
  <c r="O596" i="6"/>
  <c r="I596" i="6"/>
  <c r="H596" i="6"/>
  <c r="J596" i="6" s="1"/>
  <c r="K596" i="6" s="1"/>
  <c r="O97" i="6"/>
  <c r="I97" i="6"/>
  <c r="H97" i="6"/>
  <c r="J97" i="6" s="1"/>
  <c r="K97" i="6" s="1"/>
  <c r="O200" i="6"/>
  <c r="I200" i="6"/>
  <c r="H200" i="6"/>
  <c r="J200" i="6" s="1"/>
  <c r="K200" i="6" s="1"/>
  <c r="O303" i="6"/>
  <c r="I303" i="6"/>
  <c r="H303" i="6"/>
  <c r="J303" i="6" s="1"/>
  <c r="K303" i="6" s="1"/>
  <c r="O406" i="6"/>
  <c r="I406" i="6"/>
  <c r="H406" i="6"/>
  <c r="J406" i="6" s="1"/>
  <c r="K406" i="6" s="1"/>
  <c r="O508" i="6"/>
  <c r="I508" i="6"/>
  <c r="H508" i="6"/>
  <c r="J508" i="6" s="1"/>
  <c r="K508" i="6" s="1"/>
  <c r="O216" i="6"/>
  <c r="I216" i="6"/>
  <c r="H216" i="6"/>
  <c r="J216" i="6" s="1"/>
  <c r="K216" i="6" s="1"/>
  <c r="O422" i="6"/>
  <c r="I422" i="6"/>
  <c r="H422" i="6"/>
  <c r="J422" i="6" s="1"/>
  <c r="K422" i="6" s="1"/>
  <c r="S217" i="6"/>
  <c r="Q217" i="6"/>
  <c r="O9" i="6"/>
  <c r="I9" i="6"/>
  <c r="H9" i="6"/>
  <c r="J9" i="6" s="1"/>
  <c r="K9" i="6" s="1"/>
  <c r="O112" i="6"/>
  <c r="I112" i="6"/>
  <c r="H112" i="6"/>
  <c r="J112" i="6" s="1"/>
  <c r="K112" i="6" s="1"/>
  <c r="O215" i="6"/>
  <c r="I215" i="6"/>
  <c r="H215" i="6"/>
  <c r="J215" i="6" s="1"/>
  <c r="K215" i="6" s="1"/>
  <c r="O318" i="6"/>
  <c r="I318" i="6"/>
  <c r="H318" i="6"/>
  <c r="J318" i="6" s="1"/>
  <c r="K318" i="6" s="1"/>
  <c r="O420" i="6"/>
  <c r="I420" i="6"/>
  <c r="H420" i="6"/>
  <c r="J420" i="6" s="1"/>
  <c r="K420" i="6" s="1"/>
  <c r="O521" i="6"/>
  <c r="H521" i="6"/>
  <c r="J521" i="6" s="1"/>
  <c r="K521" i="6" s="1"/>
  <c r="I521" i="6"/>
  <c r="O63" i="6"/>
  <c r="I63" i="6"/>
  <c r="H63" i="6"/>
  <c r="J63" i="6" s="1"/>
  <c r="K63" i="6" s="1"/>
  <c r="O255" i="6"/>
  <c r="I255" i="6"/>
  <c r="H255" i="6"/>
  <c r="J255" i="6" s="1"/>
  <c r="K255" i="6" s="1"/>
  <c r="O460" i="6"/>
  <c r="I460" i="6"/>
  <c r="H460" i="6"/>
  <c r="J460" i="6" s="1"/>
  <c r="K460" i="6" s="1"/>
  <c r="S231" i="6"/>
  <c r="Q231" i="6"/>
  <c r="S590" i="6"/>
  <c r="Q590" i="6"/>
  <c r="O40" i="6"/>
  <c r="I40" i="6"/>
  <c r="H40" i="6"/>
  <c r="J40" i="6" s="1"/>
  <c r="K40" i="6" s="1"/>
  <c r="O143" i="6"/>
  <c r="I143" i="6"/>
  <c r="H143" i="6"/>
  <c r="J143" i="6" s="1"/>
  <c r="K143" i="6" s="1"/>
  <c r="O246" i="6"/>
  <c r="I246" i="6"/>
  <c r="H246" i="6"/>
  <c r="J246" i="6" s="1"/>
  <c r="K246" i="6" s="1"/>
  <c r="O348" i="6"/>
  <c r="I348" i="6"/>
  <c r="H348" i="6"/>
  <c r="J348" i="6" s="1"/>
  <c r="K348" i="6" s="1"/>
  <c r="O449" i="6"/>
  <c r="H449" i="6"/>
  <c r="J449" i="6" s="1"/>
  <c r="K449" i="6" s="1"/>
  <c r="I449" i="6"/>
  <c r="O552" i="6"/>
  <c r="I552" i="6"/>
  <c r="H552" i="6"/>
  <c r="J552" i="6" s="1"/>
  <c r="K552" i="6" s="1"/>
  <c r="S192" i="6"/>
  <c r="Q192" i="6"/>
  <c r="O16" i="6"/>
  <c r="I16" i="6"/>
  <c r="H16" i="6"/>
  <c r="J16" i="6" s="1"/>
  <c r="K16" i="6" s="1"/>
  <c r="O119" i="6"/>
  <c r="I119" i="6"/>
  <c r="H119" i="6"/>
  <c r="J119" i="6" s="1"/>
  <c r="K119" i="6" s="1"/>
  <c r="O222" i="6"/>
  <c r="I222" i="6"/>
  <c r="H222" i="6"/>
  <c r="J222" i="6" s="1"/>
  <c r="K222" i="6" s="1"/>
  <c r="O324" i="6"/>
  <c r="I324" i="6"/>
  <c r="H324" i="6"/>
  <c r="J324" i="6" s="1"/>
  <c r="K324" i="6" s="1"/>
  <c r="O425" i="6"/>
  <c r="I425" i="6"/>
  <c r="H425" i="6"/>
  <c r="J425" i="6" s="1"/>
  <c r="K425" i="6" s="1"/>
  <c r="O528" i="6"/>
  <c r="H528" i="6"/>
  <c r="J528" i="6" s="1"/>
  <c r="K528" i="6" s="1"/>
  <c r="I528" i="6"/>
  <c r="O375" i="6"/>
  <c r="I375" i="6"/>
  <c r="H375" i="6"/>
  <c r="J375" i="6" s="1"/>
  <c r="K375" i="6" s="1"/>
  <c r="O56" i="6"/>
  <c r="I56" i="6"/>
  <c r="H56" i="6"/>
  <c r="J56" i="6" s="1"/>
  <c r="K56" i="6" s="1"/>
  <c r="O159" i="6"/>
  <c r="I159" i="6"/>
  <c r="H159" i="6"/>
  <c r="J159" i="6" s="1"/>
  <c r="K159" i="6" s="1"/>
  <c r="O262" i="6"/>
  <c r="H262" i="6"/>
  <c r="J262" i="6" s="1"/>
  <c r="K262" i="6" s="1"/>
  <c r="I262" i="6"/>
  <c r="O364" i="6"/>
  <c r="I364" i="6"/>
  <c r="H364" i="6"/>
  <c r="J364" i="6" s="1"/>
  <c r="K364" i="6" s="1"/>
  <c r="O465" i="6"/>
  <c r="H465" i="6"/>
  <c r="J465" i="6" s="1"/>
  <c r="K465" i="6" s="1"/>
  <c r="I465" i="6"/>
  <c r="O568" i="6"/>
  <c r="H568" i="6"/>
  <c r="J568" i="6" s="1"/>
  <c r="K568" i="6" s="1"/>
  <c r="I568" i="6"/>
  <c r="O557" i="6"/>
  <c r="I557" i="6"/>
  <c r="H557" i="6"/>
  <c r="J557" i="6" s="1"/>
  <c r="K557" i="6" s="1"/>
  <c r="O493" i="6"/>
  <c r="I493" i="6"/>
  <c r="H493" i="6"/>
  <c r="J493" i="6" s="1"/>
  <c r="K493" i="6" s="1"/>
  <c r="O429" i="6"/>
  <c r="I429" i="6"/>
  <c r="H429" i="6"/>
  <c r="J429" i="6" s="1"/>
  <c r="K429" i="6" s="1"/>
  <c r="O365" i="6"/>
  <c r="H365" i="6"/>
  <c r="J365" i="6" s="1"/>
  <c r="K365" i="6" s="1"/>
  <c r="I365" i="6"/>
  <c r="O301" i="6"/>
  <c r="H301" i="6"/>
  <c r="J301" i="6" s="1"/>
  <c r="K301" i="6" s="1"/>
  <c r="I301" i="6"/>
  <c r="O237" i="6"/>
  <c r="H237" i="6"/>
  <c r="J237" i="6" s="1"/>
  <c r="K237" i="6" s="1"/>
  <c r="I237" i="6"/>
  <c r="O173" i="6"/>
  <c r="H173" i="6"/>
  <c r="J173" i="6" s="1"/>
  <c r="K173" i="6" s="1"/>
  <c r="I173" i="6"/>
  <c r="O109" i="6"/>
  <c r="H109" i="6"/>
  <c r="J109" i="6" s="1"/>
  <c r="K109" i="6" s="1"/>
  <c r="I109" i="6"/>
  <c r="O45" i="6"/>
  <c r="H45" i="6"/>
  <c r="J45" i="6" s="1"/>
  <c r="K45" i="6" s="1"/>
  <c r="I45" i="6"/>
  <c r="O579" i="6"/>
  <c r="I579" i="6"/>
  <c r="H579" i="6"/>
  <c r="J579" i="6" s="1"/>
  <c r="K579" i="6" s="1"/>
  <c r="O515" i="6"/>
  <c r="I515" i="6"/>
  <c r="H515" i="6"/>
  <c r="J515" i="6" s="1"/>
  <c r="K515" i="6" s="1"/>
  <c r="O451" i="6"/>
  <c r="I451" i="6"/>
  <c r="H451" i="6"/>
  <c r="J451" i="6" s="1"/>
  <c r="K451" i="6" s="1"/>
  <c r="O387" i="6"/>
  <c r="I387" i="6"/>
  <c r="H387" i="6"/>
  <c r="J387" i="6" s="1"/>
  <c r="K387" i="6" s="1"/>
  <c r="O323" i="6"/>
  <c r="I323" i="6"/>
  <c r="H323" i="6"/>
  <c r="J323" i="6" s="1"/>
  <c r="K323" i="6" s="1"/>
  <c r="O259" i="6"/>
  <c r="I259" i="6"/>
  <c r="H259" i="6"/>
  <c r="J259" i="6" s="1"/>
  <c r="K259" i="6" s="1"/>
  <c r="O195" i="6"/>
  <c r="I195" i="6"/>
  <c r="H195" i="6"/>
  <c r="J195" i="6" s="1"/>
  <c r="K195" i="6" s="1"/>
  <c r="O131" i="6"/>
  <c r="I131" i="6"/>
  <c r="H131" i="6"/>
  <c r="J131" i="6" s="1"/>
  <c r="K131" i="6" s="1"/>
  <c r="O67" i="6"/>
  <c r="I67" i="6"/>
  <c r="H67" i="6"/>
  <c r="J67" i="6" s="1"/>
  <c r="K67" i="6" s="1"/>
  <c r="O3" i="6"/>
  <c r="I3" i="6"/>
  <c r="H3" i="6"/>
  <c r="J3" i="6" s="1"/>
  <c r="K3" i="6" s="1"/>
  <c r="O546" i="6"/>
  <c r="H546" i="6"/>
  <c r="J546" i="6" s="1"/>
  <c r="K546" i="6" s="1"/>
  <c r="I546" i="6"/>
  <c r="O482" i="6"/>
  <c r="H482" i="6"/>
  <c r="J482" i="6" s="1"/>
  <c r="K482" i="6" s="1"/>
  <c r="I482" i="6"/>
  <c r="O418" i="6"/>
  <c r="H418" i="6"/>
  <c r="J418" i="6" s="1"/>
  <c r="K418" i="6" s="1"/>
  <c r="I418" i="6"/>
  <c r="O354" i="6"/>
  <c r="H354" i="6"/>
  <c r="J354" i="6" s="1"/>
  <c r="K354" i="6" s="1"/>
  <c r="I354" i="6"/>
  <c r="O290" i="6"/>
  <c r="H290" i="6"/>
  <c r="J290" i="6" s="1"/>
  <c r="K290" i="6" s="1"/>
  <c r="I290" i="6"/>
  <c r="O226" i="6"/>
  <c r="H226" i="6"/>
  <c r="J226" i="6" s="1"/>
  <c r="K226" i="6" s="1"/>
  <c r="I226" i="6"/>
  <c r="O162" i="6"/>
  <c r="H162" i="6"/>
  <c r="J162" i="6" s="1"/>
  <c r="K162" i="6" s="1"/>
  <c r="I162" i="6"/>
  <c r="O98" i="6"/>
  <c r="H98" i="6"/>
  <c r="J98" i="6" s="1"/>
  <c r="K98" i="6" s="1"/>
  <c r="I98" i="6"/>
  <c r="O34" i="6"/>
  <c r="H34" i="6"/>
  <c r="J34" i="6" s="1"/>
  <c r="K34" i="6" s="1"/>
  <c r="I34" i="6"/>
  <c r="O96" i="6"/>
  <c r="I96" i="6"/>
  <c r="H96" i="6"/>
  <c r="J96" i="6" s="1"/>
  <c r="K96" i="6" s="1"/>
  <c r="O199" i="6"/>
  <c r="H199" i="6"/>
  <c r="J199" i="6" s="1"/>
  <c r="K199" i="6" s="1"/>
  <c r="I199" i="6"/>
  <c r="O302" i="6"/>
  <c r="H302" i="6"/>
  <c r="J302" i="6" s="1"/>
  <c r="K302" i="6" s="1"/>
  <c r="I302" i="6"/>
  <c r="O404" i="6"/>
  <c r="I404" i="6"/>
  <c r="H404" i="6"/>
  <c r="J404" i="6" s="1"/>
  <c r="K404" i="6" s="1"/>
  <c r="O505" i="6"/>
  <c r="H505" i="6"/>
  <c r="J505" i="6" s="1"/>
  <c r="K505" i="6" s="1"/>
  <c r="I505" i="6"/>
  <c r="O8" i="6"/>
  <c r="I8" i="6"/>
  <c r="H8" i="6"/>
  <c r="J8" i="6" s="1"/>
  <c r="K8" i="6" s="1"/>
  <c r="O111" i="6"/>
  <c r="H111" i="6"/>
  <c r="J111" i="6" s="1"/>
  <c r="K111" i="6" s="1"/>
  <c r="I111" i="6"/>
  <c r="O214" i="6"/>
  <c r="H214" i="6"/>
  <c r="J214" i="6" s="1"/>
  <c r="K214" i="6" s="1"/>
  <c r="I214" i="6"/>
  <c r="O316" i="6"/>
  <c r="I316" i="6"/>
  <c r="H316" i="6"/>
  <c r="J316" i="6" s="1"/>
  <c r="K316" i="6" s="1"/>
  <c r="O417" i="6"/>
  <c r="H417" i="6"/>
  <c r="J417" i="6" s="1"/>
  <c r="K417" i="6" s="1"/>
  <c r="I417" i="6"/>
  <c r="O520" i="6"/>
  <c r="H520" i="6"/>
  <c r="J520" i="6" s="1"/>
  <c r="K520" i="6" s="1"/>
  <c r="I520" i="6"/>
  <c r="O24" i="6"/>
  <c r="I24" i="6"/>
  <c r="H24" i="6"/>
  <c r="J24" i="6" s="1"/>
  <c r="K24" i="6" s="1"/>
  <c r="O241" i="6"/>
  <c r="I241" i="6"/>
  <c r="H241" i="6"/>
  <c r="J241" i="6" s="1"/>
  <c r="K241" i="6" s="1"/>
  <c r="O447" i="6"/>
  <c r="I447" i="6"/>
  <c r="H447" i="6"/>
  <c r="J447" i="6" s="1"/>
  <c r="K447" i="6" s="1"/>
  <c r="O23" i="6"/>
  <c r="I23" i="6"/>
  <c r="H23" i="6"/>
  <c r="J23" i="6" s="1"/>
  <c r="K23" i="6" s="1"/>
  <c r="O126" i="6"/>
  <c r="I126" i="6"/>
  <c r="H126" i="6"/>
  <c r="J126" i="6" s="1"/>
  <c r="K126" i="6" s="1"/>
  <c r="O228" i="6"/>
  <c r="I228" i="6"/>
  <c r="H228" i="6"/>
  <c r="J228" i="6" s="1"/>
  <c r="K228" i="6" s="1"/>
  <c r="O329" i="6"/>
  <c r="I329" i="6"/>
  <c r="H329" i="6"/>
  <c r="J329" i="6" s="1"/>
  <c r="K329" i="6" s="1"/>
  <c r="O432" i="6"/>
  <c r="I432" i="6"/>
  <c r="H432" i="6"/>
  <c r="J432" i="6" s="1"/>
  <c r="K432" i="6" s="1"/>
  <c r="O535" i="6"/>
  <c r="H535" i="6"/>
  <c r="J535" i="6" s="1"/>
  <c r="K535" i="6" s="1"/>
  <c r="I535" i="6"/>
  <c r="O88" i="6"/>
  <c r="I88" i="6"/>
  <c r="H88" i="6"/>
  <c r="J88" i="6" s="1"/>
  <c r="K88" i="6" s="1"/>
  <c r="O280" i="6"/>
  <c r="I280" i="6"/>
  <c r="H280" i="6"/>
  <c r="J280" i="6" s="1"/>
  <c r="K280" i="6" s="1"/>
  <c r="O486" i="6"/>
  <c r="I486" i="6"/>
  <c r="H486" i="6"/>
  <c r="J486" i="6" s="1"/>
  <c r="K486" i="6" s="1"/>
  <c r="S116" i="6"/>
  <c r="S25" i="6"/>
  <c r="Q25" i="6"/>
  <c r="S256" i="6"/>
  <c r="Q256" i="6"/>
  <c r="O54" i="6"/>
  <c r="I54" i="6"/>
  <c r="H54" i="6"/>
  <c r="J54" i="6" s="1"/>
  <c r="K54" i="6" s="1"/>
  <c r="O156" i="6"/>
  <c r="I156" i="6"/>
  <c r="H156" i="6"/>
  <c r="J156" i="6" s="1"/>
  <c r="K156" i="6" s="1"/>
  <c r="O257" i="6"/>
  <c r="I257" i="6"/>
  <c r="H257" i="6"/>
  <c r="J257" i="6" s="1"/>
  <c r="K257" i="6" s="1"/>
  <c r="O360" i="6"/>
  <c r="I360" i="6"/>
  <c r="H360" i="6"/>
  <c r="J360" i="6" s="1"/>
  <c r="K360" i="6" s="1"/>
  <c r="O463" i="6"/>
  <c r="I463" i="6"/>
  <c r="H463" i="6"/>
  <c r="J463" i="6" s="1"/>
  <c r="K463" i="6" s="1"/>
  <c r="O566" i="6"/>
  <c r="I566" i="6"/>
  <c r="H566" i="6"/>
  <c r="J566" i="6" s="1"/>
  <c r="K566" i="6" s="1"/>
  <c r="P217" i="6"/>
  <c r="P320" i="6"/>
  <c r="Q398" i="6"/>
  <c r="O30" i="6"/>
  <c r="I30" i="6"/>
  <c r="H30" i="6"/>
  <c r="J30" i="6" s="1"/>
  <c r="K30" i="6" s="1"/>
  <c r="O132" i="6"/>
  <c r="I132" i="6"/>
  <c r="H132" i="6"/>
  <c r="J132" i="6" s="1"/>
  <c r="K132" i="6" s="1"/>
  <c r="O233" i="6"/>
  <c r="I233" i="6"/>
  <c r="H233" i="6"/>
  <c r="J233" i="6" s="1"/>
  <c r="K233" i="6" s="1"/>
  <c r="O336" i="6"/>
  <c r="I336" i="6"/>
  <c r="H336" i="6"/>
  <c r="J336" i="6" s="1"/>
  <c r="K336" i="6" s="1"/>
  <c r="O439" i="6"/>
  <c r="I439" i="6"/>
  <c r="H439" i="6"/>
  <c r="J439" i="6" s="1"/>
  <c r="K439" i="6" s="1"/>
  <c r="O542" i="6"/>
  <c r="I542" i="6"/>
  <c r="H542" i="6"/>
  <c r="J542" i="6" s="1"/>
  <c r="K542" i="6" s="1"/>
  <c r="S7" i="6"/>
  <c r="Q7" i="6"/>
  <c r="B27" i="6"/>
  <c r="H2" i="6"/>
  <c r="R552" i="3"/>
  <c r="S552" i="3" s="1"/>
  <c r="V552" i="3" s="1"/>
  <c r="N2" i="3"/>
  <c r="O2" i="3"/>
  <c r="P2" i="3" s="1"/>
  <c r="Q2" i="3" s="1"/>
  <c r="R560" i="3"/>
  <c r="S560" i="3" s="1"/>
  <c r="V560" i="3" s="1"/>
  <c r="F307" i="4"/>
  <c r="C333" i="4"/>
  <c r="N529" i="3"/>
  <c r="N336" i="3"/>
  <c r="O385" i="3"/>
  <c r="P385" i="3" s="1"/>
  <c r="Q385" i="3" s="1"/>
  <c r="R584" i="3"/>
  <c r="S584" i="3" s="1"/>
  <c r="V584" i="3" s="1"/>
  <c r="N456" i="3"/>
  <c r="N330" i="3"/>
  <c r="N10" i="3"/>
  <c r="N345" i="3"/>
  <c r="N184" i="3"/>
  <c r="N144" i="3"/>
  <c r="N520" i="3"/>
  <c r="O74" i="3"/>
  <c r="P74" i="3" s="1"/>
  <c r="Q74" i="3" s="1"/>
  <c r="O3" i="3"/>
  <c r="P3" i="3" s="1"/>
  <c r="Q3" i="3" s="1"/>
  <c r="O57" i="3"/>
  <c r="P57" i="3" s="1"/>
  <c r="Q57" i="3" s="1"/>
  <c r="N392" i="3"/>
  <c r="N576" i="3"/>
  <c r="N145" i="3"/>
  <c r="O321" i="3"/>
  <c r="P321" i="3" s="1"/>
  <c r="Q321" i="3" s="1"/>
  <c r="N214" i="3"/>
  <c r="N377" i="3"/>
  <c r="N464" i="3"/>
  <c r="N490" i="3"/>
  <c r="N457" i="3"/>
  <c r="N542" i="3"/>
  <c r="N569" i="3"/>
  <c r="N512" i="3"/>
  <c r="N592" i="3"/>
  <c r="O478" i="3"/>
  <c r="P478" i="3" s="1"/>
  <c r="Q478" i="3" s="1"/>
  <c r="O210" i="3"/>
  <c r="P210" i="3" s="1"/>
  <c r="Q210" i="3" s="1"/>
  <c r="N177" i="3"/>
  <c r="N554" i="3"/>
  <c r="O441" i="3"/>
  <c r="P441" i="3" s="1"/>
  <c r="Q441" i="3" s="1"/>
  <c r="N521" i="3"/>
  <c r="N193" i="3"/>
  <c r="N393" i="3"/>
  <c r="N22" i="3"/>
  <c r="N150" i="3"/>
  <c r="N241" i="3"/>
  <c r="O465" i="3"/>
  <c r="P465" i="3" s="1"/>
  <c r="Q465" i="3" s="1"/>
  <c r="N342" i="3"/>
  <c r="N400" i="3"/>
  <c r="N18" i="3"/>
  <c r="N65" i="3"/>
  <c r="N362" i="3"/>
  <c r="N448" i="3"/>
  <c r="N528" i="3"/>
  <c r="N426" i="3"/>
  <c r="O129" i="3"/>
  <c r="P129" i="3" s="1"/>
  <c r="Q129" i="3" s="1"/>
  <c r="O585" i="3"/>
  <c r="P585" i="3" s="1"/>
  <c r="Q585" i="3" s="1"/>
  <c r="N369" i="3"/>
  <c r="O72" i="3"/>
  <c r="P72" i="3" s="1"/>
  <c r="Q72" i="3" s="1"/>
  <c r="N414" i="3"/>
  <c r="R336" i="3"/>
  <c r="S336" i="3" s="1"/>
  <c r="V336" i="3" s="1"/>
  <c r="N354" i="3"/>
  <c r="O354" i="3"/>
  <c r="P354" i="3" s="1"/>
  <c r="Q354" i="3" s="1"/>
  <c r="N418" i="3"/>
  <c r="O418" i="3"/>
  <c r="P418" i="3" s="1"/>
  <c r="Q418" i="3" s="1"/>
  <c r="N546" i="3"/>
  <c r="O546" i="3"/>
  <c r="P546" i="3" s="1"/>
  <c r="Q546" i="3" s="1"/>
  <c r="O270" i="3"/>
  <c r="P270" i="3" s="1"/>
  <c r="Q270" i="3" s="1"/>
  <c r="N270" i="3"/>
  <c r="N334" i="3"/>
  <c r="O334" i="3"/>
  <c r="P334" i="3" s="1"/>
  <c r="Q334" i="3" s="1"/>
  <c r="O344" i="3"/>
  <c r="P344" i="3" s="1"/>
  <c r="Q344" i="3" s="1"/>
  <c r="N344" i="3"/>
  <c r="N534" i="3"/>
  <c r="O534" i="3"/>
  <c r="P534" i="3" s="1"/>
  <c r="Q534" i="3" s="1"/>
  <c r="O408" i="3"/>
  <c r="P408" i="3" s="1"/>
  <c r="Q408" i="3" s="1"/>
  <c r="N408" i="3"/>
  <c r="O472" i="3"/>
  <c r="P472" i="3" s="1"/>
  <c r="Q472" i="3" s="1"/>
  <c r="N472" i="3"/>
  <c r="O536" i="3"/>
  <c r="P536" i="3" s="1"/>
  <c r="Q536" i="3" s="1"/>
  <c r="N536" i="3"/>
  <c r="N370" i="3"/>
  <c r="O370" i="3"/>
  <c r="P370" i="3" s="1"/>
  <c r="Q370" i="3" s="1"/>
  <c r="N498" i="3"/>
  <c r="O498" i="3"/>
  <c r="P498" i="3" s="1"/>
  <c r="Q498" i="3" s="1"/>
  <c r="N562" i="3"/>
  <c r="O562" i="3"/>
  <c r="P562" i="3" s="1"/>
  <c r="Q562" i="3" s="1"/>
  <c r="O40" i="3"/>
  <c r="P40" i="3" s="1"/>
  <c r="Q40" i="3" s="1"/>
  <c r="N40" i="3"/>
  <c r="O104" i="3"/>
  <c r="P104" i="3" s="1"/>
  <c r="Q104" i="3" s="1"/>
  <c r="N104" i="3"/>
  <c r="N168" i="3"/>
  <c r="O168" i="3"/>
  <c r="P168" i="3" s="1"/>
  <c r="Q168" i="3" s="1"/>
  <c r="O38" i="3"/>
  <c r="P38" i="3" s="1"/>
  <c r="Q38" i="3" s="1"/>
  <c r="N38" i="3"/>
  <c r="N25" i="3"/>
  <c r="O25" i="3"/>
  <c r="P25" i="3" s="1"/>
  <c r="Q25" i="3" s="1"/>
  <c r="O153" i="3"/>
  <c r="P153" i="3" s="1"/>
  <c r="Q153" i="3" s="1"/>
  <c r="N153" i="3"/>
  <c r="N217" i="3"/>
  <c r="O217" i="3"/>
  <c r="P217" i="3" s="1"/>
  <c r="Q217" i="3" s="1"/>
  <c r="O281" i="3"/>
  <c r="P281" i="3" s="1"/>
  <c r="Q281" i="3" s="1"/>
  <c r="N281" i="3"/>
  <c r="O42" i="3"/>
  <c r="P42" i="3" s="1"/>
  <c r="Q42" i="3" s="1"/>
  <c r="N42" i="3"/>
  <c r="N106" i="3"/>
  <c r="O106" i="3"/>
  <c r="P106" i="3" s="1"/>
  <c r="Q106" i="3" s="1"/>
  <c r="N417" i="3"/>
  <c r="O417" i="3"/>
  <c r="P417" i="3" s="1"/>
  <c r="Q417" i="3" s="1"/>
  <c r="N553" i="3"/>
  <c r="O553" i="3"/>
  <c r="P553" i="3" s="1"/>
  <c r="Q553" i="3" s="1"/>
  <c r="O169" i="3"/>
  <c r="P169" i="3" s="1"/>
  <c r="Q169" i="3" s="1"/>
  <c r="N169" i="3"/>
  <c r="O233" i="3"/>
  <c r="P233" i="3" s="1"/>
  <c r="Q233" i="3" s="1"/>
  <c r="N233" i="3"/>
  <c r="O122" i="3"/>
  <c r="P122" i="3" s="1"/>
  <c r="Q122" i="3" s="1"/>
  <c r="N122" i="3"/>
  <c r="O510" i="3"/>
  <c r="P510" i="3" s="1"/>
  <c r="Q510" i="3" s="1"/>
  <c r="N510" i="3"/>
  <c r="N201" i="3"/>
  <c r="N113" i="3"/>
  <c r="N305" i="3"/>
  <c r="N152" i="3"/>
  <c r="O398" i="3"/>
  <c r="P398" i="3" s="1"/>
  <c r="Q398" i="3" s="1"/>
  <c r="O162" i="3"/>
  <c r="P162" i="3" s="1"/>
  <c r="Q162" i="3" s="1"/>
  <c r="R576" i="3"/>
  <c r="S576" i="3" s="1"/>
  <c r="V576" i="3" s="1"/>
  <c r="N416" i="3"/>
  <c r="N89" i="3"/>
  <c r="N280" i="3"/>
  <c r="O296" i="3"/>
  <c r="P296" i="3" s="1"/>
  <c r="Q296" i="3" s="1"/>
  <c r="N328" i="3"/>
  <c r="N352" i="3"/>
  <c r="N480" i="3"/>
  <c r="N544" i="3"/>
  <c r="N401" i="3"/>
  <c r="N134" i="3"/>
  <c r="O98" i="3"/>
  <c r="P98" i="3" s="1"/>
  <c r="Q98" i="3" s="1"/>
  <c r="O66" i="3"/>
  <c r="P66" i="3" s="1"/>
  <c r="Q66" i="3" s="1"/>
  <c r="N384" i="3"/>
  <c r="N433" i="3"/>
  <c r="O158" i="3"/>
  <c r="P158" i="3" s="1"/>
  <c r="Q158" i="3" s="1"/>
  <c r="O410" i="3"/>
  <c r="P410" i="3" s="1"/>
  <c r="Q410" i="3" s="1"/>
  <c r="R592" i="3"/>
  <c r="S592" i="3" s="1"/>
  <c r="V592" i="3" s="1"/>
  <c r="O577" i="3"/>
  <c r="P577" i="3" s="1"/>
  <c r="Q577" i="3" s="1"/>
  <c r="N577" i="3"/>
  <c r="O167" i="3"/>
  <c r="P167" i="3" s="1"/>
  <c r="Q167" i="3" s="1"/>
  <c r="N167" i="3"/>
  <c r="N96" i="3"/>
  <c r="O96" i="3"/>
  <c r="P96" i="3" s="1"/>
  <c r="Q96" i="3" s="1"/>
  <c r="N160" i="3"/>
  <c r="O160" i="3"/>
  <c r="P160" i="3" s="1"/>
  <c r="Q160" i="3" s="1"/>
  <c r="N288" i="3"/>
  <c r="O288" i="3"/>
  <c r="P288" i="3" s="1"/>
  <c r="Q288" i="3" s="1"/>
  <c r="O9" i="3"/>
  <c r="P9" i="3" s="1"/>
  <c r="Q9" i="3" s="1"/>
  <c r="N9" i="3"/>
  <c r="O329" i="3"/>
  <c r="P329" i="3" s="1"/>
  <c r="Q329" i="3" s="1"/>
  <c r="N329" i="3"/>
  <c r="N218" i="3"/>
  <c r="O218" i="3"/>
  <c r="P218" i="3" s="1"/>
  <c r="Q218" i="3" s="1"/>
  <c r="N139" i="3"/>
  <c r="O139" i="3"/>
  <c r="P139" i="3" s="1"/>
  <c r="Q139" i="3" s="1"/>
  <c r="O435" i="3"/>
  <c r="P435" i="3" s="1"/>
  <c r="Q435" i="3" s="1"/>
  <c r="N435" i="3"/>
  <c r="O292" i="3"/>
  <c r="P292" i="3" s="1"/>
  <c r="Q292" i="3" s="1"/>
  <c r="N292" i="3"/>
  <c r="O484" i="3"/>
  <c r="P484" i="3" s="1"/>
  <c r="Q484" i="3" s="1"/>
  <c r="N484" i="3"/>
  <c r="N237" i="3"/>
  <c r="O237" i="3"/>
  <c r="P237" i="3" s="1"/>
  <c r="Q237" i="3" s="1"/>
  <c r="O309" i="3"/>
  <c r="P309" i="3" s="1"/>
  <c r="Q309" i="3" s="1"/>
  <c r="N309" i="3"/>
  <c r="O6" i="3"/>
  <c r="P6" i="3" s="1"/>
  <c r="Q6" i="3" s="1"/>
  <c r="N6" i="3"/>
  <c r="N198" i="3"/>
  <c r="O198" i="3"/>
  <c r="P198" i="3" s="1"/>
  <c r="Q198" i="3" s="1"/>
  <c r="O326" i="3"/>
  <c r="P326" i="3" s="1"/>
  <c r="Q326" i="3" s="1"/>
  <c r="N326" i="3"/>
  <c r="O518" i="3"/>
  <c r="P518" i="3" s="1"/>
  <c r="Q518" i="3" s="1"/>
  <c r="N518" i="3"/>
  <c r="O371" i="3"/>
  <c r="P371" i="3" s="1"/>
  <c r="Q371" i="3" s="1"/>
  <c r="N371" i="3"/>
  <c r="N566" i="3"/>
  <c r="O566" i="3"/>
  <c r="P566" i="3" s="1"/>
  <c r="Q566" i="3" s="1"/>
  <c r="N469" i="3"/>
  <c r="O469" i="3"/>
  <c r="P469" i="3" s="1"/>
  <c r="Q469" i="3" s="1"/>
  <c r="O142" i="3"/>
  <c r="P142" i="3" s="1"/>
  <c r="Q142" i="3" s="1"/>
  <c r="N142" i="3"/>
  <c r="N26" i="3"/>
  <c r="O70" i="3"/>
  <c r="P70" i="3" s="1"/>
  <c r="Q70" i="3" s="1"/>
  <c r="O47" i="3"/>
  <c r="P47" i="3" s="1"/>
  <c r="Q47" i="3" s="1"/>
  <c r="N47" i="3"/>
  <c r="N111" i="3"/>
  <c r="O111" i="3"/>
  <c r="P111" i="3" s="1"/>
  <c r="Q111" i="3" s="1"/>
  <c r="O175" i="3"/>
  <c r="P175" i="3" s="1"/>
  <c r="Q175" i="3" s="1"/>
  <c r="N175" i="3"/>
  <c r="O239" i="3"/>
  <c r="P239" i="3" s="1"/>
  <c r="Q239" i="3" s="1"/>
  <c r="N239" i="3"/>
  <c r="N17" i="3"/>
  <c r="O17" i="3"/>
  <c r="P17" i="3" s="1"/>
  <c r="Q17" i="3" s="1"/>
  <c r="O209" i="3"/>
  <c r="P209" i="3" s="1"/>
  <c r="Q209" i="3" s="1"/>
  <c r="N209" i="3"/>
  <c r="O337" i="3"/>
  <c r="P337" i="3" s="1"/>
  <c r="Q337" i="3" s="1"/>
  <c r="N337" i="3"/>
  <c r="O226" i="3"/>
  <c r="P226" i="3" s="1"/>
  <c r="Q226" i="3" s="1"/>
  <c r="N226" i="3"/>
  <c r="N290" i="3"/>
  <c r="O290" i="3"/>
  <c r="P290" i="3" s="1"/>
  <c r="Q290" i="3" s="1"/>
  <c r="O19" i="3"/>
  <c r="P19" i="3" s="1"/>
  <c r="Q19" i="3" s="1"/>
  <c r="N19" i="3"/>
  <c r="O83" i="3"/>
  <c r="P83" i="3" s="1"/>
  <c r="Q83" i="3" s="1"/>
  <c r="N83" i="3"/>
  <c r="O147" i="3"/>
  <c r="P147" i="3" s="1"/>
  <c r="Q147" i="3" s="1"/>
  <c r="N147" i="3"/>
  <c r="O211" i="3"/>
  <c r="P211" i="3" s="1"/>
  <c r="Q211" i="3" s="1"/>
  <c r="N211" i="3"/>
  <c r="O275" i="3"/>
  <c r="P275" i="3" s="1"/>
  <c r="Q275" i="3" s="1"/>
  <c r="N275" i="3"/>
  <c r="O44" i="3"/>
  <c r="P44" i="3" s="1"/>
  <c r="Q44" i="3" s="1"/>
  <c r="N44" i="3"/>
  <c r="N108" i="3"/>
  <c r="O108" i="3"/>
  <c r="P108" i="3" s="1"/>
  <c r="Q108" i="3" s="1"/>
  <c r="N172" i="3"/>
  <c r="O172" i="3"/>
  <c r="P172" i="3" s="1"/>
  <c r="Q172" i="3" s="1"/>
  <c r="O236" i="3"/>
  <c r="P236" i="3" s="1"/>
  <c r="Q236" i="3" s="1"/>
  <c r="N236" i="3"/>
  <c r="O24" i="3"/>
  <c r="P24" i="3" s="1"/>
  <c r="Q24" i="3" s="1"/>
  <c r="N24" i="3"/>
  <c r="N497" i="3"/>
  <c r="O497" i="3"/>
  <c r="P497" i="3" s="1"/>
  <c r="Q497" i="3" s="1"/>
  <c r="N346" i="3"/>
  <c r="O346" i="3"/>
  <c r="P346" i="3" s="1"/>
  <c r="Q346" i="3" s="1"/>
  <c r="O474" i="3"/>
  <c r="P474" i="3" s="1"/>
  <c r="Q474" i="3" s="1"/>
  <c r="N474" i="3"/>
  <c r="O538" i="3"/>
  <c r="P538" i="3" s="1"/>
  <c r="Q538" i="3" s="1"/>
  <c r="N538" i="3"/>
  <c r="N602" i="3"/>
  <c r="O602" i="3"/>
  <c r="P602" i="3" s="1"/>
  <c r="Q602" i="3" s="1"/>
  <c r="N571" i="3"/>
  <c r="O571" i="3"/>
  <c r="P571" i="3" s="1"/>
  <c r="Q571" i="3" s="1"/>
  <c r="O300" i="3"/>
  <c r="P300" i="3" s="1"/>
  <c r="Q300" i="3" s="1"/>
  <c r="N300" i="3"/>
  <c r="O364" i="3"/>
  <c r="P364" i="3" s="1"/>
  <c r="Q364" i="3" s="1"/>
  <c r="N364" i="3"/>
  <c r="O428" i="3"/>
  <c r="P428" i="3" s="1"/>
  <c r="Q428" i="3" s="1"/>
  <c r="N428" i="3"/>
  <c r="N492" i="3"/>
  <c r="O492" i="3"/>
  <c r="P492" i="3" s="1"/>
  <c r="Q492" i="3" s="1"/>
  <c r="N556" i="3"/>
  <c r="O556" i="3"/>
  <c r="P556" i="3" s="1"/>
  <c r="Q556" i="3" s="1"/>
  <c r="N253" i="3"/>
  <c r="O253" i="3"/>
  <c r="P253" i="3" s="1"/>
  <c r="Q253" i="3" s="1"/>
  <c r="O317" i="3"/>
  <c r="P317" i="3" s="1"/>
  <c r="Q317" i="3" s="1"/>
  <c r="N317" i="3"/>
  <c r="N381" i="3"/>
  <c r="O381" i="3"/>
  <c r="P381" i="3" s="1"/>
  <c r="Q381" i="3" s="1"/>
  <c r="O14" i="3"/>
  <c r="P14" i="3" s="1"/>
  <c r="Q14" i="3" s="1"/>
  <c r="N14" i="3"/>
  <c r="O526" i="3"/>
  <c r="P526" i="3" s="1"/>
  <c r="Q526" i="3" s="1"/>
  <c r="N526" i="3"/>
  <c r="O590" i="3"/>
  <c r="P590" i="3" s="1"/>
  <c r="Q590" i="3" s="1"/>
  <c r="N590" i="3"/>
  <c r="N482" i="3"/>
  <c r="O482" i="3"/>
  <c r="P482" i="3" s="1"/>
  <c r="Q482" i="3" s="1"/>
  <c r="O315" i="3"/>
  <c r="P315" i="3" s="1"/>
  <c r="Q315" i="3" s="1"/>
  <c r="N315" i="3"/>
  <c r="O595" i="3"/>
  <c r="P595" i="3" s="1"/>
  <c r="Q595" i="3" s="1"/>
  <c r="N595" i="3"/>
  <c r="O405" i="3"/>
  <c r="P405" i="3" s="1"/>
  <c r="Q405" i="3" s="1"/>
  <c r="N405" i="3"/>
  <c r="O477" i="3"/>
  <c r="P477" i="3" s="1"/>
  <c r="Q477" i="3" s="1"/>
  <c r="N477" i="3"/>
  <c r="O549" i="3"/>
  <c r="P549" i="3" s="1"/>
  <c r="Q549" i="3" s="1"/>
  <c r="N549" i="3"/>
  <c r="O269" i="3"/>
  <c r="P269" i="3" s="1"/>
  <c r="Q269" i="3" s="1"/>
  <c r="N269" i="3"/>
  <c r="N461" i="3"/>
  <c r="O461" i="3"/>
  <c r="P461" i="3" s="1"/>
  <c r="Q461" i="3" s="1"/>
  <c r="O319" i="3"/>
  <c r="P319" i="3" s="1"/>
  <c r="Q319" i="3" s="1"/>
  <c r="N319" i="3"/>
  <c r="O383" i="3"/>
  <c r="P383" i="3" s="1"/>
  <c r="Q383" i="3" s="1"/>
  <c r="N383" i="3"/>
  <c r="O511" i="3"/>
  <c r="P511" i="3" s="1"/>
  <c r="Q511" i="3" s="1"/>
  <c r="N511" i="3"/>
  <c r="O575" i="3"/>
  <c r="P575" i="3" s="1"/>
  <c r="Q575" i="3" s="1"/>
  <c r="N575" i="3"/>
  <c r="N224" i="3"/>
  <c r="O224" i="3"/>
  <c r="P224" i="3" s="1"/>
  <c r="Q224" i="3" s="1"/>
  <c r="N282" i="3"/>
  <c r="O282" i="3"/>
  <c r="P282" i="3" s="1"/>
  <c r="Q282" i="3" s="1"/>
  <c r="N466" i="3"/>
  <c r="O466" i="3"/>
  <c r="P466" i="3" s="1"/>
  <c r="Q466" i="3" s="1"/>
  <c r="N363" i="3"/>
  <c r="O363" i="3"/>
  <c r="P363" i="3" s="1"/>
  <c r="Q363" i="3" s="1"/>
  <c r="O107" i="3"/>
  <c r="P107" i="3" s="1"/>
  <c r="Q107" i="3" s="1"/>
  <c r="N107" i="3"/>
  <c r="O548" i="3"/>
  <c r="P548" i="3" s="1"/>
  <c r="Q548" i="3" s="1"/>
  <c r="N548" i="3"/>
  <c r="N262" i="3"/>
  <c r="O262" i="3"/>
  <c r="P262" i="3" s="1"/>
  <c r="Q262" i="3" s="1"/>
  <c r="N245" i="3"/>
  <c r="O245" i="3"/>
  <c r="P245" i="3" s="1"/>
  <c r="Q245" i="3" s="1"/>
  <c r="O380" i="3"/>
  <c r="P380" i="3" s="1"/>
  <c r="Q380" i="3" s="1"/>
  <c r="N380" i="3"/>
  <c r="O479" i="3"/>
  <c r="P479" i="3" s="1"/>
  <c r="Q479" i="3" s="1"/>
  <c r="N479" i="3"/>
  <c r="N265" i="3"/>
  <c r="N136" i="3"/>
  <c r="O114" i="3"/>
  <c r="P114" i="3" s="1"/>
  <c r="Q114" i="3" s="1"/>
  <c r="O55" i="3"/>
  <c r="P55" i="3" s="1"/>
  <c r="Q55" i="3" s="1"/>
  <c r="N55" i="3"/>
  <c r="O119" i="3"/>
  <c r="P119" i="3" s="1"/>
  <c r="Q119" i="3" s="1"/>
  <c r="N119" i="3"/>
  <c r="O247" i="3"/>
  <c r="P247" i="3" s="1"/>
  <c r="Q247" i="3" s="1"/>
  <c r="N247" i="3"/>
  <c r="O48" i="3"/>
  <c r="P48" i="3" s="1"/>
  <c r="Q48" i="3" s="1"/>
  <c r="N48" i="3"/>
  <c r="N112" i="3"/>
  <c r="O112" i="3"/>
  <c r="P112" i="3" s="1"/>
  <c r="Q112" i="3" s="1"/>
  <c r="O176" i="3"/>
  <c r="P176" i="3" s="1"/>
  <c r="Q176" i="3" s="1"/>
  <c r="N176" i="3"/>
  <c r="O304" i="3"/>
  <c r="P304" i="3" s="1"/>
  <c r="Q304" i="3" s="1"/>
  <c r="N304" i="3"/>
  <c r="O27" i="3"/>
  <c r="P27" i="3" s="1"/>
  <c r="Q27" i="3" s="1"/>
  <c r="N27" i="3"/>
  <c r="O91" i="3"/>
  <c r="P91" i="3" s="1"/>
  <c r="Q91" i="3" s="1"/>
  <c r="N91" i="3"/>
  <c r="N155" i="3"/>
  <c r="O155" i="3"/>
  <c r="P155" i="3" s="1"/>
  <c r="Q155" i="3" s="1"/>
  <c r="N219" i="3"/>
  <c r="O219" i="3"/>
  <c r="P219" i="3" s="1"/>
  <c r="Q219" i="3" s="1"/>
  <c r="O283" i="3"/>
  <c r="P283" i="3" s="1"/>
  <c r="Q283" i="3" s="1"/>
  <c r="N283" i="3"/>
  <c r="N52" i="3"/>
  <c r="O52" i="3"/>
  <c r="P52" i="3" s="1"/>
  <c r="Q52" i="3" s="1"/>
  <c r="O116" i="3"/>
  <c r="P116" i="3" s="1"/>
  <c r="Q116" i="3" s="1"/>
  <c r="N116" i="3"/>
  <c r="O180" i="3"/>
  <c r="P180" i="3" s="1"/>
  <c r="Q180" i="3" s="1"/>
  <c r="N180" i="3"/>
  <c r="O244" i="3"/>
  <c r="P244" i="3" s="1"/>
  <c r="Q244" i="3" s="1"/>
  <c r="N244" i="3"/>
  <c r="O505" i="3"/>
  <c r="P505" i="3" s="1"/>
  <c r="Q505" i="3" s="1"/>
  <c r="N505" i="3"/>
  <c r="O105" i="3"/>
  <c r="P105" i="3" s="1"/>
  <c r="Q105" i="3" s="1"/>
  <c r="N105" i="3"/>
  <c r="N298" i="3"/>
  <c r="O298" i="3"/>
  <c r="P298" i="3" s="1"/>
  <c r="Q298" i="3" s="1"/>
  <c r="O387" i="3"/>
  <c r="P387" i="3" s="1"/>
  <c r="Q387" i="3" s="1"/>
  <c r="N387" i="3"/>
  <c r="O451" i="3"/>
  <c r="P451" i="3" s="1"/>
  <c r="Q451" i="3" s="1"/>
  <c r="N451" i="3"/>
  <c r="O515" i="3"/>
  <c r="P515" i="3" s="1"/>
  <c r="Q515" i="3" s="1"/>
  <c r="N515" i="3"/>
  <c r="O579" i="3"/>
  <c r="P579" i="3" s="1"/>
  <c r="Q579" i="3" s="1"/>
  <c r="N579" i="3"/>
  <c r="N171" i="3"/>
  <c r="O171" i="3"/>
  <c r="P171" i="3" s="1"/>
  <c r="Q171" i="3" s="1"/>
  <c r="O308" i="3"/>
  <c r="P308" i="3" s="1"/>
  <c r="Q308" i="3" s="1"/>
  <c r="N308" i="3"/>
  <c r="O372" i="3"/>
  <c r="P372" i="3" s="1"/>
  <c r="Q372" i="3" s="1"/>
  <c r="N372" i="3"/>
  <c r="O436" i="3"/>
  <c r="P436" i="3" s="1"/>
  <c r="Q436" i="3" s="1"/>
  <c r="N436" i="3"/>
  <c r="O500" i="3"/>
  <c r="P500" i="3" s="1"/>
  <c r="Q500" i="3" s="1"/>
  <c r="N500" i="3"/>
  <c r="O564" i="3"/>
  <c r="P564" i="3" s="1"/>
  <c r="Q564" i="3" s="1"/>
  <c r="N564" i="3"/>
  <c r="N84" i="3"/>
  <c r="O84" i="3"/>
  <c r="P84" i="3" s="1"/>
  <c r="Q84" i="3" s="1"/>
  <c r="N37" i="3"/>
  <c r="O37" i="3"/>
  <c r="P37" i="3" s="1"/>
  <c r="Q37" i="3" s="1"/>
  <c r="O109" i="3"/>
  <c r="P109" i="3" s="1"/>
  <c r="Q109" i="3" s="1"/>
  <c r="N109" i="3"/>
  <c r="O189" i="3"/>
  <c r="P189" i="3" s="1"/>
  <c r="Q189" i="3" s="1"/>
  <c r="N189" i="3"/>
  <c r="O261" i="3"/>
  <c r="P261" i="3" s="1"/>
  <c r="Q261" i="3" s="1"/>
  <c r="N261" i="3"/>
  <c r="O325" i="3"/>
  <c r="P325" i="3" s="1"/>
  <c r="Q325" i="3" s="1"/>
  <c r="N325" i="3"/>
  <c r="N5" i="3"/>
  <c r="O5" i="3"/>
  <c r="P5" i="3" s="1"/>
  <c r="Q5" i="3" s="1"/>
  <c r="O133" i="3"/>
  <c r="P133" i="3" s="1"/>
  <c r="Q133" i="3" s="1"/>
  <c r="N133" i="3"/>
  <c r="O86" i="3"/>
  <c r="P86" i="3" s="1"/>
  <c r="Q86" i="3" s="1"/>
  <c r="N86" i="3"/>
  <c r="O278" i="3"/>
  <c r="P278" i="3" s="1"/>
  <c r="Q278" i="3" s="1"/>
  <c r="N278" i="3"/>
  <c r="O406" i="3"/>
  <c r="P406" i="3" s="1"/>
  <c r="Q406" i="3" s="1"/>
  <c r="N406" i="3"/>
  <c r="N598" i="3"/>
  <c r="O598" i="3"/>
  <c r="P598" i="3" s="1"/>
  <c r="Q598" i="3" s="1"/>
  <c r="O407" i="3"/>
  <c r="P407" i="3" s="1"/>
  <c r="Q407" i="3" s="1"/>
  <c r="N407" i="3"/>
  <c r="O444" i="3"/>
  <c r="P444" i="3" s="1"/>
  <c r="Q444" i="3" s="1"/>
  <c r="N444" i="3"/>
  <c r="N485" i="3"/>
  <c r="O485" i="3"/>
  <c r="P485" i="3" s="1"/>
  <c r="Q485" i="3" s="1"/>
  <c r="O525" i="3"/>
  <c r="P525" i="3" s="1"/>
  <c r="Q525" i="3" s="1"/>
  <c r="N525" i="3"/>
  <c r="O206" i="3"/>
  <c r="P206" i="3" s="1"/>
  <c r="Q206" i="3" s="1"/>
  <c r="N206" i="3"/>
  <c r="O473" i="3"/>
  <c r="P473" i="3" s="1"/>
  <c r="Q473" i="3" s="1"/>
  <c r="N473" i="3"/>
  <c r="O339" i="3"/>
  <c r="P339" i="3" s="1"/>
  <c r="Q339" i="3" s="1"/>
  <c r="N339" i="3"/>
  <c r="O63" i="3"/>
  <c r="P63" i="3" s="1"/>
  <c r="Q63" i="3" s="1"/>
  <c r="N63" i="3"/>
  <c r="N127" i="3"/>
  <c r="O127" i="3"/>
  <c r="P127" i="3" s="1"/>
  <c r="Q127" i="3" s="1"/>
  <c r="O191" i="3"/>
  <c r="P191" i="3" s="1"/>
  <c r="Q191" i="3" s="1"/>
  <c r="N191" i="3"/>
  <c r="O255" i="3"/>
  <c r="P255" i="3" s="1"/>
  <c r="Q255" i="3" s="1"/>
  <c r="N255" i="3"/>
  <c r="O161" i="3"/>
  <c r="P161" i="3" s="1"/>
  <c r="Q161" i="3" s="1"/>
  <c r="N161" i="3"/>
  <c r="O225" i="3"/>
  <c r="P225" i="3" s="1"/>
  <c r="Q225" i="3" s="1"/>
  <c r="N225" i="3"/>
  <c r="O35" i="3"/>
  <c r="P35" i="3" s="1"/>
  <c r="Q35" i="3" s="1"/>
  <c r="N35" i="3"/>
  <c r="O99" i="3"/>
  <c r="P99" i="3" s="1"/>
  <c r="Q99" i="3" s="1"/>
  <c r="N99" i="3"/>
  <c r="O163" i="3"/>
  <c r="P163" i="3" s="1"/>
  <c r="Q163" i="3" s="1"/>
  <c r="N163" i="3"/>
  <c r="O227" i="3"/>
  <c r="P227" i="3" s="1"/>
  <c r="Q227" i="3" s="1"/>
  <c r="N227" i="3"/>
  <c r="O291" i="3"/>
  <c r="P291" i="3" s="1"/>
  <c r="Q291" i="3" s="1"/>
  <c r="N291" i="3"/>
  <c r="O60" i="3"/>
  <c r="P60" i="3" s="1"/>
  <c r="Q60" i="3" s="1"/>
  <c r="N60" i="3"/>
  <c r="N124" i="3"/>
  <c r="O124" i="3"/>
  <c r="P124" i="3" s="1"/>
  <c r="Q124" i="3" s="1"/>
  <c r="N188" i="3"/>
  <c r="O188" i="3"/>
  <c r="P188" i="3" s="1"/>
  <c r="Q188" i="3" s="1"/>
  <c r="O252" i="3"/>
  <c r="P252" i="3" s="1"/>
  <c r="Q252" i="3" s="1"/>
  <c r="N252" i="3"/>
  <c r="O496" i="3"/>
  <c r="P496" i="3" s="1"/>
  <c r="Q496" i="3" s="1"/>
  <c r="N496" i="3"/>
  <c r="O88" i="3"/>
  <c r="P88" i="3" s="1"/>
  <c r="Q88" i="3" s="1"/>
  <c r="N88" i="3"/>
  <c r="O513" i="3"/>
  <c r="P513" i="3" s="1"/>
  <c r="Q513" i="3" s="1"/>
  <c r="N513" i="3"/>
  <c r="N45" i="3"/>
  <c r="O45" i="3"/>
  <c r="P45" i="3" s="1"/>
  <c r="Q45" i="3" s="1"/>
  <c r="O125" i="3"/>
  <c r="P125" i="3" s="1"/>
  <c r="Q125" i="3" s="1"/>
  <c r="N125" i="3"/>
  <c r="O30" i="3"/>
  <c r="P30" i="3" s="1"/>
  <c r="Q30" i="3" s="1"/>
  <c r="N30" i="3"/>
  <c r="O350" i="3"/>
  <c r="P350" i="3" s="1"/>
  <c r="Q350" i="3" s="1"/>
  <c r="N350" i="3"/>
  <c r="N53" i="3"/>
  <c r="O53" i="3"/>
  <c r="P53" i="3" s="1"/>
  <c r="Q53" i="3" s="1"/>
  <c r="O379" i="3"/>
  <c r="P379" i="3" s="1"/>
  <c r="Q379" i="3" s="1"/>
  <c r="N379" i="3"/>
  <c r="O421" i="3"/>
  <c r="P421" i="3" s="1"/>
  <c r="Q421" i="3" s="1"/>
  <c r="N421" i="3"/>
  <c r="O493" i="3"/>
  <c r="P493" i="3" s="1"/>
  <c r="Q493" i="3" s="1"/>
  <c r="N493" i="3"/>
  <c r="O333" i="3"/>
  <c r="P333" i="3" s="1"/>
  <c r="Q333" i="3" s="1"/>
  <c r="N333" i="3"/>
  <c r="O271" i="3"/>
  <c r="P271" i="3" s="1"/>
  <c r="Q271" i="3" s="1"/>
  <c r="N271" i="3"/>
  <c r="O335" i="3"/>
  <c r="P335" i="3" s="1"/>
  <c r="Q335" i="3" s="1"/>
  <c r="N335" i="3"/>
  <c r="O399" i="3"/>
  <c r="P399" i="3" s="1"/>
  <c r="Q399" i="3" s="1"/>
  <c r="N399" i="3"/>
  <c r="O527" i="3"/>
  <c r="P527" i="3" s="1"/>
  <c r="Q527" i="3" s="1"/>
  <c r="N527" i="3"/>
  <c r="O591" i="3"/>
  <c r="P591" i="3" s="1"/>
  <c r="Q591" i="3" s="1"/>
  <c r="N591" i="3"/>
  <c r="O267" i="3"/>
  <c r="P267" i="3" s="1"/>
  <c r="Q267" i="3" s="1"/>
  <c r="N267" i="3"/>
  <c r="N297" i="3"/>
  <c r="O297" i="3"/>
  <c r="P297" i="3" s="1"/>
  <c r="Q297" i="3" s="1"/>
  <c r="O4" i="3"/>
  <c r="P4" i="3" s="1"/>
  <c r="Q4" i="3" s="1"/>
  <c r="O353" i="3"/>
  <c r="P353" i="3" s="1"/>
  <c r="Q353" i="3" s="1"/>
  <c r="N489" i="3"/>
  <c r="O594" i="3"/>
  <c r="P594" i="3" s="1"/>
  <c r="Q594" i="3" s="1"/>
  <c r="O402" i="3"/>
  <c r="P402" i="3" s="1"/>
  <c r="Q402" i="3" s="1"/>
  <c r="N7" i="3"/>
  <c r="O7" i="3"/>
  <c r="P7" i="3" s="1"/>
  <c r="Q7" i="3" s="1"/>
  <c r="O71" i="3"/>
  <c r="P71" i="3" s="1"/>
  <c r="Q71" i="3" s="1"/>
  <c r="N71" i="3"/>
  <c r="O135" i="3"/>
  <c r="P135" i="3" s="1"/>
  <c r="Q135" i="3" s="1"/>
  <c r="N135" i="3"/>
  <c r="O199" i="3"/>
  <c r="P199" i="3" s="1"/>
  <c r="Q199" i="3" s="1"/>
  <c r="N199" i="3"/>
  <c r="O263" i="3"/>
  <c r="P263" i="3" s="1"/>
  <c r="Q263" i="3" s="1"/>
  <c r="N263" i="3"/>
  <c r="O128" i="3"/>
  <c r="P128" i="3" s="1"/>
  <c r="Q128" i="3" s="1"/>
  <c r="N128" i="3"/>
  <c r="O256" i="3"/>
  <c r="P256" i="3" s="1"/>
  <c r="Q256" i="3" s="1"/>
  <c r="N256" i="3"/>
  <c r="O299" i="3"/>
  <c r="P299" i="3" s="1"/>
  <c r="Q299" i="3" s="1"/>
  <c r="N299" i="3"/>
  <c r="N68" i="3"/>
  <c r="O68" i="3"/>
  <c r="P68" i="3" s="1"/>
  <c r="Q68" i="3" s="1"/>
  <c r="O132" i="3"/>
  <c r="P132" i="3" s="1"/>
  <c r="Q132" i="3" s="1"/>
  <c r="N132" i="3"/>
  <c r="O196" i="3"/>
  <c r="P196" i="3" s="1"/>
  <c r="Q196" i="3" s="1"/>
  <c r="N196" i="3"/>
  <c r="O260" i="3"/>
  <c r="P260" i="3" s="1"/>
  <c r="Q260" i="3" s="1"/>
  <c r="N260" i="3"/>
  <c r="O376" i="3"/>
  <c r="P376" i="3" s="1"/>
  <c r="Q376" i="3" s="1"/>
  <c r="N376" i="3"/>
  <c r="N504" i="3"/>
  <c r="O504" i="3"/>
  <c r="P504" i="3" s="1"/>
  <c r="Q504" i="3" s="1"/>
  <c r="O568" i="3"/>
  <c r="P568" i="3" s="1"/>
  <c r="Q568" i="3" s="1"/>
  <c r="N568" i="3"/>
  <c r="N323" i="3"/>
  <c r="O323" i="3"/>
  <c r="P323" i="3" s="1"/>
  <c r="Q323" i="3" s="1"/>
  <c r="O403" i="3"/>
  <c r="P403" i="3" s="1"/>
  <c r="Q403" i="3" s="1"/>
  <c r="N403" i="3"/>
  <c r="O467" i="3"/>
  <c r="P467" i="3" s="1"/>
  <c r="Q467" i="3" s="1"/>
  <c r="N467" i="3"/>
  <c r="O531" i="3"/>
  <c r="P531" i="3" s="1"/>
  <c r="Q531" i="3" s="1"/>
  <c r="N531" i="3"/>
  <c r="O235" i="3"/>
  <c r="P235" i="3" s="1"/>
  <c r="Q235" i="3" s="1"/>
  <c r="N235" i="3"/>
  <c r="O324" i="3"/>
  <c r="P324" i="3" s="1"/>
  <c r="Q324" i="3" s="1"/>
  <c r="N324" i="3"/>
  <c r="O388" i="3"/>
  <c r="P388" i="3" s="1"/>
  <c r="Q388" i="3" s="1"/>
  <c r="N388" i="3"/>
  <c r="O452" i="3"/>
  <c r="P452" i="3" s="1"/>
  <c r="Q452" i="3" s="1"/>
  <c r="N452" i="3"/>
  <c r="O516" i="3"/>
  <c r="P516" i="3" s="1"/>
  <c r="Q516" i="3" s="1"/>
  <c r="N516" i="3"/>
  <c r="O580" i="3"/>
  <c r="P580" i="3" s="1"/>
  <c r="Q580" i="3" s="1"/>
  <c r="N580" i="3"/>
  <c r="O148" i="3"/>
  <c r="P148" i="3" s="1"/>
  <c r="Q148" i="3" s="1"/>
  <c r="N148" i="3"/>
  <c r="N61" i="3"/>
  <c r="O61" i="3"/>
  <c r="P61" i="3" s="1"/>
  <c r="Q61" i="3" s="1"/>
  <c r="N277" i="3"/>
  <c r="O277" i="3"/>
  <c r="P277" i="3" s="1"/>
  <c r="Q277" i="3" s="1"/>
  <c r="O341" i="3"/>
  <c r="P341" i="3" s="1"/>
  <c r="Q341" i="3" s="1"/>
  <c r="N341" i="3"/>
  <c r="N102" i="3"/>
  <c r="O102" i="3"/>
  <c r="P102" i="3" s="1"/>
  <c r="Q102" i="3" s="1"/>
  <c r="O166" i="3"/>
  <c r="P166" i="3" s="1"/>
  <c r="Q166" i="3" s="1"/>
  <c r="N166" i="3"/>
  <c r="O294" i="3"/>
  <c r="P294" i="3" s="1"/>
  <c r="Q294" i="3" s="1"/>
  <c r="N294" i="3"/>
  <c r="O358" i="3"/>
  <c r="P358" i="3" s="1"/>
  <c r="Q358" i="3" s="1"/>
  <c r="N358" i="3"/>
  <c r="O422" i="3"/>
  <c r="P422" i="3" s="1"/>
  <c r="Q422" i="3" s="1"/>
  <c r="N422" i="3"/>
  <c r="N550" i="3"/>
  <c r="O550" i="3"/>
  <c r="P550" i="3" s="1"/>
  <c r="Q550" i="3" s="1"/>
  <c r="N501" i="3"/>
  <c r="O501" i="3"/>
  <c r="P501" i="3" s="1"/>
  <c r="Q501" i="3" s="1"/>
  <c r="O447" i="3"/>
  <c r="P447" i="3" s="1"/>
  <c r="Q447" i="3" s="1"/>
  <c r="N447" i="3"/>
  <c r="O508" i="3"/>
  <c r="P508" i="3" s="1"/>
  <c r="Q508" i="3" s="1"/>
  <c r="N508" i="3"/>
  <c r="O509" i="3"/>
  <c r="P509" i="3" s="1"/>
  <c r="Q509" i="3" s="1"/>
  <c r="N509" i="3"/>
  <c r="O343" i="3"/>
  <c r="P343" i="3" s="1"/>
  <c r="Q343" i="3" s="1"/>
  <c r="N343" i="3"/>
  <c r="O231" i="3"/>
  <c r="P231" i="3" s="1"/>
  <c r="Q231" i="3" s="1"/>
  <c r="N231" i="3"/>
  <c r="N154" i="3"/>
  <c r="O154" i="3"/>
  <c r="P154" i="3" s="1"/>
  <c r="Q154" i="3" s="1"/>
  <c r="O75" i="3"/>
  <c r="P75" i="3" s="1"/>
  <c r="Q75" i="3" s="1"/>
  <c r="N75" i="3"/>
  <c r="O13" i="3"/>
  <c r="P13" i="3" s="1"/>
  <c r="Q13" i="3" s="1"/>
  <c r="N13" i="3"/>
  <c r="O425" i="3"/>
  <c r="P425" i="3" s="1"/>
  <c r="Q425" i="3" s="1"/>
  <c r="N425" i="3"/>
  <c r="O499" i="3"/>
  <c r="P499" i="3" s="1"/>
  <c r="Q499" i="3" s="1"/>
  <c r="N499" i="3"/>
  <c r="O356" i="3"/>
  <c r="P356" i="3" s="1"/>
  <c r="Q356" i="3" s="1"/>
  <c r="N356" i="3"/>
  <c r="O20" i="3"/>
  <c r="P20" i="3" s="1"/>
  <c r="Q20" i="3" s="1"/>
  <c r="N20" i="3"/>
  <c r="N32" i="3"/>
  <c r="N530" i="3"/>
  <c r="O15" i="3"/>
  <c r="P15" i="3" s="1"/>
  <c r="Q15" i="3" s="1"/>
  <c r="N15" i="3"/>
  <c r="O79" i="3"/>
  <c r="P79" i="3" s="1"/>
  <c r="Q79" i="3" s="1"/>
  <c r="N79" i="3"/>
  <c r="O143" i="3"/>
  <c r="P143" i="3" s="1"/>
  <c r="Q143" i="3" s="1"/>
  <c r="N143" i="3"/>
  <c r="O207" i="3"/>
  <c r="P207" i="3" s="1"/>
  <c r="Q207" i="3" s="1"/>
  <c r="N207" i="3"/>
  <c r="N8" i="3"/>
  <c r="O8" i="3"/>
  <c r="P8" i="3" s="1"/>
  <c r="Q8" i="3" s="1"/>
  <c r="N200" i="3"/>
  <c r="O200" i="3"/>
  <c r="P200" i="3" s="1"/>
  <c r="Q200" i="3" s="1"/>
  <c r="O264" i="3"/>
  <c r="P264" i="3" s="1"/>
  <c r="Q264" i="3" s="1"/>
  <c r="N264" i="3"/>
  <c r="N130" i="3"/>
  <c r="O130" i="3"/>
  <c r="P130" i="3" s="1"/>
  <c r="Q130" i="3" s="1"/>
  <c r="N194" i="3"/>
  <c r="O194" i="3"/>
  <c r="P194" i="3" s="1"/>
  <c r="Q194" i="3" s="1"/>
  <c r="N258" i="3"/>
  <c r="O258" i="3"/>
  <c r="P258" i="3" s="1"/>
  <c r="Q258" i="3" s="1"/>
  <c r="N322" i="3"/>
  <c r="O322" i="3"/>
  <c r="P322" i="3" s="1"/>
  <c r="Q322" i="3" s="1"/>
  <c r="O51" i="3"/>
  <c r="P51" i="3" s="1"/>
  <c r="Q51" i="3" s="1"/>
  <c r="N51" i="3"/>
  <c r="O115" i="3"/>
  <c r="P115" i="3" s="1"/>
  <c r="Q115" i="3" s="1"/>
  <c r="N115" i="3"/>
  <c r="O179" i="3"/>
  <c r="P179" i="3" s="1"/>
  <c r="Q179" i="3" s="1"/>
  <c r="N179" i="3"/>
  <c r="O243" i="3"/>
  <c r="P243" i="3" s="1"/>
  <c r="Q243" i="3" s="1"/>
  <c r="N243" i="3"/>
  <c r="O76" i="3"/>
  <c r="P76" i="3" s="1"/>
  <c r="Q76" i="3" s="1"/>
  <c r="N76" i="3"/>
  <c r="O140" i="3"/>
  <c r="P140" i="3" s="1"/>
  <c r="Q140" i="3" s="1"/>
  <c r="N140" i="3"/>
  <c r="O204" i="3"/>
  <c r="P204" i="3" s="1"/>
  <c r="Q204" i="3" s="1"/>
  <c r="N204" i="3"/>
  <c r="O268" i="3"/>
  <c r="P268" i="3" s="1"/>
  <c r="Q268" i="3" s="1"/>
  <c r="N268" i="3"/>
  <c r="N378" i="3"/>
  <c r="O378" i="3"/>
  <c r="P378" i="3" s="1"/>
  <c r="Q378" i="3" s="1"/>
  <c r="O411" i="3"/>
  <c r="P411" i="3" s="1"/>
  <c r="Q411" i="3" s="1"/>
  <c r="N411" i="3"/>
  <c r="O475" i="3"/>
  <c r="P475" i="3" s="1"/>
  <c r="Q475" i="3" s="1"/>
  <c r="N475" i="3"/>
  <c r="O539" i="3"/>
  <c r="P539" i="3" s="1"/>
  <c r="Q539" i="3" s="1"/>
  <c r="N539" i="3"/>
  <c r="O588" i="3"/>
  <c r="P588" i="3" s="1"/>
  <c r="Q588" i="3" s="1"/>
  <c r="N588" i="3"/>
  <c r="O141" i="3"/>
  <c r="P141" i="3" s="1"/>
  <c r="Q141" i="3" s="1"/>
  <c r="N141" i="3"/>
  <c r="O213" i="3"/>
  <c r="P213" i="3" s="1"/>
  <c r="Q213" i="3" s="1"/>
  <c r="N213" i="3"/>
  <c r="O69" i="3"/>
  <c r="P69" i="3" s="1"/>
  <c r="Q69" i="3" s="1"/>
  <c r="N69" i="3"/>
  <c r="O46" i="3"/>
  <c r="P46" i="3" s="1"/>
  <c r="Q46" i="3" s="1"/>
  <c r="N46" i="3"/>
  <c r="O110" i="3"/>
  <c r="P110" i="3" s="1"/>
  <c r="Q110" i="3" s="1"/>
  <c r="N110" i="3"/>
  <c r="N174" i="3"/>
  <c r="O174" i="3"/>
  <c r="P174" i="3" s="1"/>
  <c r="Q174" i="3" s="1"/>
  <c r="O238" i="3"/>
  <c r="P238" i="3" s="1"/>
  <c r="Q238" i="3" s="1"/>
  <c r="N238" i="3"/>
  <c r="O302" i="3"/>
  <c r="P302" i="3" s="1"/>
  <c r="Q302" i="3" s="1"/>
  <c r="N302" i="3"/>
  <c r="N430" i="3"/>
  <c r="O430" i="3"/>
  <c r="P430" i="3" s="1"/>
  <c r="Q430" i="3" s="1"/>
  <c r="O494" i="3"/>
  <c r="P494" i="3" s="1"/>
  <c r="Q494" i="3" s="1"/>
  <c r="N494" i="3"/>
  <c r="O558" i="3"/>
  <c r="P558" i="3" s="1"/>
  <c r="Q558" i="3" s="1"/>
  <c r="N558" i="3"/>
  <c r="N555" i="3"/>
  <c r="O555" i="3"/>
  <c r="P555" i="3" s="1"/>
  <c r="Q555" i="3" s="1"/>
  <c r="O443" i="3"/>
  <c r="P443" i="3" s="1"/>
  <c r="Q443" i="3" s="1"/>
  <c r="N443" i="3"/>
  <c r="O519" i="3"/>
  <c r="P519" i="3" s="1"/>
  <c r="Q519" i="3" s="1"/>
  <c r="N519" i="3"/>
  <c r="N445" i="3"/>
  <c r="O445" i="3"/>
  <c r="P445" i="3" s="1"/>
  <c r="Q445" i="3" s="1"/>
  <c r="O517" i="3"/>
  <c r="P517" i="3" s="1"/>
  <c r="Q517" i="3" s="1"/>
  <c r="N517" i="3"/>
  <c r="O397" i="3"/>
  <c r="P397" i="3" s="1"/>
  <c r="Q397" i="3" s="1"/>
  <c r="N397" i="3"/>
  <c r="O462" i="3"/>
  <c r="P462" i="3" s="1"/>
  <c r="Q462" i="3" s="1"/>
  <c r="N462" i="3"/>
  <c r="O543" i="3"/>
  <c r="P543" i="3" s="1"/>
  <c r="Q543" i="3" s="1"/>
  <c r="N543" i="3"/>
  <c r="O39" i="3"/>
  <c r="P39" i="3" s="1"/>
  <c r="Q39" i="3" s="1"/>
  <c r="N39" i="3"/>
  <c r="O439" i="3"/>
  <c r="P439" i="3" s="1"/>
  <c r="Q439" i="3" s="1"/>
  <c r="N439" i="3"/>
  <c r="O49" i="3"/>
  <c r="P49" i="3" s="1"/>
  <c r="Q49" i="3" s="1"/>
  <c r="N33" i="3"/>
  <c r="N56" i="3"/>
  <c r="N454" i="3"/>
  <c r="O178" i="3"/>
  <c r="P178" i="3" s="1"/>
  <c r="Q178" i="3" s="1"/>
  <c r="O242" i="3"/>
  <c r="P242" i="3" s="1"/>
  <c r="Q242" i="3" s="1"/>
  <c r="O23" i="3"/>
  <c r="P23" i="3" s="1"/>
  <c r="Q23" i="3" s="1"/>
  <c r="N23" i="3"/>
  <c r="O87" i="3"/>
  <c r="P87" i="3" s="1"/>
  <c r="Q87" i="3" s="1"/>
  <c r="N87" i="3"/>
  <c r="O151" i="3"/>
  <c r="P151" i="3" s="1"/>
  <c r="Q151" i="3" s="1"/>
  <c r="N151" i="3"/>
  <c r="O215" i="3"/>
  <c r="P215" i="3" s="1"/>
  <c r="Q215" i="3" s="1"/>
  <c r="N215" i="3"/>
  <c r="O80" i="3"/>
  <c r="P80" i="3" s="1"/>
  <c r="Q80" i="3" s="1"/>
  <c r="N80" i="3"/>
  <c r="O208" i="3"/>
  <c r="P208" i="3" s="1"/>
  <c r="Q208" i="3" s="1"/>
  <c r="N208" i="3"/>
  <c r="O272" i="3"/>
  <c r="P272" i="3" s="1"/>
  <c r="Q272" i="3" s="1"/>
  <c r="N272" i="3"/>
  <c r="N138" i="3"/>
  <c r="O138" i="3"/>
  <c r="P138" i="3" s="1"/>
  <c r="Q138" i="3" s="1"/>
  <c r="N202" i="3"/>
  <c r="O202" i="3"/>
  <c r="P202" i="3" s="1"/>
  <c r="Q202" i="3" s="1"/>
  <c r="N266" i="3"/>
  <c r="O266" i="3"/>
  <c r="P266" i="3" s="1"/>
  <c r="Q266" i="3" s="1"/>
  <c r="O276" i="3"/>
  <c r="P276" i="3" s="1"/>
  <c r="Q276" i="3" s="1"/>
  <c r="N276" i="3"/>
  <c r="O601" i="3"/>
  <c r="P601" i="3" s="1"/>
  <c r="Q601" i="3" s="1"/>
  <c r="N601" i="3"/>
  <c r="N450" i="3"/>
  <c r="O450" i="3"/>
  <c r="P450" i="3" s="1"/>
  <c r="Q450" i="3" s="1"/>
  <c r="N514" i="3"/>
  <c r="O514" i="3"/>
  <c r="P514" i="3" s="1"/>
  <c r="Q514" i="3" s="1"/>
  <c r="N170" i="3"/>
  <c r="O170" i="3"/>
  <c r="P170" i="3" s="1"/>
  <c r="Q170" i="3" s="1"/>
  <c r="N347" i="3"/>
  <c r="O347" i="3"/>
  <c r="P347" i="3" s="1"/>
  <c r="Q347" i="3" s="1"/>
  <c r="O419" i="3"/>
  <c r="P419" i="3" s="1"/>
  <c r="Q419" i="3" s="1"/>
  <c r="N419" i="3"/>
  <c r="O483" i="3"/>
  <c r="P483" i="3" s="1"/>
  <c r="Q483" i="3" s="1"/>
  <c r="N483" i="3"/>
  <c r="O547" i="3"/>
  <c r="P547" i="3" s="1"/>
  <c r="Q547" i="3" s="1"/>
  <c r="N547" i="3"/>
  <c r="N43" i="3"/>
  <c r="O43" i="3"/>
  <c r="P43" i="3" s="1"/>
  <c r="Q43" i="3" s="1"/>
  <c r="O12" i="3"/>
  <c r="P12" i="3" s="1"/>
  <c r="Q12" i="3" s="1"/>
  <c r="N12" i="3"/>
  <c r="O340" i="3"/>
  <c r="P340" i="3" s="1"/>
  <c r="Q340" i="3" s="1"/>
  <c r="N340" i="3"/>
  <c r="O404" i="3"/>
  <c r="P404" i="3" s="1"/>
  <c r="Q404" i="3" s="1"/>
  <c r="N404" i="3"/>
  <c r="O468" i="3"/>
  <c r="P468" i="3" s="1"/>
  <c r="Q468" i="3" s="1"/>
  <c r="N468" i="3"/>
  <c r="O532" i="3"/>
  <c r="P532" i="3" s="1"/>
  <c r="Q532" i="3" s="1"/>
  <c r="N532" i="3"/>
  <c r="O596" i="3"/>
  <c r="P596" i="3" s="1"/>
  <c r="Q596" i="3" s="1"/>
  <c r="N596" i="3"/>
  <c r="O212" i="3"/>
  <c r="P212" i="3" s="1"/>
  <c r="Q212" i="3" s="1"/>
  <c r="N212" i="3"/>
  <c r="O77" i="3"/>
  <c r="P77" i="3" s="1"/>
  <c r="Q77" i="3" s="1"/>
  <c r="N77" i="3"/>
  <c r="O293" i="3"/>
  <c r="P293" i="3" s="1"/>
  <c r="Q293" i="3" s="1"/>
  <c r="N293" i="3"/>
  <c r="O357" i="3"/>
  <c r="P357" i="3" s="1"/>
  <c r="Q357" i="3" s="1"/>
  <c r="N357" i="3"/>
  <c r="O54" i="3"/>
  <c r="P54" i="3" s="1"/>
  <c r="Q54" i="3" s="1"/>
  <c r="N54" i="3"/>
  <c r="O182" i="3"/>
  <c r="P182" i="3" s="1"/>
  <c r="Q182" i="3" s="1"/>
  <c r="N182" i="3"/>
  <c r="O246" i="3"/>
  <c r="P246" i="3" s="1"/>
  <c r="Q246" i="3" s="1"/>
  <c r="N246" i="3"/>
  <c r="N438" i="3"/>
  <c r="O438" i="3"/>
  <c r="P438" i="3" s="1"/>
  <c r="Q438" i="3" s="1"/>
  <c r="O502" i="3"/>
  <c r="P502" i="3" s="1"/>
  <c r="Q502" i="3" s="1"/>
  <c r="N502" i="3"/>
  <c r="O316" i="3"/>
  <c r="P316" i="3" s="1"/>
  <c r="Q316" i="3" s="1"/>
  <c r="N316" i="3"/>
  <c r="O572" i="3"/>
  <c r="P572" i="3" s="1"/>
  <c r="Q572" i="3" s="1"/>
  <c r="N572" i="3"/>
  <c r="N453" i="3"/>
  <c r="O453" i="3"/>
  <c r="P453" i="3" s="1"/>
  <c r="Q453" i="3" s="1"/>
  <c r="O78" i="3"/>
  <c r="P78" i="3" s="1"/>
  <c r="Q78" i="3" s="1"/>
  <c r="N78" i="3"/>
  <c r="O295" i="3"/>
  <c r="P295" i="3" s="1"/>
  <c r="Q295" i="3" s="1"/>
  <c r="N295" i="3"/>
  <c r="N103" i="3"/>
  <c r="O103" i="3"/>
  <c r="P103" i="3" s="1"/>
  <c r="Q103" i="3" s="1"/>
  <c r="N90" i="3"/>
  <c r="O90" i="3"/>
  <c r="P90" i="3" s="1"/>
  <c r="Q90" i="3" s="1"/>
  <c r="O11" i="3"/>
  <c r="P11" i="3" s="1"/>
  <c r="Q11" i="3" s="1"/>
  <c r="N11" i="3"/>
  <c r="O203" i="3"/>
  <c r="P203" i="3" s="1"/>
  <c r="Q203" i="3" s="1"/>
  <c r="N203" i="3"/>
  <c r="O232" i="3"/>
  <c r="P232" i="3" s="1"/>
  <c r="Q232" i="3" s="1"/>
  <c r="N232" i="3"/>
  <c r="N234" i="3"/>
  <c r="O234" i="3"/>
  <c r="P234" i="3" s="1"/>
  <c r="Q234" i="3" s="1"/>
  <c r="N563" i="3"/>
  <c r="O563" i="3"/>
  <c r="P563" i="3" s="1"/>
  <c r="Q563" i="3" s="1"/>
  <c r="O420" i="3"/>
  <c r="P420" i="3" s="1"/>
  <c r="Q420" i="3" s="1"/>
  <c r="N420" i="3"/>
  <c r="O373" i="3"/>
  <c r="P373" i="3" s="1"/>
  <c r="Q373" i="3" s="1"/>
  <c r="N373" i="3"/>
  <c r="O137" i="3"/>
  <c r="P137" i="3" s="1"/>
  <c r="Q137" i="3" s="1"/>
  <c r="N41" i="3"/>
  <c r="N73" i="3"/>
  <c r="O120" i="3"/>
  <c r="P120" i="3" s="1"/>
  <c r="Q120" i="3" s="1"/>
  <c r="N390" i="3"/>
  <c r="O31" i="3"/>
  <c r="P31" i="3" s="1"/>
  <c r="Q31" i="3" s="1"/>
  <c r="N31" i="3"/>
  <c r="N95" i="3"/>
  <c r="O95" i="3"/>
  <c r="P95" i="3" s="1"/>
  <c r="Q95" i="3" s="1"/>
  <c r="O159" i="3"/>
  <c r="P159" i="3" s="1"/>
  <c r="Q159" i="3" s="1"/>
  <c r="N159" i="3"/>
  <c r="O223" i="3"/>
  <c r="P223" i="3" s="1"/>
  <c r="Q223" i="3" s="1"/>
  <c r="N223" i="3"/>
  <c r="O257" i="3"/>
  <c r="P257" i="3" s="1"/>
  <c r="Q257" i="3" s="1"/>
  <c r="N257" i="3"/>
  <c r="O82" i="3"/>
  <c r="P82" i="3" s="1"/>
  <c r="Q82" i="3" s="1"/>
  <c r="N82" i="3"/>
  <c r="N146" i="3"/>
  <c r="O146" i="3"/>
  <c r="P146" i="3" s="1"/>
  <c r="Q146" i="3" s="1"/>
  <c r="N274" i="3"/>
  <c r="O274" i="3"/>
  <c r="P274" i="3" s="1"/>
  <c r="Q274" i="3" s="1"/>
  <c r="N338" i="3"/>
  <c r="O338" i="3"/>
  <c r="P338" i="3" s="1"/>
  <c r="Q338" i="3" s="1"/>
  <c r="O67" i="3"/>
  <c r="P67" i="3" s="1"/>
  <c r="Q67" i="3" s="1"/>
  <c r="N67" i="3"/>
  <c r="O131" i="3"/>
  <c r="P131" i="3" s="1"/>
  <c r="Q131" i="3" s="1"/>
  <c r="N131" i="3"/>
  <c r="O195" i="3"/>
  <c r="P195" i="3" s="1"/>
  <c r="Q195" i="3" s="1"/>
  <c r="N195" i="3"/>
  <c r="O259" i="3"/>
  <c r="P259" i="3" s="1"/>
  <c r="Q259" i="3" s="1"/>
  <c r="N259" i="3"/>
  <c r="O28" i="3"/>
  <c r="P28" i="3" s="1"/>
  <c r="Q28" i="3" s="1"/>
  <c r="N28" i="3"/>
  <c r="N92" i="3"/>
  <c r="O92" i="3"/>
  <c r="P92" i="3" s="1"/>
  <c r="Q92" i="3" s="1"/>
  <c r="O156" i="3"/>
  <c r="P156" i="3" s="1"/>
  <c r="Q156" i="3" s="1"/>
  <c r="N156" i="3"/>
  <c r="O220" i="3"/>
  <c r="P220" i="3" s="1"/>
  <c r="Q220" i="3" s="1"/>
  <c r="N220" i="3"/>
  <c r="O216" i="3"/>
  <c r="P216" i="3" s="1"/>
  <c r="Q216" i="3" s="1"/>
  <c r="N216" i="3"/>
  <c r="O355" i="3"/>
  <c r="P355" i="3" s="1"/>
  <c r="Q355" i="3" s="1"/>
  <c r="N355" i="3"/>
  <c r="O427" i="3"/>
  <c r="P427" i="3" s="1"/>
  <c r="Q427" i="3" s="1"/>
  <c r="N427" i="3"/>
  <c r="O491" i="3"/>
  <c r="P491" i="3" s="1"/>
  <c r="Q491" i="3" s="1"/>
  <c r="N491" i="3"/>
  <c r="O284" i="3"/>
  <c r="P284" i="3" s="1"/>
  <c r="Q284" i="3" s="1"/>
  <c r="N284" i="3"/>
  <c r="O348" i="3"/>
  <c r="P348" i="3" s="1"/>
  <c r="Q348" i="3" s="1"/>
  <c r="N348" i="3"/>
  <c r="O412" i="3"/>
  <c r="P412" i="3" s="1"/>
  <c r="Q412" i="3" s="1"/>
  <c r="N412" i="3"/>
  <c r="O476" i="3"/>
  <c r="P476" i="3" s="1"/>
  <c r="Q476" i="3" s="1"/>
  <c r="N476" i="3"/>
  <c r="O540" i="3"/>
  <c r="P540" i="3" s="1"/>
  <c r="Q540" i="3" s="1"/>
  <c r="N540" i="3"/>
  <c r="O157" i="3"/>
  <c r="P157" i="3" s="1"/>
  <c r="Q157" i="3" s="1"/>
  <c r="N157" i="3"/>
  <c r="N229" i="3"/>
  <c r="O229" i="3"/>
  <c r="P229" i="3" s="1"/>
  <c r="Q229" i="3" s="1"/>
  <c r="O301" i="3"/>
  <c r="P301" i="3" s="1"/>
  <c r="Q301" i="3" s="1"/>
  <c r="N301" i="3"/>
  <c r="N365" i="3"/>
  <c r="O365" i="3"/>
  <c r="P365" i="3" s="1"/>
  <c r="Q365" i="3" s="1"/>
  <c r="O197" i="3"/>
  <c r="P197" i="3" s="1"/>
  <c r="Q197" i="3" s="1"/>
  <c r="N197" i="3"/>
  <c r="O126" i="3"/>
  <c r="P126" i="3" s="1"/>
  <c r="Q126" i="3" s="1"/>
  <c r="N126" i="3"/>
  <c r="N190" i="3"/>
  <c r="O190" i="3"/>
  <c r="P190" i="3" s="1"/>
  <c r="Q190" i="3" s="1"/>
  <c r="O318" i="3"/>
  <c r="P318" i="3" s="1"/>
  <c r="Q318" i="3" s="1"/>
  <c r="N318" i="3"/>
  <c r="O382" i="3"/>
  <c r="P382" i="3" s="1"/>
  <c r="Q382" i="3" s="1"/>
  <c r="N382" i="3"/>
  <c r="O446" i="3"/>
  <c r="P446" i="3" s="1"/>
  <c r="Q446" i="3" s="1"/>
  <c r="N446" i="3"/>
  <c r="O574" i="3"/>
  <c r="P574" i="3" s="1"/>
  <c r="Q574" i="3" s="1"/>
  <c r="N574" i="3"/>
  <c r="N307" i="3"/>
  <c r="O307" i="3"/>
  <c r="P307" i="3" s="1"/>
  <c r="Q307" i="3" s="1"/>
  <c r="O507" i="3"/>
  <c r="P507" i="3" s="1"/>
  <c r="Q507" i="3" s="1"/>
  <c r="N507" i="3"/>
  <c r="O389" i="3"/>
  <c r="P389" i="3" s="1"/>
  <c r="Q389" i="3" s="1"/>
  <c r="N389" i="3"/>
  <c r="O533" i="3"/>
  <c r="P533" i="3" s="1"/>
  <c r="Q533" i="3" s="1"/>
  <c r="N533" i="3"/>
  <c r="O205" i="3"/>
  <c r="P205" i="3" s="1"/>
  <c r="Q205" i="3" s="1"/>
  <c r="N205" i="3"/>
  <c r="O375" i="3"/>
  <c r="P375" i="3" s="1"/>
  <c r="Q375" i="3" s="1"/>
  <c r="N375" i="3"/>
  <c r="O279" i="3"/>
  <c r="P279" i="3" s="1"/>
  <c r="Q279" i="3" s="1"/>
  <c r="N279" i="3"/>
  <c r="O183" i="3"/>
  <c r="P183" i="3" s="1"/>
  <c r="Q183" i="3" s="1"/>
  <c r="N183" i="3"/>
  <c r="O600" i="3"/>
  <c r="P600" i="3" s="1"/>
  <c r="Q600" i="3" s="1"/>
  <c r="N600" i="3"/>
  <c r="O487" i="3"/>
  <c r="P487" i="3" s="1"/>
  <c r="Q487" i="3" s="1"/>
  <c r="N487" i="3"/>
  <c r="O455" i="3"/>
  <c r="P455" i="3" s="1"/>
  <c r="Q455" i="3" s="1"/>
  <c r="N455" i="3"/>
  <c r="O583" i="3"/>
  <c r="P583" i="3" s="1"/>
  <c r="Q583" i="3" s="1"/>
  <c r="N583" i="3"/>
  <c r="O415" i="3"/>
  <c r="P415" i="3" s="1"/>
  <c r="Q415" i="3" s="1"/>
  <c r="N415" i="3"/>
  <c r="O59" i="3"/>
  <c r="P59" i="3" s="1"/>
  <c r="Q59" i="3" s="1"/>
  <c r="N59" i="3"/>
  <c r="N123" i="3"/>
  <c r="O123" i="3"/>
  <c r="P123" i="3" s="1"/>
  <c r="Q123" i="3" s="1"/>
  <c r="O187" i="3"/>
  <c r="P187" i="3" s="1"/>
  <c r="Q187" i="3" s="1"/>
  <c r="N187" i="3"/>
  <c r="O251" i="3"/>
  <c r="P251" i="3" s="1"/>
  <c r="Q251" i="3" s="1"/>
  <c r="N251" i="3"/>
  <c r="N36" i="3"/>
  <c r="O36" i="3"/>
  <c r="P36" i="3" s="1"/>
  <c r="Q36" i="3" s="1"/>
  <c r="O100" i="3"/>
  <c r="P100" i="3" s="1"/>
  <c r="Q100" i="3" s="1"/>
  <c r="N100" i="3"/>
  <c r="O164" i="3"/>
  <c r="P164" i="3" s="1"/>
  <c r="Q164" i="3" s="1"/>
  <c r="N164" i="3"/>
  <c r="O228" i="3"/>
  <c r="P228" i="3" s="1"/>
  <c r="Q228" i="3" s="1"/>
  <c r="N228" i="3"/>
  <c r="O21" i="3"/>
  <c r="P21" i="3" s="1"/>
  <c r="Q21" i="3" s="1"/>
  <c r="N21" i="3"/>
  <c r="O85" i="3"/>
  <c r="P85" i="3" s="1"/>
  <c r="Q85" i="3" s="1"/>
  <c r="N85" i="3"/>
  <c r="N149" i="3"/>
  <c r="O149" i="3"/>
  <c r="P149" i="3" s="1"/>
  <c r="Q149" i="3" s="1"/>
  <c r="N587" i="3"/>
  <c r="O587" i="3"/>
  <c r="P587" i="3" s="1"/>
  <c r="Q587" i="3" s="1"/>
  <c r="O535" i="3"/>
  <c r="P535" i="3" s="1"/>
  <c r="Q535" i="3" s="1"/>
  <c r="N535" i="3"/>
  <c r="O331" i="3"/>
  <c r="P331" i="3" s="1"/>
  <c r="Q331" i="3" s="1"/>
  <c r="N331" i="3"/>
  <c r="O395" i="3"/>
  <c r="P395" i="3" s="1"/>
  <c r="Q395" i="3" s="1"/>
  <c r="N395" i="3"/>
  <c r="O459" i="3"/>
  <c r="P459" i="3" s="1"/>
  <c r="Q459" i="3" s="1"/>
  <c r="N459" i="3"/>
  <c r="O523" i="3"/>
  <c r="P523" i="3" s="1"/>
  <c r="Q523" i="3" s="1"/>
  <c r="N523" i="3"/>
  <c r="O557" i="3"/>
  <c r="P557" i="3" s="1"/>
  <c r="Q557" i="3" s="1"/>
  <c r="N557" i="3"/>
  <c r="O582" i="3"/>
  <c r="P582" i="3" s="1"/>
  <c r="Q582" i="3" s="1"/>
  <c r="O332" i="3"/>
  <c r="P332" i="3" s="1"/>
  <c r="Q332" i="3" s="1"/>
  <c r="N332" i="3"/>
  <c r="O396" i="3"/>
  <c r="P396" i="3" s="1"/>
  <c r="Q396" i="3" s="1"/>
  <c r="N396" i="3"/>
  <c r="O460" i="3"/>
  <c r="P460" i="3" s="1"/>
  <c r="Q460" i="3" s="1"/>
  <c r="N460" i="3"/>
  <c r="O524" i="3"/>
  <c r="P524" i="3" s="1"/>
  <c r="Q524" i="3" s="1"/>
  <c r="N524" i="3"/>
  <c r="O565" i="3"/>
  <c r="P565" i="3" s="1"/>
  <c r="Q565" i="3" s="1"/>
  <c r="N565" i="3"/>
  <c r="O221" i="3"/>
  <c r="P221" i="3" s="1"/>
  <c r="Q221" i="3" s="1"/>
  <c r="N221" i="3"/>
  <c r="O285" i="3"/>
  <c r="P285" i="3" s="1"/>
  <c r="Q285" i="3" s="1"/>
  <c r="N285" i="3"/>
  <c r="O349" i="3"/>
  <c r="P349" i="3" s="1"/>
  <c r="Q349" i="3" s="1"/>
  <c r="N349" i="3"/>
  <c r="O413" i="3"/>
  <c r="P413" i="3" s="1"/>
  <c r="Q413" i="3" s="1"/>
  <c r="N413" i="3"/>
  <c r="O541" i="3"/>
  <c r="P541" i="3" s="1"/>
  <c r="Q541" i="3" s="1"/>
  <c r="N541" i="3"/>
  <c r="O463" i="3"/>
  <c r="P463" i="3" s="1"/>
  <c r="Q463" i="3" s="1"/>
  <c r="N463" i="3"/>
  <c r="O94" i="3"/>
  <c r="P94" i="3" s="1"/>
  <c r="Q94" i="3" s="1"/>
  <c r="O222" i="3"/>
  <c r="P222" i="3" s="1"/>
  <c r="Q222" i="3" s="1"/>
  <c r="N222" i="3"/>
  <c r="O286" i="3"/>
  <c r="P286" i="3" s="1"/>
  <c r="Q286" i="3" s="1"/>
  <c r="O567" i="3"/>
  <c r="P567" i="3" s="1"/>
  <c r="Q567" i="3" s="1"/>
  <c r="N567" i="3"/>
  <c r="O58" i="3"/>
  <c r="P58" i="3" s="1"/>
  <c r="Q58" i="3" s="1"/>
  <c r="O29" i="3"/>
  <c r="P29" i="3" s="1"/>
  <c r="Q29" i="3" s="1"/>
  <c r="N29" i="3"/>
  <c r="N93" i="3"/>
  <c r="O93" i="3"/>
  <c r="P93" i="3" s="1"/>
  <c r="Q93" i="3" s="1"/>
  <c r="O573" i="3"/>
  <c r="P573" i="3" s="1"/>
  <c r="Q573" i="3" s="1"/>
  <c r="N573" i="3"/>
  <c r="O597" i="3"/>
  <c r="P597" i="3" s="1"/>
  <c r="Q597" i="3" s="1"/>
  <c r="N597" i="3"/>
  <c r="O559" i="3"/>
  <c r="P559" i="3" s="1"/>
  <c r="Q559" i="3" s="1"/>
  <c r="N559" i="3"/>
  <c r="O503" i="3"/>
  <c r="P503" i="3" s="1"/>
  <c r="Q503" i="3" s="1"/>
  <c r="N503" i="3"/>
  <c r="O431" i="3"/>
  <c r="P431" i="3" s="1"/>
  <c r="Q431" i="3" s="1"/>
  <c r="N431" i="3"/>
  <c r="N101" i="3"/>
  <c r="O101" i="3"/>
  <c r="P101" i="3" s="1"/>
  <c r="Q101" i="3" s="1"/>
  <c r="O165" i="3"/>
  <c r="P165" i="3" s="1"/>
  <c r="Q165" i="3" s="1"/>
  <c r="N165" i="3"/>
  <c r="O589" i="3"/>
  <c r="P589" i="3" s="1"/>
  <c r="Q589" i="3" s="1"/>
  <c r="N589" i="3"/>
  <c r="O374" i="3"/>
  <c r="P374" i="3" s="1"/>
  <c r="Q374" i="3" s="1"/>
  <c r="N374" i="3"/>
  <c r="O311" i="3"/>
  <c r="P311" i="3" s="1"/>
  <c r="Q311" i="3" s="1"/>
  <c r="N311" i="3"/>
  <c r="O429" i="3"/>
  <c r="P429" i="3" s="1"/>
  <c r="Q429" i="3" s="1"/>
  <c r="N429" i="3"/>
  <c r="O581" i="3"/>
  <c r="P581" i="3" s="1"/>
  <c r="Q581" i="3" s="1"/>
  <c r="N581" i="3"/>
  <c r="O551" i="3"/>
  <c r="P551" i="3" s="1"/>
  <c r="Q551" i="3" s="1"/>
  <c r="N551" i="3"/>
  <c r="O495" i="3"/>
  <c r="P495" i="3" s="1"/>
  <c r="Q495" i="3" s="1"/>
  <c r="N495" i="3"/>
  <c r="O186" i="3"/>
  <c r="P186" i="3" s="1"/>
  <c r="Q186" i="3" s="1"/>
  <c r="O173" i="3"/>
  <c r="P173" i="3" s="1"/>
  <c r="Q173" i="3" s="1"/>
  <c r="N173" i="3"/>
  <c r="O303" i="3"/>
  <c r="P303" i="3" s="1"/>
  <c r="Q303" i="3" s="1"/>
  <c r="N303" i="3"/>
  <c r="O287" i="3"/>
  <c r="P287" i="3" s="1"/>
  <c r="Q287" i="3" s="1"/>
  <c r="N287" i="3"/>
  <c r="O359" i="3"/>
  <c r="P359" i="3" s="1"/>
  <c r="Q359" i="3" s="1"/>
  <c r="N359" i="3"/>
  <c r="O437" i="3"/>
  <c r="P437" i="3" s="1"/>
  <c r="Q437" i="3" s="1"/>
  <c r="N437" i="3"/>
  <c r="O599" i="3"/>
  <c r="P599" i="3" s="1"/>
  <c r="Q599" i="3" s="1"/>
  <c r="N599" i="3"/>
  <c r="O250" i="3"/>
  <c r="P250" i="3" s="1"/>
  <c r="Q250" i="3" s="1"/>
  <c r="O117" i="3"/>
  <c r="P117" i="3" s="1"/>
  <c r="Q117" i="3" s="1"/>
  <c r="N117" i="3"/>
  <c r="O181" i="3"/>
  <c r="P181" i="3" s="1"/>
  <c r="Q181" i="3" s="1"/>
  <c r="N181" i="3"/>
  <c r="N351" i="3"/>
  <c r="O351" i="3"/>
  <c r="P351" i="3" s="1"/>
  <c r="Q351" i="3" s="1"/>
  <c r="O327" i="3"/>
  <c r="P327" i="3" s="1"/>
  <c r="Q327" i="3" s="1"/>
  <c r="N327" i="3"/>
  <c r="O423" i="3"/>
  <c r="P423" i="3" s="1"/>
  <c r="Q423" i="3" s="1"/>
  <c r="N423" i="3"/>
  <c r="O391" i="3"/>
  <c r="P391" i="3" s="1"/>
  <c r="Q391" i="3" s="1"/>
  <c r="N391" i="3"/>
  <c r="N367" i="3"/>
  <c r="O367" i="3"/>
  <c r="P367" i="3" s="1"/>
  <c r="Q367" i="3" s="1"/>
  <c r="O471" i="3"/>
  <c r="P471" i="3" s="1"/>
  <c r="Q471" i="3" s="1"/>
  <c r="N471" i="3"/>
  <c r="C476" i="4"/>
  <c r="F476" i="4"/>
  <c r="C110" i="4"/>
  <c r="F110" i="4"/>
  <c r="C106" i="4"/>
  <c r="F106" i="4"/>
  <c r="C249" i="4"/>
  <c r="F249" i="4"/>
  <c r="C336" i="4"/>
  <c r="F336" i="4"/>
  <c r="C69" i="4"/>
  <c r="F69" i="4"/>
  <c r="C373" i="4"/>
  <c r="F373" i="4"/>
  <c r="C494" i="4"/>
  <c r="F494" i="4"/>
  <c r="C464" i="4"/>
  <c r="F464" i="4"/>
  <c r="C188" i="4"/>
  <c r="F188" i="4"/>
  <c r="C537" i="4"/>
  <c r="F537" i="4"/>
  <c r="C475" i="4"/>
  <c r="F475" i="4"/>
  <c r="C463" i="4"/>
  <c r="F463" i="4"/>
  <c r="C399" i="4"/>
  <c r="F399" i="4"/>
  <c r="C148" i="4"/>
  <c r="F148" i="4"/>
  <c r="C276" i="4"/>
  <c r="F276" i="4"/>
  <c r="C404" i="4"/>
  <c r="F404" i="4"/>
  <c r="C484" i="4"/>
  <c r="F484" i="4"/>
  <c r="C548" i="4"/>
  <c r="F548" i="4"/>
  <c r="C422" i="4"/>
  <c r="F422" i="4"/>
  <c r="C358" i="4"/>
  <c r="F358" i="4"/>
  <c r="C294" i="4"/>
  <c r="F294" i="4"/>
  <c r="C230" i="4"/>
  <c r="F230" i="4"/>
  <c r="C166" i="4"/>
  <c r="F166" i="4"/>
  <c r="C102" i="4"/>
  <c r="F102" i="4"/>
  <c r="C418" i="4"/>
  <c r="F418" i="4"/>
  <c r="C354" i="4"/>
  <c r="F354" i="4"/>
  <c r="C290" i="4"/>
  <c r="F290" i="4"/>
  <c r="C226" i="4"/>
  <c r="F226" i="4"/>
  <c r="C162" i="4"/>
  <c r="F162" i="4"/>
  <c r="C98" i="4"/>
  <c r="F98" i="4"/>
  <c r="C433" i="4"/>
  <c r="F433" i="4"/>
  <c r="C369" i="4"/>
  <c r="F369" i="4"/>
  <c r="C305" i="4"/>
  <c r="F305" i="4"/>
  <c r="C241" i="4"/>
  <c r="F241" i="4"/>
  <c r="C177" i="4"/>
  <c r="F177" i="4"/>
  <c r="C113" i="4"/>
  <c r="F113" i="4"/>
  <c r="C17" i="4"/>
  <c r="F17" i="4"/>
  <c r="C392" i="4"/>
  <c r="F392" i="4"/>
  <c r="C328" i="4"/>
  <c r="F328" i="4"/>
  <c r="C264" i="4"/>
  <c r="F264" i="4"/>
  <c r="C200" i="4"/>
  <c r="F200" i="4"/>
  <c r="C136" i="4"/>
  <c r="F136" i="4"/>
  <c r="C63" i="4"/>
  <c r="F63" i="4"/>
  <c r="C48" i="4"/>
  <c r="F48" i="4"/>
  <c r="C61" i="4"/>
  <c r="F61" i="4"/>
  <c r="C75" i="4"/>
  <c r="F75" i="4"/>
  <c r="C11" i="4"/>
  <c r="F11" i="4"/>
  <c r="C26" i="4"/>
  <c r="F26" i="4"/>
  <c r="C133" i="4"/>
  <c r="F133" i="4"/>
  <c r="C261" i="4"/>
  <c r="F261" i="4"/>
  <c r="C389" i="4"/>
  <c r="F389" i="4"/>
  <c r="C477" i="4"/>
  <c r="F477" i="4"/>
  <c r="C541" i="4"/>
  <c r="F541" i="4"/>
  <c r="C30" i="4"/>
  <c r="F30" i="4"/>
  <c r="C183" i="4"/>
  <c r="F183" i="4"/>
  <c r="C311" i="4"/>
  <c r="F311" i="4"/>
  <c r="C436" i="4"/>
  <c r="F436" i="4"/>
  <c r="C502" i="4"/>
  <c r="F502" i="4"/>
  <c r="C566" i="4"/>
  <c r="F566" i="4"/>
  <c r="C380" i="4"/>
  <c r="F380" i="4"/>
  <c r="C472" i="4"/>
  <c r="F472" i="4"/>
  <c r="C536" i="4"/>
  <c r="F536" i="4"/>
  <c r="C600" i="4"/>
  <c r="F600" i="4"/>
  <c r="C236" i="4"/>
  <c r="F236" i="4"/>
  <c r="C451" i="4"/>
  <c r="F451" i="4"/>
  <c r="C579" i="4"/>
  <c r="F579" i="4"/>
  <c r="C211" i="4"/>
  <c r="F211" i="4"/>
  <c r="C437" i="4"/>
  <c r="F437" i="4"/>
  <c r="C567" i="4"/>
  <c r="F567" i="4"/>
  <c r="C189" i="4"/>
  <c r="F189" i="4"/>
  <c r="C413" i="4"/>
  <c r="F413" i="4"/>
  <c r="C553" i="4"/>
  <c r="F553" i="4"/>
  <c r="C141" i="4"/>
  <c r="F141" i="4"/>
  <c r="C351" i="4"/>
  <c r="F351" i="4"/>
  <c r="C522" i="4"/>
  <c r="F522" i="4"/>
  <c r="C93" i="4"/>
  <c r="F93" i="4"/>
  <c r="C300" i="4"/>
  <c r="F300" i="4"/>
  <c r="C491" i="4"/>
  <c r="F491" i="4"/>
  <c r="C70" i="4"/>
  <c r="F70" i="4"/>
  <c r="C275" i="4"/>
  <c r="F275" i="4"/>
  <c r="C479" i="4"/>
  <c r="F479" i="4"/>
  <c r="C14" i="4"/>
  <c r="F14" i="4"/>
  <c r="C156" i="4"/>
  <c r="F156" i="4"/>
  <c r="C283" i="4"/>
  <c r="F283" i="4"/>
  <c r="C482" i="4"/>
  <c r="F482" i="4"/>
  <c r="C562" i="4"/>
  <c r="F562" i="4"/>
  <c r="C227" i="4"/>
  <c r="F227" i="4"/>
  <c r="C578" i="4"/>
  <c r="F578" i="4"/>
  <c r="C388" i="4"/>
  <c r="F388" i="4"/>
  <c r="C302" i="4"/>
  <c r="F302" i="4"/>
  <c r="C298" i="4"/>
  <c r="F298" i="4"/>
  <c r="C4" i="4"/>
  <c r="F4" i="4"/>
  <c r="C33" i="4"/>
  <c r="F33" i="4"/>
  <c r="C144" i="4"/>
  <c r="F144" i="4"/>
  <c r="C5" i="4"/>
  <c r="F5" i="4"/>
  <c r="C117" i="4"/>
  <c r="F117" i="4"/>
  <c r="C597" i="4"/>
  <c r="F597" i="4"/>
  <c r="C558" i="4"/>
  <c r="F558" i="4"/>
  <c r="C528" i="4"/>
  <c r="F528" i="4"/>
  <c r="C563" i="4"/>
  <c r="F563" i="4"/>
  <c r="C381" i="4"/>
  <c r="F381" i="4"/>
  <c r="C271" i="4"/>
  <c r="F271" i="4"/>
  <c r="C591" i="4"/>
  <c r="F591" i="4"/>
  <c r="C450" i="4"/>
  <c r="F450" i="4"/>
  <c r="C132" i="4"/>
  <c r="F132" i="4"/>
  <c r="C430" i="4"/>
  <c r="F430" i="4"/>
  <c r="C12" i="4"/>
  <c r="F12" i="4"/>
  <c r="C170" i="4"/>
  <c r="F170" i="4"/>
  <c r="C185" i="4"/>
  <c r="F185" i="4"/>
  <c r="C208" i="4"/>
  <c r="F208" i="4"/>
  <c r="C34" i="4"/>
  <c r="F34" i="4"/>
  <c r="C533" i="4"/>
  <c r="F533" i="4"/>
  <c r="C295" i="4"/>
  <c r="F295" i="4"/>
  <c r="C592" i="4"/>
  <c r="F592" i="4"/>
  <c r="C411" i="4"/>
  <c r="F411" i="4"/>
  <c r="C115" i="4"/>
  <c r="F115" i="4"/>
  <c r="C54" i="4"/>
  <c r="F54" i="4"/>
  <c r="C252" i="4"/>
  <c r="F252" i="4"/>
  <c r="C22" i="4"/>
  <c r="F22" i="4"/>
  <c r="C514" i="4"/>
  <c r="F514" i="4"/>
  <c r="C164" i="4"/>
  <c r="F164" i="4"/>
  <c r="C292" i="4"/>
  <c r="F292" i="4"/>
  <c r="C420" i="4"/>
  <c r="F420" i="4"/>
  <c r="C492" i="4"/>
  <c r="F492" i="4"/>
  <c r="C556" i="4"/>
  <c r="F556" i="4"/>
  <c r="C414" i="4"/>
  <c r="F414" i="4"/>
  <c r="C350" i="4"/>
  <c r="F350" i="4"/>
  <c r="C286" i="4"/>
  <c r="F286" i="4"/>
  <c r="C222" i="4"/>
  <c r="F222" i="4"/>
  <c r="C158" i="4"/>
  <c r="F158" i="4"/>
  <c r="C94" i="4"/>
  <c r="F94" i="4"/>
  <c r="C410" i="4"/>
  <c r="F410" i="4"/>
  <c r="C346" i="4"/>
  <c r="F346" i="4"/>
  <c r="C282" i="4"/>
  <c r="F282" i="4"/>
  <c r="C218" i="4"/>
  <c r="F218" i="4"/>
  <c r="C154" i="4"/>
  <c r="F154" i="4"/>
  <c r="C90" i="4"/>
  <c r="F90" i="4"/>
  <c r="C425" i="4"/>
  <c r="F425" i="4"/>
  <c r="C361" i="4"/>
  <c r="F361" i="4"/>
  <c r="C297" i="4"/>
  <c r="F297" i="4"/>
  <c r="C233" i="4"/>
  <c r="F233" i="4"/>
  <c r="C169" i="4"/>
  <c r="F169" i="4"/>
  <c r="C105" i="4"/>
  <c r="F105" i="4"/>
  <c r="C448" i="4"/>
  <c r="F448" i="4"/>
  <c r="C384" i="4"/>
  <c r="F384" i="4"/>
  <c r="C320" i="4"/>
  <c r="F320" i="4"/>
  <c r="C256" i="4"/>
  <c r="F256" i="4"/>
  <c r="C192" i="4"/>
  <c r="F192" i="4"/>
  <c r="C128" i="4"/>
  <c r="F128" i="4"/>
  <c r="C47" i="4"/>
  <c r="F47" i="4"/>
  <c r="C40" i="4"/>
  <c r="F40" i="4"/>
  <c r="C53" i="4"/>
  <c r="F53" i="4"/>
  <c r="C67" i="4"/>
  <c r="F67" i="4"/>
  <c r="C3" i="4"/>
  <c r="F3" i="4"/>
  <c r="C18" i="4"/>
  <c r="F18" i="4"/>
  <c r="C149" i="4"/>
  <c r="F149" i="4"/>
  <c r="C277" i="4"/>
  <c r="F277" i="4"/>
  <c r="C405" i="4"/>
  <c r="F405" i="4"/>
  <c r="C485" i="4"/>
  <c r="F485" i="4"/>
  <c r="C549" i="4"/>
  <c r="F549" i="4"/>
  <c r="C62" i="4"/>
  <c r="F62" i="4"/>
  <c r="C199" i="4"/>
  <c r="F199" i="4"/>
  <c r="C327" i="4"/>
  <c r="F327" i="4"/>
  <c r="C445" i="4"/>
  <c r="F445" i="4"/>
  <c r="C510" i="4"/>
  <c r="F510" i="4"/>
  <c r="C574" i="4"/>
  <c r="F574" i="4"/>
  <c r="C396" i="4"/>
  <c r="F396" i="4"/>
  <c r="C480" i="4"/>
  <c r="F480" i="4"/>
  <c r="C544" i="4"/>
  <c r="F544" i="4"/>
  <c r="C38" i="4"/>
  <c r="F38" i="4"/>
  <c r="C259" i="4"/>
  <c r="F259" i="4"/>
  <c r="C467" i="4"/>
  <c r="F467" i="4"/>
  <c r="C595" i="4"/>
  <c r="F595" i="4"/>
  <c r="C237" i="4"/>
  <c r="F237" i="4"/>
  <c r="C455" i="4"/>
  <c r="F455" i="4"/>
  <c r="C583" i="4"/>
  <c r="F583" i="4"/>
  <c r="C219" i="4"/>
  <c r="F219" i="4"/>
  <c r="C439" i="4"/>
  <c r="F439" i="4"/>
  <c r="C569" i="4"/>
  <c r="F569" i="4"/>
  <c r="C171" i="4"/>
  <c r="F171" i="4"/>
  <c r="C383" i="4"/>
  <c r="F383" i="4"/>
  <c r="C538" i="4"/>
  <c r="F538" i="4"/>
  <c r="C123" i="4"/>
  <c r="F123" i="4"/>
  <c r="C323" i="4"/>
  <c r="F323" i="4"/>
  <c r="C507" i="4"/>
  <c r="F507" i="4"/>
  <c r="C95" i="4"/>
  <c r="F95" i="4"/>
  <c r="C301" i="4"/>
  <c r="F301" i="4"/>
  <c r="C495" i="4"/>
  <c r="F495" i="4"/>
  <c r="C155" i="4"/>
  <c r="F155" i="4"/>
  <c r="C255" i="4"/>
  <c r="F255" i="4"/>
  <c r="C397" i="4"/>
  <c r="F397" i="4"/>
  <c r="C546" i="4"/>
  <c r="F546" i="4"/>
  <c r="C577" i="4"/>
  <c r="F577" i="4"/>
  <c r="C498" i="4"/>
  <c r="F498" i="4"/>
  <c r="C23" i="4"/>
  <c r="F23" i="4"/>
  <c r="C180" i="4"/>
  <c r="F180" i="4"/>
  <c r="C308" i="4"/>
  <c r="F308" i="4"/>
  <c r="C434" i="4"/>
  <c r="F434" i="4"/>
  <c r="C500" i="4"/>
  <c r="F500" i="4"/>
  <c r="C564" i="4"/>
  <c r="F564" i="4"/>
  <c r="C406" i="4"/>
  <c r="F406" i="4"/>
  <c r="C342" i="4"/>
  <c r="F342" i="4"/>
  <c r="C278" i="4"/>
  <c r="F278" i="4"/>
  <c r="C214" i="4"/>
  <c r="F214" i="4"/>
  <c r="C150" i="4"/>
  <c r="F150" i="4"/>
  <c r="C86" i="4"/>
  <c r="F86" i="4"/>
  <c r="C402" i="4"/>
  <c r="F402" i="4"/>
  <c r="C338" i="4"/>
  <c r="F338" i="4"/>
  <c r="C274" i="4"/>
  <c r="F274" i="4"/>
  <c r="C210" i="4"/>
  <c r="F210" i="4"/>
  <c r="C146" i="4"/>
  <c r="F146" i="4"/>
  <c r="C82" i="4"/>
  <c r="F82" i="4"/>
  <c r="C417" i="4"/>
  <c r="F417" i="4"/>
  <c r="C353" i="4"/>
  <c r="F353" i="4"/>
  <c r="C289" i="4"/>
  <c r="F289" i="4"/>
  <c r="C225" i="4"/>
  <c r="F225" i="4"/>
  <c r="C161" i="4"/>
  <c r="F161" i="4"/>
  <c r="C97" i="4"/>
  <c r="F97" i="4"/>
  <c r="C440" i="4"/>
  <c r="F440" i="4"/>
  <c r="C376" i="4"/>
  <c r="F376" i="4"/>
  <c r="C312" i="4"/>
  <c r="F312" i="4"/>
  <c r="C248" i="4"/>
  <c r="F248" i="4"/>
  <c r="C184" i="4"/>
  <c r="F184" i="4"/>
  <c r="C120" i="4"/>
  <c r="F120" i="4"/>
  <c r="C31" i="4"/>
  <c r="F31" i="4"/>
  <c r="C32" i="4"/>
  <c r="F32" i="4"/>
  <c r="C45" i="4"/>
  <c r="F45" i="4"/>
  <c r="C59" i="4"/>
  <c r="F59" i="4"/>
  <c r="C74" i="4"/>
  <c r="F74" i="4"/>
  <c r="C10" i="4"/>
  <c r="F10" i="4"/>
  <c r="C165" i="4"/>
  <c r="F165" i="4"/>
  <c r="C293" i="4"/>
  <c r="F293" i="4"/>
  <c r="C421" i="4"/>
  <c r="F421" i="4"/>
  <c r="C493" i="4"/>
  <c r="F493" i="4"/>
  <c r="C557" i="4"/>
  <c r="F557" i="4"/>
  <c r="C87" i="4"/>
  <c r="F87" i="4"/>
  <c r="C215" i="4"/>
  <c r="F215" i="4"/>
  <c r="C343" i="4"/>
  <c r="F343" i="4"/>
  <c r="C454" i="4"/>
  <c r="F454" i="4"/>
  <c r="C518" i="4"/>
  <c r="F518" i="4"/>
  <c r="C582" i="4"/>
  <c r="F582" i="4"/>
  <c r="C412" i="4"/>
  <c r="F412" i="4"/>
  <c r="C488" i="4"/>
  <c r="F488" i="4"/>
  <c r="C552" i="4"/>
  <c r="F552" i="4"/>
  <c r="C78" i="4"/>
  <c r="F78" i="4"/>
  <c r="C285" i="4"/>
  <c r="F285" i="4"/>
  <c r="C483" i="4"/>
  <c r="F483" i="4"/>
  <c r="C39" i="4"/>
  <c r="F39" i="4"/>
  <c r="C267" i="4"/>
  <c r="F267" i="4"/>
  <c r="C471" i="4"/>
  <c r="F471" i="4"/>
  <c r="C599" i="4"/>
  <c r="F599" i="4"/>
  <c r="C239" i="4"/>
  <c r="F239" i="4"/>
  <c r="C457" i="4"/>
  <c r="F457" i="4"/>
  <c r="C585" i="4"/>
  <c r="F585" i="4"/>
  <c r="C191" i="4"/>
  <c r="F191" i="4"/>
  <c r="C415" i="4"/>
  <c r="F415" i="4"/>
  <c r="C554" i="4"/>
  <c r="F554" i="4"/>
  <c r="C143" i="4"/>
  <c r="F143" i="4"/>
  <c r="C355" i="4"/>
  <c r="F355" i="4"/>
  <c r="C523" i="4"/>
  <c r="F523" i="4"/>
  <c r="C124" i="4"/>
  <c r="F124" i="4"/>
  <c r="C331" i="4"/>
  <c r="F331" i="4"/>
  <c r="C511" i="4"/>
  <c r="F511" i="4"/>
  <c r="C253" i="4"/>
  <c r="F253" i="4"/>
  <c r="C367" i="4"/>
  <c r="F367" i="4"/>
  <c r="C481" i="4"/>
  <c r="F481" i="4"/>
  <c r="C99" i="4"/>
  <c r="F99" i="4"/>
  <c r="C127" i="4"/>
  <c r="F127" i="4"/>
  <c r="C55" i="4"/>
  <c r="F55" i="4"/>
  <c r="C196" i="4"/>
  <c r="F196" i="4"/>
  <c r="C324" i="4"/>
  <c r="F324" i="4"/>
  <c r="C443" i="4"/>
  <c r="F443" i="4"/>
  <c r="C508" i="4"/>
  <c r="F508" i="4"/>
  <c r="C572" i="4"/>
  <c r="F572" i="4"/>
  <c r="C398" i="4"/>
  <c r="F398" i="4"/>
  <c r="C334" i="4"/>
  <c r="F334" i="4"/>
  <c r="C270" i="4"/>
  <c r="F270" i="4"/>
  <c r="C206" i="4"/>
  <c r="F206" i="4"/>
  <c r="C142" i="4"/>
  <c r="F142" i="4"/>
  <c r="C76" i="4"/>
  <c r="F76" i="4"/>
  <c r="C394" i="4"/>
  <c r="F394" i="4"/>
  <c r="C330" i="4"/>
  <c r="F330" i="4"/>
  <c r="C266" i="4"/>
  <c r="F266" i="4"/>
  <c r="C202" i="4"/>
  <c r="F202" i="4"/>
  <c r="C138" i="4"/>
  <c r="F138" i="4"/>
  <c r="C68" i="4"/>
  <c r="F68" i="4"/>
  <c r="C409" i="4"/>
  <c r="F409" i="4"/>
  <c r="C345" i="4"/>
  <c r="F345" i="4"/>
  <c r="C281" i="4"/>
  <c r="F281" i="4"/>
  <c r="C217" i="4"/>
  <c r="F217" i="4"/>
  <c r="C153" i="4"/>
  <c r="F153" i="4"/>
  <c r="C89" i="4"/>
  <c r="F89" i="4"/>
  <c r="C432" i="4"/>
  <c r="F432" i="4"/>
  <c r="C368" i="4"/>
  <c r="F368" i="4"/>
  <c r="C304" i="4"/>
  <c r="F304" i="4"/>
  <c r="C240" i="4"/>
  <c r="F240" i="4"/>
  <c r="C176" i="4"/>
  <c r="F176" i="4"/>
  <c r="C112" i="4"/>
  <c r="F112" i="4"/>
  <c r="C15" i="4"/>
  <c r="F15" i="4"/>
  <c r="C24" i="4"/>
  <c r="F24" i="4"/>
  <c r="C37" i="4"/>
  <c r="F37" i="4"/>
  <c r="C51" i="4"/>
  <c r="F51" i="4"/>
  <c r="C66" i="4"/>
  <c r="F66" i="4"/>
  <c r="C2" i="4"/>
  <c r="C181" i="4"/>
  <c r="F181" i="4"/>
  <c r="C309" i="4"/>
  <c r="F309" i="4"/>
  <c r="C435" i="4"/>
  <c r="F435" i="4"/>
  <c r="C501" i="4"/>
  <c r="F501" i="4"/>
  <c r="C565" i="4"/>
  <c r="F565" i="4"/>
  <c r="C103" i="4"/>
  <c r="F103" i="4"/>
  <c r="C231" i="4"/>
  <c r="F231" i="4"/>
  <c r="C359" i="4"/>
  <c r="F359" i="4"/>
  <c r="C462" i="4"/>
  <c r="F462" i="4"/>
  <c r="C526" i="4"/>
  <c r="F526" i="4"/>
  <c r="C590" i="4"/>
  <c r="F590" i="4"/>
  <c r="C427" i="4"/>
  <c r="F427" i="4"/>
  <c r="C496" i="4"/>
  <c r="F496" i="4"/>
  <c r="C560" i="4"/>
  <c r="F560" i="4"/>
  <c r="C108" i="4"/>
  <c r="F108" i="4"/>
  <c r="C315" i="4"/>
  <c r="F315" i="4"/>
  <c r="C499" i="4"/>
  <c r="F499" i="4"/>
  <c r="C83" i="4"/>
  <c r="F83" i="4"/>
  <c r="C287" i="4"/>
  <c r="F287" i="4"/>
  <c r="C487" i="4"/>
  <c r="F487" i="4"/>
  <c r="C41" i="4"/>
  <c r="F41" i="4"/>
  <c r="C268" i="4"/>
  <c r="F268" i="4"/>
  <c r="C473" i="4"/>
  <c r="F473" i="4"/>
  <c r="C601" i="4"/>
  <c r="F601" i="4"/>
  <c r="C220" i="4"/>
  <c r="F220" i="4"/>
  <c r="C441" i="4"/>
  <c r="F441" i="4"/>
  <c r="C570" i="4"/>
  <c r="F570" i="4"/>
  <c r="C172" i="4"/>
  <c r="F172" i="4"/>
  <c r="C387" i="4"/>
  <c r="F387" i="4"/>
  <c r="C539" i="4"/>
  <c r="F539" i="4"/>
  <c r="C147" i="4"/>
  <c r="F147" i="4"/>
  <c r="C363" i="4"/>
  <c r="F363" i="4"/>
  <c r="C527" i="4"/>
  <c r="F527" i="4"/>
  <c r="C365" i="4"/>
  <c r="F365" i="4"/>
  <c r="C466" i="4"/>
  <c r="F466" i="4"/>
  <c r="C545" i="4"/>
  <c r="F545" i="4"/>
  <c r="C204" i="4"/>
  <c r="F204" i="4"/>
  <c r="C449" i="4"/>
  <c r="F449" i="4"/>
  <c r="C107" i="4"/>
  <c r="F107" i="4"/>
  <c r="C84" i="4"/>
  <c r="F84" i="4"/>
  <c r="C212" i="4"/>
  <c r="F212" i="4"/>
  <c r="C340" i="4"/>
  <c r="F340" i="4"/>
  <c r="C452" i="4"/>
  <c r="F452" i="4"/>
  <c r="C516" i="4"/>
  <c r="F516" i="4"/>
  <c r="C580" i="4"/>
  <c r="F580" i="4"/>
  <c r="C390" i="4"/>
  <c r="F390" i="4"/>
  <c r="C326" i="4"/>
  <c r="F326" i="4"/>
  <c r="C262" i="4"/>
  <c r="F262" i="4"/>
  <c r="C198" i="4"/>
  <c r="F198" i="4"/>
  <c r="C134" i="4"/>
  <c r="F134" i="4"/>
  <c r="C60" i="4"/>
  <c r="F60" i="4"/>
  <c r="C386" i="4"/>
  <c r="F386" i="4"/>
  <c r="C322" i="4"/>
  <c r="F322" i="4"/>
  <c r="C258" i="4"/>
  <c r="F258" i="4"/>
  <c r="C194" i="4"/>
  <c r="F194" i="4"/>
  <c r="C130" i="4"/>
  <c r="F130" i="4"/>
  <c r="C52" i="4"/>
  <c r="F52" i="4"/>
  <c r="C401" i="4"/>
  <c r="F401" i="4"/>
  <c r="C337" i="4"/>
  <c r="F337" i="4"/>
  <c r="C273" i="4"/>
  <c r="F273" i="4"/>
  <c r="C209" i="4"/>
  <c r="F209" i="4"/>
  <c r="C145" i="4"/>
  <c r="F145" i="4"/>
  <c r="C81" i="4"/>
  <c r="F81" i="4"/>
  <c r="C424" i="4"/>
  <c r="F424" i="4"/>
  <c r="C360" i="4"/>
  <c r="F360" i="4"/>
  <c r="C296" i="4"/>
  <c r="F296" i="4"/>
  <c r="C232" i="4"/>
  <c r="F232" i="4"/>
  <c r="C168" i="4"/>
  <c r="F168" i="4"/>
  <c r="C104" i="4"/>
  <c r="F104" i="4"/>
  <c r="C80" i="4"/>
  <c r="F80" i="4"/>
  <c r="C16" i="4"/>
  <c r="F16" i="4"/>
  <c r="C29" i="4"/>
  <c r="F29" i="4"/>
  <c r="C43" i="4"/>
  <c r="F43" i="4"/>
  <c r="C58" i="4"/>
  <c r="F58" i="4"/>
  <c r="C57" i="4"/>
  <c r="F57" i="4"/>
  <c r="C197" i="4"/>
  <c r="F197" i="4"/>
  <c r="C325" i="4"/>
  <c r="F325" i="4"/>
  <c r="C444" i="4"/>
  <c r="F444" i="4"/>
  <c r="C509" i="4"/>
  <c r="F509" i="4"/>
  <c r="C573" i="4"/>
  <c r="F573" i="4"/>
  <c r="C119" i="4"/>
  <c r="F119" i="4"/>
  <c r="C247" i="4"/>
  <c r="F247" i="4"/>
  <c r="C375" i="4"/>
  <c r="F375" i="4"/>
  <c r="C470" i="4"/>
  <c r="F470" i="4"/>
  <c r="C534" i="4"/>
  <c r="F534" i="4"/>
  <c r="C598" i="4"/>
  <c r="F598" i="4"/>
  <c r="C438" i="4"/>
  <c r="F438" i="4"/>
  <c r="C504" i="4"/>
  <c r="F504" i="4"/>
  <c r="C568" i="4"/>
  <c r="F568" i="4"/>
  <c r="C131" i="4"/>
  <c r="F131" i="4"/>
  <c r="C339" i="4"/>
  <c r="F339" i="4"/>
  <c r="C515" i="4"/>
  <c r="F515" i="4"/>
  <c r="C109" i="4"/>
  <c r="F109" i="4"/>
  <c r="C316" i="4"/>
  <c r="F316" i="4"/>
  <c r="C503" i="4"/>
  <c r="F503" i="4"/>
  <c r="C91" i="4"/>
  <c r="F91" i="4"/>
  <c r="C291" i="4"/>
  <c r="F291" i="4"/>
  <c r="C489" i="4"/>
  <c r="F489" i="4"/>
  <c r="C6" i="4"/>
  <c r="F6" i="4"/>
  <c r="C243" i="4"/>
  <c r="F243" i="4"/>
  <c r="C458" i="4"/>
  <c r="F458" i="4"/>
  <c r="C586" i="4"/>
  <c r="F586" i="4"/>
  <c r="C195" i="4"/>
  <c r="F195" i="4"/>
  <c r="C419" i="4"/>
  <c r="F419" i="4"/>
  <c r="C555" i="4"/>
  <c r="F555" i="4"/>
  <c r="C173" i="4"/>
  <c r="F173" i="4"/>
  <c r="C395" i="4"/>
  <c r="F395" i="4"/>
  <c r="C543" i="4"/>
  <c r="F543" i="4"/>
  <c r="C465" i="4"/>
  <c r="F465" i="4"/>
  <c r="C530" i="4"/>
  <c r="F530" i="4"/>
  <c r="C73" i="4"/>
  <c r="F73" i="4"/>
  <c r="C303" i="4"/>
  <c r="F303" i="4"/>
  <c r="C335" i="4"/>
  <c r="F335" i="4"/>
  <c r="C540" i="4"/>
  <c r="F540" i="4"/>
  <c r="C238" i="4"/>
  <c r="F238" i="4"/>
  <c r="C234" i="4"/>
  <c r="F234" i="4"/>
  <c r="C313" i="4"/>
  <c r="F313" i="4"/>
  <c r="C400" i="4"/>
  <c r="F400" i="4"/>
  <c r="C79" i="4"/>
  <c r="F79" i="4"/>
  <c r="C19" i="4"/>
  <c r="F19" i="4"/>
  <c r="C469" i="4"/>
  <c r="F469" i="4"/>
  <c r="C167" i="4"/>
  <c r="F167" i="4"/>
  <c r="C364" i="4"/>
  <c r="F364" i="4"/>
  <c r="C431" i="4"/>
  <c r="F431" i="4"/>
  <c r="C163" i="4"/>
  <c r="F163" i="4"/>
  <c r="C506" i="4"/>
  <c r="F506" i="4"/>
  <c r="C561" i="4"/>
  <c r="F561" i="4"/>
  <c r="C100" i="4"/>
  <c r="F100" i="4"/>
  <c r="C228" i="4"/>
  <c r="F228" i="4"/>
  <c r="C356" i="4"/>
  <c r="F356" i="4"/>
  <c r="C460" i="4"/>
  <c r="F460" i="4"/>
  <c r="C524" i="4"/>
  <c r="F524" i="4"/>
  <c r="C588" i="4"/>
  <c r="F588" i="4"/>
  <c r="C382" i="4"/>
  <c r="F382" i="4"/>
  <c r="C318" i="4"/>
  <c r="F318" i="4"/>
  <c r="C254" i="4"/>
  <c r="F254" i="4"/>
  <c r="C190" i="4"/>
  <c r="F190" i="4"/>
  <c r="C126" i="4"/>
  <c r="F126" i="4"/>
  <c r="C44" i="4"/>
  <c r="F44" i="4"/>
  <c r="C378" i="4"/>
  <c r="F378" i="4"/>
  <c r="C314" i="4"/>
  <c r="F314" i="4"/>
  <c r="C250" i="4"/>
  <c r="F250" i="4"/>
  <c r="C186" i="4"/>
  <c r="F186" i="4"/>
  <c r="C122" i="4"/>
  <c r="F122" i="4"/>
  <c r="C36" i="4"/>
  <c r="F36" i="4"/>
  <c r="C393" i="4"/>
  <c r="F393" i="4"/>
  <c r="C329" i="4"/>
  <c r="F329" i="4"/>
  <c r="C265" i="4"/>
  <c r="F265" i="4"/>
  <c r="C201" i="4"/>
  <c r="F201" i="4"/>
  <c r="C137" i="4"/>
  <c r="F137" i="4"/>
  <c r="C65" i="4"/>
  <c r="F65" i="4"/>
  <c r="C416" i="4"/>
  <c r="F416" i="4"/>
  <c r="C352" i="4"/>
  <c r="F352" i="4"/>
  <c r="C288" i="4"/>
  <c r="F288" i="4"/>
  <c r="C224" i="4"/>
  <c r="F224" i="4"/>
  <c r="C160" i="4"/>
  <c r="F160" i="4"/>
  <c r="C96" i="4"/>
  <c r="F96" i="4"/>
  <c r="C72" i="4"/>
  <c r="F72" i="4"/>
  <c r="C8" i="4"/>
  <c r="F8" i="4"/>
  <c r="C21" i="4"/>
  <c r="F21" i="4"/>
  <c r="C35" i="4"/>
  <c r="F35" i="4"/>
  <c r="C50" i="4"/>
  <c r="F50" i="4"/>
  <c r="C85" i="4"/>
  <c r="F85" i="4"/>
  <c r="C213" i="4"/>
  <c r="F213" i="4"/>
  <c r="C341" i="4"/>
  <c r="F341" i="4"/>
  <c r="C453" i="4"/>
  <c r="F453" i="4"/>
  <c r="C517" i="4"/>
  <c r="F517" i="4"/>
  <c r="C581" i="4"/>
  <c r="F581" i="4"/>
  <c r="C135" i="4"/>
  <c r="F135" i="4"/>
  <c r="C263" i="4"/>
  <c r="F263" i="4"/>
  <c r="C391" i="4"/>
  <c r="F391" i="4"/>
  <c r="C478" i="4"/>
  <c r="F478" i="4"/>
  <c r="C542" i="4"/>
  <c r="F542" i="4"/>
  <c r="C332" i="4"/>
  <c r="F332" i="4"/>
  <c r="C447" i="4"/>
  <c r="F447" i="4"/>
  <c r="C512" i="4"/>
  <c r="F512" i="4"/>
  <c r="C576" i="4"/>
  <c r="F576" i="4"/>
  <c r="C157" i="4"/>
  <c r="F157" i="4"/>
  <c r="C371" i="4"/>
  <c r="F371" i="4"/>
  <c r="C531" i="4"/>
  <c r="F531" i="4"/>
  <c r="C139" i="4"/>
  <c r="F139" i="4"/>
  <c r="C347" i="4"/>
  <c r="F347" i="4"/>
  <c r="C519" i="4"/>
  <c r="F519" i="4"/>
  <c r="C111" i="4"/>
  <c r="F111" i="4"/>
  <c r="C317" i="4"/>
  <c r="F317" i="4"/>
  <c r="C505" i="4"/>
  <c r="F505" i="4"/>
  <c r="C46" i="4"/>
  <c r="F46" i="4"/>
  <c r="C269" i="4"/>
  <c r="F269" i="4"/>
  <c r="C474" i="4"/>
  <c r="F474" i="4"/>
  <c r="C602" i="4"/>
  <c r="F602" i="4"/>
  <c r="C221" i="4"/>
  <c r="F221" i="4"/>
  <c r="C442" i="4"/>
  <c r="F442" i="4"/>
  <c r="C571" i="4"/>
  <c r="F571" i="4"/>
  <c r="C203" i="4"/>
  <c r="F203" i="4"/>
  <c r="C426" i="4"/>
  <c r="F426" i="4"/>
  <c r="C559" i="4"/>
  <c r="F559" i="4"/>
  <c r="C529" i="4"/>
  <c r="F529" i="4"/>
  <c r="C594" i="4"/>
  <c r="F594" i="4"/>
  <c r="C179" i="4"/>
  <c r="F179" i="4"/>
  <c r="C428" i="4"/>
  <c r="F428" i="4"/>
  <c r="C235" i="4"/>
  <c r="F235" i="4"/>
  <c r="C260" i="4"/>
  <c r="F260" i="4"/>
  <c r="C366" i="4"/>
  <c r="F366" i="4"/>
  <c r="C174" i="4"/>
  <c r="F174" i="4"/>
  <c r="C362" i="4"/>
  <c r="F362" i="4"/>
  <c r="C377" i="4"/>
  <c r="F377" i="4"/>
  <c r="C121" i="4"/>
  <c r="F121" i="4"/>
  <c r="C272" i="4"/>
  <c r="F272" i="4"/>
  <c r="C56" i="4"/>
  <c r="F56" i="4"/>
  <c r="C245" i="4"/>
  <c r="F245" i="4"/>
  <c r="C423" i="4"/>
  <c r="F423" i="4"/>
  <c r="C207" i="4"/>
  <c r="F207" i="4"/>
  <c r="C551" i="4"/>
  <c r="F551" i="4"/>
  <c r="C319" i="4"/>
  <c r="F319" i="4"/>
  <c r="C9" i="4"/>
  <c r="F9" i="4"/>
  <c r="C175" i="4"/>
  <c r="F175" i="4"/>
  <c r="C116" i="4"/>
  <c r="F116" i="4"/>
  <c r="C244" i="4"/>
  <c r="F244" i="4"/>
  <c r="C372" i="4"/>
  <c r="F372" i="4"/>
  <c r="C468" i="4"/>
  <c r="F468" i="4"/>
  <c r="C532" i="4"/>
  <c r="F532" i="4"/>
  <c r="C596" i="4"/>
  <c r="F596" i="4"/>
  <c r="C374" i="4"/>
  <c r="F374" i="4"/>
  <c r="C310" i="4"/>
  <c r="F310" i="4"/>
  <c r="C246" i="4"/>
  <c r="F246" i="4"/>
  <c r="C182" i="4"/>
  <c r="F182" i="4"/>
  <c r="C118" i="4"/>
  <c r="F118" i="4"/>
  <c r="C28" i="4"/>
  <c r="F28" i="4"/>
  <c r="C370" i="4"/>
  <c r="F370" i="4"/>
  <c r="C306" i="4"/>
  <c r="F306" i="4"/>
  <c r="C242" i="4"/>
  <c r="F242" i="4"/>
  <c r="C178" i="4"/>
  <c r="F178" i="4"/>
  <c r="C114" i="4"/>
  <c r="F114" i="4"/>
  <c r="C20" i="4"/>
  <c r="F20" i="4"/>
  <c r="C385" i="4"/>
  <c r="F385" i="4"/>
  <c r="C321" i="4"/>
  <c r="F321" i="4"/>
  <c r="C257" i="4"/>
  <c r="F257" i="4"/>
  <c r="C193" i="4"/>
  <c r="F193" i="4"/>
  <c r="C129" i="4"/>
  <c r="F129" i="4"/>
  <c r="C49" i="4"/>
  <c r="F49" i="4"/>
  <c r="C408" i="4"/>
  <c r="F408" i="4"/>
  <c r="C344" i="4"/>
  <c r="F344" i="4"/>
  <c r="C280" i="4"/>
  <c r="F280" i="4"/>
  <c r="C216" i="4"/>
  <c r="F216" i="4"/>
  <c r="C152" i="4"/>
  <c r="F152" i="4"/>
  <c r="C88" i="4"/>
  <c r="F88" i="4"/>
  <c r="C64" i="4"/>
  <c r="F64" i="4"/>
  <c r="C77" i="4"/>
  <c r="F77" i="4"/>
  <c r="C13" i="4"/>
  <c r="F13" i="4"/>
  <c r="C27" i="4"/>
  <c r="F27" i="4"/>
  <c r="C42" i="4"/>
  <c r="F42" i="4"/>
  <c r="C101" i="4"/>
  <c r="F101" i="4"/>
  <c r="C229" i="4"/>
  <c r="F229" i="4"/>
  <c r="C357" i="4"/>
  <c r="F357" i="4"/>
  <c r="C461" i="4"/>
  <c r="F461" i="4"/>
  <c r="C525" i="4"/>
  <c r="F525" i="4"/>
  <c r="C589" i="4"/>
  <c r="F589" i="4"/>
  <c r="C151" i="4"/>
  <c r="F151" i="4"/>
  <c r="C279" i="4"/>
  <c r="F279" i="4"/>
  <c r="C407" i="4"/>
  <c r="F407" i="4"/>
  <c r="C486" i="4"/>
  <c r="F486" i="4"/>
  <c r="C550" i="4"/>
  <c r="F550" i="4"/>
  <c r="C348" i="4"/>
  <c r="F348" i="4"/>
  <c r="C456" i="4"/>
  <c r="F456" i="4"/>
  <c r="C520" i="4"/>
  <c r="F520" i="4"/>
  <c r="C584" i="4"/>
  <c r="F584" i="4"/>
  <c r="C187" i="4"/>
  <c r="F187" i="4"/>
  <c r="C403" i="4"/>
  <c r="F403" i="4"/>
  <c r="C547" i="4"/>
  <c r="F547" i="4"/>
  <c r="C159" i="4"/>
  <c r="F159" i="4"/>
  <c r="C379" i="4"/>
  <c r="F379" i="4"/>
  <c r="C535" i="4"/>
  <c r="F535" i="4"/>
  <c r="C140" i="4"/>
  <c r="F140" i="4"/>
  <c r="C349" i="4"/>
  <c r="F349" i="4"/>
  <c r="C521" i="4"/>
  <c r="F521" i="4"/>
  <c r="C92" i="4"/>
  <c r="F92" i="4"/>
  <c r="C299" i="4"/>
  <c r="F299" i="4"/>
  <c r="C490" i="4"/>
  <c r="F490" i="4"/>
  <c r="C7" i="4"/>
  <c r="F7" i="4"/>
  <c r="C251" i="4"/>
  <c r="F251" i="4"/>
  <c r="C459" i="4"/>
  <c r="F459" i="4"/>
  <c r="C587" i="4"/>
  <c r="F587" i="4"/>
  <c r="C223" i="4"/>
  <c r="F223" i="4"/>
  <c r="C446" i="4"/>
  <c r="F446" i="4"/>
  <c r="C575" i="4"/>
  <c r="F575" i="4"/>
  <c r="C593" i="4"/>
  <c r="F593" i="4"/>
  <c r="C71" i="4"/>
  <c r="F71" i="4"/>
  <c r="C284" i="4"/>
  <c r="F284" i="4"/>
  <c r="C497" i="4"/>
  <c r="F497" i="4"/>
  <c r="C205" i="4"/>
  <c r="F205" i="4"/>
  <c r="C513" i="4"/>
  <c r="F513" i="4"/>
  <c r="R458" i="3"/>
  <c r="S458" i="3" s="1"/>
  <c r="V458" i="3" s="1"/>
  <c r="R490" i="3"/>
  <c r="S490" i="3" s="1"/>
  <c r="V490" i="3" s="1"/>
  <c r="R554" i="3"/>
  <c r="S554" i="3" s="1"/>
  <c r="V554" i="3" s="1"/>
  <c r="R522" i="3"/>
  <c r="S522" i="3" s="1"/>
  <c r="V522" i="3" s="1"/>
  <c r="R362" i="3"/>
  <c r="S362" i="3" s="1"/>
  <c r="V362" i="3" s="1"/>
  <c r="R426" i="3"/>
  <c r="S426" i="3" s="1"/>
  <c r="V426" i="3" s="1"/>
  <c r="R50" i="3"/>
  <c r="S50" i="3" s="1"/>
  <c r="V50" i="3" s="1"/>
  <c r="R448" i="3"/>
  <c r="S448" i="3" s="1"/>
  <c r="V448" i="3" s="1"/>
  <c r="R134" i="3"/>
  <c r="S134" i="3" s="1"/>
  <c r="V134" i="3" s="1"/>
  <c r="R230" i="3"/>
  <c r="S230" i="3" s="1"/>
  <c r="V230" i="3" s="1"/>
  <c r="R18" i="3"/>
  <c r="S18" i="3" s="1"/>
  <c r="V18" i="3" s="1"/>
  <c r="R368" i="3"/>
  <c r="S368" i="3" s="1"/>
  <c r="V368" i="3" s="1"/>
  <c r="R254" i="3"/>
  <c r="S254" i="3" s="1"/>
  <c r="V254" i="3" s="1"/>
  <c r="R312" i="3"/>
  <c r="S312" i="3" s="1"/>
  <c r="V312" i="3" s="1"/>
  <c r="R384" i="3"/>
  <c r="S384" i="3" s="1"/>
  <c r="V384" i="3" s="1"/>
  <c r="R424" i="3"/>
  <c r="S424" i="3" s="1"/>
  <c r="V424" i="3" s="1"/>
  <c r="S544" i="3"/>
  <c r="V544" i="3" s="1"/>
  <c r="R456" i="3"/>
  <c r="R464" i="3"/>
  <c r="R488" i="3"/>
  <c r="R512" i="3"/>
  <c r="R416" i="3"/>
  <c r="R520" i="3"/>
  <c r="R330" i="3"/>
  <c r="R352" i="3"/>
  <c r="R400" i="3"/>
  <c r="R570" i="3"/>
  <c r="R328" i="3"/>
  <c r="R394" i="3"/>
  <c r="R118" i="3"/>
  <c r="R530" i="3"/>
  <c r="R81" i="3"/>
  <c r="R144" i="3"/>
  <c r="R16" i="3"/>
  <c r="R454" i="3"/>
  <c r="R390" i="3"/>
  <c r="R152" i="3"/>
  <c r="R392" i="3"/>
  <c r="R265" i="3"/>
  <c r="R65" i="3"/>
  <c r="R569" i="3"/>
  <c r="R377" i="3"/>
  <c r="R313" i="3"/>
  <c r="R249" i="3"/>
  <c r="R136" i="3"/>
  <c r="R177" i="3"/>
  <c r="R561" i="3"/>
  <c r="R433" i="3"/>
  <c r="R369" i="3"/>
  <c r="R305" i="3"/>
  <c r="R121" i="3"/>
  <c r="R193" i="3"/>
  <c r="R457" i="3"/>
  <c r="R480" i="3"/>
  <c r="R33" i="3"/>
  <c r="R489" i="3"/>
  <c r="R26" i="3"/>
  <c r="R442" i="3"/>
  <c r="R486" i="3"/>
  <c r="R41" i="3"/>
  <c r="R22" i="3"/>
  <c r="R150" i="3"/>
  <c r="R214" i="3"/>
  <c r="R145" i="3"/>
  <c r="R545" i="3"/>
  <c r="R481" i="3"/>
  <c r="R10" i="3"/>
  <c r="R89" i="3"/>
  <c r="R449" i="3"/>
  <c r="R393" i="3"/>
  <c r="R434" i="3"/>
  <c r="R314" i="3"/>
  <c r="R537" i="3"/>
  <c r="R409" i="3"/>
  <c r="R345" i="3"/>
  <c r="R192" i="3"/>
  <c r="R542" i="3"/>
  <c r="R414" i="3"/>
  <c r="R201" i="3"/>
  <c r="R73" i="3"/>
  <c r="R280" i="3"/>
  <c r="R34" i="3"/>
  <c r="R506" i="3"/>
  <c r="R310" i="3"/>
  <c r="R521" i="3"/>
  <c r="R32" i="3"/>
  <c r="R432" i="3"/>
  <c r="R306" i="3"/>
  <c r="R241" i="3"/>
  <c r="R113" i="3"/>
  <c r="R593" i="3"/>
  <c r="R529" i="3"/>
  <c r="R401" i="3"/>
  <c r="R273" i="3"/>
  <c r="R470" i="3"/>
  <c r="R342" i="3"/>
  <c r="R185" i="3"/>
  <c r="R184" i="3"/>
  <c r="R56" i="3"/>
  <c r="R97" i="3" l="1"/>
  <c r="R248" i="3"/>
  <c r="R360" i="3"/>
  <c r="S360" i="3" s="1"/>
  <c r="V360" i="3" s="1"/>
  <c r="R366" i="3"/>
  <c r="R62" i="3"/>
  <c r="S62" i="3" s="1"/>
  <c r="V62" i="3" s="1"/>
  <c r="R578" i="3"/>
  <c r="S578" i="3" s="1"/>
  <c r="V578" i="3" s="1"/>
  <c r="R440" i="3"/>
  <c r="S440" i="3" s="1"/>
  <c r="V440" i="3" s="1"/>
  <c r="R240" i="3"/>
  <c r="S240" i="3" s="1"/>
  <c r="V240" i="3" s="1"/>
  <c r="R64" i="3"/>
  <c r="S64" i="3" s="1"/>
  <c r="V64" i="3" s="1"/>
  <c r="R289" i="3"/>
  <c r="S289" i="3" s="1"/>
  <c r="V289" i="3" s="1"/>
  <c r="R386" i="3"/>
  <c r="R320" i="3"/>
  <c r="R361" i="3"/>
  <c r="S361" i="3" s="1"/>
  <c r="V361" i="3" s="1"/>
  <c r="R387" i="3"/>
  <c r="S387" i="3" s="1"/>
  <c r="V387" i="3" s="1"/>
  <c r="R221" i="3"/>
  <c r="S221" i="3" s="1"/>
  <c r="V221" i="3" s="1"/>
  <c r="R179" i="3"/>
  <c r="S179" i="3" s="1"/>
  <c r="V179" i="3" s="1"/>
  <c r="R166" i="3"/>
  <c r="S166" i="3" s="1"/>
  <c r="V166" i="3" s="1"/>
  <c r="R452" i="3"/>
  <c r="S452" i="3" s="1"/>
  <c r="V452" i="3" s="1"/>
  <c r="R37" i="3"/>
  <c r="S37" i="3" s="1"/>
  <c r="V37" i="3" s="1"/>
  <c r="R269" i="3"/>
  <c r="S269" i="3" s="1"/>
  <c r="V269" i="3" s="1"/>
  <c r="R271" i="3"/>
  <c r="S271" i="3" s="1"/>
  <c r="V271" i="3" s="1"/>
  <c r="R102" i="3"/>
  <c r="S102" i="3" s="1"/>
  <c r="V102" i="3" s="1"/>
  <c r="R252" i="3"/>
  <c r="S252" i="3" s="1"/>
  <c r="V252" i="3" s="1"/>
  <c r="R315" i="3"/>
  <c r="S315" i="3" s="1"/>
  <c r="V315" i="3" s="1"/>
  <c r="R573" i="3"/>
  <c r="S573" i="3" s="1"/>
  <c r="V573" i="3" s="1"/>
  <c r="R222" i="3"/>
  <c r="S222" i="3" s="1"/>
  <c r="V222" i="3" s="1"/>
  <c r="R301" i="3"/>
  <c r="S301" i="3" s="1"/>
  <c r="V301" i="3" s="1"/>
  <c r="R399" i="3"/>
  <c r="S399" i="3" s="1"/>
  <c r="V399" i="3" s="1"/>
  <c r="R493" i="3"/>
  <c r="S493" i="3" s="1"/>
  <c r="V493" i="3" s="1"/>
  <c r="R198" i="3"/>
  <c r="S198" i="3" s="1"/>
  <c r="V198" i="3" s="1"/>
  <c r="R579" i="3"/>
  <c r="S579" i="3" s="1"/>
  <c r="V579" i="3" s="1"/>
  <c r="R94" i="3"/>
  <c r="S94" i="3" s="1"/>
  <c r="V94" i="3" s="1"/>
  <c r="R429" i="3"/>
  <c r="S429" i="3" s="1"/>
  <c r="V429" i="3" s="1"/>
  <c r="R559" i="3"/>
  <c r="S559" i="3" s="1"/>
  <c r="V559" i="3" s="1"/>
  <c r="R331" i="3"/>
  <c r="S331" i="3" s="1"/>
  <c r="V331" i="3" s="1"/>
  <c r="R85" i="3"/>
  <c r="S85" i="3" s="1"/>
  <c r="V85" i="3" s="1"/>
  <c r="R412" i="3"/>
  <c r="S412" i="3" s="1"/>
  <c r="V412" i="3" s="1"/>
  <c r="R195" i="3"/>
  <c r="S195" i="3" s="1"/>
  <c r="V195" i="3" s="1"/>
  <c r="R30" i="3"/>
  <c r="S30" i="3" s="1"/>
  <c r="V30" i="3" s="1"/>
  <c r="R525" i="3"/>
  <c r="S525" i="3" s="1"/>
  <c r="V525" i="3" s="1"/>
  <c r="R564" i="3"/>
  <c r="S564" i="3" s="1"/>
  <c r="V564" i="3" s="1"/>
  <c r="R55" i="3"/>
  <c r="S55" i="3" s="1"/>
  <c r="V55" i="3" s="1"/>
  <c r="R363" i="3"/>
  <c r="S363" i="3" s="1"/>
  <c r="V363" i="3" s="1"/>
  <c r="R70" i="3"/>
  <c r="S70" i="3" s="1"/>
  <c r="V70" i="3" s="1"/>
  <c r="R158" i="3"/>
  <c r="S158" i="3" s="1"/>
  <c r="V158" i="3" s="1"/>
  <c r="R243" i="3"/>
  <c r="S243" i="3" s="1"/>
  <c r="V243" i="3" s="1"/>
  <c r="R485" i="3"/>
  <c r="S485" i="3" s="1"/>
  <c r="V485" i="3" s="1"/>
  <c r="R317" i="3"/>
  <c r="S317" i="3" s="1"/>
  <c r="V317" i="3" s="1"/>
  <c r="R270" i="3"/>
  <c r="S270" i="3" s="1"/>
  <c r="V270" i="3" s="1"/>
  <c r="R2" i="3"/>
  <c r="S2" i="3" s="1"/>
  <c r="Q564" i="6"/>
  <c r="Q14" i="6"/>
  <c r="S398" i="6"/>
  <c r="L345" i="6"/>
  <c r="N345" i="6" s="1"/>
  <c r="Q345" i="6" s="1"/>
  <c r="Q116" i="6"/>
  <c r="L409" i="6"/>
  <c r="N409" i="6" s="1"/>
  <c r="K409" i="6"/>
  <c r="L2" i="6"/>
  <c r="J2" i="6"/>
  <c r="K2" i="6" s="1"/>
  <c r="Q512" i="6"/>
  <c r="N39" i="6"/>
  <c r="Q39" i="6" s="1"/>
  <c r="L128" i="6"/>
  <c r="N128" i="6" s="1"/>
  <c r="K128" i="6"/>
  <c r="L180" i="6"/>
  <c r="N180" i="6" s="1"/>
  <c r="K180" i="6"/>
  <c r="L448" i="6"/>
  <c r="N448" i="6" s="1"/>
  <c r="L64" i="6"/>
  <c r="N64" i="6" s="1"/>
  <c r="L24" i="6"/>
  <c r="N24" i="6" s="1"/>
  <c r="S364" i="6"/>
  <c r="L426" i="6"/>
  <c r="N426" i="6" s="1"/>
  <c r="L523" i="6"/>
  <c r="N523" i="6" s="1"/>
  <c r="S53" i="6"/>
  <c r="L437" i="6"/>
  <c r="N437" i="6" s="1"/>
  <c r="Q437" i="6" s="1"/>
  <c r="L439" i="6"/>
  <c r="N439" i="6" s="1"/>
  <c r="S233" i="6"/>
  <c r="S566" i="6"/>
  <c r="S486" i="6"/>
  <c r="L535" i="6"/>
  <c r="N535" i="6" s="1"/>
  <c r="L228" i="6"/>
  <c r="N228" i="6" s="1"/>
  <c r="S23" i="6"/>
  <c r="L316" i="6"/>
  <c r="S111" i="6"/>
  <c r="L96" i="6"/>
  <c r="N96" i="6" s="1"/>
  <c r="S98" i="6"/>
  <c r="L290" i="6"/>
  <c r="N290" i="6" s="1"/>
  <c r="S3" i="6"/>
  <c r="L387" i="6"/>
  <c r="N387" i="6" s="1"/>
  <c r="S515" i="6"/>
  <c r="L109" i="6"/>
  <c r="N109" i="6" s="1"/>
  <c r="S429" i="6"/>
  <c r="L568" i="6"/>
  <c r="N568" i="6" s="1"/>
  <c r="S56" i="6"/>
  <c r="L119" i="6"/>
  <c r="L412" i="6"/>
  <c r="N412" i="6" s="1"/>
  <c r="S207" i="6"/>
  <c r="S588" i="6"/>
  <c r="L585" i="6"/>
  <c r="L279" i="6"/>
  <c r="N279" i="6" s="1"/>
  <c r="S73" i="6"/>
  <c r="S161" i="6"/>
  <c r="L455" i="6"/>
  <c r="N455" i="6" s="1"/>
  <c r="L148" i="6"/>
  <c r="N148" i="6" s="1"/>
  <c r="S66" i="6"/>
  <c r="L258" i="6"/>
  <c r="N258" i="6" s="1"/>
  <c r="Q258" i="6" s="1"/>
  <c r="S578" i="6"/>
  <c r="L355" i="6"/>
  <c r="N355" i="6" s="1"/>
  <c r="S483" i="6"/>
  <c r="L77" i="6"/>
  <c r="N77" i="6" s="1"/>
  <c r="L269" i="6"/>
  <c r="S397" i="6"/>
  <c r="L312" i="6"/>
  <c r="N312" i="6" s="1"/>
  <c r="S108" i="6"/>
  <c r="L567" i="6"/>
  <c r="L260" i="6"/>
  <c r="N260" i="6" s="1"/>
  <c r="S55" i="6"/>
  <c r="L472" i="6"/>
  <c r="N472" i="6" s="1"/>
  <c r="S49" i="6"/>
  <c r="L328" i="6"/>
  <c r="N328" i="6" s="1"/>
  <c r="L22" i="6"/>
  <c r="N22" i="6" s="1"/>
  <c r="L169" i="6"/>
  <c r="N169" i="6" s="1"/>
  <c r="Q169" i="6" s="1"/>
  <c r="L98" i="6"/>
  <c r="N98" i="6" s="1"/>
  <c r="S323" i="6"/>
  <c r="S222" i="6"/>
  <c r="S422" i="6"/>
  <c r="S494" i="6"/>
  <c r="S234" i="6"/>
  <c r="S68" i="6"/>
  <c r="L132" i="6"/>
  <c r="N132" i="6" s="1"/>
  <c r="L369" i="6"/>
  <c r="S584" i="6"/>
  <c r="L278" i="6"/>
  <c r="S366" i="6"/>
  <c r="S314" i="6"/>
  <c r="L506" i="6"/>
  <c r="N506" i="6" s="1"/>
  <c r="L91" i="6"/>
  <c r="N91" i="6" s="1"/>
  <c r="S219" i="6"/>
  <c r="L5" i="6"/>
  <c r="S133" i="6"/>
  <c r="L517" i="6"/>
  <c r="N517" i="6" s="1"/>
  <c r="S529" i="6"/>
  <c r="L580" i="6"/>
  <c r="N580" i="6" s="1"/>
  <c r="S489" i="6"/>
  <c r="L104" i="6"/>
  <c r="N104" i="6" s="1"/>
  <c r="L383" i="6"/>
  <c r="N383" i="6" s="1"/>
  <c r="S585" i="6"/>
  <c r="L550" i="6"/>
  <c r="N550" i="6" s="1"/>
  <c r="S127" i="6"/>
  <c r="S266" i="6"/>
  <c r="L458" i="6"/>
  <c r="N458" i="6" s="1"/>
  <c r="L43" i="6"/>
  <c r="N43" i="6" s="1"/>
  <c r="S171" i="6"/>
  <c r="L555" i="6"/>
  <c r="N555" i="6" s="1"/>
  <c r="Q555" i="6" s="1"/>
  <c r="S85" i="6"/>
  <c r="L277" i="6"/>
  <c r="N277" i="6" s="1"/>
  <c r="L469" i="6"/>
  <c r="N469" i="6" s="1"/>
  <c r="S597" i="6"/>
  <c r="S542" i="6"/>
  <c r="S54" i="6"/>
  <c r="L404" i="6"/>
  <c r="N404" i="6" s="1"/>
  <c r="S418" i="6"/>
  <c r="L425" i="6"/>
  <c r="S449" i="6"/>
  <c r="S112" i="6"/>
  <c r="L552" i="6"/>
  <c r="N552" i="6" s="1"/>
  <c r="S348" i="6"/>
  <c r="S460" i="6"/>
  <c r="L521" i="6"/>
  <c r="N521" i="6" s="1"/>
  <c r="L215" i="6"/>
  <c r="N215" i="6" s="1"/>
  <c r="Q215" i="6" s="1"/>
  <c r="S9" i="6"/>
  <c r="S216" i="6"/>
  <c r="L596" i="6"/>
  <c r="N596" i="6" s="1"/>
  <c r="S391" i="6"/>
  <c r="S298" i="6"/>
  <c r="L490" i="6"/>
  <c r="N490" i="6" s="1"/>
  <c r="L75" i="6"/>
  <c r="S203" i="6"/>
  <c r="L587" i="6"/>
  <c r="N587" i="6" s="1"/>
  <c r="S117" i="6"/>
  <c r="L501" i="6"/>
  <c r="N501" i="6" s="1"/>
  <c r="S556" i="6"/>
  <c r="L478" i="6"/>
  <c r="N478" i="6" s="1"/>
  <c r="L129" i="6"/>
  <c r="N129" i="6" s="1"/>
  <c r="L38" i="6"/>
  <c r="N38" i="6" s="1"/>
  <c r="S407" i="6"/>
  <c r="L191" i="6"/>
  <c r="S495" i="6"/>
  <c r="L480" i="6"/>
  <c r="N480" i="6" s="1"/>
  <c r="S276" i="6"/>
  <c r="L50" i="6"/>
  <c r="L242" i="6"/>
  <c r="N242" i="6" s="1"/>
  <c r="S370" i="6"/>
  <c r="L562" i="6"/>
  <c r="N562" i="6" s="1"/>
  <c r="L147" i="6"/>
  <c r="N147" i="6" s="1"/>
  <c r="S275" i="6"/>
  <c r="S189" i="6"/>
  <c r="L573" i="6"/>
  <c r="N573" i="6" s="1"/>
  <c r="S440" i="6"/>
  <c r="L400" i="6"/>
  <c r="N400" i="6" s="1"/>
  <c r="S196" i="6"/>
  <c r="S527" i="6"/>
  <c r="L408" i="6"/>
  <c r="N408" i="6" s="1"/>
  <c r="S12" i="6"/>
  <c r="L87" i="6"/>
  <c r="N87" i="6" s="1"/>
  <c r="L481" i="6"/>
  <c r="N481" i="6" s="1"/>
  <c r="S278" i="6"/>
  <c r="L569" i="6"/>
  <c r="N569" i="6" s="1"/>
  <c r="S57" i="6"/>
  <c r="L186" i="6"/>
  <c r="N186" i="6" s="1"/>
  <c r="Q186" i="6" s="1"/>
  <c r="Q506" i="6"/>
  <c r="S506" i="6"/>
  <c r="L283" i="6"/>
  <c r="N283" i="6" s="1"/>
  <c r="S411" i="6"/>
  <c r="L197" i="6"/>
  <c r="N197" i="6" s="1"/>
  <c r="S325" i="6"/>
  <c r="L428" i="6"/>
  <c r="N428" i="6" s="1"/>
  <c r="S223" i="6"/>
  <c r="L388" i="6"/>
  <c r="N388" i="6" s="1"/>
  <c r="Q388" i="6" s="1"/>
  <c r="S183" i="6"/>
  <c r="S154" i="6"/>
  <c r="L346" i="6"/>
  <c r="N346" i="6" s="1"/>
  <c r="S59" i="6"/>
  <c r="L443" i="6"/>
  <c r="S571" i="6"/>
  <c r="S485" i="6"/>
  <c r="L172" i="6"/>
  <c r="N172" i="6" s="1"/>
  <c r="Q172" i="6" s="1"/>
  <c r="L340" i="6"/>
  <c r="N340" i="6" s="1"/>
  <c r="S135" i="6"/>
  <c r="S519" i="6"/>
  <c r="S463" i="6"/>
  <c r="S280" i="6"/>
  <c r="L126" i="6"/>
  <c r="N126" i="6" s="1"/>
  <c r="S447" i="6"/>
  <c r="L520" i="6"/>
  <c r="N520" i="6" s="1"/>
  <c r="Q520" i="6" s="1"/>
  <c r="S8" i="6"/>
  <c r="L302" i="6"/>
  <c r="N302" i="6" s="1"/>
  <c r="S162" i="6"/>
  <c r="L354" i="6"/>
  <c r="N354" i="6" s="1"/>
  <c r="S67" i="6"/>
  <c r="L451" i="6"/>
  <c r="N451" i="6" s="1"/>
  <c r="S579" i="6"/>
  <c r="L173" i="6"/>
  <c r="N173" i="6" s="1"/>
  <c r="Q173" i="6" s="1"/>
  <c r="S493" i="6"/>
  <c r="L465" i="6"/>
  <c r="N465" i="6" s="1"/>
  <c r="L159" i="6"/>
  <c r="N159" i="6" s="1"/>
  <c r="S375" i="6"/>
  <c r="L16" i="6"/>
  <c r="N16" i="6" s="1"/>
  <c r="L105" i="6"/>
  <c r="N105" i="6" s="1"/>
  <c r="S438" i="6"/>
  <c r="L304" i="6"/>
  <c r="N304" i="6" s="1"/>
  <c r="Q304" i="6" s="1"/>
  <c r="S100" i="6"/>
  <c r="S188" i="6"/>
  <c r="L174" i="6"/>
  <c r="N174" i="6" s="1"/>
  <c r="S50" i="6"/>
  <c r="S562" i="6"/>
  <c r="L339" i="6"/>
  <c r="N339" i="6" s="1"/>
  <c r="S467" i="6"/>
  <c r="L61" i="6"/>
  <c r="S381" i="6"/>
  <c r="L337" i="6"/>
  <c r="N337" i="6" s="1"/>
  <c r="S134" i="6"/>
  <c r="L94" i="6"/>
  <c r="N94" i="6" s="1"/>
  <c r="L424" i="6"/>
  <c r="N424" i="6" s="1"/>
  <c r="S220" i="6"/>
  <c r="S393" i="6"/>
  <c r="L577" i="6"/>
  <c r="N577" i="6" s="1"/>
  <c r="Q577" i="6" s="1"/>
  <c r="S374" i="6"/>
  <c r="L257" i="6"/>
  <c r="N257" i="6" s="1"/>
  <c r="L195" i="6"/>
  <c r="N195" i="6" s="1"/>
  <c r="S237" i="6"/>
  <c r="L97" i="6"/>
  <c r="N97" i="6" s="1"/>
  <c r="L11" i="6"/>
  <c r="N11" i="6" s="1"/>
  <c r="Q11" i="6" s="1"/>
  <c r="S139" i="6"/>
  <c r="L44" i="6"/>
  <c r="N44" i="6" s="1"/>
  <c r="S311" i="6"/>
  <c r="L30" i="6"/>
  <c r="N30" i="6" s="1"/>
  <c r="S414" i="6"/>
  <c r="L177" i="6"/>
  <c r="N177" i="6" s="1"/>
  <c r="L344" i="6"/>
  <c r="N344" i="6" s="1"/>
  <c r="Q344" i="6" s="1"/>
  <c r="S572" i="6"/>
  <c r="S399" i="6"/>
  <c r="L561" i="6"/>
  <c r="N561" i="6" s="1"/>
  <c r="S152" i="6"/>
  <c r="S471" i="6"/>
  <c r="S329" i="6"/>
  <c r="S417" i="6"/>
  <c r="S199" i="6"/>
  <c r="L318" i="6"/>
  <c r="N318" i="6" s="1"/>
  <c r="Q318" i="6" s="1"/>
  <c r="L516" i="6"/>
  <c r="N516" i="6" s="1"/>
  <c r="L380" i="6"/>
  <c r="S175" i="6"/>
  <c r="L160" i="6"/>
  <c r="S58" i="6"/>
  <c r="L250" i="6"/>
  <c r="N250" i="6" s="1"/>
  <c r="S570" i="6"/>
  <c r="L347" i="6"/>
  <c r="S475" i="6"/>
  <c r="L261" i="6"/>
  <c r="S389" i="6"/>
  <c r="S120" i="6"/>
  <c r="L592" i="6"/>
  <c r="N592" i="6" s="1"/>
  <c r="L286" i="6"/>
  <c r="S80" i="6"/>
  <c r="L111" i="6"/>
  <c r="N111" i="6" s="1"/>
  <c r="S565" i="6"/>
  <c r="L566" i="6"/>
  <c r="L449" i="6"/>
  <c r="N449" i="6" s="1"/>
  <c r="L143" i="6"/>
  <c r="N143" i="6" s="1"/>
  <c r="L63" i="6"/>
  <c r="N63" i="6" s="1"/>
  <c r="S420" i="6"/>
  <c r="L406" i="6"/>
  <c r="N406" i="6" s="1"/>
  <c r="Q406" i="6" s="1"/>
  <c r="S200" i="6"/>
  <c r="L185" i="6"/>
  <c r="N185" i="6" s="1"/>
  <c r="S42" i="6"/>
  <c r="L234" i="6"/>
  <c r="N234" i="6" s="1"/>
  <c r="S554" i="6"/>
  <c r="L331" i="6"/>
  <c r="N331" i="6" s="1"/>
  <c r="S459" i="6"/>
  <c r="L245" i="6"/>
  <c r="N245" i="6" s="1"/>
  <c r="Q245" i="6" s="1"/>
  <c r="S373" i="6"/>
  <c r="L351" i="6"/>
  <c r="N351" i="6" s="1"/>
  <c r="S145" i="6"/>
  <c r="L540" i="6"/>
  <c r="S335" i="6"/>
  <c r="S433" i="6"/>
  <c r="L201" i="6"/>
  <c r="S600" i="6"/>
  <c r="L289" i="6"/>
  <c r="N289" i="6" s="1"/>
  <c r="S86" i="6"/>
  <c r="L71" i="6"/>
  <c r="N71" i="6" s="1"/>
  <c r="S114" i="6"/>
  <c r="S19" i="6"/>
  <c r="L403" i="6"/>
  <c r="N403" i="6" s="1"/>
  <c r="S531" i="6"/>
  <c r="L125" i="6"/>
  <c r="N125" i="6" s="1"/>
  <c r="S445" i="6"/>
  <c r="L236" i="6"/>
  <c r="N236" i="6" s="1"/>
  <c r="S31" i="6"/>
  <c r="L321" i="6"/>
  <c r="N321" i="6" s="1"/>
  <c r="S118" i="6"/>
  <c r="L496" i="6"/>
  <c r="N496" i="6" s="1"/>
  <c r="S292" i="6"/>
  <c r="S488" i="6"/>
  <c r="S332" i="6"/>
  <c r="L151" i="6"/>
  <c r="N151" i="6" s="1"/>
  <c r="S497" i="6"/>
  <c r="L239" i="6"/>
  <c r="N239" i="6" s="1"/>
  <c r="S33" i="6"/>
  <c r="L327" i="6"/>
  <c r="N327" i="6" s="1"/>
  <c r="L20" i="6"/>
  <c r="N20" i="6" s="1"/>
  <c r="S82" i="6"/>
  <c r="L274" i="6"/>
  <c r="N274" i="6" s="1"/>
  <c r="Q274" i="6" s="1"/>
  <c r="S594" i="6"/>
  <c r="L371" i="6"/>
  <c r="N371" i="6" s="1"/>
  <c r="S499" i="6"/>
  <c r="L93" i="6"/>
  <c r="N93" i="6" s="1"/>
  <c r="L285" i="6"/>
  <c r="N285" i="6" s="1"/>
  <c r="S413" i="6"/>
  <c r="L593" i="6"/>
  <c r="N593" i="6" s="1"/>
  <c r="Q593" i="6" s="1"/>
  <c r="L287" i="6"/>
  <c r="N287" i="6" s="1"/>
  <c r="S81" i="6"/>
  <c r="L41" i="6"/>
  <c r="N41" i="6" s="1"/>
  <c r="S305" i="6"/>
  <c r="S548" i="6"/>
  <c r="S252" i="6"/>
  <c r="P167" i="6"/>
  <c r="Q167" i="6"/>
  <c r="L233" i="6"/>
  <c r="N233" i="6" s="1"/>
  <c r="S30" i="6"/>
  <c r="L54" i="6"/>
  <c r="N54" i="6" s="1"/>
  <c r="L329" i="6"/>
  <c r="S126" i="6"/>
  <c r="Q126" i="6"/>
  <c r="S214" i="6"/>
  <c r="L505" i="6"/>
  <c r="N505" i="6" s="1"/>
  <c r="S34" i="6"/>
  <c r="L226" i="6"/>
  <c r="N226" i="6" s="1"/>
  <c r="S546" i="6"/>
  <c r="L323" i="6"/>
  <c r="N323" i="6" s="1"/>
  <c r="S451" i="6"/>
  <c r="Q451" i="6"/>
  <c r="L45" i="6"/>
  <c r="N45" i="6" s="1"/>
  <c r="Q45" i="6" s="1"/>
  <c r="S365" i="6"/>
  <c r="L364" i="6"/>
  <c r="S159" i="6"/>
  <c r="Q159" i="6"/>
  <c r="L528" i="6"/>
  <c r="N528" i="6" s="1"/>
  <c r="L222" i="6"/>
  <c r="S16" i="6"/>
  <c r="Q16" i="6"/>
  <c r="S552" i="6"/>
  <c r="Q552" i="6"/>
  <c r="L420" i="6"/>
  <c r="N420" i="6" s="1"/>
  <c r="S215" i="6"/>
  <c r="L200" i="6"/>
  <c r="S596" i="6"/>
  <c r="Q596" i="6"/>
  <c r="S170" i="6"/>
  <c r="L362" i="6"/>
  <c r="N362" i="6" s="1"/>
  <c r="S75" i="6"/>
  <c r="L459" i="6"/>
  <c r="N459" i="6" s="1"/>
  <c r="S587" i="6"/>
  <c r="L373" i="6"/>
  <c r="S501" i="6"/>
  <c r="Q501" i="6"/>
  <c r="L145" i="6"/>
  <c r="N145" i="6" s="1"/>
  <c r="S478" i="6"/>
  <c r="S516" i="6"/>
  <c r="Q516" i="6"/>
  <c r="S540" i="6"/>
  <c r="S201" i="6"/>
  <c r="L495" i="6"/>
  <c r="N495" i="6" s="1"/>
  <c r="S289" i="6"/>
  <c r="L583" i="6"/>
  <c r="N583" i="6" s="1"/>
  <c r="L276" i="6"/>
  <c r="S71" i="6"/>
  <c r="L370" i="6"/>
  <c r="S498" i="6"/>
  <c r="L275" i="6"/>
  <c r="N275" i="6" s="1"/>
  <c r="S403" i="6"/>
  <c r="S317" i="6"/>
  <c r="L440" i="6"/>
  <c r="S236" i="6"/>
  <c r="L503" i="6"/>
  <c r="N503" i="6" s="1"/>
  <c r="L196" i="6"/>
  <c r="L527" i="6"/>
  <c r="S321" i="6"/>
  <c r="Q321" i="6"/>
  <c r="L12" i="6"/>
  <c r="N12" i="6" s="1"/>
  <c r="S496" i="6"/>
  <c r="S380" i="6"/>
  <c r="S160" i="6"/>
  <c r="L122" i="6"/>
  <c r="N122" i="6" s="1"/>
  <c r="S442" i="6"/>
  <c r="L219" i="6"/>
  <c r="S347" i="6"/>
  <c r="L133" i="6"/>
  <c r="N133" i="6" s="1"/>
  <c r="S261" i="6"/>
  <c r="S326" i="6"/>
  <c r="S286" i="6"/>
  <c r="L207" i="6"/>
  <c r="L588" i="6"/>
  <c r="S177" i="6"/>
  <c r="Q177" i="6"/>
  <c r="L73" i="6"/>
  <c r="N73" i="6" s="1"/>
  <c r="S344" i="6"/>
  <c r="L161" i="6"/>
  <c r="S558" i="6"/>
  <c r="S194" i="6"/>
  <c r="L386" i="6"/>
  <c r="N386" i="6" s="1"/>
  <c r="S99" i="6"/>
  <c r="L483" i="6"/>
  <c r="N483" i="6" s="1"/>
  <c r="S13" i="6"/>
  <c r="L397" i="6"/>
  <c r="N397" i="6" s="1"/>
  <c r="S525" i="6"/>
  <c r="L415" i="6"/>
  <c r="N415" i="6" s="1"/>
  <c r="L108" i="6"/>
  <c r="N108" i="6" s="1"/>
  <c r="L55" i="6"/>
  <c r="L488" i="6"/>
  <c r="S284" i="6"/>
  <c r="L332" i="6"/>
  <c r="N332" i="6" s="1"/>
  <c r="S560" i="6"/>
  <c r="L497" i="6"/>
  <c r="N497" i="6" s="1"/>
  <c r="S76" i="6"/>
  <c r="L33" i="6"/>
  <c r="N33" i="6" s="1"/>
  <c r="S430" i="6"/>
  <c r="S210" i="6"/>
  <c r="L402" i="6"/>
  <c r="N402" i="6" s="1"/>
  <c r="S115" i="6"/>
  <c r="L499" i="6"/>
  <c r="N499" i="6" s="1"/>
  <c r="Q499" i="6" s="1"/>
  <c r="S29" i="6"/>
  <c r="L413" i="6"/>
  <c r="S541" i="6"/>
  <c r="L81" i="6"/>
  <c r="N81" i="6" s="1"/>
  <c r="S452" i="6"/>
  <c r="L74" i="6"/>
  <c r="N74" i="6" s="1"/>
  <c r="S394" i="6"/>
  <c r="L586" i="6"/>
  <c r="L171" i="6"/>
  <c r="N171" i="6" s="1"/>
  <c r="S299" i="6"/>
  <c r="L85" i="6"/>
  <c r="N85" i="6" s="1"/>
  <c r="S213" i="6"/>
  <c r="L597" i="6"/>
  <c r="S401" i="6"/>
  <c r="L305" i="6"/>
  <c r="L548" i="6"/>
  <c r="N548" i="6" s="1"/>
  <c r="Q548" i="6" s="1"/>
  <c r="S343" i="6"/>
  <c r="S524" i="6"/>
  <c r="L252" i="6"/>
  <c r="S47" i="6"/>
  <c r="S282" i="6"/>
  <c r="L474" i="6"/>
  <c r="L59" i="6"/>
  <c r="S187" i="6"/>
  <c r="L571" i="6"/>
  <c r="N571" i="6" s="1"/>
  <c r="S101" i="6"/>
  <c r="L293" i="6"/>
  <c r="N293" i="6" s="1"/>
  <c r="L485" i="6"/>
  <c r="N485" i="6" s="1"/>
  <c r="S582" i="6"/>
  <c r="L49" i="6"/>
  <c r="N49" i="6" s="1"/>
  <c r="S431" i="6"/>
  <c r="L399" i="6"/>
  <c r="S193" i="6"/>
  <c r="L135" i="6"/>
  <c r="N135" i="6" s="1"/>
  <c r="L152" i="6"/>
  <c r="S265" i="6"/>
  <c r="L374" i="6"/>
  <c r="N374" i="6" s="1"/>
  <c r="S168" i="6"/>
  <c r="S212" i="6"/>
  <c r="S360" i="6"/>
  <c r="L486" i="6"/>
  <c r="S88" i="6"/>
  <c r="L23" i="6"/>
  <c r="S241" i="6"/>
  <c r="L417" i="6"/>
  <c r="N417" i="6" s="1"/>
  <c r="S505" i="6"/>
  <c r="Q505" i="6"/>
  <c r="L199" i="6"/>
  <c r="Q226" i="6"/>
  <c r="S226" i="6"/>
  <c r="L418" i="6"/>
  <c r="N418" i="6" s="1"/>
  <c r="L3" i="6"/>
  <c r="N3" i="6" s="1"/>
  <c r="S131" i="6"/>
  <c r="L515" i="6"/>
  <c r="S45" i="6"/>
  <c r="L237" i="6"/>
  <c r="N237" i="6" s="1"/>
  <c r="Q237" i="6" s="1"/>
  <c r="L429" i="6"/>
  <c r="N429" i="6" s="1"/>
  <c r="S557" i="6"/>
  <c r="L56" i="6"/>
  <c r="N56" i="6" s="1"/>
  <c r="S528" i="6"/>
  <c r="Q528" i="6"/>
  <c r="S246" i="6"/>
  <c r="S255" i="6"/>
  <c r="L112" i="6"/>
  <c r="N112" i="6" s="1"/>
  <c r="L422" i="6"/>
  <c r="N422" i="6" s="1"/>
  <c r="S508" i="6"/>
  <c r="L494" i="6"/>
  <c r="S288" i="6"/>
  <c r="L42" i="6"/>
  <c r="N42" i="6" s="1"/>
  <c r="S362" i="6"/>
  <c r="Q362" i="6"/>
  <c r="L554" i="6"/>
  <c r="L139" i="6"/>
  <c r="S267" i="6"/>
  <c r="L53" i="6"/>
  <c r="S181" i="6"/>
  <c r="L565" i="6"/>
  <c r="N565" i="6" s="1"/>
  <c r="S454" i="6"/>
  <c r="L68" i="6"/>
  <c r="L414" i="6"/>
  <c r="N414" i="6" s="1"/>
  <c r="Q414" i="6" s="1"/>
  <c r="S208" i="6"/>
  <c r="L438" i="6"/>
  <c r="S232" i="6"/>
  <c r="S230" i="6"/>
  <c r="L407" i="6"/>
  <c r="N407" i="6" s="1"/>
  <c r="L100" i="6"/>
  <c r="N100" i="6" s="1"/>
  <c r="S396" i="6"/>
  <c r="L188" i="6"/>
  <c r="N188" i="6" s="1"/>
  <c r="S583" i="6"/>
  <c r="S178" i="6"/>
  <c r="S83" i="6"/>
  <c r="L467" i="6"/>
  <c r="S595" i="6"/>
  <c r="L189" i="6"/>
  <c r="L381" i="6"/>
  <c r="N381" i="6" s="1"/>
  <c r="S509" i="6"/>
  <c r="L134" i="6"/>
  <c r="N134" i="6" s="1"/>
  <c r="S503" i="6"/>
  <c r="L220" i="6"/>
  <c r="N220" i="6" s="1"/>
  <c r="S15" i="6"/>
  <c r="L393" i="6"/>
  <c r="S190" i="6"/>
  <c r="S575" i="6"/>
  <c r="L584" i="6"/>
  <c r="N584" i="6" s="1"/>
  <c r="S72" i="6"/>
  <c r="L366" i="6"/>
  <c r="L57" i="6"/>
  <c r="Q122" i="6"/>
  <c r="S122" i="6"/>
  <c r="L314" i="6"/>
  <c r="S27" i="6"/>
  <c r="L411" i="6"/>
  <c r="N411" i="6" s="1"/>
  <c r="S539" i="6"/>
  <c r="L325" i="6"/>
  <c r="S453" i="6"/>
  <c r="L529" i="6"/>
  <c r="L223" i="6"/>
  <c r="N223" i="6" s="1"/>
  <c r="S17" i="6"/>
  <c r="L489" i="6"/>
  <c r="N489" i="6" s="1"/>
  <c r="L183" i="6"/>
  <c r="S513" i="6"/>
  <c r="S382" i="6"/>
  <c r="L127" i="6"/>
  <c r="N127" i="6" s="1"/>
  <c r="S470" i="6"/>
  <c r="S249" i="6"/>
  <c r="L66" i="6"/>
  <c r="Q386" i="6"/>
  <c r="S386" i="6"/>
  <c r="L578" i="6"/>
  <c r="L163" i="6"/>
  <c r="N163" i="6" s="1"/>
  <c r="S291" i="6"/>
  <c r="S205" i="6"/>
  <c r="L589" i="6"/>
  <c r="N589" i="6" s="1"/>
  <c r="S415" i="6"/>
  <c r="Q415" i="6"/>
  <c r="S361" i="6"/>
  <c r="L182" i="6"/>
  <c r="N182" i="6" s="1"/>
  <c r="L457" i="6"/>
  <c r="S254" i="6"/>
  <c r="L545" i="6"/>
  <c r="N545" i="6" s="1"/>
  <c r="S342" i="6"/>
  <c r="S121" i="6"/>
  <c r="L82" i="6"/>
  <c r="N82" i="6" s="1"/>
  <c r="S402" i="6"/>
  <c r="L594" i="6"/>
  <c r="N594" i="6" s="1"/>
  <c r="L179" i="6"/>
  <c r="N179" i="6" s="1"/>
  <c r="S307" i="6"/>
  <c r="S221" i="6"/>
  <c r="S390" i="6"/>
  <c r="L350" i="6"/>
  <c r="S144" i="6"/>
  <c r="S74" i="6"/>
  <c r="L266" i="6"/>
  <c r="S586" i="6"/>
  <c r="L363" i="6"/>
  <c r="N363" i="6" s="1"/>
  <c r="S491" i="6"/>
  <c r="S405" i="6"/>
  <c r="L300" i="6"/>
  <c r="S95" i="6"/>
  <c r="L240" i="6"/>
  <c r="S36" i="6"/>
  <c r="L319" i="6"/>
  <c r="N319" i="6" s="1"/>
  <c r="S559" i="6"/>
  <c r="L154" i="6"/>
  <c r="S474" i="6"/>
  <c r="L251" i="6"/>
  <c r="S379" i="6"/>
  <c r="L165" i="6"/>
  <c r="N165" i="6" s="1"/>
  <c r="S293" i="6"/>
  <c r="Q293" i="6"/>
  <c r="L479" i="6"/>
  <c r="N479" i="6" s="1"/>
  <c r="S273" i="6"/>
  <c r="S124" i="6"/>
  <c r="S272" i="6"/>
  <c r="L92" i="6"/>
  <c r="N92" i="6" s="1"/>
  <c r="S441" i="6"/>
  <c r="L471" i="6"/>
  <c r="L164" i="6"/>
  <c r="N164" i="6" s="1"/>
  <c r="L65" i="6"/>
  <c r="L519" i="6"/>
  <c r="L110" i="6"/>
  <c r="L367" i="6"/>
  <c r="N367" i="6" s="1"/>
  <c r="L60" i="6"/>
  <c r="N60" i="6" s="1"/>
  <c r="S455" i="6"/>
  <c r="S258" i="6"/>
  <c r="L450" i="6"/>
  <c r="N450" i="6" s="1"/>
  <c r="L35" i="6"/>
  <c r="N35" i="6" s="1"/>
  <c r="S163" i="6"/>
  <c r="L547" i="6"/>
  <c r="N547" i="6" s="1"/>
  <c r="S77" i="6"/>
  <c r="Q77" i="6"/>
  <c r="L461" i="6"/>
  <c r="N461" i="6" s="1"/>
  <c r="S589" i="6"/>
  <c r="L6" i="6"/>
  <c r="N6" i="6" s="1"/>
  <c r="S567" i="6"/>
  <c r="S182" i="6"/>
  <c r="L140" i="6"/>
  <c r="N140" i="6" s="1"/>
  <c r="S457" i="6"/>
  <c r="L294" i="6"/>
  <c r="S545" i="6"/>
  <c r="L532" i="6"/>
  <c r="N532" i="6" s="1"/>
  <c r="S327" i="6"/>
  <c r="Q327" i="6"/>
  <c r="S274" i="6"/>
  <c r="L466" i="6"/>
  <c r="N466" i="6" s="1"/>
  <c r="L51" i="6"/>
  <c r="N51" i="6" s="1"/>
  <c r="S179" i="6"/>
  <c r="L563" i="6"/>
  <c r="N563" i="6" s="1"/>
  <c r="S93" i="6"/>
  <c r="Q93" i="6"/>
  <c r="L477" i="6"/>
  <c r="N477" i="6" s="1"/>
  <c r="S593" i="6"/>
  <c r="S350" i="6"/>
  <c r="L138" i="6"/>
  <c r="N138" i="6" s="1"/>
  <c r="S458" i="6"/>
  <c r="L235" i="6"/>
  <c r="N235" i="6" s="1"/>
  <c r="S363" i="6"/>
  <c r="L149" i="6"/>
  <c r="N149" i="6" s="1"/>
  <c r="S277" i="6"/>
  <c r="S300" i="6"/>
  <c r="L113" i="6"/>
  <c r="L446" i="6"/>
  <c r="N446" i="6" s="1"/>
  <c r="S240" i="6"/>
  <c r="S319" i="6"/>
  <c r="Q319" i="6"/>
  <c r="L456" i="6"/>
  <c r="L150" i="6"/>
  <c r="N150" i="6" s="1"/>
  <c r="L26" i="6"/>
  <c r="Q346" i="6"/>
  <c r="S346" i="6"/>
  <c r="L538" i="6"/>
  <c r="L123" i="6"/>
  <c r="N123" i="6" s="1"/>
  <c r="S251" i="6"/>
  <c r="L37" i="6"/>
  <c r="N37" i="6" s="1"/>
  <c r="Q37" i="6" s="1"/>
  <c r="S165" i="6"/>
  <c r="Q165" i="6"/>
  <c r="L357" i="6"/>
  <c r="N357" i="6" s="1"/>
  <c r="L549" i="6"/>
  <c r="N549" i="6" s="1"/>
  <c r="S479" i="6"/>
  <c r="Q479" i="6"/>
  <c r="L534" i="6"/>
  <c r="N534" i="6" s="1"/>
  <c r="Q534" i="6" s="1"/>
  <c r="S328" i="6"/>
  <c r="L296" i="6"/>
  <c r="N296" i="6" s="1"/>
  <c r="S92" i="6"/>
  <c r="Q92" i="6"/>
  <c r="L32" i="6"/>
  <c r="N32" i="6" s="1"/>
  <c r="L368" i="6"/>
  <c r="S164" i="6"/>
  <c r="L271" i="6"/>
  <c r="N271" i="6" s="1"/>
  <c r="Q271" i="6" s="1"/>
  <c r="S65" i="6"/>
  <c r="L313" i="6"/>
  <c r="N313" i="6" s="1"/>
  <c r="S110" i="6"/>
  <c r="S439" i="6"/>
  <c r="Q439" i="6"/>
  <c r="L463" i="6"/>
  <c r="N463" i="6" s="1"/>
  <c r="S257" i="6"/>
  <c r="Q257" i="6"/>
  <c r="L280" i="6"/>
  <c r="S535" i="6"/>
  <c r="L447" i="6"/>
  <c r="N447" i="6" s="1"/>
  <c r="S24" i="6"/>
  <c r="Q24" i="6"/>
  <c r="L8" i="6"/>
  <c r="S404" i="6"/>
  <c r="Q404" i="6"/>
  <c r="Q290" i="6"/>
  <c r="S290" i="6"/>
  <c r="L482" i="6"/>
  <c r="N482" i="6" s="1"/>
  <c r="L67" i="6"/>
  <c r="S195" i="6"/>
  <c r="Q195" i="6"/>
  <c r="L579" i="6"/>
  <c r="N579" i="6" s="1"/>
  <c r="S109" i="6"/>
  <c r="L301" i="6"/>
  <c r="N301" i="6" s="1"/>
  <c r="L493" i="6"/>
  <c r="S568" i="6"/>
  <c r="Q568" i="6"/>
  <c r="L262" i="6"/>
  <c r="L375" i="6"/>
  <c r="S425" i="6"/>
  <c r="L348" i="6"/>
  <c r="N348" i="6" s="1"/>
  <c r="S143" i="6"/>
  <c r="L460" i="6"/>
  <c r="N460" i="6" s="1"/>
  <c r="S63" i="6"/>
  <c r="L9" i="6"/>
  <c r="N9" i="6" s="1"/>
  <c r="L216" i="6"/>
  <c r="N216" i="6" s="1"/>
  <c r="S406" i="6"/>
  <c r="S185" i="6"/>
  <c r="L106" i="6"/>
  <c r="N106" i="6" s="1"/>
  <c r="S426" i="6"/>
  <c r="L203" i="6"/>
  <c r="S331" i="6"/>
  <c r="L117" i="6"/>
  <c r="N117" i="6" s="1"/>
  <c r="S245" i="6"/>
  <c r="L556" i="6"/>
  <c r="S351" i="6"/>
  <c r="L311" i="6"/>
  <c r="N311" i="6" s="1"/>
  <c r="S105" i="6"/>
  <c r="Q105" i="6"/>
  <c r="L335" i="6"/>
  <c r="S129" i="6"/>
  <c r="S38" i="6"/>
  <c r="Q38" i="6"/>
  <c r="L600" i="6"/>
  <c r="S191" i="6"/>
  <c r="L392" i="6"/>
  <c r="N392" i="6" s="1"/>
  <c r="L86" i="6"/>
  <c r="N86" i="6" s="1"/>
  <c r="S480" i="6"/>
  <c r="Q480" i="6"/>
  <c r="S242" i="6"/>
  <c r="L434" i="6"/>
  <c r="N434" i="6" s="1"/>
  <c r="Q434" i="6" s="1"/>
  <c r="L19" i="6"/>
  <c r="S147" i="6"/>
  <c r="L531" i="6"/>
  <c r="N531" i="6" s="1"/>
  <c r="S61" i="6"/>
  <c r="L253" i="6"/>
  <c r="L445" i="6"/>
  <c r="S573" i="6"/>
  <c r="Q573" i="6"/>
  <c r="L31" i="6"/>
  <c r="N31" i="6" s="1"/>
  <c r="S400" i="6"/>
  <c r="L118" i="6"/>
  <c r="S408" i="6"/>
  <c r="L599" i="6"/>
  <c r="L292" i="6"/>
  <c r="N292" i="6" s="1"/>
  <c r="S87" i="6"/>
  <c r="Q87" i="6"/>
  <c r="S369" i="6"/>
  <c r="L175" i="6"/>
  <c r="S569" i="6"/>
  <c r="L263" i="6"/>
  <c r="S186" i="6"/>
  <c r="L378" i="6"/>
  <c r="N378" i="6" s="1"/>
  <c r="S91" i="6"/>
  <c r="Q91" i="6"/>
  <c r="L475" i="6"/>
  <c r="N475" i="6" s="1"/>
  <c r="S5" i="6"/>
  <c r="L389" i="6"/>
  <c r="S517" i="6"/>
  <c r="Q517" i="6"/>
  <c r="L120" i="6"/>
  <c r="S580" i="6"/>
  <c r="L80" i="6"/>
  <c r="S412" i="6"/>
  <c r="L484" i="6"/>
  <c r="S279" i="6"/>
  <c r="L572" i="6"/>
  <c r="N572" i="6" s="1"/>
  <c r="S367" i="6"/>
  <c r="L352" i="6"/>
  <c r="N352" i="6" s="1"/>
  <c r="S148" i="6"/>
  <c r="L130" i="6"/>
  <c r="N130" i="6" s="1"/>
  <c r="Q130" i="6" s="1"/>
  <c r="S450" i="6"/>
  <c r="L227" i="6"/>
  <c r="N227" i="6" s="1"/>
  <c r="S355" i="6"/>
  <c r="S269" i="6"/>
  <c r="L518" i="6"/>
  <c r="N518" i="6" s="1"/>
  <c r="S312" i="6"/>
  <c r="Q312" i="6"/>
  <c r="S260" i="6"/>
  <c r="L385" i="6"/>
  <c r="N385" i="6" s="1"/>
  <c r="L356" i="6"/>
  <c r="N356" i="6" s="1"/>
  <c r="S151" i="6"/>
  <c r="Q151" i="6"/>
  <c r="L444" i="6"/>
  <c r="N444" i="6" s="1"/>
  <c r="S239" i="6"/>
  <c r="Q239" i="6"/>
  <c r="L224" i="6"/>
  <c r="N224" i="6" s="1"/>
  <c r="S20" i="6"/>
  <c r="Q20" i="6"/>
  <c r="L146" i="6"/>
  <c r="S466" i="6"/>
  <c r="L243" i="6"/>
  <c r="S371" i="6"/>
  <c r="Q371" i="6"/>
  <c r="S285" i="6"/>
  <c r="Q285" i="6"/>
  <c r="L492" i="6"/>
  <c r="N492" i="6" s="1"/>
  <c r="S287" i="6"/>
  <c r="Q287" i="6"/>
  <c r="L553" i="6"/>
  <c r="L247" i="6"/>
  <c r="S41" i="6"/>
  <c r="Q41" i="6"/>
  <c r="S138" i="6"/>
  <c r="L330" i="6"/>
  <c r="N330" i="6" s="1"/>
  <c r="S43" i="6"/>
  <c r="L427" i="6"/>
  <c r="S555" i="6"/>
  <c r="S469" i="6"/>
  <c r="Q469" i="6"/>
  <c r="L504" i="6"/>
  <c r="N504" i="6" s="1"/>
  <c r="L137" i="6"/>
  <c r="L102" i="6"/>
  <c r="N102" i="6" s="1"/>
  <c r="S456" i="6"/>
  <c r="S26" i="6"/>
  <c r="L218" i="6"/>
  <c r="N218" i="6" s="1"/>
  <c r="S538" i="6"/>
  <c r="L315" i="6"/>
  <c r="S443" i="6"/>
  <c r="S357" i="6"/>
  <c r="Q357" i="6"/>
  <c r="L376" i="6"/>
  <c r="N376" i="6" s="1"/>
  <c r="S172" i="6"/>
  <c r="S472" i="6"/>
  <c r="Q472" i="6"/>
  <c r="L225" i="6"/>
  <c r="N225" i="6" s="1"/>
  <c r="S22" i="6"/>
  <c r="Q22" i="6"/>
  <c r="S169" i="6"/>
  <c r="L544" i="6"/>
  <c r="N544" i="6" s="1"/>
  <c r="S340" i="6"/>
  <c r="S561" i="6"/>
  <c r="Q561" i="6"/>
  <c r="P345" i="6"/>
  <c r="L62" i="6"/>
  <c r="S577" i="6"/>
  <c r="L336" i="6"/>
  <c r="N336" i="6" s="1"/>
  <c r="S132" i="6"/>
  <c r="Q132" i="6"/>
  <c r="L156" i="6"/>
  <c r="N156" i="6" s="1"/>
  <c r="L432" i="6"/>
  <c r="N432" i="6" s="1"/>
  <c r="S228" i="6"/>
  <c r="Q228" i="6"/>
  <c r="S316" i="6"/>
  <c r="S96" i="6"/>
  <c r="Q96" i="6"/>
  <c r="L162" i="6"/>
  <c r="N162" i="6" s="1"/>
  <c r="Q482" i="6"/>
  <c r="S482" i="6"/>
  <c r="L259" i="6"/>
  <c r="N259" i="6" s="1"/>
  <c r="S387" i="6"/>
  <c r="Q387" i="6"/>
  <c r="S301" i="6"/>
  <c r="S262" i="6"/>
  <c r="L324" i="6"/>
  <c r="N324" i="6" s="1"/>
  <c r="Q324" i="6" s="1"/>
  <c r="S119" i="6"/>
  <c r="L40" i="6"/>
  <c r="N40" i="6" s="1"/>
  <c r="S318" i="6"/>
  <c r="L303" i="6"/>
  <c r="N303" i="6" s="1"/>
  <c r="S97" i="6"/>
  <c r="Q97" i="6"/>
  <c r="L391" i="6"/>
  <c r="N391" i="6" s="1"/>
  <c r="L84" i="6"/>
  <c r="N84" i="6" s="1"/>
  <c r="S106" i="6"/>
  <c r="L298" i="6"/>
  <c r="S11" i="6"/>
  <c r="L395" i="6"/>
  <c r="N395" i="6" s="1"/>
  <c r="S523" i="6"/>
  <c r="L309" i="6"/>
  <c r="S437" i="6"/>
  <c r="L248" i="6"/>
  <c r="N248" i="6" s="1"/>
  <c r="S44" i="6"/>
  <c r="L4" i="6"/>
  <c r="L28" i="6"/>
  <c r="N28" i="6" s="1"/>
  <c r="L433" i="6"/>
  <c r="N433" i="6" s="1"/>
  <c r="L510" i="6"/>
  <c r="N510" i="6" s="1"/>
  <c r="Q510" i="6" s="1"/>
  <c r="S304" i="6"/>
  <c r="L598" i="6"/>
  <c r="N598" i="6" s="1"/>
  <c r="S392" i="6"/>
  <c r="L377" i="6"/>
  <c r="N377" i="6" s="1"/>
  <c r="S174" i="6"/>
  <c r="Q174" i="6"/>
  <c r="L114" i="6"/>
  <c r="L306" i="6"/>
  <c r="N306" i="6" s="1"/>
  <c r="S434" i="6"/>
  <c r="L211" i="6"/>
  <c r="N211" i="6" s="1"/>
  <c r="S339" i="6"/>
  <c r="Q339" i="6"/>
  <c r="S253" i="6"/>
  <c r="L543" i="6"/>
  <c r="S337" i="6"/>
  <c r="Q337" i="6"/>
  <c r="L297" i="6"/>
  <c r="S94" i="6"/>
  <c r="S424" i="6"/>
  <c r="Q424" i="6"/>
  <c r="L204" i="6"/>
  <c r="N204" i="6" s="1"/>
  <c r="S599" i="6"/>
  <c r="L166" i="6"/>
  <c r="N166" i="6" s="1"/>
  <c r="S481" i="6"/>
  <c r="Q481" i="6"/>
  <c r="L468" i="6"/>
  <c r="N468" i="6" s="1"/>
  <c r="S263" i="6"/>
  <c r="L58" i="6"/>
  <c r="N58" i="6" s="1"/>
  <c r="Q378" i="6"/>
  <c r="S378" i="6"/>
  <c r="L570" i="6"/>
  <c r="L155" i="6"/>
  <c r="N155" i="6" s="1"/>
  <c r="S283" i="6"/>
  <c r="L69" i="6"/>
  <c r="S197" i="6"/>
  <c r="Q197" i="6"/>
  <c r="L581" i="6"/>
  <c r="S428" i="6"/>
  <c r="S388" i="6"/>
  <c r="L310" i="6"/>
  <c r="N310" i="6" s="1"/>
  <c r="S104" i="6"/>
  <c r="Q104" i="6"/>
  <c r="S383" i="6"/>
  <c r="Q383" i="6"/>
  <c r="S484" i="6"/>
  <c r="L176" i="6"/>
  <c r="S550" i="6"/>
  <c r="S60" i="6"/>
  <c r="L46" i="6"/>
  <c r="S130" i="6"/>
  <c r="L322" i="6"/>
  <c r="S35" i="6"/>
  <c r="L419" i="6"/>
  <c r="S547" i="6"/>
  <c r="Q547" i="6"/>
  <c r="L141" i="6"/>
  <c r="L333" i="6"/>
  <c r="N333" i="6" s="1"/>
  <c r="S461" i="6"/>
  <c r="L209" i="6"/>
  <c r="N209" i="6" s="1"/>
  <c r="S6" i="6"/>
  <c r="Q6" i="6"/>
  <c r="L464" i="6"/>
  <c r="N464" i="6" s="1"/>
  <c r="L158" i="6"/>
  <c r="L591" i="6"/>
  <c r="S385" i="6"/>
  <c r="Q385" i="6"/>
  <c r="L79" i="6"/>
  <c r="S140" i="6"/>
  <c r="Q140" i="6"/>
  <c r="S356" i="6"/>
  <c r="L48" i="6"/>
  <c r="S294" i="6"/>
  <c r="L136" i="6"/>
  <c r="S532" i="6"/>
  <c r="S146" i="6"/>
  <c r="L338" i="6"/>
  <c r="S51" i="6"/>
  <c r="Q51" i="6"/>
  <c r="L435" i="6"/>
  <c r="N435" i="6" s="1"/>
  <c r="S563" i="6"/>
  <c r="L157" i="6"/>
  <c r="L349" i="6"/>
  <c r="N349" i="6" s="1"/>
  <c r="S477" i="6"/>
  <c r="L184" i="6"/>
  <c r="S553" i="6"/>
  <c r="L10" i="6"/>
  <c r="N10" i="6" s="1"/>
  <c r="S330" i="6"/>
  <c r="L522" i="6"/>
  <c r="L107" i="6"/>
  <c r="S235" i="6"/>
  <c r="Q235" i="6"/>
  <c r="L21" i="6"/>
  <c r="N21" i="6" s="1"/>
  <c r="S149" i="6"/>
  <c r="L341" i="6"/>
  <c r="N341" i="6" s="1"/>
  <c r="L533" i="6"/>
  <c r="S504" i="6"/>
  <c r="L198" i="6"/>
  <c r="L511" i="6"/>
  <c r="S113" i="6"/>
  <c r="S446" i="6"/>
  <c r="L353" i="6"/>
  <c r="N353" i="6" s="1"/>
  <c r="S150" i="6"/>
  <c r="Q150" i="6"/>
  <c r="S218" i="6"/>
  <c r="L410" i="6"/>
  <c r="N410" i="6" s="1"/>
  <c r="S123" i="6"/>
  <c r="Q123" i="6"/>
  <c r="L507" i="6"/>
  <c r="N507" i="6" s="1"/>
  <c r="Q507" i="6" s="1"/>
  <c r="S37" i="6"/>
  <c r="L229" i="6"/>
  <c r="N229" i="6" s="1"/>
  <c r="L421" i="6"/>
  <c r="N421" i="6" s="1"/>
  <c r="S549" i="6"/>
  <c r="Q549" i="6"/>
  <c r="L70" i="6"/>
  <c r="N70" i="6" s="1"/>
  <c r="P308" i="6"/>
  <c r="L268" i="6"/>
  <c r="S534" i="6"/>
  <c r="L502" i="6"/>
  <c r="S296" i="6"/>
  <c r="Q296" i="6"/>
  <c r="P576" i="6"/>
  <c r="Q576" i="6"/>
  <c r="L238" i="6"/>
  <c r="S32" i="6"/>
  <c r="Q32" i="6"/>
  <c r="L358" i="6"/>
  <c r="N358" i="6" s="1"/>
  <c r="L574" i="6"/>
  <c r="S368" i="6"/>
  <c r="L476" i="6"/>
  <c r="S271" i="6"/>
  <c r="P537" i="6"/>
  <c r="Q537" i="6"/>
  <c r="S313" i="6"/>
  <c r="Q313" i="6"/>
  <c r="L416" i="6"/>
  <c r="L264" i="6"/>
  <c r="N264" i="6" s="1"/>
  <c r="Q264" i="6" s="1"/>
  <c r="L558" i="6"/>
  <c r="N558" i="6" s="1"/>
  <c r="S352" i="6"/>
  <c r="S322" i="6"/>
  <c r="L514" i="6"/>
  <c r="N514" i="6" s="1"/>
  <c r="L99" i="6"/>
  <c r="S227" i="6"/>
  <c r="S141" i="6"/>
  <c r="L525" i="6"/>
  <c r="N525" i="6" s="1"/>
  <c r="S518" i="6"/>
  <c r="S464" i="6"/>
  <c r="L284" i="6"/>
  <c r="S79" i="6"/>
  <c r="L536" i="6"/>
  <c r="L560" i="6"/>
  <c r="L76" i="6"/>
  <c r="S444" i="6"/>
  <c r="L430" i="6"/>
  <c r="N430" i="6" s="1"/>
  <c r="S224" i="6"/>
  <c r="L18" i="6"/>
  <c r="S338" i="6"/>
  <c r="L530" i="6"/>
  <c r="L115" i="6"/>
  <c r="N115" i="6" s="1"/>
  <c r="S243" i="6"/>
  <c r="S157" i="6"/>
  <c r="L541" i="6"/>
  <c r="N541" i="6" s="1"/>
  <c r="S492" i="6"/>
  <c r="L452" i="6"/>
  <c r="S247" i="6"/>
  <c r="S10" i="6"/>
  <c r="Q10" i="6"/>
  <c r="L202" i="6"/>
  <c r="N202" i="6" s="1"/>
  <c r="S522" i="6"/>
  <c r="L299" i="6"/>
  <c r="S427" i="6"/>
  <c r="S341" i="6"/>
  <c r="Q341" i="6"/>
  <c r="S198" i="6"/>
  <c r="L343" i="6"/>
  <c r="S137" i="6"/>
  <c r="L524" i="6"/>
  <c r="S102" i="6"/>
  <c r="Q102" i="6"/>
  <c r="L47" i="6"/>
  <c r="N47" i="6" s="1"/>
  <c r="L90" i="6"/>
  <c r="N90" i="6" s="1"/>
  <c r="Q410" i="6"/>
  <c r="S410" i="6"/>
  <c r="L602" i="6"/>
  <c r="N602" i="6" s="1"/>
  <c r="L187" i="6"/>
  <c r="N187" i="6" s="1"/>
  <c r="S315" i="6"/>
  <c r="L101" i="6"/>
  <c r="S229" i="6"/>
  <c r="Q229" i="6"/>
  <c r="L582" i="6"/>
  <c r="S376" i="6"/>
  <c r="Q376" i="6"/>
  <c r="S225" i="6"/>
  <c r="P39" i="6"/>
  <c r="L193" i="6"/>
  <c r="S544" i="6"/>
  <c r="Q544" i="6"/>
  <c r="L265" i="6"/>
  <c r="S62" i="6"/>
  <c r="L168" i="6"/>
  <c r="L212" i="6"/>
  <c r="N212" i="6" s="1"/>
  <c r="L542" i="6"/>
  <c r="S336" i="6"/>
  <c r="Q336" i="6"/>
  <c r="L360" i="6"/>
  <c r="N360" i="6" s="1"/>
  <c r="S156" i="6"/>
  <c r="Q156" i="6"/>
  <c r="L88" i="6"/>
  <c r="S432" i="6"/>
  <c r="L241" i="6"/>
  <c r="N241" i="6" s="1"/>
  <c r="S520" i="6"/>
  <c r="L214" i="6"/>
  <c r="S302" i="6"/>
  <c r="Q302" i="6"/>
  <c r="L34" i="6"/>
  <c r="Q354" i="6"/>
  <c r="S354" i="6"/>
  <c r="L546" i="6"/>
  <c r="L131" i="6"/>
  <c r="N131" i="6" s="1"/>
  <c r="S259" i="6"/>
  <c r="Q259" i="6"/>
  <c r="S173" i="6"/>
  <c r="L365" i="6"/>
  <c r="L557" i="6"/>
  <c r="S465" i="6"/>
  <c r="Q465" i="6"/>
  <c r="S324" i="6"/>
  <c r="L246" i="6"/>
  <c r="S40" i="6"/>
  <c r="L255" i="6"/>
  <c r="N255" i="6" s="1"/>
  <c r="S521" i="6"/>
  <c r="Q521" i="6"/>
  <c r="L508" i="6"/>
  <c r="S303" i="6"/>
  <c r="Q303" i="6"/>
  <c r="L288" i="6"/>
  <c r="S84" i="6"/>
  <c r="Q84" i="6"/>
  <c r="L170" i="6"/>
  <c r="N170" i="6" s="1"/>
  <c r="S490" i="6"/>
  <c r="L267" i="6"/>
  <c r="N267" i="6" s="1"/>
  <c r="S395" i="6"/>
  <c r="Q395" i="6"/>
  <c r="L181" i="6"/>
  <c r="S309" i="6"/>
  <c r="L454" i="6"/>
  <c r="N454" i="6" s="1"/>
  <c r="S248" i="6"/>
  <c r="Q248" i="6"/>
  <c r="L208" i="6"/>
  <c r="S4" i="6"/>
  <c r="L232" i="6"/>
  <c r="N232" i="6" s="1"/>
  <c r="S28" i="6"/>
  <c r="Q28" i="6"/>
  <c r="L230" i="6"/>
  <c r="S510" i="6"/>
  <c r="L396" i="6"/>
  <c r="N396" i="6" s="1"/>
  <c r="S598" i="6"/>
  <c r="Q598" i="6"/>
  <c r="S377" i="6"/>
  <c r="Q377" i="6"/>
  <c r="L178" i="6"/>
  <c r="N178" i="6" s="1"/>
  <c r="S306" i="6"/>
  <c r="Q306" i="6"/>
  <c r="L498" i="6"/>
  <c r="N498" i="6" s="1"/>
  <c r="L83" i="6"/>
  <c r="S211" i="6"/>
  <c r="Q211" i="6"/>
  <c r="L595" i="6"/>
  <c r="N595" i="6" s="1"/>
  <c r="S125" i="6"/>
  <c r="Q125" i="6"/>
  <c r="L317" i="6"/>
  <c r="L509" i="6"/>
  <c r="S543" i="6"/>
  <c r="S297" i="6"/>
  <c r="L15" i="6"/>
  <c r="S204" i="6"/>
  <c r="L190" i="6"/>
  <c r="N190" i="6" s="1"/>
  <c r="L575" i="6"/>
  <c r="S166" i="6"/>
  <c r="Q166" i="6"/>
  <c r="L72" i="6"/>
  <c r="N72" i="6" s="1"/>
  <c r="S468" i="6"/>
  <c r="Q468" i="6"/>
  <c r="Q250" i="6"/>
  <c r="S250" i="6"/>
  <c r="L442" i="6"/>
  <c r="N442" i="6" s="1"/>
  <c r="L27" i="6"/>
  <c r="N27" i="6" s="1"/>
  <c r="S155" i="6"/>
  <c r="Q155" i="6"/>
  <c r="L539" i="6"/>
  <c r="N539" i="6" s="1"/>
  <c r="S69" i="6"/>
  <c r="L453" i="6"/>
  <c r="N453" i="6" s="1"/>
  <c r="S581" i="6"/>
  <c r="L326" i="6"/>
  <c r="L17" i="6"/>
  <c r="N17" i="6" s="1"/>
  <c r="S592" i="6"/>
  <c r="Q592" i="6"/>
  <c r="L513" i="6"/>
  <c r="N513" i="6" s="1"/>
  <c r="S310" i="6"/>
  <c r="L382" i="6"/>
  <c r="N382" i="6" s="1"/>
  <c r="S176" i="6"/>
  <c r="L470" i="6"/>
  <c r="S264" i="6"/>
  <c r="L249" i="6"/>
  <c r="N249" i="6" s="1"/>
  <c r="S46" i="6"/>
  <c r="L194" i="6"/>
  <c r="S514" i="6"/>
  <c r="Q514" i="6"/>
  <c r="L291" i="6"/>
  <c r="N291" i="6" s="1"/>
  <c r="S419" i="6"/>
  <c r="L13" i="6"/>
  <c r="N13" i="6" s="1"/>
  <c r="L205" i="6"/>
  <c r="S333" i="6"/>
  <c r="Q333" i="6"/>
  <c r="S209" i="6"/>
  <c r="L361" i="6"/>
  <c r="N361" i="6" s="1"/>
  <c r="S158" i="6"/>
  <c r="S591" i="6"/>
  <c r="S536" i="6"/>
  <c r="L254" i="6"/>
  <c r="N254" i="6" s="1"/>
  <c r="S48" i="6"/>
  <c r="L342" i="6"/>
  <c r="S136" i="6"/>
  <c r="L121" i="6"/>
  <c r="S18" i="6"/>
  <c r="L210" i="6"/>
  <c r="S530" i="6"/>
  <c r="L307" i="6"/>
  <c r="N307" i="6" s="1"/>
  <c r="S435" i="6"/>
  <c r="L29" i="6"/>
  <c r="L221" i="6"/>
  <c r="N221" i="6" s="1"/>
  <c r="S349" i="6"/>
  <c r="L390" i="6"/>
  <c r="S184" i="6"/>
  <c r="L144" i="6"/>
  <c r="N144" i="6" s="1"/>
  <c r="S202" i="6"/>
  <c r="Q202" i="6"/>
  <c r="L394" i="6"/>
  <c r="N394" i="6" s="1"/>
  <c r="S107" i="6"/>
  <c r="L491" i="6"/>
  <c r="S21" i="6"/>
  <c r="L213" i="6"/>
  <c r="L405" i="6"/>
  <c r="S533" i="6"/>
  <c r="L401" i="6"/>
  <c r="L95" i="6"/>
  <c r="N95" i="6" s="1"/>
  <c r="S511" i="6"/>
  <c r="P153" i="6"/>
  <c r="L36" i="6"/>
  <c r="L559" i="6"/>
  <c r="N559" i="6" s="1"/>
  <c r="S353" i="6"/>
  <c r="Q353" i="6"/>
  <c r="Q90" i="6"/>
  <c r="S90" i="6"/>
  <c r="L282" i="6"/>
  <c r="S602" i="6"/>
  <c r="Q602" i="6"/>
  <c r="L379" i="6"/>
  <c r="N379" i="6" s="1"/>
  <c r="S507" i="6"/>
  <c r="S421" i="6"/>
  <c r="Q421" i="6"/>
  <c r="L273" i="6"/>
  <c r="N273" i="6" s="1"/>
  <c r="S70" i="6"/>
  <c r="Q70" i="6"/>
  <c r="S268" i="6"/>
  <c r="L431" i="6"/>
  <c r="L124" i="6"/>
  <c r="L272" i="6"/>
  <c r="S502" i="6"/>
  <c r="L441" i="6"/>
  <c r="S238" i="6"/>
  <c r="S358" i="6"/>
  <c r="Q358" i="6"/>
  <c r="S574" i="6"/>
  <c r="S476" i="6"/>
  <c r="S416" i="6"/>
  <c r="C26" i="6"/>
  <c r="B29" i="6" s="1"/>
  <c r="R345" i="6" s="1"/>
  <c r="R410" i="3"/>
  <c r="S410" i="3" s="1"/>
  <c r="V410" i="3" s="1"/>
  <c r="R119" i="3"/>
  <c r="S119" i="3" s="1"/>
  <c r="V119" i="3" s="1"/>
  <c r="R72" i="3"/>
  <c r="S72" i="3" s="1"/>
  <c r="V72" i="3" s="1"/>
  <c r="R385" i="3"/>
  <c r="S385" i="3" s="1"/>
  <c r="V385" i="3" s="1"/>
  <c r="R321" i="3"/>
  <c r="S321" i="3" s="1"/>
  <c r="V321" i="3" s="1"/>
  <c r="R61" i="3"/>
  <c r="S61" i="3" s="1"/>
  <c r="V61" i="3" s="1"/>
  <c r="R228" i="3"/>
  <c r="S228" i="3" s="1"/>
  <c r="V228" i="3" s="1"/>
  <c r="R239" i="3"/>
  <c r="S239" i="3" s="1"/>
  <c r="V239" i="3" s="1"/>
  <c r="R478" i="3"/>
  <c r="S478" i="3" s="1"/>
  <c r="V478" i="3" s="1"/>
  <c r="R74" i="3"/>
  <c r="S74" i="3" s="1"/>
  <c r="V74" i="3" s="1"/>
  <c r="R38" i="3"/>
  <c r="S38" i="3" s="1"/>
  <c r="V38" i="3" s="1"/>
  <c r="K3" i="4"/>
  <c r="K2" i="4"/>
  <c r="R344" i="3"/>
  <c r="S344" i="3" s="1"/>
  <c r="V344" i="3" s="1"/>
  <c r="R183" i="3"/>
  <c r="S183" i="3" s="1"/>
  <c r="V183" i="3" s="1"/>
  <c r="R407" i="3"/>
  <c r="S407" i="3" s="1"/>
  <c r="V407" i="3" s="1"/>
  <c r="R346" i="3"/>
  <c r="S346" i="3" s="1"/>
  <c r="V346" i="3" s="1"/>
  <c r="R86" i="3"/>
  <c r="S86" i="3" s="1"/>
  <c r="V86" i="3" s="1"/>
  <c r="R290" i="3"/>
  <c r="S290" i="3" s="1"/>
  <c r="V290" i="3" s="1"/>
  <c r="R224" i="3"/>
  <c r="S224" i="3" s="1"/>
  <c r="V224" i="3" s="1"/>
  <c r="R354" i="3"/>
  <c r="S354" i="3" s="1"/>
  <c r="V354" i="3" s="1"/>
  <c r="H2" i="4"/>
  <c r="H3" i="4"/>
  <c r="R341" i="3"/>
  <c r="S341" i="3" s="1"/>
  <c r="V341" i="3" s="1"/>
  <c r="R324" i="3"/>
  <c r="S324" i="3" s="1"/>
  <c r="V324" i="3" s="1"/>
  <c r="R468" i="3"/>
  <c r="S468" i="3" s="1"/>
  <c r="V468" i="3" s="1"/>
  <c r="R178" i="3"/>
  <c r="S178" i="3" s="1"/>
  <c r="V178" i="3" s="1"/>
  <c r="R124" i="3"/>
  <c r="S124" i="3" s="1"/>
  <c r="V124" i="3" s="1"/>
  <c r="R580" i="3"/>
  <c r="S580" i="3" s="1"/>
  <c r="V580" i="3" s="1"/>
  <c r="R553" i="3"/>
  <c r="S553" i="3" s="1"/>
  <c r="V553" i="3" s="1"/>
  <c r="R562" i="3"/>
  <c r="S562" i="3" s="1"/>
  <c r="V562" i="3" s="1"/>
  <c r="R358" i="3"/>
  <c r="S358" i="3" s="1"/>
  <c r="V358" i="3" s="1"/>
  <c r="R403" i="3"/>
  <c r="S403" i="3" s="1"/>
  <c r="V403" i="3" s="1"/>
  <c r="R107" i="3"/>
  <c r="S107" i="3" s="1"/>
  <c r="V107" i="3" s="1"/>
  <c r="R39" i="3"/>
  <c r="S39" i="3" s="1"/>
  <c r="V39" i="3" s="1"/>
  <c r="R316" i="3"/>
  <c r="S316" i="3" s="1"/>
  <c r="V316" i="3" s="1"/>
  <c r="R588" i="3"/>
  <c r="S588" i="3" s="1"/>
  <c r="V588" i="3" s="1"/>
  <c r="R295" i="3"/>
  <c r="S295" i="3" s="1"/>
  <c r="V295" i="3" s="1"/>
  <c r="R598" i="3"/>
  <c r="S598" i="3" s="1"/>
  <c r="V598" i="3" s="1"/>
  <c r="R51" i="3"/>
  <c r="S51" i="3" s="1"/>
  <c r="V51" i="3" s="1"/>
  <c r="R380" i="3"/>
  <c r="S380" i="3" s="1"/>
  <c r="V380" i="3" s="1"/>
  <c r="R376" i="3"/>
  <c r="S376" i="3" s="1"/>
  <c r="V376" i="3" s="1"/>
  <c r="R263" i="3"/>
  <c r="S263" i="3" s="1"/>
  <c r="V263" i="3" s="1"/>
  <c r="R52" i="3"/>
  <c r="S52" i="3" s="1"/>
  <c r="V52" i="3" s="1"/>
  <c r="R129" i="3"/>
  <c r="S129" i="3" s="1"/>
  <c r="V129" i="3" s="1"/>
  <c r="R211" i="3"/>
  <c r="S211" i="3" s="1"/>
  <c r="V211" i="3" s="1"/>
  <c r="R112" i="3"/>
  <c r="S112" i="3" s="1"/>
  <c r="V112" i="3" s="1"/>
  <c r="R420" i="3"/>
  <c r="S420" i="3" s="1"/>
  <c r="V420" i="3" s="1"/>
  <c r="R484" i="3"/>
  <c r="S484" i="3" s="1"/>
  <c r="V484" i="3" s="1"/>
  <c r="R441" i="3"/>
  <c r="S441" i="3" s="1"/>
  <c r="V441" i="3" s="1"/>
  <c r="R215" i="3"/>
  <c r="S215" i="3" s="1"/>
  <c r="V215" i="3" s="1"/>
  <c r="R334" i="3"/>
  <c r="S334" i="3" s="1"/>
  <c r="V334" i="3" s="1"/>
  <c r="R477" i="3"/>
  <c r="S477" i="3" s="1"/>
  <c r="V477" i="3" s="1"/>
  <c r="R319" i="3"/>
  <c r="S319" i="3" s="1"/>
  <c r="V319" i="3" s="1"/>
  <c r="R425" i="3"/>
  <c r="S425" i="3" s="1"/>
  <c r="V425" i="3" s="1"/>
  <c r="R77" i="3"/>
  <c r="S77" i="3" s="1"/>
  <c r="V77" i="3" s="1"/>
  <c r="R57" i="3"/>
  <c r="S57" i="3" s="1"/>
  <c r="V57" i="3" s="1"/>
  <c r="R3" i="3"/>
  <c r="S3" i="3" s="1"/>
  <c r="V3" i="3" s="1"/>
  <c r="R5" i="3"/>
  <c r="S5" i="3" s="1"/>
  <c r="V5" i="3" s="1"/>
  <c r="R371" i="3"/>
  <c r="S371" i="3" s="1"/>
  <c r="V371" i="3" s="1"/>
  <c r="R210" i="3"/>
  <c r="S210" i="3" s="1"/>
  <c r="V210" i="3" s="1"/>
  <c r="R428" i="3"/>
  <c r="S428" i="3" s="1"/>
  <c r="V428" i="3" s="1"/>
  <c r="R217" i="3"/>
  <c r="S217" i="3" s="1"/>
  <c r="V217" i="3" s="1"/>
  <c r="R36" i="3"/>
  <c r="S36" i="3" s="1"/>
  <c r="V36" i="3" s="1"/>
  <c r="R165" i="3"/>
  <c r="S165" i="3" s="1"/>
  <c r="V165" i="3" s="1"/>
  <c r="R277" i="3"/>
  <c r="S277" i="3" s="1"/>
  <c r="V277" i="3" s="1"/>
  <c r="R497" i="3"/>
  <c r="S497" i="3" s="1"/>
  <c r="V497" i="3" s="1"/>
  <c r="R465" i="3"/>
  <c r="S465" i="3" s="1"/>
  <c r="V465" i="3" s="1"/>
  <c r="R120" i="3"/>
  <c r="S120" i="3" s="1"/>
  <c r="V120" i="3" s="1"/>
  <c r="R279" i="3"/>
  <c r="S279" i="3" s="1"/>
  <c r="V279" i="3" s="1"/>
  <c r="R281" i="3"/>
  <c r="S281" i="3" s="1"/>
  <c r="V281" i="3" s="1"/>
  <c r="R100" i="3"/>
  <c r="S100" i="3" s="1"/>
  <c r="V100" i="3" s="1"/>
  <c r="R88" i="3"/>
  <c r="S88" i="3" s="1"/>
  <c r="V88" i="3" s="1"/>
  <c r="R445" i="3"/>
  <c r="S445" i="3" s="1"/>
  <c r="V445" i="3" s="1"/>
  <c r="R156" i="3"/>
  <c r="S156" i="3" s="1"/>
  <c r="V156" i="3" s="1"/>
  <c r="R472" i="3"/>
  <c r="S472" i="3" s="1"/>
  <c r="V472" i="3" s="1"/>
  <c r="R510" i="3"/>
  <c r="S510" i="3" s="1"/>
  <c r="V510" i="3" s="1"/>
  <c r="R189" i="3"/>
  <c r="S189" i="3" s="1"/>
  <c r="V189" i="3" s="1"/>
  <c r="R404" i="3"/>
  <c r="S404" i="3" s="1"/>
  <c r="V404" i="3" s="1"/>
  <c r="R101" i="3"/>
  <c r="S101" i="3" s="1"/>
  <c r="V101" i="3" s="1"/>
  <c r="R79" i="3"/>
  <c r="S79" i="3" s="1"/>
  <c r="V79" i="3" s="1"/>
  <c r="R169" i="3"/>
  <c r="S169" i="3" s="1"/>
  <c r="V169" i="3" s="1"/>
  <c r="R40" i="3"/>
  <c r="S40" i="3" s="1"/>
  <c r="V40" i="3" s="1"/>
  <c r="R585" i="3"/>
  <c r="S585" i="3" s="1"/>
  <c r="V585" i="3" s="1"/>
  <c r="R350" i="3"/>
  <c r="S350" i="3" s="1"/>
  <c r="V350" i="3" s="1"/>
  <c r="R17" i="3"/>
  <c r="S17" i="3" s="1"/>
  <c r="V17" i="3" s="1"/>
  <c r="R42" i="3"/>
  <c r="S42" i="3" s="1"/>
  <c r="V42" i="3" s="1"/>
  <c r="R381" i="3"/>
  <c r="S381" i="3" s="1"/>
  <c r="V381" i="3" s="1"/>
  <c r="R105" i="3"/>
  <c r="S105" i="3" s="1"/>
  <c r="V105" i="3" s="1"/>
  <c r="R536" i="3"/>
  <c r="S536" i="3" s="1"/>
  <c r="V536" i="3" s="1"/>
  <c r="R549" i="3"/>
  <c r="S549" i="3" s="1"/>
  <c r="V549" i="3" s="1"/>
  <c r="R71" i="3"/>
  <c r="S71" i="3" s="1"/>
  <c r="V71" i="3" s="1"/>
  <c r="R275" i="3"/>
  <c r="S275" i="3" s="1"/>
  <c r="V275" i="3" s="1"/>
  <c r="R303" i="3"/>
  <c r="S303" i="3" s="1"/>
  <c r="V303" i="3" s="1"/>
  <c r="R80" i="3"/>
  <c r="S80" i="3" s="1"/>
  <c r="V80" i="3" s="1"/>
  <c r="R12" i="3"/>
  <c r="S12" i="3" s="1"/>
  <c r="V12" i="3" s="1"/>
  <c r="R572" i="3"/>
  <c r="S572" i="3" s="1"/>
  <c r="V572" i="3" s="1"/>
  <c r="R14" i="3"/>
  <c r="S14" i="3" s="1"/>
  <c r="V14" i="3" s="1"/>
  <c r="R175" i="3"/>
  <c r="S175" i="3" s="1"/>
  <c r="V175" i="3" s="1"/>
  <c r="R123" i="3"/>
  <c r="S123" i="3" s="1"/>
  <c r="V123" i="3" s="1"/>
  <c r="R302" i="3"/>
  <c r="S302" i="3" s="1"/>
  <c r="V302" i="3" s="1"/>
  <c r="R167" i="3"/>
  <c r="S167" i="3" s="1"/>
  <c r="V167" i="3" s="1"/>
  <c r="R274" i="3"/>
  <c r="S274" i="3" s="1"/>
  <c r="V274" i="3" s="1"/>
  <c r="R173" i="3"/>
  <c r="S173" i="3" s="1"/>
  <c r="V173" i="3" s="1"/>
  <c r="R517" i="3"/>
  <c r="S517" i="3" s="1"/>
  <c r="V517" i="3" s="1"/>
  <c r="R203" i="3"/>
  <c r="S203" i="3" s="1"/>
  <c r="V203" i="3" s="1"/>
  <c r="R467" i="3"/>
  <c r="S467" i="3" s="1"/>
  <c r="V467" i="3" s="1"/>
  <c r="R93" i="3"/>
  <c r="S93" i="3" s="1"/>
  <c r="V93" i="3" s="1"/>
  <c r="R524" i="3"/>
  <c r="S524" i="3" s="1"/>
  <c r="V524" i="3" s="1"/>
  <c r="R44" i="3"/>
  <c r="S44" i="3" s="1"/>
  <c r="V44" i="3" s="1"/>
  <c r="R45" i="3"/>
  <c r="S45" i="3" s="1"/>
  <c r="V45" i="3" s="1"/>
  <c r="R202" i="3"/>
  <c r="S202" i="3" s="1"/>
  <c r="V202" i="3" s="1"/>
  <c r="R75" i="3"/>
  <c r="S75" i="3" s="1"/>
  <c r="V75" i="3" s="1"/>
  <c r="R139" i="3"/>
  <c r="S139" i="3" s="1"/>
  <c r="V139" i="3" s="1"/>
  <c r="R367" i="3"/>
  <c r="S367" i="3" s="1"/>
  <c r="V367" i="3" s="1"/>
  <c r="R115" i="3"/>
  <c r="S115" i="3" s="1"/>
  <c r="R84" i="3"/>
  <c r="S84" i="3" s="1"/>
  <c r="V84" i="3" s="1"/>
  <c r="R538" i="3"/>
  <c r="S538" i="3" s="1"/>
  <c r="V538" i="3" s="1"/>
  <c r="R219" i="3"/>
  <c r="S219" i="3" s="1"/>
  <c r="V219" i="3" s="1"/>
  <c r="R231" i="3"/>
  <c r="S231" i="3" s="1"/>
  <c r="V231" i="3" s="1"/>
  <c r="R601" i="3"/>
  <c r="S601" i="3" s="1"/>
  <c r="V601" i="3" s="1"/>
  <c r="R475" i="3"/>
  <c r="S475" i="3" s="1"/>
  <c r="V475" i="3" s="1"/>
  <c r="R142" i="3"/>
  <c r="S142" i="3" s="1"/>
  <c r="V142" i="3" s="1"/>
  <c r="R76" i="3"/>
  <c r="S76" i="3" s="1"/>
  <c r="V76" i="3" s="1"/>
  <c r="R518" i="3"/>
  <c r="S518" i="3" s="1"/>
  <c r="V518" i="3" s="1"/>
  <c r="R182" i="3"/>
  <c r="S182" i="3" s="1"/>
  <c r="V182" i="3" s="1"/>
  <c r="R349" i="3"/>
  <c r="S349" i="3" s="1"/>
  <c r="V349" i="3" s="1"/>
  <c r="R444" i="3"/>
  <c r="S444" i="3" s="1"/>
  <c r="V444" i="3" s="1"/>
  <c r="R447" i="3"/>
  <c r="S447" i="3" s="1"/>
  <c r="V447" i="3" s="1"/>
  <c r="R111" i="3"/>
  <c r="S111" i="3" s="1"/>
  <c r="V111" i="3" s="1"/>
  <c r="R437" i="3"/>
  <c r="S437" i="3" s="1"/>
  <c r="V437" i="3" s="1"/>
  <c r="R46" i="3"/>
  <c r="S46" i="3" s="1"/>
  <c r="V46" i="3" s="1"/>
  <c r="R106" i="3"/>
  <c r="S106" i="3" s="1"/>
  <c r="V106" i="3" s="1"/>
  <c r="R511" i="3"/>
  <c r="S511" i="3" s="1"/>
  <c r="V511" i="3" s="1"/>
  <c r="R565" i="3"/>
  <c r="S565" i="3" s="1"/>
  <c r="V565" i="3" s="1"/>
  <c r="R509" i="3"/>
  <c r="S509" i="3" s="1"/>
  <c r="V509" i="3" s="1"/>
  <c r="R207" i="3"/>
  <c r="S207" i="3" s="1"/>
  <c r="V207" i="3" s="1"/>
  <c r="R229" i="3"/>
  <c r="S229" i="3" s="1"/>
  <c r="V229" i="3" s="1"/>
  <c r="R337" i="3"/>
  <c r="S337" i="3" s="1"/>
  <c r="V337" i="3" s="1"/>
  <c r="R597" i="3"/>
  <c r="S597" i="3" s="1"/>
  <c r="V597" i="3" s="1"/>
  <c r="R408" i="3"/>
  <c r="S408" i="3" s="1"/>
  <c r="V408" i="3" s="1"/>
  <c r="R256" i="3"/>
  <c r="S256" i="3" s="1"/>
  <c r="V256" i="3" s="1"/>
  <c r="R132" i="3"/>
  <c r="S132" i="3" s="1"/>
  <c r="V132" i="3" s="1"/>
  <c r="R204" i="3"/>
  <c r="S204" i="3" s="1"/>
  <c r="V204" i="3" s="1"/>
  <c r="R353" i="3"/>
  <c r="S353" i="3" s="1"/>
  <c r="V353" i="3" s="1"/>
  <c r="R568" i="3"/>
  <c r="S568" i="3" s="1"/>
  <c r="V568" i="3" s="1"/>
  <c r="R596" i="3"/>
  <c r="S596" i="3" s="1"/>
  <c r="V596" i="3" s="1"/>
  <c r="R307" i="3"/>
  <c r="S307" i="3" s="1"/>
  <c r="V307" i="3" s="1"/>
  <c r="R25" i="3"/>
  <c r="S25" i="3" s="1"/>
  <c r="V25" i="3" s="1"/>
  <c r="R190" i="3"/>
  <c r="S190" i="3" s="1"/>
  <c r="R443" i="3"/>
  <c r="S443" i="3" s="1"/>
  <c r="V443" i="3" s="1"/>
  <c r="R595" i="3"/>
  <c r="S595" i="3" s="1"/>
  <c r="V595" i="3" s="1"/>
  <c r="R258" i="3"/>
  <c r="S258" i="3" s="1"/>
  <c r="V258" i="3" s="1"/>
  <c r="R494" i="3"/>
  <c r="S494" i="3" s="1"/>
  <c r="V494" i="3" s="1"/>
  <c r="R396" i="3"/>
  <c r="S396" i="3" s="1"/>
  <c r="V396" i="3" s="1"/>
  <c r="R49" i="3"/>
  <c r="S49" i="3" s="1"/>
  <c r="V49" i="3" s="1"/>
  <c r="R496" i="3"/>
  <c r="S496" i="3" s="1"/>
  <c r="V496" i="3" s="1"/>
  <c r="R340" i="3"/>
  <c r="S340" i="3" s="1"/>
  <c r="V340" i="3" s="1"/>
  <c r="R9" i="3"/>
  <c r="S9" i="3" s="1"/>
  <c r="V9" i="3" s="1"/>
  <c r="R24" i="3"/>
  <c r="S24" i="3" s="1"/>
  <c r="V24" i="3" s="1"/>
  <c r="R287" i="3"/>
  <c r="S287" i="3" s="1"/>
  <c r="V287" i="3" s="1"/>
  <c r="R196" i="3"/>
  <c r="S196" i="3" s="1"/>
  <c r="V196" i="3" s="1"/>
  <c r="R357" i="3"/>
  <c r="S357" i="3" s="1"/>
  <c r="V357" i="3" s="1"/>
  <c r="R137" i="3"/>
  <c r="S137" i="3" s="1"/>
  <c r="V137" i="3" s="1"/>
  <c r="R546" i="3"/>
  <c r="S546" i="3" s="1"/>
  <c r="V546" i="3" s="1"/>
  <c r="R364" i="3"/>
  <c r="S364" i="3" s="1"/>
  <c r="V364" i="3" s="1"/>
  <c r="R213" i="3"/>
  <c r="S213" i="3" s="1"/>
  <c r="V213" i="3" s="1"/>
  <c r="R110" i="3"/>
  <c r="S110" i="3" s="1"/>
  <c r="V110" i="3" s="1"/>
  <c r="R531" i="3"/>
  <c r="S531" i="3" s="1"/>
  <c r="V531" i="3" s="1"/>
  <c r="R154" i="3"/>
  <c r="S154" i="3" s="1"/>
  <c r="V154" i="3" s="1"/>
  <c r="R135" i="3"/>
  <c r="S135" i="3" s="1"/>
  <c r="V135" i="3" s="1"/>
  <c r="R356" i="3"/>
  <c r="S356" i="3" s="1"/>
  <c r="V356" i="3" s="1"/>
  <c r="R365" i="3"/>
  <c r="S365" i="3" s="1"/>
  <c r="V365" i="3" s="1"/>
  <c r="R95" i="3"/>
  <c r="S95" i="3" s="1"/>
  <c r="V95" i="3" s="1"/>
  <c r="R534" i="3"/>
  <c r="S534" i="3" s="1"/>
  <c r="V534" i="3" s="1"/>
  <c r="R140" i="3"/>
  <c r="S140" i="3" s="1"/>
  <c r="V140" i="3" s="1"/>
  <c r="R327" i="3"/>
  <c r="S327" i="3" s="1"/>
  <c r="V327" i="3" s="1"/>
  <c r="R462" i="3"/>
  <c r="S462" i="3" s="1"/>
  <c r="V462" i="3" s="1"/>
  <c r="R419" i="3"/>
  <c r="S419" i="3" s="1"/>
  <c r="V419" i="3" s="1"/>
  <c r="R309" i="3"/>
  <c r="S309" i="3" s="1"/>
  <c r="V309" i="3" s="1"/>
  <c r="R53" i="3"/>
  <c r="S53" i="3" s="1"/>
  <c r="V53" i="3" s="1"/>
  <c r="R296" i="3"/>
  <c r="S296" i="3" s="1"/>
  <c r="V296" i="3" s="1"/>
  <c r="R471" i="3"/>
  <c r="S471" i="3" s="1"/>
  <c r="V471" i="3" s="1"/>
  <c r="R577" i="3"/>
  <c r="S577" i="3" s="1"/>
  <c r="V577" i="3" s="1"/>
  <c r="R298" i="3"/>
  <c r="S298" i="3" s="1"/>
  <c r="V298" i="3" s="1"/>
  <c r="R208" i="3"/>
  <c r="S208" i="3" s="1"/>
  <c r="V208" i="3" s="1"/>
  <c r="R83" i="3"/>
  <c r="S83" i="3" s="1"/>
  <c r="V83" i="3" s="1"/>
  <c r="R82" i="3"/>
  <c r="S82" i="3" s="1"/>
  <c r="V82" i="3" s="1"/>
  <c r="R379" i="3"/>
  <c r="S379" i="3" s="1"/>
  <c r="V379" i="3" s="1"/>
  <c r="R232" i="3"/>
  <c r="S232" i="3" s="1"/>
  <c r="V232" i="3" s="1"/>
  <c r="R450" i="3"/>
  <c r="S450" i="3" s="1"/>
  <c r="V450" i="3" s="1"/>
  <c r="R541" i="3"/>
  <c r="S541" i="3" s="1"/>
  <c r="V541" i="3" s="1"/>
  <c r="R567" i="3"/>
  <c r="S567" i="3" s="1"/>
  <c r="V567" i="3" s="1"/>
  <c r="R250" i="3"/>
  <c r="S250" i="3" s="1"/>
  <c r="V250" i="3" s="1"/>
  <c r="R87" i="3"/>
  <c r="S87" i="3" s="1"/>
  <c r="V87" i="3" s="1"/>
  <c r="R526" i="3"/>
  <c r="S526" i="3" s="1"/>
  <c r="V526" i="3" s="1"/>
  <c r="R411" i="3"/>
  <c r="S411" i="3" s="1"/>
  <c r="V411" i="3" s="1"/>
  <c r="R233" i="3"/>
  <c r="S233" i="3" s="1"/>
  <c r="V233" i="3" s="1"/>
  <c r="R519" i="3"/>
  <c r="S519" i="3" s="1"/>
  <c r="V519" i="3" s="1"/>
  <c r="R370" i="3"/>
  <c r="S370" i="3" s="1"/>
  <c r="V370" i="3" s="1"/>
  <c r="R483" i="3"/>
  <c r="S483" i="3" s="1"/>
  <c r="V483" i="3" s="1"/>
  <c r="R236" i="3"/>
  <c r="S236" i="3" s="1"/>
  <c r="V236" i="3" s="1"/>
  <c r="R98" i="3"/>
  <c r="S98" i="3" s="1"/>
  <c r="V98" i="3" s="1"/>
  <c r="R128" i="3"/>
  <c r="S128" i="3" s="1"/>
  <c r="V128" i="3" s="1"/>
  <c r="R435" i="3"/>
  <c r="S435" i="3" s="1"/>
  <c r="V435" i="3" s="1"/>
  <c r="R27" i="3"/>
  <c r="S27" i="3" s="1"/>
  <c r="V27" i="3" s="1"/>
  <c r="R300" i="3"/>
  <c r="S300" i="3" s="1"/>
  <c r="V300" i="3" s="1"/>
  <c r="R469" i="3"/>
  <c r="S469" i="3" s="1"/>
  <c r="V469" i="3" s="1"/>
  <c r="R149" i="3"/>
  <c r="S149" i="3" s="1"/>
  <c r="V149" i="3" s="1"/>
  <c r="R413" i="3"/>
  <c r="S413" i="3" s="1"/>
  <c r="V413" i="3" s="1"/>
  <c r="R148" i="3"/>
  <c r="S148" i="3" s="1"/>
  <c r="V148" i="3" s="1"/>
  <c r="R508" i="3"/>
  <c r="S508" i="3" s="1"/>
  <c r="V508" i="3" s="1"/>
  <c r="R180" i="3"/>
  <c r="S180" i="3" s="1"/>
  <c r="V180" i="3" s="1"/>
  <c r="R155" i="3"/>
  <c r="S155" i="3" s="1"/>
  <c r="V155" i="3" s="1"/>
  <c r="R527" i="3"/>
  <c r="S527" i="3" s="1"/>
  <c r="V527" i="3" s="1"/>
  <c r="R599" i="3"/>
  <c r="S599" i="3" s="1"/>
  <c r="V599" i="3" s="1"/>
  <c r="R282" i="3"/>
  <c r="S282" i="3" s="1"/>
  <c r="V282" i="3" s="1"/>
  <c r="R382" i="3"/>
  <c r="S382" i="3" s="1"/>
  <c r="V382" i="3" s="1"/>
  <c r="R499" i="3"/>
  <c r="S499" i="3" s="1"/>
  <c r="V499" i="3" s="1"/>
  <c r="R325" i="3"/>
  <c r="S325" i="3" s="1"/>
  <c r="V325" i="3" s="1"/>
  <c r="R23" i="3"/>
  <c r="S23" i="3" s="1"/>
  <c r="V23" i="3" s="1"/>
  <c r="R127" i="3"/>
  <c r="S127" i="3" s="1"/>
  <c r="V127" i="3" s="1"/>
  <c r="R431" i="3"/>
  <c r="S431" i="3" s="1"/>
  <c r="V431" i="3" s="1"/>
  <c r="R122" i="3"/>
  <c r="S122" i="3" s="1"/>
  <c r="V122" i="3" s="1"/>
  <c r="R205" i="3"/>
  <c r="S205" i="3" s="1"/>
  <c r="V205" i="3" s="1"/>
  <c r="R333" i="3"/>
  <c r="S333" i="3" s="1"/>
  <c r="V333" i="3" s="1"/>
  <c r="R304" i="3"/>
  <c r="S304" i="3" s="1"/>
  <c r="V304" i="3" s="1"/>
  <c r="R383" i="3"/>
  <c r="S383" i="3" s="1"/>
  <c r="V383" i="3" s="1"/>
  <c r="R388" i="3"/>
  <c r="S388" i="3" s="1"/>
  <c r="V388" i="3" s="1"/>
  <c r="R332" i="3"/>
  <c r="S332" i="3" s="1"/>
  <c r="V332" i="3" s="1"/>
  <c r="R288" i="3"/>
  <c r="S288" i="3" s="1"/>
  <c r="V288" i="3" s="1"/>
  <c r="R8" i="3"/>
  <c r="S8" i="3" s="1"/>
  <c r="V8" i="3" s="1"/>
  <c r="R398" i="3"/>
  <c r="S398" i="3" s="1"/>
  <c r="V398" i="3" s="1"/>
  <c r="R284" i="3"/>
  <c r="S284" i="3" s="1"/>
  <c r="V284" i="3" s="1"/>
  <c r="R153" i="3"/>
  <c r="S153" i="3" s="1"/>
  <c r="V153" i="3" s="1"/>
  <c r="R351" i="3"/>
  <c r="S351" i="3" s="1"/>
  <c r="V351" i="3" s="1"/>
  <c r="R209" i="3"/>
  <c r="S209" i="3" s="1"/>
  <c r="V209" i="3" s="1"/>
  <c r="R548" i="3"/>
  <c r="S548" i="3" s="1"/>
  <c r="V548" i="3" s="1"/>
  <c r="R28" i="3"/>
  <c r="S28" i="3" s="1"/>
  <c r="V28" i="3" s="1"/>
  <c r="R251" i="3"/>
  <c r="S251" i="3" s="1"/>
  <c r="R4" i="3"/>
  <c r="S4" i="3" s="1"/>
  <c r="V4" i="3" s="1"/>
  <c r="R318" i="3"/>
  <c r="S318" i="3" s="1"/>
  <c r="V318" i="3" s="1"/>
  <c r="R600" i="3"/>
  <c r="S600" i="3" s="1"/>
  <c r="V600" i="3" s="1"/>
  <c r="R551" i="3"/>
  <c r="S551" i="3" s="1"/>
  <c r="V551" i="3" s="1"/>
  <c r="R278" i="3"/>
  <c r="S278" i="3" s="1"/>
  <c r="V278" i="3" s="1"/>
  <c r="R48" i="3"/>
  <c r="S48" i="3" s="1"/>
  <c r="V48" i="3" s="1"/>
  <c r="R59" i="3"/>
  <c r="S59" i="3" s="1"/>
  <c r="V59" i="3" s="1"/>
  <c r="R373" i="3"/>
  <c r="S373" i="3" s="1"/>
  <c r="V373" i="3" s="1"/>
  <c r="R247" i="3"/>
  <c r="S247" i="3" s="1"/>
  <c r="V247" i="3" s="1"/>
  <c r="R473" i="3"/>
  <c r="S473" i="3" s="1"/>
  <c r="V473" i="3" s="1"/>
  <c r="R141" i="3"/>
  <c r="S141" i="3" s="1"/>
  <c r="V141" i="3" s="1"/>
  <c r="R418" i="3"/>
  <c r="S418" i="3" s="1"/>
  <c r="V418" i="3" s="1"/>
  <c r="R216" i="3"/>
  <c r="S216" i="3" s="1"/>
  <c r="V216" i="3" s="1"/>
  <c r="R430" i="3"/>
  <c r="S430" i="3" s="1"/>
  <c r="V430" i="3" s="1"/>
  <c r="R297" i="3"/>
  <c r="S297" i="3" s="1"/>
  <c r="V297" i="3" s="1"/>
  <c r="R338" i="3"/>
  <c r="S338" i="3" s="1"/>
  <c r="V338" i="3" s="1"/>
  <c r="R237" i="3"/>
  <c r="S237" i="3" s="1"/>
  <c r="V237" i="3" s="1"/>
  <c r="R540" i="3"/>
  <c r="S540" i="3" s="1"/>
  <c r="V540" i="3" s="1"/>
  <c r="R262" i="3"/>
  <c r="S262" i="3" s="1"/>
  <c r="V262" i="3" s="1"/>
  <c r="R415" i="3"/>
  <c r="S415" i="3" s="1"/>
  <c r="V415" i="3" s="1"/>
  <c r="R397" i="3"/>
  <c r="S397" i="3" s="1"/>
  <c r="V397" i="3" s="1"/>
  <c r="R422" i="3"/>
  <c r="S422" i="3" s="1"/>
  <c r="V422" i="3" s="1"/>
  <c r="R19" i="3"/>
  <c r="S19" i="3" s="1"/>
  <c r="V19" i="3" s="1"/>
  <c r="R550" i="3"/>
  <c r="S550" i="3" s="1"/>
  <c r="V550" i="3" s="1"/>
  <c r="R436" i="3"/>
  <c r="S436" i="3" s="1"/>
  <c r="V436" i="3" s="1"/>
  <c r="R439" i="3"/>
  <c r="S439" i="3" s="1"/>
  <c r="V439" i="3" s="1"/>
  <c r="R474" i="3"/>
  <c r="S474" i="3" s="1"/>
  <c r="V474" i="3" s="1"/>
  <c r="R293" i="3"/>
  <c r="S293" i="3" s="1"/>
  <c r="V293" i="3" s="1"/>
  <c r="R188" i="3"/>
  <c r="S188" i="3" s="1"/>
  <c r="V188" i="3" s="1"/>
  <c r="R66" i="3"/>
  <c r="S66" i="3" s="1"/>
  <c r="V66" i="3" s="1"/>
  <c r="R104" i="3"/>
  <c r="S104" i="3" s="1"/>
  <c r="V104" i="3" s="1"/>
  <c r="R246" i="3"/>
  <c r="S246" i="3" s="1"/>
  <c r="V246" i="3" s="1"/>
  <c r="R532" i="3"/>
  <c r="S532" i="3" s="1"/>
  <c r="V532" i="3" s="1"/>
  <c r="R15" i="3"/>
  <c r="S15" i="3" s="1"/>
  <c r="V15" i="3" s="1"/>
  <c r="R326" i="3"/>
  <c r="S326" i="3" s="1"/>
  <c r="V326" i="3" s="1"/>
  <c r="R479" i="3"/>
  <c r="S479" i="3" s="1"/>
  <c r="V479" i="3" s="1"/>
  <c r="R504" i="3"/>
  <c r="S504" i="3" s="1"/>
  <c r="V504" i="3" s="1"/>
  <c r="R556" i="3"/>
  <c r="S556" i="3" s="1"/>
  <c r="V556" i="3" s="1"/>
  <c r="R459" i="3"/>
  <c r="S459" i="3" s="1"/>
  <c r="V459" i="3" s="1"/>
  <c r="R191" i="3"/>
  <c r="S191" i="3" s="1"/>
  <c r="V191" i="3" s="1"/>
  <c r="R35" i="3"/>
  <c r="S35" i="3" s="1"/>
  <c r="V35" i="3" s="1"/>
  <c r="R103" i="3"/>
  <c r="S103" i="3" s="1"/>
  <c r="V103" i="3" s="1"/>
  <c r="R286" i="3"/>
  <c r="S286" i="3" s="1"/>
  <c r="V286" i="3" s="1"/>
  <c r="R157" i="3"/>
  <c r="S157" i="3" s="1"/>
  <c r="V157" i="3" s="1"/>
  <c r="R194" i="3"/>
  <c r="S194" i="3" s="1"/>
  <c r="V194" i="3" s="1"/>
  <c r="R291" i="3"/>
  <c r="S291" i="3" s="1"/>
  <c r="V291" i="3" s="1"/>
  <c r="R374" i="3"/>
  <c r="S374" i="3" s="1"/>
  <c r="V374" i="3" s="1"/>
  <c r="R67" i="3"/>
  <c r="S67" i="3" s="1"/>
  <c r="V67" i="3" s="1"/>
  <c r="R405" i="3"/>
  <c r="S405" i="3" s="1"/>
  <c r="V405" i="3" s="1"/>
  <c r="R151" i="3"/>
  <c r="S151" i="3" s="1"/>
  <c r="V151" i="3" s="1"/>
  <c r="R294" i="3"/>
  <c r="S294" i="3" s="1"/>
  <c r="V294" i="3" s="1"/>
  <c r="R168" i="3"/>
  <c r="S168" i="3" s="1"/>
  <c r="V168" i="3" s="1"/>
  <c r="R460" i="3"/>
  <c r="S460" i="3" s="1"/>
  <c r="V460" i="3" s="1"/>
  <c r="R147" i="3"/>
  <c r="S147" i="3" s="1"/>
  <c r="V147" i="3" s="1"/>
  <c r="R543" i="3"/>
  <c r="S543" i="3" s="1"/>
  <c r="V543" i="3" s="1"/>
  <c r="R92" i="3"/>
  <c r="S92" i="3" s="1"/>
  <c r="V92" i="3" s="1"/>
  <c r="R539" i="3"/>
  <c r="S539" i="3" s="1"/>
  <c r="V539" i="3" s="1"/>
  <c r="R547" i="3"/>
  <c r="S547" i="3" s="1"/>
  <c r="V547" i="3" s="1"/>
  <c r="R226" i="3"/>
  <c r="S226" i="3" s="1"/>
  <c r="V226" i="3" s="1"/>
  <c r="R58" i="3"/>
  <c r="S58" i="3" s="1"/>
  <c r="V58" i="3" s="1"/>
  <c r="R292" i="3"/>
  <c r="S292" i="3" s="1"/>
  <c r="V292" i="3" s="1"/>
  <c r="R235" i="3"/>
  <c r="S235" i="3" s="1"/>
  <c r="V235" i="3" s="1"/>
  <c r="R13" i="3"/>
  <c r="S13" i="3" s="1"/>
  <c r="V13" i="3" s="1"/>
  <c r="R558" i="3"/>
  <c r="S558" i="3" s="1"/>
  <c r="V558" i="3" s="1"/>
  <c r="R143" i="3"/>
  <c r="S143" i="3" s="1"/>
  <c r="V143" i="3" s="1"/>
  <c r="R299" i="3"/>
  <c r="S299" i="3" s="1"/>
  <c r="V299" i="3" s="1"/>
  <c r="R590" i="3"/>
  <c r="S590" i="3" s="1"/>
  <c r="V590" i="3" s="1"/>
  <c r="R417" i="3"/>
  <c r="S417" i="3" s="1"/>
  <c r="V417" i="3" s="1"/>
  <c r="R171" i="3"/>
  <c r="S171" i="3" s="1"/>
  <c r="V171" i="3" s="1"/>
  <c r="R329" i="3"/>
  <c r="S329" i="3" s="1"/>
  <c r="V329" i="3" s="1"/>
  <c r="R260" i="3"/>
  <c r="S260" i="3" s="1"/>
  <c r="V260" i="3" s="1"/>
  <c r="R264" i="3"/>
  <c r="S264" i="3" s="1"/>
  <c r="V264" i="3" s="1"/>
  <c r="R78" i="3"/>
  <c r="S78" i="3" s="1"/>
  <c r="V78" i="3" s="1"/>
  <c r="R272" i="3"/>
  <c r="S272" i="3" s="1"/>
  <c r="V272" i="3" s="1"/>
  <c r="R594" i="3"/>
  <c r="S594" i="3" s="1"/>
  <c r="V594" i="3" s="1"/>
  <c r="R343" i="3"/>
  <c r="S343" i="3" s="1"/>
  <c r="V343" i="3" s="1"/>
  <c r="R11" i="3"/>
  <c r="S11" i="3" s="1"/>
  <c r="V11" i="3" s="1"/>
  <c r="R146" i="3"/>
  <c r="S146" i="3" s="1"/>
  <c r="V146" i="3" s="1"/>
  <c r="R238" i="3"/>
  <c r="S238" i="3" s="1"/>
  <c r="V238" i="3" s="1"/>
  <c r="R359" i="3"/>
  <c r="S359" i="3" s="1"/>
  <c r="V359" i="3" s="1"/>
  <c r="R502" i="3"/>
  <c r="S502" i="3" s="1"/>
  <c r="V502" i="3" s="1"/>
  <c r="R199" i="3"/>
  <c r="S199" i="3" s="1"/>
  <c r="V199" i="3" s="1"/>
  <c r="R54" i="3"/>
  <c r="S54" i="3" s="1"/>
  <c r="V54" i="3" s="1"/>
  <c r="R212" i="3"/>
  <c r="S212" i="3" s="1"/>
  <c r="V212" i="3" s="1"/>
  <c r="R285" i="3"/>
  <c r="S285" i="3" s="1"/>
  <c r="V285" i="3" s="1"/>
  <c r="R20" i="3"/>
  <c r="S20" i="3" s="1"/>
  <c r="V20" i="3" s="1"/>
  <c r="R268" i="3"/>
  <c r="S268" i="3" s="1"/>
  <c r="V268" i="3" s="1"/>
  <c r="R6" i="3"/>
  <c r="S6" i="3" s="1"/>
  <c r="V6" i="3" s="1"/>
  <c r="R276" i="3"/>
  <c r="S276" i="3" s="1"/>
  <c r="V276" i="3" s="1"/>
  <c r="R114" i="3"/>
  <c r="S114" i="3" s="1"/>
  <c r="V114" i="3" s="1"/>
  <c r="R162" i="3"/>
  <c r="S162" i="3" s="1"/>
  <c r="V162" i="3" s="1"/>
  <c r="R575" i="3"/>
  <c r="S575" i="3" s="1"/>
  <c r="V575" i="3" s="1"/>
  <c r="R69" i="3"/>
  <c r="S69" i="3" s="1"/>
  <c r="V69" i="3" s="1"/>
  <c r="R516" i="3"/>
  <c r="S516" i="3" s="1"/>
  <c r="V516" i="3" s="1"/>
  <c r="R498" i="3"/>
  <c r="S498" i="3" s="1"/>
  <c r="V498" i="3" s="1"/>
  <c r="R463" i="3"/>
  <c r="S463" i="3" s="1"/>
  <c r="V463" i="3" s="1"/>
  <c r="R348" i="3"/>
  <c r="S348" i="3" s="1"/>
  <c r="V348" i="3" s="1"/>
  <c r="R174" i="3"/>
  <c r="S174" i="3" s="1"/>
  <c r="V174" i="3" s="1"/>
  <c r="R197" i="3"/>
  <c r="S197" i="3" s="1"/>
  <c r="V197" i="3" s="1"/>
  <c r="R99" i="3"/>
  <c r="S99" i="3" s="1"/>
  <c r="V99" i="3" s="1"/>
  <c r="R355" i="3"/>
  <c r="S355" i="3" s="1"/>
  <c r="V355" i="3" s="1"/>
  <c r="R126" i="3"/>
  <c r="S126" i="3" s="1"/>
  <c r="V126" i="3" s="1"/>
  <c r="R466" i="3"/>
  <c r="S466" i="3" s="1"/>
  <c r="V466" i="3" s="1"/>
  <c r="R29" i="3"/>
  <c r="S29" i="3" s="1"/>
  <c r="V29" i="3" s="1"/>
  <c r="R500" i="3"/>
  <c r="S500" i="3" s="1"/>
  <c r="V500" i="3" s="1"/>
  <c r="R487" i="3"/>
  <c r="S487" i="3" s="1"/>
  <c r="V487" i="3" s="1"/>
  <c r="R255" i="3"/>
  <c r="S255" i="3" s="1"/>
  <c r="V255" i="3" s="1"/>
  <c r="R117" i="3"/>
  <c r="S117" i="3" s="1"/>
  <c r="V117" i="3" s="1"/>
  <c r="R159" i="3"/>
  <c r="S159" i="3" s="1"/>
  <c r="V159" i="3" s="1"/>
  <c r="R514" i="3"/>
  <c r="S514" i="3" s="1"/>
  <c r="V514" i="3" s="1"/>
  <c r="R283" i="3"/>
  <c r="S283" i="3" s="1"/>
  <c r="V283" i="3" s="1"/>
  <c r="R591" i="3"/>
  <c r="S591" i="3" s="1"/>
  <c r="V591" i="3" s="1"/>
  <c r="R131" i="3"/>
  <c r="S131" i="3" s="1"/>
  <c r="V131" i="3" s="1"/>
  <c r="R253" i="3"/>
  <c r="S253" i="3" s="1"/>
  <c r="V253" i="3" s="1"/>
  <c r="R507" i="3"/>
  <c r="S507" i="3" s="1"/>
  <c r="V507" i="3" s="1"/>
  <c r="R60" i="3"/>
  <c r="S60" i="3" s="1"/>
  <c r="V60" i="3" s="1"/>
  <c r="R266" i="3"/>
  <c r="S266" i="3" s="1"/>
  <c r="V266" i="3" s="1"/>
  <c r="R125" i="3"/>
  <c r="S125" i="3" s="1"/>
  <c r="V125" i="3" s="1"/>
  <c r="R109" i="3"/>
  <c r="S109" i="3" s="1"/>
  <c r="V109" i="3" s="1"/>
  <c r="R234" i="3"/>
  <c r="S234" i="3" s="1"/>
  <c r="V234" i="3" s="1"/>
  <c r="R21" i="3"/>
  <c r="S21" i="3" s="1"/>
  <c r="V21" i="3" s="1"/>
  <c r="R200" i="3"/>
  <c r="S200" i="3" s="1"/>
  <c r="V200" i="3" s="1"/>
  <c r="R311" i="3"/>
  <c r="S311" i="3" s="1"/>
  <c r="V311" i="3" s="1"/>
  <c r="R244" i="3"/>
  <c r="S244" i="3" s="1"/>
  <c r="V244" i="3" s="1"/>
  <c r="R535" i="3"/>
  <c r="S535" i="3" s="1"/>
  <c r="V535" i="3" s="1"/>
  <c r="R453" i="3"/>
  <c r="S453" i="3" s="1"/>
  <c r="V453" i="3" s="1"/>
  <c r="R406" i="3"/>
  <c r="S406" i="3" s="1"/>
  <c r="V406" i="3" s="1"/>
  <c r="R495" i="3"/>
  <c r="S495" i="3" s="1"/>
  <c r="V495" i="3" s="1"/>
  <c r="R90" i="3"/>
  <c r="S90" i="3" s="1"/>
  <c r="V90" i="3" s="1"/>
  <c r="R523" i="3"/>
  <c r="S523" i="3" s="1"/>
  <c r="V523" i="3" s="1"/>
  <c r="R375" i="3"/>
  <c r="S375" i="3" s="1"/>
  <c r="V375" i="3" s="1"/>
  <c r="R339" i="3"/>
  <c r="S339" i="3" s="1"/>
  <c r="V339" i="3" s="1"/>
  <c r="R423" i="3"/>
  <c r="S423" i="3" s="1"/>
  <c r="V423" i="3" s="1"/>
  <c r="R438" i="3"/>
  <c r="S438" i="3" s="1"/>
  <c r="V438" i="3" s="1"/>
  <c r="R308" i="3"/>
  <c r="S308" i="3" s="1"/>
  <c r="V308" i="3" s="1"/>
  <c r="R347" i="3"/>
  <c r="S347" i="3" s="1"/>
  <c r="V347" i="3" s="1"/>
  <c r="R245" i="3"/>
  <c r="S245" i="3" s="1"/>
  <c r="V245" i="3" s="1"/>
  <c r="R181" i="3"/>
  <c r="S181" i="3" s="1"/>
  <c r="V181" i="3" s="1"/>
  <c r="R91" i="3"/>
  <c r="S91" i="3" s="1"/>
  <c r="V91" i="3" s="1"/>
  <c r="R225" i="3"/>
  <c r="S225" i="3" s="1"/>
  <c r="V225" i="3" s="1"/>
  <c r="R602" i="3"/>
  <c r="S602" i="3" s="1"/>
  <c r="V602" i="3" s="1"/>
  <c r="R563" i="3"/>
  <c r="S563" i="3" s="1"/>
  <c r="V563" i="3" s="1"/>
  <c r="R581" i="3"/>
  <c r="S581" i="3" s="1"/>
  <c r="V581" i="3" s="1"/>
  <c r="R582" i="3"/>
  <c r="S582" i="3" s="1"/>
  <c r="V582" i="3" s="1"/>
  <c r="R47" i="3"/>
  <c r="S47" i="3" s="1"/>
  <c r="V47" i="3" s="1"/>
  <c r="R133" i="3"/>
  <c r="S133" i="3" s="1"/>
  <c r="V133" i="3" s="1"/>
  <c r="R391" i="3"/>
  <c r="S391" i="3" s="1"/>
  <c r="V391" i="3" s="1"/>
  <c r="R505" i="3"/>
  <c r="S505" i="3" s="1"/>
  <c r="V505" i="3" s="1"/>
  <c r="R130" i="3"/>
  <c r="S130" i="3" s="1"/>
  <c r="V130" i="3" s="1"/>
  <c r="R7" i="3"/>
  <c r="S7" i="3" s="1"/>
  <c r="V7" i="3" s="1"/>
  <c r="R259" i="3"/>
  <c r="S259" i="3" s="1"/>
  <c r="V259" i="3" s="1"/>
  <c r="R492" i="3"/>
  <c r="S492" i="3" s="1"/>
  <c r="V492" i="3" s="1"/>
  <c r="R322" i="3"/>
  <c r="S322" i="3" s="1"/>
  <c r="V322" i="3" s="1"/>
  <c r="R571" i="3"/>
  <c r="S571" i="3" s="1"/>
  <c r="V571" i="3" s="1"/>
  <c r="R574" i="3"/>
  <c r="S574" i="3" s="1"/>
  <c r="V574" i="3" s="1"/>
  <c r="R451" i="3"/>
  <c r="S451" i="3" s="1"/>
  <c r="V451" i="3" s="1"/>
  <c r="R533" i="3"/>
  <c r="S533" i="3" s="1"/>
  <c r="V533" i="3" s="1"/>
  <c r="R176" i="3"/>
  <c r="S176" i="3" s="1"/>
  <c r="V176" i="3" s="1"/>
  <c r="R395" i="3"/>
  <c r="S395" i="3" s="1"/>
  <c r="V395" i="3" s="1"/>
  <c r="R63" i="3"/>
  <c r="S63" i="3" s="1"/>
  <c r="V63" i="3" s="1"/>
  <c r="R68" i="3"/>
  <c r="S68" i="3" s="1"/>
  <c r="V68" i="3" s="1"/>
  <c r="R378" i="3"/>
  <c r="S378" i="3" s="1"/>
  <c r="V378" i="3" s="1"/>
  <c r="R43" i="3"/>
  <c r="S43" i="3" s="1"/>
  <c r="V43" i="3" s="1"/>
  <c r="R455" i="3"/>
  <c r="S455" i="3" s="1"/>
  <c r="V455" i="3" s="1"/>
  <c r="R206" i="3"/>
  <c r="S206" i="3" s="1"/>
  <c r="V206" i="3" s="1"/>
  <c r="R116" i="3"/>
  <c r="S116" i="3" s="1"/>
  <c r="V116" i="3" s="1"/>
  <c r="R446" i="3"/>
  <c r="S446" i="3" s="1"/>
  <c r="V446" i="3" s="1"/>
  <c r="R501" i="3"/>
  <c r="S501" i="3" s="1"/>
  <c r="V501" i="3" s="1"/>
  <c r="R566" i="3"/>
  <c r="S566" i="3" s="1"/>
  <c r="V566" i="3" s="1"/>
  <c r="R427" i="3"/>
  <c r="S427" i="3" s="1"/>
  <c r="V427" i="3" s="1"/>
  <c r="R461" i="3"/>
  <c r="S461" i="3" s="1"/>
  <c r="V461" i="3" s="1"/>
  <c r="R242" i="3"/>
  <c r="S242" i="3" s="1"/>
  <c r="V242" i="3" s="1"/>
  <c r="R261" i="3"/>
  <c r="S261" i="3" s="1"/>
  <c r="V261" i="3" s="1"/>
  <c r="R513" i="3"/>
  <c r="S513" i="3" s="1"/>
  <c r="V513" i="3" s="1"/>
  <c r="R503" i="3"/>
  <c r="S503" i="3" s="1"/>
  <c r="V503" i="3" s="1"/>
  <c r="R223" i="3"/>
  <c r="S223" i="3" s="1"/>
  <c r="V223" i="3" s="1"/>
  <c r="R402" i="3"/>
  <c r="S402" i="3" s="1"/>
  <c r="V402" i="3" s="1"/>
  <c r="R172" i="3"/>
  <c r="S172" i="3" s="1"/>
  <c r="V172" i="3" s="1"/>
  <c r="R491" i="3"/>
  <c r="S491" i="3" s="1"/>
  <c r="V491" i="3" s="1"/>
  <c r="R587" i="3"/>
  <c r="S587" i="3" s="1"/>
  <c r="V587" i="3" s="1"/>
  <c r="R589" i="3"/>
  <c r="S589" i="3" s="1"/>
  <c r="V589" i="3" s="1"/>
  <c r="R138" i="3"/>
  <c r="S138" i="3" s="1"/>
  <c r="V138" i="3" s="1"/>
  <c r="R220" i="3"/>
  <c r="S220" i="3" s="1"/>
  <c r="V220" i="3" s="1"/>
  <c r="R323" i="3"/>
  <c r="S323" i="3" s="1"/>
  <c r="V323" i="3" s="1"/>
  <c r="R267" i="3"/>
  <c r="S267" i="3" s="1"/>
  <c r="V267" i="3" s="1"/>
  <c r="R421" i="3"/>
  <c r="S421" i="3" s="1"/>
  <c r="V421" i="3" s="1"/>
  <c r="R515" i="3"/>
  <c r="S515" i="3" s="1"/>
  <c r="V515" i="3" s="1"/>
  <c r="R187" i="3"/>
  <c r="S187" i="3" s="1"/>
  <c r="V187" i="3" s="1"/>
  <c r="R557" i="3"/>
  <c r="S557" i="3" s="1"/>
  <c r="V557" i="3" s="1"/>
  <c r="R583" i="3"/>
  <c r="S583" i="3" s="1"/>
  <c r="V583" i="3" s="1"/>
  <c r="R227" i="3"/>
  <c r="S227" i="3" s="1"/>
  <c r="V227" i="3" s="1"/>
  <c r="R170" i="3"/>
  <c r="S170" i="3" s="1"/>
  <c r="V170" i="3" s="1"/>
  <c r="R108" i="3"/>
  <c r="S108" i="3" s="1"/>
  <c r="V108" i="3" s="1"/>
  <c r="R555" i="3"/>
  <c r="S555" i="3" s="1"/>
  <c r="V555" i="3" s="1"/>
  <c r="R389" i="3"/>
  <c r="S389" i="3" s="1"/>
  <c r="V389" i="3" s="1"/>
  <c r="R218" i="3"/>
  <c r="S218" i="3" s="1"/>
  <c r="V218" i="3" s="1"/>
  <c r="R257" i="3"/>
  <c r="S257" i="3" s="1"/>
  <c r="V257" i="3" s="1"/>
  <c r="R372" i="3"/>
  <c r="S372" i="3" s="1"/>
  <c r="V372" i="3" s="1"/>
  <c r="R482" i="3"/>
  <c r="S482" i="3" s="1"/>
  <c r="V482" i="3" s="1"/>
  <c r="R31" i="3"/>
  <c r="S31" i="3" s="1"/>
  <c r="V31" i="3" s="1"/>
  <c r="R96" i="3"/>
  <c r="S96" i="3" s="1"/>
  <c r="V96" i="3" s="1"/>
  <c r="R161" i="3"/>
  <c r="S161" i="3" s="1"/>
  <c r="V161" i="3" s="1"/>
  <c r="R163" i="3"/>
  <c r="S163" i="3" s="1"/>
  <c r="V163" i="3" s="1"/>
  <c r="R335" i="3"/>
  <c r="S335" i="3" s="1"/>
  <c r="V335" i="3" s="1"/>
  <c r="R186" i="3"/>
  <c r="S186" i="3" s="1"/>
  <c r="V186" i="3" s="1"/>
  <c r="R164" i="3"/>
  <c r="S164" i="3" s="1"/>
  <c r="V164" i="3" s="1"/>
  <c r="R476" i="3"/>
  <c r="S476" i="3" s="1"/>
  <c r="V476" i="3" s="1"/>
  <c r="R160" i="3"/>
  <c r="S160" i="3" s="1"/>
  <c r="V160" i="3" s="1"/>
  <c r="T426" i="3"/>
  <c r="T424" i="3"/>
  <c r="T254" i="3"/>
  <c r="T230" i="3"/>
  <c r="T50" i="3"/>
  <c r="T362" i="3"/>
  <c r="T522" i="3"/>
  <c r="T592" i="3"/>
  <c r="T384" i="3"/>
  <c r="T252" i="3"/>
  <c r="T554" i="3"/>
  <c r="T360" i="3"/>
  <c r="T584" i="3"/>
  <c r="T586" i="3"/>
  <c r="T552" i="3"/>
  <c r="T490" i="3"/>
  <c r="T576" i="3"/>
  <c r="T336" i="3"/>
  <c r="T312" i="3"/>
  <c r="T18" i="3"/>
  <c r="T134" i="3"/>
  <c r="T458" i="3"/>
  <c r="T528" i="3"/>
  <c r="T544" i="3"/>
  <c r="T560" i="3"/>
  <c r="T62" i="3"/>
  <c r="T368" i="3"/>
  <c r="T448" i="3"/>
  <c r="S593" i="3"/>
  <c r="V593" i="3" s="1"/>
  <c r="S521" i="3"/>
  <c r="V521" i="3" s="1"/>
  <c r="S201" i="3"/>
  <c r="V201" i="3" s="1"/>
  <c r="S537" i="3"/>
  <c r="V537" i="3" s="1"/>
  <c r="S545" i="3"/>
  <c r="V545" i="3" s="1"/>
  <c r="S150" i="3"/>
  <c r="V150" i="3" s="1"/>
  <c r="S442" i="3"/>
  <c r="V442" i="3" s="1"/>
  <c r="S390" i="3"/>
  <c r="V390" i="3" s="1"/>
  <c r="S81" i="3"/>
  <c r="V81" i="3" s="1"/>
  <c r="S530" i="3"/>
  <c r="V530" i="3" s="1"/>
  <c r="S34" i="3"/>
  <c r="V34" i="3" s="1"/>
  <c r="S192" i="3"/>
  <c r="V192" i="3" s="1"/>
  <c r="S56" i="3"/>
  <c r="V56" i="3" s="1"/>
  <c r="S121" i="3"/>
  <c r="V121" i="3" s="1"/>
  <c r="S433" i="3"/>
  <c r="V433" i="3" s="1"/>
  <c r="S177" i="3"/>
  <c r="V177" i="3" s="1"/>
  <c r="S248" i="3"/>
  <c r="V248" i="3" s="1"/>
  <c r="S400" i="3"/>
  <c r="V400" i="3" s="1"/>
  <c r="S369" i="3"/>
  <c r="V369" i="3" s="1"/>
  <c r="S185" i="3"/>
  <c r="V185" i="3" s="1"/>
  <c r="S401" i="3"/>
  <c r="V401" i="3" s="1"/>
  <c r="S113" i="3"/>
  <c r="V113" i="3" s="1"/>
  <c r="S542" i="3"/>
  <c r="V542" i="3" s="1"/>
  <c r="S345" i="3"/>
  <c r="V345" i="3" s="1"/>
  <c r="S434" i="3"/>
  <c r="V434" i="3" s="1"/>
  <c r="S393" i="3"/>
  <c r="V393" i="3" s="1"/>
  <c r="S33" i="3"/>
  <c r="V33" i="3" s="1"/>
  <c r="S480" i="3"/>
  <c r="V480" i="3" s="1"/>
  <c r="S249" i="3"/>
  <c r="V249" i="3" s="1"/>
  <c r="S392" i="3"/>
  <c r="V392" i="3" s="1"/>
  <c r="S454" i="3"/>
  <c r="V454" i="3" s="1"/>
  <c r="S394" i="3"/>
  <c r="V394" i="3" s="1"/>
  <c r="S352" i="3"/>
  <c r="V352" i="3" s="1"/>
  <c r="S456" i="3"/>
  <c r="V456" i="3" s="1"/>
  <c r="S464" i="3"/>
  <c r="V464" i="3" s="1"/>
  <c r="S184" i="3"/>
  <c r="V184" i="3" s="1"/>
  <c r="S470" i="3"/>
  <c r="V470" i="3" s="1"/>
  <c r="S193" i="3"/>
  <c r="V193" i="3" s="1"/>
  <c r="S97" i="3"/>
  <c r="V97" i="3" s="1"/>
  <c r="S152" i="3"/>
  <c r="V152" i="3" s="1"/>
  <c r="S416" i="3"/>
  <c r="V416" i="3" s="1"/>
  <c r="S144" i="3"/>
  <c r="V144" i="3" s="1"/>
  <c r="S241" i="3"/>
  <c r="V241" i="3" s="1"/>
  <c r="S310" i="3"/>
  <c r="V310" i="3" s="1"/>
  <c r="S506" i="3"/>
  <c r="V506" i="3" s="1"/>
  <c r="S409" i="3"/>
  <c r="V409" i="3" s="1"/>
  <c r="S145" i="3"/>
  <c r="V145" i="3" s="1"/>
  <c r="S22" i="3"/>
  <c r="V22" i="3" s="1"/>
  <c r="S41" i="3"/>
  <c r="V41" i="3" s="1"/>
  <c r="S366" i="3"/>
  <c r="V366" i="3" s="1"/>
  <c r="S457" i="3"/>
  <c r="V457" i="3" s="1"/>
  <c r="S320" i="3"/>
  <c r="V320" i="3" s="1"/>
  <c r="S313" i="3"/>
  <c r="V313" i="3" s="1"/>
  <c r="S569" i="3"/>
  <c r="V569" i="3" s="1"/>
  <c r="S265" i="3"/>
  <c r="V265" i="3" s="1"/>
  <c r="S328" i="3"/>
  <c r="V328" i="3" s="1"/>
  <c r="S32" i="3"/>
  <c r="V32" i="3" s="1"/>
  <c r="S280" i="3"/>
  <c r="V280" i="3" s="1"/>
  <c r="S449" i="3"/>
  <c r="V449" i="3" s="1"/>
  <c r="S10" i="3"/>
  <c r="V10" i="3" s="1"/>
  <c r="S486" i="3"/>
  <c r="V486" i="3" s="1"/>
  <c r="S26" i="3"/>
  <c r="V26" i="3" s="1"/>
  <c r="S305" i="3"/>
  <c r="V305" i="3" s="1"/>
  <c r="S561" i="3"/>
  <c r="V561" i="3" s="1"/>
  <c r="S136" i="3"/>
  <c r="V136" i="3" s="1"/>
  <c r="S16" i="3"/>
  <c r="V16" i="3" s="1"/>
  <c r="S512" i="3"/>
  <c r="V512" i="3" s="1"/>
  <c r="S342" i="3"/>
  <c r="V342" i="3" s="1"/>
  <c r="S273" i="3"/>
  <c r="V273" i="3" s="1"/>
  <c r="S529" i="3"/>
  <c r="V529" i="3" s="1"/>
  <c r="S306" i="3"/>
  <c r="V306" i="3" s="1"/>
  <c r="S432" i="3"/>
  <c r="V432" i="3" s="1"/>
  <c r="S73" i="3"/>
  <c r="V73" i="3" s="1"/>
  <c r="S414" i="3"/>
  <c r="V414" i="3" s="1"/>
  <c r="S314" i="3"/>
  <c r="V314" i="3" s="1"/>
  <c r="S89" i="3"/>
  <c r="V89" i="3" s="1"/>
  <c r="S481" i="3"/>
  <c r="V481" i="3" s="1"/>
  <c r="S214" i="3"/>
  <c r="V214" i="3" s="1"/>
  <c r="S386" i="3"/>
  <c r="V386" i="3" s="1"/>
  <c r="S489" i="3"/>
  <c r="V489" i="3" s="1"/>
  <c r="S377" i="3"/>
  <c r="V377" i="3" s="1"/>
  <c r="S65" i="3"/>
  <c r="V65" i="3" s="1"/>
  <c r="S118" i="3"/>
  <c r="V118" i="3" s="1"/>
  <c r="S570" i="3"/>
  <c r="V570" i="3" s="1"/>
  <c r="S330" i="3"/>
  <c r="V330" i="3" s="1"/>
  <c r="S520" i="3"/>
  <c r="V520" i="3" s="1"/>
  <c r="S488" i="3"/>
  <c r="V488" i="3" s="1"/>
  <c r="T387" i="3" l="1"/>
  <c r="T30" i="3"/>
  <c r="T485" i="3"/>
  <c r="T221" i="3"/>
  <c r="T579" i="3"/>
  <c r="T243" i="3"/>
  <c r="T102" i="3"/>
  <c r="T198" i="3"/>
  <c r="T195" i="3"/>
  <c r="T525" i="3"/>
  <c r="T315" i="3"/>
  <c r="T94" i="3"/>
  <c r="T317" i="3"/>
  <c r="T573" i="3"/>
  <c r="T564" i="3"/>
  <c r="T559" i="3"/>
  <c r="T270" i="3"/>
  <c r="T179" i="3"/>
  <c r="T452" i="3"/>
  <c r="T55" i="3"/>
  <c r="T222" i="3"/>
  <c r="T269" i="3"/>
  <c r="T399" i="3"/>
  <c r="T70" i="3"/>
  <c r="T85" i="3"/>
  <c r="T301" i="3"/>
  <c r="T363" i="3"/>
  <c r="T37" i="3"/>
  <c r="T331" i="3"/>
  <c r="T271" i="3"/>
  <c r="T166" i="3"/>
  <c r="T493" i="3"/>
  <c r="T158" i="3"/>
  <c r="T429" i="3"/>
  <c r="T412" i="3"/>
  <c r="T2" i="3"/>
  <c r="V2" i="3"/>
  <c r="N114" i="6"/>
  <c r="Q114" i="6" s="1"/>
  <c r="N470" i="6"/>
  <c r="Q470" i="6" s="1"/>
  <c r="Q338" i="6"/>
  <c r="N338" i="6"/>
  <c r="N543" i="6"/>
  <c r="R543" i="6" s="1"/>
  <c r="U543" i="6" s="1"/>
  <c r="N425" i="6"/>
  <c r="Q425" i="6" s="1"/>
  <c r="N230" i="6"/>
  <c r="Q230" i="6" s="1"/>
  <c r="Q365" i="6"/>
  <c r="N365" i="6"/>
  <c r="N154" i="6"/>
  <c r="R154" i="6" s="1"/>
  <c r="U154" i="6" s="1"/>
  <c r="N597" i="6"/>
  <c r="Q597" i="6" s="1"/>
  <c r="N441" i="6"/>
  <c r="Q441" i="6" s="1"/>
  <c r="Q282" i="6"/>
  <c r="N282" i="6"/>
  <c r="N34" i="6"/>
  <c r="R34" i="6" s="1"/>
  <c r="N88" i="6"/>
  <c r="Q88" i="6" s="1"/>
  <c r="N168" i="6"/>
  <c r="Q168" i="6" s="1"/>
  <c r="Q76" i="6"/>
  <c r="N76" i="6"/>
  <c r="N416" i="6"/>
  <c r="R416" i="6" s="1"/>
  <c r="U416" i="6" s="1"/>
  <c r="N511" i="6"/>
  <c r="Q511" i="6" s="1"/>
  <c r="N247" i="6"/>
  <c r="Q247" i="6" s="1"/>
  <c r="Q120" i="6"/>
  <c r="N120" i="6"/>
  <c r="N65" i="6"/>
  <c r="R65" i="6" s="1"/>
  <c r="U65" i="6" s="1"/>
  <c r="N57" i="6"/>
  <c r="Q57" i="6" s="1"/>
  <c r="N53" i="6"/>
  <c r="Q53" i="6" s="1"/>
  <c r="Q494" i="6"/>
  <c r="N494" i="6"/>
  <c r="N55" i="6"/>
  <c r="P55" i="6" s="1"/>
  <c r="N219" i="6"/>
  <c r="Q219" i="6" s="1"/>
  <c r="N373" i="6"/>
  <c r="Q373" i="6" s="1"/>
  <c r="Q200" i="6"/>
  <c r="N200" i="6"/>
  <c r="N222" i="6"/>
  <c r="R222" i="6" s="1"/>
  <c r="U222" i="6" s="1"/>
  <c r="N201" i="6"/>
  <c r="Q201" i="6" s="1"/>
  <c r="N286" i="6"/>
  <c r="Q286" i="6" s="1"/>
  <c r="Q75" i="6"/>
  <c r="N75" i="6"/>
  <c r="Q409" i="6"/>
  <c r="P409" i="6"/>
  <c r="N390" i="6"/>
  <c r="Q390" i="6" s="1"/>
  <c r="N542" i="6"/>
  <c r="Q542" i="6" s="1"/>
  <c r="Q184" i="6"/>
  <c r="N184" i="6"/>
  <c r="N309" i="6"/>
  <c r="R309" i="6" s="1"/>
  <c r="U309" i="6" s="1"/>
  <c r="N315" i="6"/>
  <c r="Q315" i="6" s="1"/>
  <c r="N600" i="6"/>
  <c r="Q600" i="6" s="1"/>
  <c r="Q280" i="6"/>
  <c r="N280" i="6"/>
  <c r="N393" i="6"/>
  <c r="R393" i="6" s="1"/>
  <c r="N515" i="6"/>
  <c r="Q515" i="6" s="1"/>
  <c r="N474" i="6"/>
  <c r="Q474" i="6" s="1"/>
  <c r="Q347" i="6"/>
  <c r="N347" i="6"/>
  <c r="N61" i="6"/>
  <c r="P61" i="6" s="1"/>
  <c r="N369" i="6"/>
  <c r="Q369" i="6" s="1"/>
  <c r="N585" i="6"/>
  <c r="Q585" i="6" s="1"/>
  <c r="Q491" i="6"/>
  <c r="N491" i="6"/>
  <c r="N29" i="6"/>
  <c r="Q29" i="6" s="1"/>
  <c r="N342" i="6"/>
  <c r="Q342" i="6" s="1"/>
  <c r="N194" i="6"/>
  <c r="Q194" i="6" s="1"/>
  <c r="Q15" i="6"/>
  <c r="N15" i="6"/>
  <c r="N181" i="6"/>
  <c r="R181" i="6" s="1"/>
  <c r="N288" i="6"/>
  <c r="Q288" i="6" s="1"/>
  <c r="N246" i="6"/>
  <c r="Q246" i="6" s="1"/>
  <c r="Q343" i="6"/>
  <c r="N343" i="6"/>
  <c r="N560" i="6"/>
  <c r="P560" i="6" s="1"/>
  <c r="N574" i="6"/>
  <c r="Q574" i="6" s="1"/>
  <c r="N198" i="6"/>
  <c r="Q198" i="6" s="1"/>
  <c r="Q107" i="6"/>
  <c r="N107" i="6"/>
  <c r="N157" i="6"/>
  <c r="P157" i="6" s="1"/>
  <c r="N136" i="6"/>
  <c r="Q136" i="6" s="1"/>
  <c r="N4" i="6"/>
  <c r="Q4" i="6" s="1"/>
  <c r="Q553" i="6"/>
  <c r="N553" i="6"/>
  <c r="N243" i="6"/>
  <c r="R243" i="6" s="1"/>
  <c r="N445" i="6"/>
  <c r="Q445" i="6" s="1"/>
  <c r="N375" i="6"/>
  <c r="Q375" i="6" s="1"/>
  <c r="Q8" i="6"/>
  <c r="N8" i="6"/>
  <c r="N368" i="6"/>
  <c r="P368" i="6" s="1"/>
  <c r="N538" i="6"/>
  <c r="Q538" i="6" s="1"/>
  <c r="N457" i="6"/>
  <c r="Q457" i="6" s="1"/>
  <c r="Q325" i="6"/>
  <c r="N325" i="6"/>
  <c r="N366" i="6"/>
  <c r="Q366" i="6" s="1"/>
  <c r="N438" i="6"/>
  <c r="Q438" i="6" s="1"/>
  <c r="N23" i="6"/>
  <c r="Q23" i="6" s="1"/>
  <c r="Q152" i="6"/>
  <c r="N152" i="6"/>
  <c r="N252" i="6"/>
  <c r="Q252" i="6" s="1"/>
  <c r="N588" i="6"/>
  <c r="Q588" i="6" s="1"/>
  <c r="N527" i="6"/>
  <c r="Q527" i="6" s="1"/>
  <c r="Q329" i="6"/>
  <c r="N329" i="6"/>
  <c r="N443" i="6"/>
  <c r="R443" i="6" s="1"/>
  <c r="U443" i="6" s="1"/>
  <c r="P128" i="6"/>
  <c r="Q128" i="6"/>
  <c r="N80" i="6"/>
  <c r="Q80" i="6" s="1"/>
  <c r="Q110" i="6"/>
  <c r="N110" i="6"/>
  <c r="N316" i="6"/>
  <c r="P316" i="6" s="1"/>
  <c r="N581" i="6"/>
  <c r="Q581" i="6" s="1"/>
  <c r="N272" i="6"/>
  <c r="Q272" i="6" s="1"/>
  <c r="Q401" i="6"/>
  <c r="N401" i="6"/>
  <c r="N265" i="6"/>
  <c r="R265" i="6" s="1"/>
  <c r="U265" i="6" s="1"/>
  <c r="N582" i="6"/>
  <c r="Q582" i="6" s="1"/>
  <c r="N530" i="6"/>
  <c r="Q530" i="6" s="1"/>
  <c r="Q536" i="6"/>
  <c r="N536" i="6"/>
  <c r="N99" i="6"/>
  <c r="R99" i="6" s="1"/>
  <c r="N502" i="6"/>
  <c r="Q502" i="6" s="1"/>
  <c r="N522" i="6"/>
  <c r="Q522" i="6" s="1"/>
  <c r="Q591" i="6"/>
  <c r="N591" i="6"/>
  <c r="N141" i="6"/>
  <c r="R141" i="6" s="1"/>
  <c r="U141" i="6" s="1"/>
  <c r="N46" i="6"/>
  <c r="Q46" i="6" s="1"/>
  <c r="N69" i="6"/>
  <c r="Q69" i="6" s="1"/>
  <c r="Q427" i="6"/>
  <c r="N427" i="6"/>
  <c r="N599" i="6"/>
  <c r="R599" i="6" s="1"/>
  <c r="N253" i="6"/>
  <c r="Q253" i="6" s="1"/>
  <c r="N335" i="6"/>
  <c r="Q335" i="6" s="1"/>
  <c r="Q262" i="6"/>
  <c r="N262" i="6"/>
  <c r="N471" i="6"/>
  <c r="R471" i="6" s="1"/>
  <c r="U471" i="6" s="1"/>
  <c r="N266" i="6"/>
  <c r="Q266" i="6" s="1"/>
  <c r="N578" i="6"/>
  <c r="Q578" i="6" s="1"/>
  <c r="Q139" i="6"/>
  <c r="N139" i="6"/>
  <c r="N413" i="6"/>
  <c r="R413" i="6" s="1"/>
  <c r="U413" i="6" s="1"/>
  <c r="N207" i="6"/>
  <c r="Q207" i="6" s="1"/>
  <c r="N196" i="6"/>
  <c r="Q196" i="6" s="1"/>
  <c r="Q370" i="6"/>
  <c r="N370" i="6"/>
  <c r="N160" i="6"/>
  <c r="Q160" i="6" s="1"/>
  <c r="N50" i="6"/>
  <c r="Q50" i="6" s="1"/>
  <c r="N269" i="6"/>
  <c r="Q269" i="6" s="1"/>
  <c r="Q119" i="6"/>
  <c r="N119" i="6"/>
  <c r="N36" i="6"/>
  <c r="R36" i="6" s="1"/>
  <c r="U36" i="6" s="1"/>
  <c r="N575" i="6"/>
  <c r="Q575" i="6" s="1"/>
  <c r="N557" i="6"/>
  <c r="Q557" i="6" s="1"/>
  <c r="Q299" i="6"/>
  <c r="N299" i="6"/>
  <c r="N456" i="6"/>
  <c r="R456" i="6" s="1"/>
  <c r="U456" i="6" s="1"/>
  <c r="N556" i="6"/>
  <c r="Q556" i="6" s="1"/>
  <c r="N519" i="6"/>
  <c r="Q519" i="6" s="1"/>
  <c r="Q467" i="6"/>
  <c r="N467" i="6"/>
  <c r="N488" i="6"/>
  <c r="Q488" i="6" s="1"/>
  <c r="N124" i="6"/>
  <c r="Q124" i="6" s="1"/>
  <c r="N205" i="6"/>
  <c r="Q205" i="6" s="1"/>
  <c r="Q83" i="6"/>
  <c r="N83" i="6"/>
  <c r="N214" i="6"/>
  <c r="R214" i="6" s="1"/>
  <c r="U214" i="6" s="1"/>
  <c r="N533" i="6"/>
  <c r="Q533" i="6" s="1"/>
  <c r="N48" i="6"/>
  <c r="Q48" i="6" s="1"/>
  <c r="Q158" i="6"/>
  <c r="N158" i="6"/>
  <c r="N297" i="6"/>
  <c r="R297" i="6" s="1"/>
  <c r="N298" i="6"/>
  <c r="Q298" i="6" s="1"/>
  <c r="N62" i="6"/>
  <c r="Q62" i="6" s="1"/>
  <c r="Q146" i="6"/>
  <c r="N146" i="6"/>
  <c r="N389" i="6"/>
  <c r="R389" i="6" s="1"/>
  <c r="N263" i="6"/>
  <c r="Q263" i="6" s="1"/>
  <c r="N67" i="6"/>
  <c r="Q67" i="6" s="1"/>
  <c r="Q113" i="6"/>
  <c r="N113" i="6"/>
  <c r="N294" i="6"/>
  <c r="R294" i="6" s="1"/>
  <c r="N240" i="6"/>
  <c r="Q240" i="6" s="1"/>
  <c r="N183" i="6"/>
  <c r="Q183" i="6" s="1"/>
  <c r="Q554" i="6"/>
  <c r="N554" i="6"/>
  <c r="N486" i="6"/>
  <c r="P486" i="6" s="1"/>
  <c r="N161" i="6"/>
  <c r="Q161" i="6" s="1"/>
  <c r="N540" i="6"/>
  <c r="Q540" i="6" s="1"/>
  <c r="Q326" i="6"/>
  <c r="N326" i="6"/>
  <c r="N19" i="6"/>
  <c r="R19" i="6" s="1"/>
  <c r="U19" i="6" s="1"/>
  <c r="N191" i="6"/>
  <c r="Q191" i="6" s="1"/>
  <c r="N5" i="6"/>
  <c r="Q5" i="6" s="1"/>
  <c r="Q567" i="6"/>
  <c r="N567" i="6"/>
  <c r="N322" i="6"/>
  <c r="P322" i="6" s="1"/>
  <c r="N529" i="6"/>
  <c r="Q529" i="6" s="1"/>
  <c r="P180" i="6"/>
  <c r="Q180" i="6"/>
  <c r="Q431" i="6"/>
  <c r="N431" i="6"/>
  <c r="N405" i="6"/>
  <c r="R405" i="6" s="1"/>
  <c r="U405" i="6" s="1"/>
  <c r="N509" i="6"/>
  <c r="Q509" i="6" s="1"/>
  <c r="N208" i="6"/>
  <c r="Q208" i="6" s="1"/>
  <c r="Q508" i="6"/>
  <c r="N508" i="6"/>
  <c r="N452" i="6"/>
  <c r="R452" i="6" s="1"/>
  <c r="U452" i="6" s="1"/>
  <c r="N18" i="6"/>
  <c r="Q18" i="6" s="1"/>
  <c r="N284" i="6"/>
  <c r="Q284" i="6" s="1"/>
  <c r="Q137" i="6"/>
  <c r="N137" i="6"/>
  <c r="P137" i="6" s="1"/>
  <c r="N484" i="6"/>
  <c r="R484" i="6" s="1"/>
  <c r="U484" i="6" s="1"/>
  <c r="N118" i="6"/>
  <c r="Q118" i="6" s="1"/>
  <c r="N203" i="6"/>
  <c r="Q203" i="6" s="1"/>
  <c r="Q26" i="6"/>
  <c r="N26" i="6"/>
  <c r="N68" i="6"/>
  <c r="R68" i="6" s="1"/>
  <c r="N199" i="6"/>
  <c r="Q199" i="6" s="1"/>
  <c r="N399" i="6"/>
  <c r="Q399" i="6" s="1"/>
  <c r="Q586" i="6"/>
  <c r="N586" i="6"/>
  <c r="N276" i="6"/>
  <c r="R276" i="6" s="1"/>
  <c r="U276" i="6" s="1"/>
  <c r="N364" i="6"/>
  <c r="Q364" i="6" s="1"/>
  <c r="N566" i="6"/>
  <c r="Q566" i="6" s="1"/>
  <c r="Q261" i="6"/>
  <c r="N261" i="6"/>
  <c r="N380" i="6"/>
  <c r="R380" i="6" s="1"/>
  <c r="N278" i="6"/>
  <c r="Q278" i="6" s="1"/>
  <c r="N121" i="6"/>
  <c r="Q121" i="6" s="1"/>
  <c r="Q524" i="6"/>
  <c r="N524" i="6"/>
  <c r="N476" i="6"/>
  <c r="P476" i="6" s="1"/>
  <c r="N79" i="6"/>
  <c r="Q79" i="6" s="1"/>
  <c r="N213" i="6"/>
  <c r="Q213" i="6" s="1"/>
  <c r="Q210" i="6"/>
  <c r="N210" i="6"/>
  <c r="N317" i="6"/>
  <c r="R317" i="6" s="1"/>
  <c r="U317" i="6" s="1"/>
  <c r="N546" i="6"/>
  <c r="Q546" i="6" s="1"/>
  <c r="N193" i="6"/>
  <c r="Q193" i="6" s="1"/>
  <c r="Q101" i="6"/>
  <c r="N101" i="6"/>
  <c r="N238" i="6"/>
  <c r="R238" i="6" s="1"/>
  <c r="U238" i="6" s="1"/>
  <c r="N268" i="6"/>
  <c r="Q268" i="6" s="1"/>
  <c r="N419" i="6"/>
  <c r="Q419" i="6" s="1"/>
  <c r="Q176" i="6"/>
  <c r="N176" i="6"/>
  <c r="N570" i="6"/>
  <c r="R570" i="6" s="1"/>
  <c r="N175" i="6"/>
  <c r="Q175" i="6" s="1"/>
  <c r="N493" i="6"/>
  <c r="Q493" i="6" s="1"/>
  <c r="Q251" i="6"/>
  <c r="N251" i="6"/>
  <c r="N300" i="6"/>
  <c r="R300" i="6" s="1"/>
  <c r="U300" i="6" s="1"/>
  <c r="N350" i="6"/>
  <c r="Q350" i="6" s="1"/>
  <c r="N66" i="6"/>
  <c r="Q66" i="6" s="1"/>
  <c r="Q314" i="6"/>
  <c r="N314" i="6"/>
  <c r="N189" i="6"/>
  <c r="P189" i="6" s="1"/>
  <c r="N59" i="6"/>
  <c r="Q59" i="6" s="1"/>
  <c r="N305" i="6"/>
  <c r="Q305" i="6" s="1"/>
  <c r="Q440" i="6"/>
  <c r="N440" i="6"/>
  <c r="R153" i="6"/>
  <c r="W153" i="6" s="1"/>
  <c r="Z153" i="6" s="1"/>
  <c r="AA153" i="6" s="1"/>
  <c r="R537" i="6"/>
  <c r="U537" i="6" s="1"/>
  <c r="P64" i="6"/>
  <c r="Q64" i="6"/>
  <c r="Q448" i="6"/>
  <c r="P448" i="6"/>
  <c r="T345" i="6"/>
  <c r="W345" i="6"/>
  <c r="Z345" i="6" s="1"/>
  <c r="AA345" i="6" s="1"/>
  <c r="U345" i="6"/>
  <c r="R13" i="6"/>
  <c r="U13" i="6" s="1"/>
  <c r="P13" i="6"/>
  <c r="R209" i="6"/>
  <c r="U209" i="6" s="1"/>
  <c r="P209" i="6"/>
  <c r="R310" i="6"/>
  <c r="U310" i="6" s="1"/>
  <c r="P310" i="6"/>
  <c r="R204" i="6"/>
  <c r="U204" i="6" s="1"/>
  <c r="P204" i="6"/>
  <c r="R40" i="6"/>
  <c r="U40" i="6" s="1"/>
  <c r="P40" i="6"/>
  <c r="R162" i="6"/>
  <c r="U162" i="6" s="1"/>
  <c r="P162" i="6"/>
  <c r="R432" i="6"/>
  <c r="U432" i="6" s="1"/>
  <c r="P432" i="6"/>
  <c r="R225" i="6"/>
  <c r="U225" i="6" s="1"/>
  <c r="P225" i="6"/>
  <c r="R218" i="6"/>
  <c r="U218" i="6" s="1"/>
  <c r="P218" i="6"/>
  <c r="R137" i="6"/>
  <c r="R427" i="6"/>
  <c r="U427" i="6" s="1"/>
  <c r="P427" i="6"/>
  <c r="R492" i="6"/>
  <c r="U492" i="6" s="1"/>
  <c r="P492" i="6"/>
  <c r="P518" i="6"/>
  <c r="R518" i="6"/>
  <c r="U518" i="6" s="1"/>
  <c r="P311" i="6"/>
  <c r="R311" i="6"/>
  <c r="U311" i="6" s="1"/>
  <c r="R117" i="6"/>
  <c r="U117" i="6" s="1"/>
  <c r="P117" i="6"/>
  <c r="R106" i="6"/>
  <c r="U106" i="6" s="1"/>
  <c r="P106" i="6"/>
  <c r="R9" i="6"/>
  <c r="P9" i="6"/>
  <c r="R348" i="6"/>
  <c r="U348" i="6" s="1"/>
  <c r="P348" i="6"/>
  <c r="R579" i="6"/>
  <c r="U579" i="6" s="1"/>
  <c r="P579" i="6"/>
  <c r="R447" i="6"/>
  <c r="U447" i="6" s="1"/>
  <c r="P447" i="6"/>
  <c r="R446" i="6"/>
  <c r="P446" i="6"/>
  <c r="R149" i="6"/>
  <c r="U149" i="6" s="1"/>
  <c r="P149" i="6"/>
  <c r="R138" i="6"/>
  <c r="U138" i="6" s="1"/>
  <c r="P138" i="6"/>
  <c r="R466" i="6"/>
  <c r="P466" i="6"/>
  <c r="R461" i="6"/>
  <c r="U461" i="6" s="1"/>
  <c r="P461" i="6"/>
  <c r="R35" i="6"/>
  <c r="P35" i="6"/>
  <c r="R60" i="6"/>
  <c r="P60" i="6"/>
  <c r="R363" i="6"/>
  <c r="P363" i="6"/>
  <c r="R82" i="6"/>
  <c r="U82" i="6" s="1"/>
  <c r="P82" i="6"/>
  <c r="R163" i="6"/>
  <c r="P163" i="6"/>
  <c r="P223" i="6"/>
  <c r="R223" i="6"/>
  <c r="U223" i="6" s="1"/>
  <c r="R584" i="6"/>
  <c r="U584" i="6" s="1"/>
  <c r="P584" i="6"/>
  <c r="R134" i="6"/>
  <c r="U134" i="6" s="1"/>
  <c r="P134" i="6"/>
  <c r="R407" i="6"/>
  <c r="U407" i="6" s="1"/>
  <c r="P407" i="6"/>
  <c r="R42" i="6"/>
  <c r="U42" i="6" s="1"/>
  <c r="P42" i="6"/>
  <c r="R422" i="6"/>
  <c r="U422" i="6" s="1"/>
  <c r="P422" i="6"/>
  <c r="R85" i="6"/>
  <c r="U85" i="6" s="1"/>
  <c r="P85" i="6"/>
  <c r="R33" i="6"/>
  <c r="U33" i="6" s="1"/>
  <c r="P33" i="6"/>
  <c r="R332" i="6"/>
  <c r="U332" i="6" s="1"/>
  <c r="P332" i="6"/>
  <c r="Q13" i="6"/>
  <c r="R133" i="6"/>
  <c r="P133" i="6"/>
  <c r="R122" i="6"/>
  <c r="U122" i="6" s="1"/>
  <c r="P122" i="6"/>
  <c r="R12" i="6"/>
  <c r="U12" i="6" s="1"/>
  <c r="P12" i="6"/>
  <c r="R503" i="6"/>
  <c r="U503" i="6" s="1"/>
  <c r="P503" i="6"/>
  <c r="R495" i="6"/>
  <c r="U495" i="6" s="1"/>
  <c r="P495" i="6"/>
  <c r="Q33" i="6"/>
  <c r="Q332" i="6"/>
  <c r="R496" i="6"/>
  <c r="U496" i="6" s="1"/>
  <c r="P496" i="6"/>
  <c r="R236" i="6"/>
  <c r="U236" i="6" s="1"/>
  <c r="P236" i="6"/>
  <c r="R403" i="6"/>
  <c r="U403" i="6" s="1"/>
  <c r="P403" i="6"/>
  <c r="P351" i="6"/>
  <c r="R351" i="6"/>
  <c r="U351" i="6" s="1"/>
  <c r="R331" i="6"/>
  <c r="U331" i="6" s="1"/>
  <c r="P331" i="6"/>
  <c r="R185" i="6"/>
  <c r="U185" i="6" s="1"/>
  <c r="P185" i="6"/>
  <c r="P63" i="6"/>
  <c r="R63" i="6"/>
  <c r="U63" i="6" s="1"/>
  <c r="R592" i="6"/>
  <c r="U592" i="6" s="1"/>
  <c r="P592" i="6"/>
  <c r="R44" i="6"/>
  <c r="U44" i="6" s="1"/>
  <c r="P44" i="6"/>
  <c r="R424" i="6"/>
  <c r="U424" i="6" s="1"/>
  <c r="P424" i="6"/>
  <c r="R428" i="6"/>
  <c r="P428" i="6"/>
  <c r="R283" i="6"/>
  <c r="U283" i="6" s="1"/>
  <c r="P283" i="6"/>
  <c r="R569" i="6"/>
  <c r="U569" i="6" s="1"/>
  <c r="P569" i="6"/>
  <c r="R400" i="6"/>
  <c r="P400" i="6"/>
  <c r="R242" i="6"/>
  <c r="U242" i="6" s="1"/>
  <c r="P242" i="6"/>
  <c r="R129" i="6"/>
  <c r="U129" i="6" s="1"/>
  <c r="P129" i="6"/>
  <c r="R490" i="6"/>
  <c r="U490" i="6" s="1"/>
  <c r="P490" i="6"/>
  <c r="R277" i="6"/>
  <c r="U277" i="6" s="1"/>
  <c r="P277" i="6"/>
  <c r="R43" i="6"/>
  <c r="P43" i="6"/>
  <c r="R550" i="6"/>
  <c r="U550" i="6" s="1"/>
  <c r="P550" i="6"/>
  <c r="R506" i="6"/>
  <c r="P506" i="6"/>
  <c r="R328" i="6"/>
  <c r="U328" i="6" s="1"/>
  <c r="P328" i="6"/>
  <c r="R260" i="6"/>
  <c r="U260" i="6" s="1"/>
  <c r="P260" i="6"/>
  <c r="R355" i="6"/>
  <c r="U355" i="6" s="1"/>
  <c r="P355" i="6"/>
  <c r="R148" i="6"/>
  <c r="U148" i="6" s="1"/>
  <c r="P148" i="6"/>
  <c r="P279" i="6"/>
  <c r="R279" i="6"/>
  <c r="U279" i="6" s="1"/>
  <c r="R412" i="6"/>
  <c r="P412" i="6"/>
  <c r="R535" i="6"/>
  <c r="U535" i="6" s="1"/>
  <c r="P535" i="6"/>
  <c r="R523" i="6"/>
  <c r="U523" i="6" s="1"/>
  <c r="P523" i="6"/>
  <c r="Q209" i="6"/>
  <c r="R513" i="6"/>
  <c r="P513" i="6"/>
  <c r="R190" i="6"/>
  <c r="P190" i="6"/>
  <c r="R498" i="6"/>
  <c r="U498" i="6" s="1"/>
  <c r="P498" i="6"/>
  <c r="R212" i="6"/>
  <c r="P212" i="6"/>
  <c r="R90" i="6"/>
  <c r="P90" i="6"/>
  <c r="Q518" i="6"/>
  <c r="R502" i="6"/>
  <c r="U502" i="6" s="1"/>
  <c r="P502" i="6"/>
  <c r="R70" i="6"/>
  <c r="P70" i="6"/>
  <c r="Q218" i="6"/>
  <c r="Q461" i="6"/>
  <c r="R211" i="6"/>
  <c r="U211" i="6" s="1"/>
  <c r="P211" i="6"/>
  <c r="R4" i="6"/>
  <c r="U4" i="6" s="1"/>
  <c r="P4" i="6"/>
  <c r="Q43" i="6"/>
  <c r="R385" i="6"/>
  <c r="U385" i="6" s="1"/>
  <c r="P385" i="6"/>
  <c r="Q129" i="6"/>
  <c r="Q351" i="6"/>
  <c r="Q331" i="6"/>
  <c r="Q185" i="6"/>
  <c r="Q63" i="6"/>
  <c r="Q535" i="6"/>
  <c r="R463" i="6"/>
  <c r="U463" i="6" s="1"/>
  <c r="P463" i="6"/>
  <c r="R32" i="6"/>
  <c r="U32" i="6" s="1"/>
  <c r="P32" i="6"/>
  <c r="R534" i="6"/>
  <c r="U534" i="6" s="1"/>
  <c r="P534" i="6"/>
  <c r="R538" i="6"/>
  <c r="U538" i="6" s="1"/>
  <c r="P538" i="6"/>
  <c r="Q363" i="6"/>
  <c r="R92" i="6"/>
  <c r="U92" i="6" s="1"/>
  <c r="P92" i="6"/>
  <c r="R237" i="6"/>
  <c r="P237" i="6"/>
  <c r="R3" i="6"/>
  <c r="U3" i="6" s="1"/>
  <c r="P3" i="6"/>
  <c r="R135" i="6"/>
  <c r="U135" i="6" s="1"/>
  <c r="P135" i="6"/>
  <c r="R49" i="6"/>
  <c r="P49" i="6"/>
  <c r="R474" i="6"/>
  <c r="U474" i="6" s="1"/>
  <c r="P474" i="6"/>
  <c r="R108" i="6"/>
  <c r="U108" i="6" s="1"/>
  <c r="P108" i="6"/>
  <c r="R73" i="6"/>
  <c r="P73" i="6"/>
  <c r="Q236" i="6"/>
  <c r="R420" i="6"/>
  <c r="U420" i="6" s="1"/>
  <c r="P420" i="6"/>
  <c r="R528" i="6"/>
  <c r="P528" i="6"/>
  <c r="R45" i="6"/>
  <c r="U45" i="6" s="1"/>
  <c r="P45" i="6"/>
  <c r="R226" i="6"/>
  <c r="U226" i="6" s="1"/>
  <c r="P226" i="6"/>
  <c r="P287" i="6"/>
  <c r="R287" i="6"/>
  <c r="U287" i="6" s="1"/>
  <c r="P93" i="6"/>
  <c r="R93" i="6"/>
  <c r="R274" i="6"/>
  <c r="U274" i="6" s="1"/>
  <c r="P274" i="6"/>
  <c r="R516" i="6"/>
  <c r="U516" i="6" s="1"/>
  <c r="P516" i="6"/>
  <c r="R577" i="6"/>
  <c r="P577" i="6"/>
  <c r="R16" i="6"/>
  <c r="U16" i="6" s="1"/>
  <c r="P16" i="6"/>
  <c r="Q9" i="6"/>
  <c r="Q348" i="6"/>
  <c r="Q85" i="6"/>
  <c r="Q49" i="6"/>
  <c r="R439" i="6"/>
  <c r="P439" i="6"/>
  <c r="R194" i="6"/>
  <c r="U194" i="6" s="1"/>
  <c r="P194" i="6"/>
  <c r="R435" i="6"/>
  <c r="U435" i="6" s="1"/>
  <c r="P435" i="6"/>
  <c r="R176" i="6"/>
  <c r="U176" i="6" s="1"/>
  <c r="P176" i="6"/>
  <c r="R391" i="6"/>
  <c r="U391" i="6" s="1"/>
  <c r="P391" i="6"/>
  <c r="R430" i="6"/>
  <c r="U430" i="6" s="1"/>
  <c r="P430" i="6"/>
  <c r="P558" i="6"/>
  <c r="R558" i="6"/>
  <c r="R349" i="6"/>
  <c r="U349" i="6" s="1"/>
  <c r="P349" i="6"/>
  <c r="R419" i="6"/>
  <c r="U419" i="6" s="1"/>
  <c r="P419" i="6"/>
  <c r="R298" i="6"/>
  <c r="U298" i="6" s="1"/>
  <c r="P298" i="6"/>
  <c r="R156" i="6"/>
  <c r="U156" i="6" s="1"/>
  <c r="P156" i="6"/>
  <c r="R444" i="6"/>
  <c r="U444" i="6" s="1"/>
  <c r="P444" i="6"/>
  <c r="R572" i="6"/>
  <c r="U572" i="6" s="1"/>
  <c r="P572" i="6"/>
  <c r="R378" i="6"/>
  <c r="U378" i="6" s="1"/>
  <c r="P378" i="6"/>
  <c r="R434" i="6"/>
  <c r="U434" i="6" s="1"/>
  <c r="P434" i="6"/>
  <c r="R493" i="6"/>
  <c r="U493" i="6" s="1"/>
  <c r="P493" i="6"/>
  <c r="R164" i="6"/>
  <c r="U164" i="6" s="1"/>
  <c r="P164" i="6"/>
  <c r="P319" i="6"/>
  <c r="R319" i="6"/>
  <c r="R179" i="6"/>
  <c r="U179" i="6" s="1"/>
  <c r="P179" i="6"/>
  <c r="P183" i="6"/>
  <c r="R183" i="6"/>
  <c r="R188" i="6"/>
  <c r="U188" i="6" s="1"/>
  <c r="P188" i="6"/>
  <c r="R139" i="6"/>
  <c r="P139" i="6"/>
  <c r="R402" i="6"/>
  <c r="U402" i="6" s="1"/>
  <c r="P402" i="6"/>
  <c r="R275" i="6"/>
  <c r="U275" i="6" s="1"/>
  <c r="P275" i="6"/>
  <c r="R459" i="6"/>
  <c r="U459" i="6" s="1"/>
  <c r="P459" i="6"/>
  <c r="R289" i="6"/>
  <c r="U289" i="6" s="1"/>
  <c r="P289" i="6"/>
  <c r="R111" i="6"/>
  <c r="P111" i="6"/>
  <c r="R304" i="6"/>
  <c r="U304" i="6" s="1"/>
  <c r="P304" i="6"/>
  <c r="R408" i="6"/>
  <c r="U408" i="6" s="1"/>
  <c r="P408" i="6"/>
  <c r="R50" i="6"/>
  <c r="U50" i="6" s="1"/>
  <c r="P50" i="6"/>
  <c r="R478" i="6"/>
  <c r="U478" i="6" s="1"/>
  <c r="P478" i="6"/>
  <c r="R458" i="6"/>
  <c r="U458" i="6" s="1"/>
  <c r="P458" i="6"/>
  <c r="R580" i="6"/>
  <c r="U580" i="6" s="1"/>
  <c r="P580" i="6"/>
  <c r="R98" i="6"/>
  <c r="P98" i="6"/>
  <c r="R567" i="6"/>
  <c r="P567" i="6"/>
  <c r="R585" i="6"/>
  <c r="U585" i="6" s="1"/>
  <c r="P585" i="6"/>
  <c r="R109" i="6"/>
  <c r="U109" i="6" s="1"/>
  <c r="P109" i="6"/>
  <c r="R426" i="6"/>
  <c r="U426" i="6" s="1"/>
  <c r="P426" i="6"/>
  <c r="R272" i="6"/>
  <c r="U272" i="6" s="1"/>
  <c r="P272" i="6"/>
  <c r="R453" i="6"/>
  <c r="U453" i="6" s="1"/>
  <c r="P453" i="6"/>
  <c r="R27" i="6"/>
  <c r="U27" i="6" s="1"/>
  <c r="P27" i="6"/>
  <c r="R72" i="6"/>
  <c r="U72" i="6" s="1"/>
  <c r="P72" i="6"/>
  <c r="R595" i="6"/>
  <c r="P595" i="6"/>
  <c r="R396" i="6"/>
  <c r="U396" i="6" s="1"/>
  <c r="P396" i="6"/>
  <c r="R232" i="6"/>
  <c r="U232" i="6" s="1"/>
  <c r="P232" i="6"/>
  <c r="R454" i="6"/>
  <c r="U454" i="6" s="1"/>
  <c r="P454" i="6"/>
  <c r="R267" i="6"/>
  <c r="P267" i="6"/>
  <c r="R288" i="6"/>
  <c r="U288" i="6" s="1"/>
  <c r="P288" i="6"/>
  <c r="P255" i="6"/>
  <c r="R255" i="6"/>
  <c r="U255" i="6" s="1"/>
  <c r="R241" i="6"/>
  <c r="U241" i="6" s="1"/>
  <c r="P241" i="6"/>
  <c r="R360" i="6"/>
  <c r="U360" i="6" s="1"/>
  <c r="P360" i="6"/>
  <c r="R168" i="6"/>
  <c r="P168" i="6"/>
  <c r="R193" i="6"/>
  <c r="P193" i="6"/>
  <c r="P582" i="6"/>
  <c r="R582" i="6"/>
  <c r="U582" i="6" s="1"/>
  <c r="R187" i="6"/>
  <c r="U187" i="6" s="1"/>
  <c r="P187" i="6"/>
  <c r="R47" i="6"/>
  <c r="P47" i="6"/>
  <c r="P343" i="6"/>
  <c r="R343" i="6"/>
  <c r="U343" i="6" s="1"/>
  <c r="R299" i="6"/>
  <c r="U299" i="6" s="1"/>
  <c r="P299" i="6"/>
  <c r="Q444" i="6"/>
  <c r="R574" i="6"/>
  <c r="U574" i="6" s="1"/>
  <c r="P574" i="6"/>
  <c r="R507" i="6"/>
  <c r="U507" i="6" s="1"/>
  <c r="P507" i="6"/>
  <c r="Q35" i="6"/>
  <c r="Q60" i="6"/>
  <c r="Q428" i="6"/>
  <c r="Q283" i="6"/>
  <c r="R377" i="6"/>
  <c r="U377" i="6" s="1"/>
  <c r="P377" i="6"/>
  <c r="R510" i="6"/>
  <c r="U510" i="6" s="1"/>
  <c r="P510" i="6"/>
  <c r="Q44" i="6"/>
  <c r="Q523" i="6"/>
  <c r="Q106" i="6"/>
  <c r="Q260" i="6"/>
  <c r="Q355" i="6"/>
  <c r="Q148" i="6"/>
  <c r="Q279" i="6"/>
  <c r="Q580" i="6"/>
  <c r="Q408" i="6"/>
  <c r="Q242" i="6"/>
  <c r="R271" i="6"/>
  <c r="U271" i="6" s="1"/>
  <c r="P271" i="6"/>
  <c r="R37" i="6"/>
  <c r="U37" i="6" s="1"/>
  <c r="P37" i="6"/>
  <c r="Q179" i="6"/>
  <c r="Q453" i="6"/>
  <c r="Q27" i="6"/>
  <c r="Q190" i="6"/>
  <c r="R220" i="6"/>
  <c r="U220" i="6" s="1"/>
  <c r="P220" i="6"/>
  <c r="Q396" i="6"/>
  <c r="Q255" i="6"/>
  <c r="R56" i="6"/>
  <c r="U56" i="6" s="1"/>
  <c r="P56" i="6"/>
  <c r="R418" i="6"/>
  <c r="U418" i="6" s="1"/>
  <c r="P418" i="6"/>
  <c r="R417" i="6"/>
  <c r="U417" i="6" s="1"/>
  <c r="P417" i="6"/>
  <c r="R374" i="6"/>
  <c r="U374" i="6" s="1"/>
  <c r="P374" i="6"/>
  <c r="R571" i="6"/>
  <c r="U571" i="6" s="1"/>
  <c r="P571" i="6"/>
  <c r="R415" i="6"/>
  <c r="P415" i="6"/>
  <c r="R483" i="6"/>
  <c r="U483" i="6" s="1"/>
  <c r="P483" i="6"/>
  <c r="Q498" i="6"/>
  <c r="R329" i="6"/>
  <c r="U329" i="6" s="1"/>
  <c r="P329" i="6"/>
  <c r="R593" i="6"/>
  <c r="P593" i="6"/>
  <c r="R239" i="6"/>
  <c r="U239" i="6" s="1"/>
  <c r="P239" i="6"/>
  <c r="R318" i="6"/>
  <c r="U318" i="6" s="1"/>
  <c r="P318" i="6"/>
  <c r="R30" i="6"/>
  <c r="U30" i="6" s="1"/>
  <c r="P30" i="6"/>
  <c r="R195" i="6"/>
  <c r="U195" i="6" s="1"/>
  <c r="P195" i="6"/>
  <c r="Q134" i="6"/>
  <c r="R173" i="6"/>
  <c r="P173" i="6"/>
  <c r="R354" i="6"/>
  <c r="P354" i="6"/>
  <c r="R520" i="6"/>
  <c r="U520" i="6" s="1"/>
  <c r="P520" i="6"/>
  <c r="Q463" i="6"/>
  <c r="Q407" i="6"/>
  <c r="Q391" i="6"/>
  <c r="Q422" i="6"/>
  <c r="Q108" i="6"/>
  <c r="Q56" i="6"/>
  <c r="R282" i="6"/>
  <c r="U282" i="6" s="1"/>
  <c r="P282" i="6"/>
  <c r="R307" i="6"/>
  <c r="U307" i="6" s="1"/>
  <c r="P307" i="6"/>
  <c r="R361" i="6"/>
  <c r="P361" i="6"/>
  <c r="R21" i="6"/>
  <c r="U21" i="6" s="1"/>
  <c r="P21" i="6"/>
  <c r="R292" i="6"/>
  <c r="U292" i="6" s="1"/>
  <c r="P292" i="6"/>
  <c r="P221" i="6"/>
  <c r="R221" i="6"/>
  <c r="U221" i="6" s="1"/>
  <c r="Q204" i="6"/>
  <c r="R533" i="6"/>
  <c r="U533" i="6" s="1"/>
  <c r="P533" i="6"/>
  <c r="R136" i="6"/>
  <c r="U136" i="6" s="1"/>
  <c r="P136" i="6"/>
  <c r="R46" i="6"/>
  <c r="U46" i="6" s="1"/>
  <c r="P46" i="6"/>
  <c r="R544" i="6"/>
  <c r="U544" i="6" s="1"/>
  <c r="P544" i="6"/>
  <c r="R130" i="6"/>
  <c r="U130" i="6" s="1"/>
  <c r="P130" i="6"/>
  <c r="R175" i="6"/>
  <c r="P175" i="6"/>
  <c r="R392" i="6"/>
  <c r="U392" i="6" s="1"/>
  <c r="P392" i="6"/>
  <c r="R113" i="6"/>
  <c r="U113" i="6" s="1"/>
  <c r="P113" i="6"/>
  <c r="R479" i="6"/>
  <c r="U479" i="6" s="1"/>
  <c r="P479" i="6"/>
  <c r="R578" i="6"/>
  <c r="P578" i="6"/>
  <c r="R411" i="6"/>
  <c r="U411" i="6" s="1"/>
  <c r="P411" i="6"/>
  <c r="R112" i="6"/>
  <c r="U112" i="6" s="1"/>
  <c r="P112" i="6"/>
  <c r="R74" i="6"/>
  <c r="U74" i="6" s="1"/>
  <c r="P74" i="6"/>
  <c r="R145" i="6"/>
  <c r="P145" i="6"/>
  <c r="R233" i="6"/>
  <c r="U233" i="6" s="1"/>
  <c r="P233" i="6"/>
  <c r="Q82" i="6"/>
  <c r="R347" i="6"/>
  <c r="U347" i="6" s="1"/>
  <c r="P347" i="6"/>
  <c r="R94" i="6"/>
  <c r="U94" i="6" s="1"/>
  <c r="P94" i="6"/>
  <c r="R340" i="6"/>
  <c r="P340" i="6"/>
  <c r="R147" i="6"/>
  <c r="U147" i="6" s="1"/>
  <c r="P147" i="6"/>
  <c r="P191" i="6"/>
  <c r="R191" i="6"/>
  <c r="R587" i="6"/>
  <c r="P587" i="6"/>
  <c r="R425" i="6"/>
  <c r="U425" i="6" s="1"/>
  <c r="P425" i="6"/>
  <c r="R5" i="6"/>
  <c r="P5" i="6"/>
  <c r="R369" i="6"/>
  <c r="P369" i="6"/>
  <c r="R269" i="6"/>
  <c r="U269" i="6" s="1"/>
  <c r="P269" i="6"/>
  <c r="R455" i="6"/>
  <c r="U455" i="6" s="1"/>
  <c r="P455" i="6"/>
  <c r="P119" i="6"/>
  <c r="R119" i="6"/>
  <c r="U119" i="6" s="1"/>
  <c r="R379" i="6"/>
  <c r="U379" i="6" s="1"/>
  <c r="P379" i="6"/>
  <c r="R29" i="6"/>
  <c r="U29" i="6" s="1"/>
  <c r="R210" i="6"/>
  <c r="U210" i="6" s="1"/>
  <c r="P210" i="6"/>
  <c r="R342" i="6"/>
  <c r="P342" i="6"/>
  <c r="R291" i="6"/>
  <c r="U291" i="6" s="1"/>
  <c r="P291" i="6"/>
  <c r="R249" i="6"/>
  <c r="P249" i="6"/>
  <c r="R382" i="6"/>
  <c r="U382" i="6" s="1"/>
  <c r="P382" i="6"/>
  <c r="Q490" i="6"/>
  <c r="Q40" i="6"/>
  <c r="Q432" i="6"/>
  <c r="R525" i="6"/>
  <c r="U525" i="6" s="1"/>
  <c r="P525" i="6"/>
  <c r="R514" i="6"/>
  <c r="U514" i="6" s="1"/>
  <c r="P514" i="6"/>
  <c r="R264" i="6"/>
  <c r="U264" i="6" s="1"/>
  <c r="P264" i="6"/>
  <c r="R511" i="6"/>
  <c r="U511" i="6" s="1"/>
  <c r="P511" i="6"/>
  <c r="R341" i="6"/>
  <c r="U341" i="6" s="1"/>
  <c r="P341" i="6"/>
  <c r="R107" i="6"/>
  <c r="P107" i="6"/>
  <c r="R338" i="6"/>
  <c r="U338" i="6" s="1"/>
  <c r="P338" i="6"/>
  <c r="R79" i="6"/>
  <c r="U79" i="6" s="1"/>
  <c r="P79" i="6"/>
  <c r="R464" i="6"/>
  <c r="P464" i="6"/>
  <c r="R333" i="6"/>
  <c r="P333" i="6"/>
  <c r="R58" i="6"/>
  <c r="U58" i="6" s="1"/>
  <c r="P58" i="6"/>
  <c r="R166" i="6"/>
  <c r="U166" i="6" s="1"/>
  <c r="P166" i="6"/>
  <c r="Q94" i="6"/>
  <c r="Q392" i="6"/>
  <c r="R303" i="6"/>
  <c r="P303" i="6"/>
  <c r="R324" i="6"/>
  <c r="U324" i="6" s="1"/>
  <c r="P324" i="6"/>
  <c r="R259" i="6"/>
  <c r="U259" i="6" s="1"/>
  <c r="P259" i="6"/>
  <c r="R315" i="6"/>
  <c r="U315" i="6" s="1"/>
  <c r="P315" i="6"/>
  <c r="R330" i="6"/>
  <c r="P330" i="6"/>
  <c r="R553" i="6"/>
  <c r="P553" i="6"/>
  <c r="R531" i="6"/>
  <c r="U531" i="6" s="1"/>
  <c r="P531" i="6"/>
  <c r="R335" i="6"/>
  <c r="P335" i="6"/>
  <c r="R556" i="6"/>
  <c r="U556" i="6" s="1"/>
  <c r="P556" i="6"/>
  <c r="R203" i="6"/>
  <c r="P203" i="6"/>
  <c r="R460" i="6"/>
  <c r="U460" i="6" s="1"/>
  <c r="P460" i="6"/>
  <c r="R375" i="6"/>
  <c r="U375" i="6" s="1"/>
  <c r="P375" i="6"/>
  <c r="R301" i="6"/>
  <c r="P301" i="6"/>
  <c r="R67" i="6"/>
  <c r="U67" i="6" s="1"/>
  <c r="P67" i="6"/>
  <c r="R8" i="6"/>
  <c r="P8" i="6"/>
  <c r="R280" i="6"/>
  <c r="P280" i="6"/>
  <c r="Q164" i="6"/>
  <c r="R235" i="6"/>
  <c r="P235" i="6"/>
  <c r="R6" i="6"/>
  <c r="U6" i="6" s="1"/>
  <c r="P6" i="6"/>
  <c r="R547" i="6"/>
  <c r="U547" i="6" s="1"/>
  <c r="P547" i="6"/>
  <c r="R110" i="6"/>
  <c r="U110" i="6" s="1"/>
  <c r="P110" i="6"/>
  <c r="R266" i="6"/>
  <c r="P266" i="6"/>
  <c r="R594" i="6"/>
  <c r="U594" i="6" s="1"/>
  <c r="P594" i="6"/>
  <c r="R182" i="6"/>
  <c r="P182" i="6"/>
  <c r="P127" i="6"/>
  <c r="R127" i="6"/>
  <c r="U127" i="6" s="1"/>
  <c r="R489" i="6"/>
  <c r="P489" i="6"/>
  <c r="P366" i="6"/>
  <c r="P381" i="6"/>
  <c r="R381" i="6"/>
  <c r="Q232" i="6"/>
  <c r="R414" i="6"/>
  <c r="P414" i="6"/>
  <c r="R554" i="6"/>
  <c r="U554" i="6" s="1"/>
  <c r="P554" i="6"/>
  <c r="P494" i="6"/>
  <c r="R494" i="6"/>
  <c r="Q241" i="6"/>
  <c r="Q360" i="6"/>
  <c r="Q187" i="6"/>
  <c r="Q47" i="6"/>
  <c r="R597" i="6"/>
  <c r="U597" i="6" s="1"/>
  <c r="P597" i="6"/>
  <c r="R171" i="6"/>
  <c r="U171" i="6" s="1"/>
  <c r="P171" i="6"/>
  <c r="P497" i="6"/>
  <c r="R497" i="6"/>
  <c r="U497" i="6" s="1"/>
  <c r="Q525" i="6"/>
  <c r="R219" i="6"/>
  <c r="U219" i="6" s="1"/>
  <c r="P219" i="6"/>
  <c r="R527" i="6"/>
  <c r="P527" i="6"/>
  <c r="R440" i="6"/>
  <c r="U440" i="6" s="1"/>
  <c r="P440" i="6"/>
  <c r="R583" i="6"/>
  <c r="P583" i="6"/>
  <c r="R200" i="6"/>
  <c r="U200" i="6" s="1"/>
  <c r="P200" i="6"/>
  <c r="Q497" i="6"/>
  <c r="R321" i="6"/>
  <c r="U321" i="6" s="1"/>
  <c r="P321" i="6"/>
  <c r="P125" i="6"/>
  <c r="R125" i="6"/>
  <c r="R540" i="6"/>
  <c r="P540" i="6"/>
  <c r="R245" i="6"/>
  <c r="P245" i="6"/>
  <c r="R234" i="6"/>
  <c r="U234" i="6" s="1"/>
  <c r="P234" i="6"/>
  <c r="R406" i="6"/>
  <c r="U406" i="6" s="1"/>
  <c r="P406" i="6"/>
  <c r="R449" i="6"/>
  <c r="U449" i="6" s="1"/>
  <c r="P449" i="6"/>
  <c r="R11" i="6"/>
  <c r="U11" i="6" s="1"/>
  <c r="P11" i="6"/>
  <c r="R174" i="6"/>
  <c r="P174" i="6"/>
  <c r="Q579" i="6"/>
  <c r="Q447" i="6"/>
  <c r="R172" i="6"/>
  <c r="U172" i="6" s="1"/>
  <c r="P172" i="6"/>
  <c r="R388" i="6"/>
  <c r="U388" i="6" s="1"/>
  <c r="P388" i="6"/>
  <c r="R197" i="6"/>
  <c r="U197" i="6" s="1"/>
  <c r="P197" i="6"/>
  <c r="R186" i="6"/>
  <c r="P186" i="6"/>
  <c r="R481" i="6"/>
  <c r="U481" i="6" s="1"/>
  <c r="P481" i="6"/>
  <c r="R573" i="6"/>
  <c r="U573" i="6" s="1"/>
  <c r="P573" i="6"/>
  <c r="R562" i="6"/>
  <c r="P562" i="6"/>
  <c r="P215" i="6"/>
  <c r="R215" i="6"/>
  <c r="U215" i="6" s="1"/>
  <c r="R552" i="6"/>
  <c r="U552" i="6" s="1"/>
  <c r="P552" i="6"/>
  <c r="Q418" i="6"/>
  <c r="R555" i="6"/>
  <c r="U555" i="6" s="1"/>
  <c r="P555" i="6"/>
  <c r="R383" i="6"/>
  <c r="P383" i="6"/>
  <c r="R132" i="6"/>
  <c r="U132" i="6" s="1"/>
  <c r="P132" i="6"/>
  <c r="R169" i="6"/>
  <c r="U169" i="6" s="1"/>
  <c r="P169" i="6"/>
  <c r="R472" i="6"/>
  <c r="P472" i="6"/>
  <c r="R77" i="6"/>
  <c r="P77" i="6"/>
  <c r="R258" i="6"/>
  <c r="P258" i="6"/>
  <c r="Q98" i="6"/>
  <c r="R437" i="6"/>
  <c r="P437" i="6"/>
  <c r="R144" i="6"/>
  <c r="P144" i="6"/>
  <c r="R541" i="6"/>
  <c r="U541" i="6" s="1"/>
  <c r="P541" i="6"/>
  <c r="P247" i="6"/>
  <c r="R247" i="6"/>
  <c r="U247" i="6" s="1"/>
  <c r="R80" i="6"/>
  <c r="U80" i="6" s="1"/>
  <c r="P80" i="6"/>
  <c r="P31" i="6"/>
  <c r="R31" i="6"/>
  <c r="R563" i="6"/>
  <c r="U563" i="6" s="1"/>
  <c r="P563" i="6"/>
  <c r="R367" i="6"/>
  <c r="P367" i="6"/>
  <c r="R251" i="6"/>
  <c r="U251" i="6" s="1"/>
  <c r="P251" i="6"/>
  <c r="R350" i="6"/>
  <c r="P350" i="6"/>
  <c r="R589" i="6"/>
  <c r="U589" i="6" s="1"/>
  <c r="P589" i="6"/>
  <c r="P529" i="6"/>
  <c r="R529" i="6"/>
  <c r="U529" i="6" s="1"/>
  <c r="R565" i="6"/>
  <c r="P565" i="6"/>
  <c r="R143" i="6"/>
  <c r="U143" i="6" s="1"/>
  <c r="P143" i="6"/>
  <c r="P160" i="6"/>
  <c r="Q572" i="6"/>
  <c r="R359" i="6"/>
  <c r="R180" i="6"/>
  <c r="R295" i="6"/>
  <c r="R89" i="6"/>
  <c r="R512" i="6"/>
  <c r="R14" i="6"/>
  <c r="R128" i="6"/>
  <c r="R487" i="6"/>
  <c r="R384" i="6"/>
  <c r="R409" i="6"/>
  <c r="R244" i="6"/>
  <c r="R270" i="6"/>
  <c r="R206" i="6"/>
  <c r="R473" i="6"/>
  <c r="R398" i="6"/>
  <c r="R564" i="6"/>
  <c r="R448" i="6"/>
  <c r="R320" i="6"/>
  <c r="R551" i="6"/>
  <c r="R436" i="6"/>
  <c r="R231" i="6"/>
  <c r="R526" i="6"/>
  <c r="R590" i="6"/>
  <c r="R601" i="6"/>
  <c r="R116" i="6"/>
  <c r="R103" i="6"/>
  <c r="R281" i="6"/>
  <c r="R78" i="6"/>
  <c r="R64" i="6"/>
  <c r="R25" i="6"/>
  <c r="R7" i="6"/>
  <c r="R334" i="6"/>
  <c r="R192" i="6"/>
  <c r="R142" i="6"/>
  <c r="R256" i="6"/>
  <c r="R52" i="6"/>
  <c r="R217" i="6"/>
  <c r="R423" i="6"/>
  <c r="R372" i="6"/>
  <c r="R462" i="6"/>
  <c r="R500" i="6"/>
  <c r="R124" i="6"/>
  <c r="P124" i="6"/>
  <c r="Q435" i="6"/>
  <c r="R17" i="6"/>
  <c r="U17" i="6" s="1"/>
  <c r="P17" i="6"/>
  <c r="R442" i="6"/>
  <c r="U442" i="6" s="1"/>
  <c r="P442" i="6"/>
  <c r="R509" i="6"/>
  <c r="U509" i="6" s="1"/>
  <c r="P509" i="6"/>
  <c r="R178" i="6"/>
  <c r="U178" i="6" s="1"/>
  <c r="P178" i="6"/>
  <c r="R557" i="6"/>
  <c r="U557" i="6" s="1"/>
  <c r="P557" i="6"/>
  <c r="R131" i="6"/>
  <c r="U131" i="6" s="1"/>
  <c r="P131" i="6"/>
  <c r="R39" i="6"/>
  <c r="R602" i="6"/>
  <c r="P602" i="6"/>
  <c r="R358" i="6"/>
  <c r="P358" i="6"/>
  <c r="R576" i="6"/>
  <c r="R268" i="6"/>
  <c r="U268" i="6" s="1"/>
  <c r="P268" i="6"/>
  <c r="R421" i="6"/>
  <c r="U421" i="6" s="1"/>
  <c r="P421" i="6"/>
  <c r="R353" i="6"/>
  <c r="U353" i="6" s="1"/>
  <c r="P353" i="6"/>
  <c r="Q149" i="6"/>
  <c r="Q563" i="6"/>
  <c r="Q550" i="6"/>
  <c r="R306" i="6"/>
  <c r="P306" i="6"/>
  <c r="R433" i="6"/>
  <c r="U433" i="6" s="1"/>
  <c r="P433" i="6"/>
  <c r="Q138" i="6"/>
  <c r="Q147" i="6"/>
  <c r="Q426" i="6"/>
  <c r="Q143" i="6"/>
  <c r="Q109" i="6"/>
  <c r="R296" i="6"/>
  <c r="P296" i="6"/>
  <c r="R549" i="6"/>
  <c r="U549" i="6" s="1"/>
  <c r="P549" i="6"/>
  <c r="R26" i="6"/>
  <c r="P26" i="6"/>
  <c r="Q277" i="6"/>
  <c r="Q458" i="6"/>
  <c r="Q589" i="6"/>
  <c r="Q163" i="6"/>
  <c r="Q455" i="6"/>
  <c r="Q74" i="6"/>
  <c r="Q221" i="6"/>
  <c r="Q402" i="6"/>
  <c r="Q361" i="6"/>
  <c r="Q291" i="6"/>
  <c r="Q382" i="6"/>
  <c r="Q17" i="6"/>
  <c r="Q72" i="6"/>
  <c r="Q503" i="6"/>
  <c r="Q178" i="6"/>
  <c r="R515" i="6"/>
  <c r="U515" i="6" s="1"/>
  <c r="P515" i="6"/>
  <c r="R399" i="6"/>
  <c r="U399" i="6" s="1"/>
  <c r="P399" i="6"/>
  <c r="R485" i="6"/>
  <c r="P485" i="6"/>
  <c r="R548" i="6"/>
  <c r="P548" i="6"/>
  <c r="Q430" i="6"/>
  <c r="P488" i="6"/>
  <c r="R161" i="6"/>
  <c r="U161" i="6" s="1"/>
  <c r="P161" i="6"/>
  <c r="R588" i="6"/>
  <c r="U588" i="6" s="1"/>
  <c r="P588" i="6"/>
  <c r="Q442" i="6"/>
  <c r="Q496" i="6"/>
  <c r="Q289" i="6"/>
  <c r="R364" i="6"/>
  <c r="U364" i="6" s="1"/>
  <c r="P364" i="6"/>
  <c r="R323" i="6"/>
  <c r="P323" i="6"/>
  <c r="R505" i="6"/>
  <c r="P505" i="6"/>
  <c r="R167" i="6"/>
  <c r="R41" i="6"/>
  <c r="U41" i="6" s="1"/>
  <c r="P41" i="6"/>
  <c r="R371" i="6"/>
  <c r="P371" i="6"/>
  <c r="R20" i="6"/>
  <c r="P20" i="6"/>
  <c r="Q292" i="6"/>
  <c r="Q31" i="6"/>
  <c r="Q531" i="6"/>
  <c r="Q145" i="6"/>
  <c r="Q459" i="6"/>
  <c r="Q42" i="6"/>
  <c r="Q420" i="6"/>
  <c r="R344" i="6"/>
  <c r="U344" i="6" s="1"/>
  <c r="P344" i="6"/>
  <c r="Q311" i="6"/>
  <c r="R257" i="6"/>
  <c r="P257" i="6"/>
  <c r="Q220" i="6"/>
  <c r="Q188" i="6"/>
  <c r="P159" i="6"/>
  <c r="R159" i="6"/>
  <c r="U159" i="6" s="1"/>
  <c r="Q162" i="6"/>
  <c r="Q485" i="6"/>
  <c r="Q223" i="6"/>
  <c r="Q411" i="6"/>
  <c r="Q112" i="6"/>
  <c r="Q171" i="6"/>
  <c r="Q127" i="6"/>
  <c r="Q483" i="6"/>
  <c r="Q73" i="6"/>
  <c r="R401" i="6"/>
  <c r="P401" i="6"/>
  <c r="R121" i="6"/>
  <c r="P121" i="6"/>
  <c r="R470" i="6"/>
  <c r="U470" i="6" s="1"/>
  <c r="P470" i="6"/>
  <c r="P253" i="6"/>
  <c r="R253" i="6"/>
  <c r="R536" i="6"/>
  <c r="P536" i="6"/>
  <c r="R316" i="6"/>
  <c r="R273" i="6"/>
  <c r="U273" i="6" s="1"/>
  <c r="P273" i="6"/>
  <c r="R559" i="6"/>
  <c r="U559" i="6" s="1"/>
  <c r="P559" i="6"/>
  <c r="P95" i="6"/>
  <c r="R95" i="6"/>
  <c r="R213" i="6"/>
  <c r="U213" i="6" s="1"/>
  <c r="P213" i="6"/>
  <c r="R394" i="6"/>
  <c r="U394" i="6" s="1"/>
  <c r="P394" i="6"/>
  <c r="R390" i="6"/>
  <c r="P390" i="6"/>
  <c r="R205" i="6"/>
  <c r="U205" i="6" s="1"/>
  <c r="P205" i="6"/>
  <c r="Q310" i="6"/>
  <c r="R15" i="6"/>
  <c r="U15" i="6" s="1"/>
  <c r="P15" i="6"/>
  <c r="Q225" i="6"/>
  <c r="R18" i="6"/>
  <c r="P18" i="6"/>
  <c r="R76" i="6"/>
  <c r="U76" i="6" s="1"/>
  <c r="P76" i="6"/>
  <c r="R284" i="6"/>
  <c r="U284" i="6" s="1"/>
  <c r="P284" i="6"/>
  <c r="R198" i="6"/>
  <c r="P198" i="6"/>
  <c r="R522" i="6"/>
  <c r="P522" i="6"/>
  <c r="R184" i="6"/>
  <c r="P184" i="6"/>
  <c r="R48" i="6"/>
  <c r="P48" i="6"/>
  <c r="R322" i="6"/>
  <c r="U322" i="6" s="1"/>
  <c r="R581" i="6"/>
  <c r="P581" i="6"/>
  <c r="R155" i="6"/>
  <c r="U155" i="6" s="1"/>
  <c r="P155" i="6"/>
  <c r="R248" i="6"/>
  <c r="U248" i="6" s="1"/>
  <c r="P248" i="6"/>
  <c r="R395" i="6"/>
  <c r="P395" i="6"/>
  <c r="R84" i="6"/>
  <c r="P84" i="6"/>
  <c r="R336" i="6"/>
  <c r="U336" i="6" s="1"/>
  <c r="P336" i="6"/>
  <c r="R376" i="6"/>
  <c r="P376" i="6"/>
  <c r="R102" i="6"/>
  <c r="U102" i="6" s="1"/>
  <c r="P102" i="6"/>
  <c r="R224" i="6"/>
  <c r="U224" i="6" s="1"/>
  <c r="P224" i="6"/>
  <c r="R356" i="6"/>
  <c r="P356" i="6"/>
  <c r="R227" i="6"/>
  <c r="P227" i="6"/>
  <c r="R352" i="6"/>
  <c r="U352" i="6" s="1"/>
  <c r="P352" i="6"/>
  <c r="R120" i="6"/>
  <c r="U120" i="6" s="1"/>
  <c r="P120" i="6"/>
  <c r="R475" i="6"/>
  <c r="P475" i="6"/>
  <c r="R263" i="6"/>
  <c r="P263" i="6"/>
  <c r="R118" i="6"/>
  <c r="U118" i="6" s="1"/>
  <c r="P118" i="6"/>
  <c r="R445" i="6"/>
  <c r="U445" i="6" s="1"/>
  <c r="P445" i="6"/>
  <c r="R600" i="6"/>
  <c r="U600" i="6" s="1"/>
  <c r="P600" i="6"/>
  <c r="R216" i="6"/>
  <c r="P216" i="6"/>
  <c r="R262" i="6"/>
  <c r="P262" i="6"/>
  <c r="R482" i="6"/>
  <c r="U482" i="6" s="1"/>
  <c r="P482" i="6"/>
  <c r="Q328" i="6"/>
  <c r="R477" i="6"/>
  <c r="U477" i="6" s="1"/>
  <c r="P477" i="6"/>
  <c r="R51" i="6"/>
  <c r="P51" i="6"/>
  <c r="R532" i="6"/>
  <c r="P532" i="6"/>
  <c r="R140" i="6"/>
  <c r="U140" i="6" s="1"/>
  <c r="P140" i="6"/>
  <c r="R519" i="6"/>
  <c r="P519" i="6"/>
  <c r="R165" i="6"/>
  <c r="U165" i="6" s="1"/>
  <c r="P165" i="6"/>
  <c r="R240" i="6"/>
  <c r="P240" i="6"/>
  <c r="R545" i="6"/>
  <c r="P545" i="6"/>
  <c r="R66" i="6"/>
  <c r="P66" i="6"/>
  <c r="R325" i="6"/>
  <c r="P325" i="6"/>
  <c r="R314" i="6"/>
  <c r="U314" i="6" s="1"/>
  <c r="P314" i="6"/>
  <c r="R100" i="6"/>
  <c r="U100" i="6" s="1"/>
  <c r="P100" i="6"/>
  <c r="R53" i="6"/>
  <c r="U53" i="6" s="1"/>
  <c r="P53" i="6"/>
  <c r="Q131" i="6"/>
  <c r="Q212" i="6"/>
  <c r="R586" i="6"/>
  <c r="U586" i="6" s="1"/>
  <c r="P586" i="6"/>
  <c r="R81" i="6"/>
  <c r="U81" i="6" s="1"/>
  <c r="P81" i="6"/>
  <c r="R499" i="6"/>
  <c r="U499" i="6" s="1"/>
  <c r="P499" i="6"/>
  <c r="R196" i="6"/>
  <c r="U196" i="6" s="1"/>
  <c r="P196" i="6"/>
  <c r="R370" i="6"/>
  <c r="U370" i="6" s="1"/>
  <c r="P370" i="6"/>
  <c r="R373" i="6"/>
  <c r="U373" i="6" s="1"/>
  <c r="P373" i="6"/>
  <c r="R362" i="6"/>
  <c r="P362" i="6"/>
  <c r="R54" i="6"/>
  <c r="P54" i="6"/>
  <c r="Q81" i="6"/>
  <c r="Q594" i="6"/>
  <c r="R71" i="6"/>
  <c r="U71" i="6" s="1"/>
  <c r="P71" i="6"/>
  <c r="R201" i="6"/>
  <c r="P201" i="6"/>
  <c r="R566" i="6"/>
  <c r="P566" i="6"/>
  <c r="R286" i="6"/>
  <c r="P286" i="6"/>
  <c r="R261" i="6"/>
  <c r="P261" i="6"/>
  <c r="R250" i="6"/>
  <c r="U250" i="6" s="1"/>
  <c r="P250" i="6"/>
  <c r="Q417" i="6"/>
  <c r="R97" i="6"/>
  <c r="U97" i="6" s="1"/>
  <c r="P97" i="6"/>
  <c r="Q374" i="6"/>
  <c r="R337" i="6"/>
  <c r="U337" i="6" s="1"/>
  <c r="P337" i="6"/>
  <c r="R339" i="6"/>
  <c r="P339" i="6"/>
  <c r="R346" i="6"/>
  <c r="U346" i="6" s="1"/>
  <c r="P346" i="6"/>
  <c r="P87" i="6"/>
  <c r="R87" i="6"/>
  <c r="R480" i="6"/>
  <c r="P480" i="6"/>
  <c r="R38" i="6"/>
  <c r="U38" i="6" s="1"/>
  <c r="P38" i="6"/>
  <c r="R501" i="6"/>
  <c r="P501" i="6"/>
  <c r="R75" i="6"/>
  <c r="P75" i="6"/>
  <c r="R596" i="6"/>
  <c r="P596" i="6"/>
  <c r="R521" i="6"/>
  <c r="U521" i="6" s="1"/>
  <c r="P521" i="6"/>
  <c r="P404" i="6"/>
  <c r="R404" i="6"/>
  <c r="R469" i="6"/>
  <c r="P469" i="6"/>
  <c r="R104" i="6"/>
  <c r="U104" i="6" s="1"/>
  <c r="P104" i="6"/>
  <c r="R517" i="6"/>
  <c r="U517" i="6" s="1"/>
  <c r="P517" i="6"/>
  <c r="R91" i="6"/>
  <c r="U91" i="6" s="1"/>
  <c r="P91" i="6"/>
  <c r="R278" i="6"/>
  <c r="P278" i="6"/>
  <c r="R22" i="6"/>
  <c r="U22" i="6" s="1"/>
  <c r="P22" i="6"/>
  <c r="R312" i="6"/>
  <c r="U312" i="6" s="1"/>
  <c r="P312" i="6"/>
  <c r="R568" i="6"/>
  <c r="P568" i="6"/>
  <c r="R387" i="6"/>
  <c r="P387" i="6"/>
  <c r="R96" i="6"/>
  <c r="U96" i="6" s="1"/>
  <c r="P96" i="6"/>
  <c r="R228" i="6"/>
  <c r="P228" i="6"/>
  <c r="Q233" i="6"/>
  <c r="R254" i="6"/>
  <c r="U254" i="6" s="1"/>
  <c r="P254" i="6"/>
  <c r="R115" i="6"/>
  <c r="P115" i="6"/>
  <c r="R560" i="6"/>
  <c r="U560" i="6" s="1"/>
  <c r="R591" i="6"/>
  <c r="P591" i="6"/>
  <c r="R468" i="6"/>
  <c r="P468" i="6"/>
  <c r="R86" i="6"/>
  <c r="U86" i="6" s="1"/>
  <c r="P86" i="6"/>
  <c r="R491" i="6"/>
  <c r="U491" i="6" s="1"/>
  <c r="P491" i="6"/>
  <c r="R530" i="6"/>
  <c r="U530" i="6" s="1"/>
  <c r="P530" i="6"/>
  <c r="R10" i="6"/>
  <c r="P10" i="6"/>
  <c r="R158" i="6"/>
  <c r="P158" i="6"/>
  <c r="R69" i="6"/>
  <c r="U69" i="6" s="1"/>
  <c r="P69" i="6"/>
  <c r="R62" i="6"/>
  <c r="P62" i="6"/>
  <c r="R504" i="6"/>
  <c r="P504" i="6"/>
  <c r="R146" i="6"/>
  <c r="U146" i="6" s="1"/>
  <c r="P146" i="6"/>
  <c r="R450" i="6"/>
  <c r="P450" i="6"/>
  <c r="R457" i="6"/>
  <c r="U457" i="6" s="1"/>
  <c r="P457" i="6"/>
  <c r="R57" i="6"/>
  <c r="P57" i="6"/>
  <c r="R467" i="6"/>
  <c r="U467" i="6" s="1"/>
  <c r="P467" i="6"/>
  <c r="Q558" i="6"/>
  <c r="R290" i="6"/>
  <c r="P290" i="6"/>
  <c r="R441" i="6"/>
  <c r="P441" i="6"/>
  <c r="R431" i="6"/>
  <c r="U431" i="6" s="1"/>
  <c r="P431" i="6"/>
  <c r="Q21" i="6"/>
  <c r="Q349" i="6"/>
  <c r="R326" i="6"/>
  <c r="U326" i="6" s="1"/>
  <c r="P326" i="6"/>
  <c r="R539" i="6"/>
  <c r="U539" i="6" s="1"/>
  <c r="P539" i="6"/>
  <c r="R575" i="6"/>
  <c r="P575" i="6"/>
  <c r="R83" i="6"/>
  <c r="U83" i="6" s="1"/>
  <c r="P83" i="6"/>
  <c r="R230" i="6"/>
  <c r="P230" i="6"/>
  <c r="R208" i="6"/>
  <c r="U208" i="6" s="1"/>
  <c r="P208" i="6"/>
  <c r="R170" i="6"/>
  <c r="U170" i="6" s="1"/>
  <c r="P170" i="6"/>
  <c r="R508" i="6"/>
  <c r="U508" i="6" s="1"/>
  <c r="P508" i="6"/>
  <c r="R246" i="6"/>
  <c r="P246" i="6"/>
  <c r="R365" i="6"/>
  <c r="P365" i="6"/>
  <c r="R546" i="6"/>
  <c r="U546" i="6" s="1"/>
  <c r="P546" i="6"/>
  <c r="R88" i="6"/>
  <c r="U88" i="6" s="1"/>
  <c r="P88" i="6"/>
  <c r="R542" i="6"/>
  <c r="P542" i="6"/>
  <c r="R101" i="6"/>
  <c r="U101" i="6" s="1"/>
  <c r="P101" i="6"/>
  <c r="R524" i="6"/>
  <c r="P524" i="6"/>
  <c r="R202" i="6"/>
  <c r="U202" i="6" s="1"/>
  <c r="P202" i="6"/>
  <c r="Q492" i="6"/>
  <c r="Q224" i="6"/>
  <c r="Q464" i="6"/>
  <c r="Q227" i="6"/>
  <c r="Q352" i="6"/>
  <c r="R476" i="6"/>
  <c r="R308" i="6"/>
  <c r="R229" i="6"/>
  <c r="P229" i="6"/>
  <c r="R410" i="6"/>
  <c r="P410" i="6"/>
  <c r="Q446" i="6"/>
  <c r="Q504" i="6"/>
  <c r="Q330" i="6"/>
  <c r="Q477" i="6"/>
  <c r="Q532" i="6"/>
  <c r="Q356" i="6"/>
  <c r="R114" i="6"/>
  <c r="U114" i="6" s="1"/>
  <c r="P114" i="6"/>
  <c r="P598" i="6"/>
  <c r="R598" i="6"/>
  <c r="R28" i="6"/>
  <c r="P28" i="6"/>
  <c r="Q301" i="6"/>
  <c r="Q340" i="6"/>
  <c r="Q466" i="6"/>
  <c r="Q450" i="6"/>
  <c r="Q367" i="6"/>
  <c r="Q412" i="6"/>
  <c r="Q569" i="6"/>
  <c r="Q400" i="6"/>
  <c r="R313" i="6"/>
  <c r="P313" i="6"/>
  <c r="R368" i="6"/>
  <c r="R357" i="6"/>
  <c r="U357" i="6" s="1"/>
  <c r="P357" i="6"/>
  <c r="R123" i="6"/>
  <c r="P123" i="6"/>
  <c r="R150" i="6"/>
  <c r="P150" i="6"/>
  <c r="Q545" i="6"/>
  <c r="Q182" i="6"/>
  <c r="Q273" i="6"/>
  <c r="Q379" i="6"/>
  <c r="Q559" i="6"/>
  <c r="Q95" i="6"/>
  <c r="Q144" i="6"/>
  <c r="Q307" i="6"/>
  <c r="Q254" i="6"/>
  <c r="Q249" i="6"/>
  <c r="Q513" i="6"/>
  <c r="Q539" i="6"/>
  <c r="Q595" i="6"/>
  <c r="Q583" i="6"/>
  <c r="R438" i="6"/>
  <c r="P438" i="6"/>
  <c r="Q454" i="6"/>
  <c r="Q267" i="6"/>
  <c r="R429" i="6"/>
  <c r="U429" i="6" s="1"/>
  <c r="P429" i="6"/>
  <c r="R199" i="6"/>
  <c r="P199" i="6"/>
  <c r="P23" i="6"/>
  <c r="R23" i="6"/>
  <c r="R152" i="6"/>
  <c r="P152" i="6"/>
  <c r="R293" i="6"/>
  <c r="P293" i="6"/>
  <c r="R59" i="6"/>
  <c r="U59" i="6" s="1"/>
  <c r="P59" i="6"/>
  <c r="P252" i="6"/>
  <c r="R305" i="6"/>
  <c r="P305" i="6"/>
  <c r="Q394" i="6"/>
  <c r="Q541" i="6"/>
  <c r="Q115" i="6"/>
  <c r="R397" i="6"/>
  <c r="U397" i="6" s="1"/>
  <c r="P397" i="6"/>
  <c r="R386" i="6"/>
  <c r="P386" i="6"/>
  <c r="R207" i="6"/>
  <c r="U207" i="6" s="1"/>
  <c r="P207" i="6"/>
  <c r="Q403" i="6"/>
  <c r="Q71" i="6"/>
  <c r="Q478" i="6"/>
  <c r="Q587" i="6"/>
  <c r="Q170" i="6"/>
  <c r="Q30" i="6"/>
  <c r="R285" i="6"/>
  <c r="U285" i="6" s="1"/>
  <c r="P285" i="6"/>
  <c r="R327" i="6"/>
  <c r="P327" i="6"/>
  <c r="P151" i="6"/>
  <c r="R151" i="6"/>
  <c r="Q86" i="6"/>
  <c r="Q433" i="6"/>
  <c r="Q565" i="6"/>
  <c r="Q475" i="6"/>
  <c r="Q58" i="6"/>
  <c r="R561" i="6"/>
  <c r="U561" i="6" s="1"/>
  <c r="P561" i="6"/>
  <c r="R177" i="6"/>
  <c r="P177" i="6"/>
  <c r="Q381" i="6"/>
  <c r="Q562" i="6"/>
  <c r="Q100" i="6"/>
  <c r="R105" i="6"/>
  <c r="U105" i="6" s="1"/>
  <c r="P105" i="6"/>
  <c r="R465" i="6"/>
  <c r="P465" i="6"/>
  <c r="R451" i="6"/>
  <c r="U451" i="6" s="1"/>
  <c r="P451" i="6"/>
  <c r="R302" i="6"/>
  <c r="U302" i="6" s="1"/>
  <c r="P302" i="6"/>
  <c r="R126" i="6"/>
  <c r="U126" i="6" s="1"/>
  <c r="P126" i="6"/>
  <c r="Q135" i="6"/>
  <c r="Q571" i="6"/>
  <c r="Q12" i="6"/>
  <c r="Q275" i="6"/>
  <c r="Q495" i="6"/>
  <c r="Q117" i="6"/>
  <c r="Q216" i="6"/>
  <c r="Q460" i="6"/>
  <c r="Q449" i="6"/>
  <c r="Q54" i="6"/>
  <c r="Q489" i="6"/>
  <c r="Q133" i="6"/>
  <c r="Q584" i="6"/>
  <c r="Q234" i="6"/>
  <c r="Q323" i="6"/>
  <c r="Q397" i="6"/>
  <c r="Q429" i="6"/>
  <c r="Q3" i="6"/>
  <c r="Q111" i="6"/>
  <c r="R24" i="6"/>
  <c r="U24" i="6" s="1"/>
  <c r="P24" i="6"/>
  <c r="C4" i="6"/>
  <c r="W2" i="6"/>
  <c r="T119" i="3"/>
  <c r="T77" i="3"/>
  <c r="T61" i="3"/>
  <c r="T239" i="3"/>
  <c r="T38" i="3"/>
  <c r="T4" i="3"/>
  <c r="T126" i="3"/>
  <c r="T445" i="3"/>
  <c r="T428" i="3"/>
  <c r="T367" i="3"/>
  <c r="T82" i="3"/>
  <c r="T139" i="3"/>
  <c r="T443" i="3"/>
  <c r="T47" i="3"/>
  <c r="T190" i="3"/>
  <c r="V190" i="3"/>
  <c r="T251" i="3"/>
  <c r="V251" i="3"/>
  <c r="T115" i="3"/>
  <c r="V115" i="3"/>
  <c r="T587" i="3"/>
  <c r="T589" i="3"/>
  <c r="T116" i="3"/>
  <c r="T432" i="3"/>
  <c r="T96" i="3"/>
  <c r="T279" i="3"/>
  <c r="T144" i="3"/>
  <c r="T464" i="3"/>
  <c r="T327" i="3"/>
  <c r="T492" i="3"/>
  <c r="T256" i="3"/>
  <c r="T237" i="3"/>
  <c r="T247" i="3"/>
  <c r="T75" i="3"/>
  <c r="T602" i="3"/>
  <c r="T532" i="3"/>
  <c r="T565" i="3"/>
  <c r="T206" i="3"/>
  <c r="T526" i="3"/>
  <c r="T293" i="3"/>
  <c r="T473" i="3"/>
  <c r="T306" i="3"/>
  <c r="T491" i="3"/>
  <c r="T512" i="3"/>
  <c r="T499" i="3"/>
  <c r="T568" i="3"/>
  <c r="T26" i="3"/>
  <c r="T216" i="3"/>
  <c r="T280" i="3"/>
  <c r="T534" i="3"/>
  <c r="T32" i="3"/>
  <c r="T290" i="3"/>
  <c r="T461" i="3"/>
  <c r="T9" i="3"/>
  <c r="T501" i="3"/>
  <c r="T425" i="3"/>
  <c r="T5" i="3"/>
  <c r="T135" i="3"/>
  <c r="T375" i="3"/>
  <c r="T465" i="3"/>
  <c r="T326" i="3"/>
  <c r="T416" i="3"/>
  <c r="T164" i="3"/>
  <c r="T6" i="3"/>
  <c r="T227" i="3"/>
  <c r="T403" i="3"/>
  <c r="T550" i="3"/>
  <c r="T307" i="3"/>
  <c r="T352" i="3"/>
  <c r="T454" i="3"/>
  <c r="T536" i="3"/>
  <c r="T112" i="3"/>
  <c r="T480" i="3"/>
  <c r="T558" i="3"/>
  <c r="T69" i="3"/>
  <c r="T444" i="3"/>
  <c r="T345" i="3"/>
  <c r="T334" i="3"/>
  <c r="T103" i="3"/>
  <c r="T597" i="3"/>
  <c r="T12" i="3"/>
  <c r="T44" i="3"/>
  <c r="T93" i="3"/>
  <c r="T107" i="3"/>
  <c r="T523" i="3"/>
  <c r="T259" i="3"/>
  <c r="T34" i="3"/>
  <c r="T11" i="3"/>
  <c r="T25" i="3"/>
  <c r="T282" i="3"/>
  <c r="T438" i="3"/>
  <c r="T600" i="3"/>
  <c r="T442" i="3"/>
  <c r="T511" i="3"/>
  <c r="T487" i="3"/>
  <c r="T478" i="3"/>
  <c r="T440" i="3"/>
  <c r="T539" i="3"/>
  <c r="T374" i="3"/>
  <c r="T261" i="3"/>
  <c r="T182" i="3"/>
  <c r="T409" i="3"/>
  <c r="T193" i="3"/>
  <c r="T287" i="3"/>
  <c r="T601" i="3"/>
  <c r="T551" i="3"/>
  <c r="T413" i="3"/>
  <c r="T148" i="3"/>
  <c r="T245" i="3"/>
  <c r="T572" i="3"/>
  <c r="T439" i="3"/>
  <c r="T529" i="3"/>
  <c r="T594" i="3"/>
  <c r="T422" i="3"/>
  <c r="T382" i="3"/>
  <c r="T561" i="3"/>
  <c r="T264" i="3"/>
  <c r="T467" i="3"/>
  <c r="T395" i="3"/>
  <c r="T533" i="3"/>
  <c r="T598" i="3"/>
  <c r="T513" i="3"/>
  <c r="T265" i="3"/>
  <c r="T468" i="3"/>
  <c r="T120" i="3"/>
  <c r="T391" i="3"/>
  <c r="T22" i="3"/>
  <c r="T178" i="3"/>
  <c r="T63" i="3"/>
  <c r="T278" i="3"/>
  <c r="T563" i="3"/>
  <c r="T27" i="3"/>
  <c r="T173" i="3"/>
  <c r="T274" i="3"/>
  <c r="T557" i="3"/>
  <c r="T3" i="3"/>
  <c r="T59" i="3"/>
  <c r="T8" i="3"/>
  <c r="T215" i="3"/>
  <c r="T153" i="3"/>
  <c r="T505" i="3"/>
  <c r="T335" i="3"/>
  <c r="T244" i="3"/>
  <c r="T302" i="3"/>
  <c r="T86" i="3"/>
  <c r="T304" i="3"/>
  <c r="T567" i="3"/>
  <c r="T204" i="3"/>
  <c r="T482" i="3"/>
  <c r="T400" i="3"/>
  <c r="T147" i="3"/>
  <c r="T338" i="3"/>
  <c r="T35" i="3"/>
  <c r="T124" i="3"/>
  <c r="T373" i="3"/>
  <c r="T318" i="3"/>
  <c r="T149" i="3"/>
  <c r="T220" i="3"/>
  <c r="T389" i="3"/>
  <c r="T441" i="3"/>
  <c r="T309" i="3"/>
  <c r="T553" i="3"/>
  <c r="T13" i="3"/>
  <c r="T255" i="3"/>
  <c r="T484" i="3"/>
  <c r="T201" i="3"/>
  <c r="T593" i="3"/>
  <c r="T137" i="3"/>
  <c r="T187" i="3"/>
  <c r="T141" i="3"/>
  <c r="T508" i="3"/>
  <c r="T300" i="3"/>
  <c r="T456" i="3"/>
  <c r="T294" i="3"/>
  <c r="T410" i="3"/>
  <c r="T390" i="3"/>
  <c r="T21" i="3"/>
  <c r="T214" i="3"/>
  <c r="T273" i="3"/>
  <c r="T358" i="3"/>
  <c r="T292" i="3"/>
  <c r="T305" i="3"/>
  <c r="T104" i="3"/>
  <c r="T449" i="3"/>
  <c r="T29" i="3"/>
  <c r="T277" i="3"/>
  <c r="T515" i="3"/>
  <c r="T351" i="3"/>
  <c r="T100" i="3"/>
  <c r="T183" i="3"/>
  <c r="T483" i="3"/>
  <c r="T366" i="3"/>
  <c r="T402" i="3"/>
  <c r="T378" i="3"/>
  <c r="T350" i="3"/>
  <c r="T556" i="3"/>
  <c r="T108" i="3"/>
  <c r="T160" i="3"/>
  <c r="T509" i="3"/>
  <c r="T497" i="3"/>
  <c r="T411" i="3"/>
  <c r="T333" i="3"/>
  <c r="T48" i="3"/>
  <c r="T253" i="3"/>
  <c r="T394" i="3"/>
  <c r="T476" i="3"/>
  <c r="T249" i="3"/>
  <c r="T502" i="3"/>
  <c r="T78" i="3"/>
  <c r="T580" i="3"/>
  <c r="T376" i="3"/>
  <c r="T474" i="3"/>
  <c r="T311" i="3"/>
  <c r="T466" i="3"/>
  <c r="T325" i="3"/>
  <c r="T248" i="3"/>
  <c r="T128" i="3"/>
  <c r="T177" i="3"/>
  <c r="T52" i="3"/>
  <c r="T133" i="3"/>
  <c r="T123" i="3"/>
  <c r="T397" i="3"/>
  <c r="T431" i="3"/>
  <c r="T54" i="3"/>
  <c r="T346" i="3"/>
  <c r="T407" i="3"/>
  <c r="T332" i="3"/>
  <c r="T297" i="3"/>
  <c r="T423" i="3"/>
  <c r="T217" i="3"/>
  <c r="T196" i="3"/>
  <c r="T436" i="3"/>
  <c r="T337" i="3"/>
  <c r="T284" i="3"/>
  <c r="T172" i="3"/>
  <c r="T235" i="3"/>
  <c r="T88" i="3"/>
  <c r="T60" i="3"/>
  <c r="T200" i="3"/>
  <c r="T142" i="3"/>
  <c r="T266" i="3"/>
  <c r="T524" i="3"/>
  <c r="T455" i="3"/>
  <c r="T354" i="3"/>
  <c r="T475" i="3"/>
  <c r="T585" i="3"/>
  <c r="T562" i="3"/>
  <c r="T457" i="3"/>
  <c r="T145" i="3"/>
  <c r="T298" i="3"/>
  <c r="T159" i="3"/>
  <c r="T231" i="3"/>
  <c r="T170" i="3"/>
  <c r="T404" i="3"/>
  <c r="T246" i="3"/>
  <c r="T66" i="3"/>
  <c r="T541" i="3"/>
  <c r="T470" i="3"/>
  <c r="T496" i="3"/>
  <c r="T7" i="3"/>
  <c r="T71" i="3"/>
  <c r="T471" i="3"/>
  <c r="T437" i="3"/>
  <c r="T344" i="3"/>
  <c r="T260" i="3"/>
  <c r="T17" i="3"/>
  <c r="T393" i="3"/>
  <c r="T542" i="3"/>
  <c r="T113" i="3"/>
  <c r="T40" i="3"/>
  <c r="T74" i="3"/>
  <c r="T58" i="3"/>
  <c r="T433" i="3"/>
  <c r="T125" i="3"/>
  <c r="T421" i="3"/>
  <c r="T495" i="3"/>
  <c r="T581" i="3"/>
  <c r="T341" i="3"/>
  <c r="T530" i="3"/>
  <c r="T202" i="3"/>
  <c r="T340" i="3"/>
  <c r="T143" i="3"/>
  <c r="T519" i="3"/>
  <c r="T356" i="3"/>
  <c r="T191" i="3"/>
  <c r="T408" i="3"/>
  <c r="T162" i="3"/>
  <c r="T106" i="3"/>
  <c r="T570" i="3"/>
  <c r="T314" i="3"/>
  <c r="T303" i="3"/>
  <c r="T161" i="3"/>
  <c r="T435" i="3"/>
  <c r="T53" i="3"/>
  <c r="T371" i="3"/>
  <c r="T516" i="3"/>
  <c r="T118" i="3"/>
  <c r="T188" i="3"/>
  <c r="T489" i="3"/>
  <c r="T288" i="3"/>
  <c r="T91" i="3"/>
  <c r="T258" i="3"/>
  <c r="T342" i="3"/>
  <c r="T203" i="3"/>
  <c r="T268" i="3"/>
  <c r="T19" i="3"/>
  <c r="T451" i="3"/>
  <c r="T518" i="3"/>
  <c r="T320" i="3"/>
  <c r="T324" i="3"/>
  <c r="T92" i="3"/>
  <c r="T520" i="3"/>
  <c r="T415" i="3"/>
  <c r="T377" i="3"/>
  <c r="T181" i="3"/>
  <c r="T291" i="3"/>
  <c r="T154" i="3"/>
  <c r="T481" i="3"/>
  <c r="T590" i="3"/>
  <c r="T73" i="3"/>
  <c r="T127" i="3"/>
  <c r="T99" i="3"/>
  <c r="T16" i="3"/>
  <c r="T136" i="3"/>
  <c r="T446" i="3"/>
  <c r="T486" i="3"/>
  <c r="T205" i="3"/>
  <c r="T140" i="3"/>
  <c r="T189" i="3"/>
  <c r="T548" i="3"/>
  <c r="T540" i="3"/>
  <c r="T569" i="3"/>
  <c r="T219" i="3"/>
  <c r="T180" i="3"/>
  <c r="T194" i="3"/>
  <c r="T417" i="3"/>
  <c r="T169" i="3"/>
  <c r="T506" i="3"/>
  <c r="T538" i="3"/>
  <c r="T283" i="3"/>
  <c r="T229" i="3"/>
  <c r="T175" i="3"/>
  <c r="T460" i="3"/>
  <c r="T357" i="3"/>
  <c r="T285" i="3"/>
  <c r="T469" i="3"/>
  <c r="T388" i="3"/>
  <c r="T209" i="3"/>
  <c r="T114" i="3"/>
  <c r="T186" i="3"/>
  <c r="T272" i="3"/>
  <c r="T33" i="3"/>
  <c r="T385" i="3"/>
  <c r="T353" i="3"/>
  <c r="T514" i="3"/>
  <c r="T286" i="3"/>
  <c r="T401" i="3"/>
  <c r="T369" i="3"/>
  <c r="T24" i="3"/>
  <c r="T381" i="3"/>
  <c r="T121" i="3"/>
  <c r="T365" i="3"/>
  <c r="T339" i="3"/>
  <c r="T406" i="3"/>
  <c r="T49" i="3"/>
  <c r="T129" i="3"/>
  <c r="T81" i="3"/>
  <c r="T67" i="3"/>
  <c r="T226" i="3"/>
  <c r="T355" i="3"/>
  <c r="T263" i="3"/>
  <c r="T150" i="3"/>
  <c r="T380" i="3"/>
  <c r="T537" i="3"/>
  <c r="T156" i="3"/>
  <c r="T57" i="3"/>
  <c r="T386" i="3"/>
  <c r="T45" i="3"/>
  <c r="T10" i="3"/>
  <c r="T546" i="3"/>
  <c r="T241" i="3"/>
  <c r="T267" i="3"/>
  <c r="T359" i="3"/>
  <c r="T238" i="3"/>
  <c r="T84" i="3"/>
  <c r="T218" i="3"/>
  <c r="T289" i="3"/>
  <c r="T588" i="3"/>
  <c r="T225" i="3"/>
  <c r="T36" i="3"/>
  <c r="T122" i="3"/>
  <c r="T577" i="3"/>
  <c r="T547" i="3"/>
  <c r="T414" i="3"/>
  <c r="T109" i="3"/>
  <c r="T599" i="3"/>
  <c r="T430" i="3"/>
  <c r="T308" i="3"/>
  <c r="T262" i="3"/>
  <c r="T571" i="3"/>
  <c r="T83" i="3"/>
  <c r="T213" i="3"/>
  <c r="T197" i="3"/>
  <c r="T328" i="3"/>
  <c r="T199" i="3"/>
  <c r="T313" i="3"/>
  <c r="T240" i="3"/>
  <c r="T14" i="3"/>
  <c r="T472" i="3"/>
  <c r="T383" i="3"/>
  <c r="T68" i="3"/>
  <c r="T310" i="3"/>
  <c r="T23" i="3"/>
  <c r="T171" i="3"/>
  <c r="T453" i="3"/>
  <c r="T299" i="3"/>
  <c r="T167" i="3"/>
  <c r="T168" i="3"/>
  <c r="T500" i="3"/>
  <c r="T184" i="3"/>
  <c r="T208" i="3"/>
  <c r="T321" i="3"/>
  <c r="T392" i="3"/>
  <c r="T296" i="3"/>
  <c r="T419" i="3"/>
  <c r="T361" i="3"/>
  <c r="T329" i="3"/>
  <c r="T575" i="3"/>
  <c r="T132" i="3"/>
  <c r="T450" i="3"/>
  <c r="T234" i="3"/>
  <c r="T224" i="3"/>
  <c r="T348" i="3"/>
  <c r="T596" i="3"/>
  <c r="T396" i="3"/>
  <c r="T111" i="3"/>
  <c r="T211" i="3"/>
  <c r="T405" i="3"/>
  <c r="T379" i="3"/>
  <c r="T28" i="3"/>
  <c r="T257" i="3"/>
  <c r="T398" i="3"/>
  <c r="T131" i="3"/>
  <c r="T76" i="3"/>
  <c r="T494" i="3"/>
  <c r="T322" i="3"/>
  <c r="T31" i="3"/>
  <c r="T281" i="3"/>
  <c r="T521" i="3"/>
  <c r="T364" i="3"/>
  <c r="T89" i="3"/>
  <c r="T349" i="3"/>
  <c r="T566" i="3"/>
  <c r="T236" i="3"/>
  <c r="T130" i="3"/>
  <c r="T531" i="3"/>
  <c r="T591" i="3"/>
  <c r="T276" i="3"/>
  <c r="T504" i="3"/>
  <c r="T98" i="3"/>
  <c r="T316" i="3"/>
  <c r="T488" i="3"/>
  <c r="T65" i="3"/>
  <c r="T110" i="3"/>
  <c r="T507" i="3"/>
  <c r="T330" i="3"/>
  <c r="T582" i="3"/>
  <c r="T527" i="3"/>
  <c r="T498" i="3"/>
  <c r="T447" i="3"/>
  <c r="T87" i="3"/>
  <c r="T146" i="3"/>
  <c r="T157" i="3"/>
  <c r="T427" i="3"/>
  <c r="T64" i="3"/>
  <c r="T174" i="3"/>
  <c r="T15" i="3"/>
  <c r="T343" i="3"/>
  <c r="T42" i="3"/>
  <c r="T95" i="3"/>
  <c r="T105" i="3"/>
  <c r="T138" i="3"/>
  <c r="T51" i="3"/>
  <c r="T20" i="3"/>
  <c r="T372" i="3"/>
  <c r="T275" i="3"/>
  <c r="T517" i="3"/>
  <c r="T46" i="3"/>
  <c r="T163" i="3"/>
  <c r="T80" i="3"/>
  <c r="T79" i="3"/>
  <c r="T176" i="3"/>
  <c r="T510" i="3"/>
  <c r="T165" i="3"/>
  <c r="T242" i="3"/>
  <c r="T535" i="3"/>
  <c r="T463" i="3"/>
  <c r="T370" i="3"/>
  <c r="T41" i="3"/>
  <c r="T223" i="3"/>
  <c r="T250" i="3"/>
  <c r="T90" i="3"/>
  <c r="T101" i="3"/>
  <c r="T72" i="3"/>
  <c r="T152" i="3"/>
  <c r="T97" i="3"/>
  <c r="T210" i="3"/>
  <c r="T549" i="3"/>
  <c r="T595" i="3"/>
  <c r="T323" i="3"/>
  <c r="T459" i="3"/>
  <c r="T543" i="3"/>
  <c r="T295" i="3"/>
  <c r="T578" i="3"/>
  <c r="T155" i="3"/>
  <c r="T583" i="3"/>
  <c r="T43" i="3"/>
  <c r="T319" i="3"/>
  <c r="T434" i="3"/>
  <c r="T151" i="3"/>
  <c r="T185" i="3"/>
  <c r="T232" i="3"/>
  <c r="T207" i="3"/>
  <c r="T555" i="3"/>
  <c r="T39" i="3"/>
  <c r="T347" i="3"/>
  <c r="T477" i="3"/>
  <c r="T56" i="3"/>
  <c r="T192" i="3"/>
  <c r="T212" i="3"/>
  <c r="T479" i="3"/>
  <c r="T228" i="3"/>
  <c r="T117" i="3"/>
  <c r="T462" i="3"/>
  <c r="T233" i="3"/>
  <c r="T545" i="3"/>
  <c r="T418" i="3"/>
  <c r="T503" i="3"/>
  <c r="T420" i="3"/>
  <c r="T574" i="3"/>
  <c r="U153" i="6" l="1"/>
  <c r="C3" i="6"/>
  <c r="R55" i="6"/>
  <c r="U55" i="6" s="1"/>
  <c r="R252" i="6"/>
  <c r="U252" i="6" s="1"/>
  <c r="P599" i="6"/>
  <c r="P238" i="6"/>
  <c r="P380" i="6"/>
  <c r="R189" i="6"/>
  <c r="U189" i="6" s="1"/>
  <c r="P154" i="6"/>
  <c r="P141" i="6"/>
  <c r="R488" i="6"/>
  <c r="T488" i="6" s="1"/>
  <c r="R160" i="6"/>
  <c r="U160" i="6" s="1"/>
  <c r="R366" i="6"/>
  <c r="U366" i="6" s="1"/>
  <c r="P29" i="6"/>
  <c r="P456" i="6"/>
  <c r="P65" i="6"/>
  <c r="Q189" i="6"/>
  <c r="Q300" i="6"/>
  <c r="Q570" i="6"/>
  <c r="Q238" i="6"/>
  <c r="Q317" i="6"/>
  <c r="Q476" i="6"/>
  <c r="Q380" i="6"/>
  <c r="Q276" i="6"/>
  <c r="Q68" i="6"/>
  <c r="Q484" i="6"/>
  <c r="Q452" i="6"/>
  <c r="Q405" i="6"/>
  <c r="Q322" i="6"/>
  <c r="Q19" i="6"/>
  <c r="Q486" i="6"/>
  <c r="Q294" i="6"/>
  <c r="Q389" i="6"/>
  <c r="Q297" i="6"/>
  <c r="Q214" i="6"/>
  <c r="Q456" i="6"/>
  <c r="Q36" i="6"/>
  <c r="Q413" i="6"/>
  <c r="Q471" i="6"/>
  <c r="Q599" i="6"/>
  <c r="Q141" i="6"/>
  <c r="Q99" i="6"/>
  <c r="Q265" i="6"/>
  <c r="Q316" i="6"/>
  <c r="Q443" i="6"/>
  <c r="Q368" i="6"/>
  <c r="Q243" i="6"/>
  <c r="Q157" i="6"/>
  <c r="Q560" i="6"/>
  <c r="Q181" i="6"/>
  <c r="Q61" i="6"/>
  <c r="Q393" i="6"/>
  <c r="Q309" i="6"/>
  <c r="Q222" i="6"/>
  <c r="Q55" i="6"/>
  <c r="Q65" i="6"/>
  <c r="Q416" i="6"/>
  <c r="Q34" i="6"/>
  <c r="Q154" i="6"/>
  <c r="Q543" i="6"/>
  <c r="P297" i="6"/>
  <c r="P214" i="6"/>
  <c r="P405" i="6"/>
  <c r="R486" i="6"/>
  <c r="U486" i="6" s="1"/>
  <c r="P34" i="6"/>
  <c r="P389" i="6"/>
  <c r="P484" i="6"/>
  <c r="P416" i="6"/>
  <c r="P452" i="6"/>
  <c r="P443" i="6"/>
  <c r="P222" i="6"/>
  <c r="P265" i="6"/>
  <c r="P393" i="6"/>
  <c r="P276" i="6"/>
  <c r="P309" i="6"/>
  <c r="P19" i="6"/>
  <c r="P471" i="6"/>
  <c r="P543" i="6"/>
  <c r="T153" i="6"/>
  <c r="P300" i="6"/>
  <c r="P36" i="6"/>
  <c r="P68" i="6"/>
  <c r="P243" i="6"/>
  <c r="R61" i="6"/>
  <c r="U61" i="6" s="1"/>
  <c r="R157" i="6"/>
  <c r="T157" i="6" s="1"/>
  <c r="P181" i="6"/>
  <c r="P317" i="6"/>
  <c r="P413" i="6"/>
  <c r="P99" i="6"/>
  <c r="P294" i="6"/>
  <c r="P570" i="6"/>
  <c r="W537" i="6"/>
  <c r="Z537" i="6" s="1"/>
  <c r="AA537" i="6" s="1"/>
  <c r="T537" i="6"/>
  <c r="T465" i="6"/>
  <c r="W465" i="6"/>
  <c r="Z465" i="6" s="1"/>
  <c r="AA465" i="6" s="1"/>
  <c r="T177" i="6"/>
  <c r="W177" i="6"/>
  <c r="Z177" i="6" s="1"/>
  <c r="AA177" i="6" s="1"/>
  <c r="T297" i="6"/>
  <c r="W297" i="6"/>
  <c r="Z297" i="6" s="1"/>
  <c r="AA297" i="6" s="1"/>
  <c r="T542" i="6"/>
  <c r="W542" i="6"/>
  <c r="Z542" i="6" s="1"/>
  <c r="AA542" i="6" s="1"/>
  <c r="T365" i="6"/>
  <c r="W365" i="6"/>
  <c r="Z365" i="6" s="1"/>
  <c r="AA365" i="6" s="1"/>
  <c r="T181" i="6"/>
  <c r="W181" i="6"/>
  <c r="Z181" i="6" s="1"/>
  <c r="AA181" i="6" s="1"/>
  <c r="T158" i="6"/>
  <c r="W158" i="6"/>
  <c r="Z158" i="6" s="1"/>
  <c r="AA158" i="6" s="1"/>
  <c r="T278" i="6"/>
  <c r="W278" i="6"/>
  <c r="Z278" i="6" s="1"/>
  <c r="AA278" i="6" s="1"/>
  <c r="T339" i="6"/>
  <c r="W339" i="6"/>
  <c r="Z339" i="6" s="1"/>
  <c r="AA339" i="6" s="1"/>
  <c r="T286" i="6"/>
  <c r="W286" i="6"/>
  <c r="Z286" i="6" s="1"/>
  <c r="AA286" i="6" s="1"/>
  <c r="T201" i="6"/>
  <c r="W201" i="6"/>
  <c r="Z201" i="6" s="1"/>
  <c r="AA201" i="6" s="1"/>
  <c r="T68" i="6"/>
  <c r="W68" i="6"/>
  <c r="Z68" i="6" s="1"/>
  <c r="AA68" i="6" s="1"/>
  <c r="T393" i="6"/>
  <c r="W393" i="6"/>
  <c r="Z393" i="6" s="1"/>
  <c r="AA393" i="6" s="1"/>
  <c r="T532" i="6"/>
  <c r="W532" i="6"/>
  <c r="Z532" i="6" s="1"/>
  <c r="AA532" i="6" s="1"/>
  <c r="T243" i="6"/>
  <c r="W243" i="6"/>
  <c r="Z243" i="6" s="1"/>
  <c r="AA243" i="6" s="1"/>
  <c r="T376" i="6"/>
  <c r="W376" i="6"/>
  <c r="Z376" i="6" s="1"/>
  <c r="AA376" i="6" s="1"/>
  <c r="T416" i="6"/>
  <c r="W416" i="6"/>
  <c r="Z416" i="6" s="1"/>
  <c r="AA416" i="6" s="1"/>
  <c r="T18" i="6"/>
  <c r="W18" i="6"/>
  <c r="Z18" i="6" s="1"/>
  <c r="AA18" i="6" s="1"/>
  <c r="U18" i="6"/>
  <c r="T95" i="6"/>
  <c r="W95" i="6"/>
  <c r="Z95" i="6" s="1"/>
  <c r="AA95" i="6" s="1"/>
  <c r="T316" i="6"/>
  <c r="W316" i="6"/>
  <c r="Z316" i="6" s="1"/>
  <c r="AA316" i="6" s="1"/>
  <c r="T253" i="6"/>
  <c r="W253" i="6"/>
  <c r="Z253" i="6" s="1"/>
  <c r="AA253" i="6" s="1"/>
  <c r="T485" i="6"/>
  <c r="W485" i="6"/>
  <c r="Z485" i="6" s="1"/>
  <c r="AA485" i="6" s="1"/>
  <c r="T296" i="6"/>
  <c r="W296" i="6"/>
  <c r="Z296" i="6" s="1"/>
  <c r="AA296" i="6" s="1"/>
  <c r="T124" i="6"/>
  <c r="W124" i="6"/>
  <c r="Z124" i="6" s="1"/>
  <c r="AA124" i="6" s="1"/>
  <c r="T52" i="6"/>
  <c r="W52" i="6"/>
  <c r="Z52" i="6" s="1"/>
  <c r="AA52" i="6" s="1"/>
  <c r="U52" i="6"/>
  <c r="T78" i="6"/>
  <c r="W78" i="6"/>
  <c r="Z78" i="6" s="1"/>
  <c r="AA78" i="6" s="1"/>
  <c r="U78" i="6"/>
  <c r="T436" i="6"/>
  <c r="W436" i="6"/>
  <c r="Z436" i="6" s="1"/>
  <c r="AA436" i="6" s="1"/>
  <c r="U436" i="6"/>
  <c r="T270" i="6"/>
  <c r="W270" i="6"/>
  <c r="Z270" i="6" s="1"/>
  <c r="AA270" i="6" s="1"/>
  <c r="U270" i="6"/>
  <c r="T89" i="6"/>
  <c r="W89" i="6"/>
  <c r="Z89" i="6" s="1"/>
  <c r="AA89" i="6" s="1"/>
  <c r="U89" i="6"/>
  <c r="T350" i="6"/>
  <c r="W350" i="6"/>
  <c r="Z350" i="6" s="1"/>
  <c r="AA350" i="6" s="1"/>
  <c r="T19" i="6"/>
  <c r="W19" i="6"/>
  <c r="Z19" i="6" s="1"/>
  <c r="AA19" i="6" s="1"/>
  <c r="T174" i="6"/>
  <c r="W174" i="6"/>
  <c r="Z174" i="6" s="1"/>
  <c r="AA174" i="6" s="1"/>
  <c r="T245" i="6"/>
  <c r="W245" i="6"/>
  <c r="Z245" i="6" s="1"/>
  <c r="AA245" i="6" s="1"/>
  <c r="T321" i="6"/>
  <c r="W321" i="6"/>
  <c r="Z321" i="6" s="1"/>
  <c r="AA321" i="6" s="1"/>
  <c r="T266" i="6"/>
  <c r="W266" i="6"/>
  <c r="Z266" i="6" s="1"/>
  <c r="AA266" i="6" s="1"/>
  <c r="T166" i="6"/>
  <c r="W166" i="6"/>
  <c r="Z166" i="6" s="1"/>
  <c r="AA166" i="6" s="1"/>
  <c r="T338" i="6"/>
  <c r="W338" i="6"/>
  <c r="Z338" i="6" s="1"/>
  <c r="AA338" i="6" s="1"/>
  <c r="T369" i="6"/>
  <c r="W369" i="6"/>
  <c r="Z369" i="6" s="1"/>
  <c r="AA369" i="6" s="1"/>
  <c r="T145" i="6"/>
  <c r="W145" i="6"/>
  <c r="Z145" i="6" s="1"/>
  <c r="AA145" i="6" s="1"/>
  <c r="T361" i="6"/>
  <c r="W361" i="6"/>
  <c r="Z361" i="6" s="1"/>
  <c r="AA361" i="6" s="1"/>
  <c r="T354" i="6"/>
  <c r="W354" i="6"/>
  <c r="Z354" i="6" s="1"/>
  <c r="AA354" i="6" s="1"/>
  <c r="T193" i="6"/>
  <c r="W193" i="6"/>
  <c r="Z193" i="6" s="1"/>
  <c r="AA193" i="6" s="1"/>
  <c r="T34" i="6"/>
  <c r="W34" i="6"/>
  <c r="Z34" i="6" s="1"/>
  <c r="AA34" i="6" s="1"/>
  <c r="T267" i="6"/>
  <c r="W267" i="6"/>
  <c r="Z267" i="6" s="1"/>
  <c r="AA267" i="6" s="1"/>
  <c r="T98" i="6"/>
  <c r="W98" i="6"/>
  <c r="Z98" i="6" s="1"/>
  <c r="AA98" i="6" s="1"/>
  <c r="T439" i="6"/>
  <c r="W439" i="6"/>
  <c r="Z439" i="6" s="1"/>
  <c r="AA439" i="6" s="1"/>
  <c r="T93" i="6"/>
  <c r="W93" i="6"/>
  <c r="Z93" i="6" s="1"/>
  <c r="AA93" i="6" s="1"/>
  <c r="T73" i="6"/>
  <c r="W73" i="6"/>
  <c r="Z73" i="6" s="1"/>
  <c r="AA73" i="6" s="1"/>
  <c r="T212" i="6"/>
  <c r="W212" i="6"/>
  <c r="Z212" i="6" s="1"/>
  <c r="AA212" i="6" s="1"/>
  <c r="T190" i="6"/>
  <c r="W190" i="6"/>
  <c r="Z190" i="6" s="1"/>
  <c r="AA190" i="6" s="1"/>
  <c r="T424" i="6"/>
  <c r="W424" i="6"/>
  <c r="Z424" i="6" s="1"/>
  <c r="AA424" i="6" s="1"/>
  <c r="T63" i="6"/>
  <c r="W63" i="6"/>
  <c r="Z63" i="6" s="1"/>
  <c r="AA63" i="6" s="1"/>
  <c r="U267" i="6"/>
  <c r="T163" i="6"/>
  <c r="W163" i="6"/>
  <c r="Z163" i="6" s="1"/>
  <c r="AA163" i="6" s="1"/>
  <c r="T363" i="6"/>
  <c r="W363" i="6"/>
  <c r="Z363" i="6" s="1"/>
  <c r="AA363" i="6" s="1"/>
  <c r="T60" i="6"/>
  <c r="W60" i="6"/>
  <c r="Z60" i="6" s="1"/>
  <c r="AA60" i="6" s="1"/>
  <c r="T466" i="6"/>
  <c r="W466" i="6"/>
  <c r="Z466" i="6" s="1"/>
  <c r="AA466" i="6" s="1"/>
  <c r="T9" i="6"/>
  <c r="W9" i="6"/>
  <c r="Z9" i="6" s="1"/>
  <c r="AA9" i="6" s="1"/>
  <c r="T137" i="6"/>
  <c r="W137" i="6"/>
  <c r="Z137" i="6" s="1"/>
  <c r="AA137" i="6" s="1"/>
  <c r="T151" i="6"/>
  <c r="W151" i="6"/>
  <c r="Z151" i="6" s="1"/>
  <c r="AA151" i="6" s="1"/>
  <c r="T293" i="6"/>
  <c r="W293" i="6"/>
  <c r="Z293" i="6" s="1"/>
  <c r="AA293" i="6" s="1"/>
  <c r="T199" i="6"/>
  <c r="W199" i="6"/>
  <c r="Z199" i="6" s="1"/>
  <c r="AA199" i="6" s="1"/>
  <c r="T438" i="6"/>
  <c r="W438" i="6"/>
  <c r="Z438" i="6" s="1"/>
  <c r="AA438" i="6" s="1"/>
  <c r="T28" i="6"/>
  <c r="W28" i="6"/>
  <c r="Z28" i="6" s="1"/>
  <c r="AA28" i="6" s="1"/>
  <c r="T410" i="6"/>
  <c r="W410" i="6"/>
  <c r="Z410" i="6" s="1"/>
  <c r="AA410" i="6" s="1"/>
  <c r="T524" i="6"/>
  <c r="W524" i="6"/>
  <c r="Z524" i="6" s="1"/>
  <c r="AA524" i="6" s="1"/>
  <c r="T317" i="6"/>
  <c r="W317" i="6"/>
  <c r="Z317" i="6" s="1"/>
  <c r="AA317" i="6" s="1"/>
  <c r="T290" i="6"/>
  <c r="W290" i="6"/>
  <c r="Z290" i="6" s="1"/>
  <c r="AA290" i="6" s="1"/>
  <c r="T300" i="6"/>
  <c r="W300" i="6"/>
  <c r="Z300" i="6" s="1"/>
  <c r="AA300" i="6" s="1"/>
  <c r="T504" i="6"/>
  <c r="W504" i="6"/>
  <c r="Z504" i="6" s="1"/>
  <c r="AA504" i="6" s="1"/>
  <c r="T468" i="6"/>
  <c r="W468" i="6"/>
  <c r="Z468" i="6" s="1"/>
  <c r="AA468" i="6" s="1"/>
  <c r="T36" i="6"/>
  <c r="W36" i="6"/>
  <c r="Z36" i="6" s="1"/>
  <c r="AA36" i="6" s="1"/>
  <c r="T387" i="6"/>
  <c r="W387" i="6"/>
  <c r="Z387" i="6" s="1"/>
  <c r="AA387" i="6" s="1"/>
  <c r="T312" i="6"/>
  <c r="W312" i="6"/>
  <c r="Z312" i="6" s="1"/>
  <c r="AA312" i="6" s="1"/>
  <c r="T596" i="6"/>
  <c r="W596" i="6"/>
  <c r="Z596" i="6" s="1"/>
  <c r="AA596" i="6" s="1"/>
  <c r="T480" i="6"/>
  <c r="W480" i="6"/>
  <c r="Z480" i="6" s="1"/>
  <c r="AA480" i="6" s="1"/>
  <c r="T54" i="6"/>
  <c r="W54" i="6"/>
  <c r="Z54" i="6" s="1"/>
  <c r="AA54" i="6" s="1"/>
  <c r="T370" i="6"/>
  <c r="W370" i="6"/>
  <c r="Z370" i="6" s="1"/>
  <c r="AA370" i="6" s="1"/>
  <c r="T66" i="6"/>
  <c r="W66" i="6"/>
  <c r="Z66" i="6" s="1"/>
  <c r="AA66" i="6" s="1"/>
  <c r="T519" i="6"/>
  <c r="W519" i="6"/>
  <c r="Z519" i="6" s="1"/>
  <c r="AA519" i="6" s="1"/>
  <c r="T216" i="6"/>
  <c r="W216" i="6"/>
  <c r="Z216" i="6" s="1"/>
  <c r="AA216" i="6" s="1"/>
  <c r="T475" i="6"/>
  <c r="W475" i="6"/>
  <c r="Z475" i="6" s="1"/>
  <c r="AA475" i="6" s="1"/>
  <c r="T227" i="6"/>
  <c r="W227" i="6"/>
  <c r="Z227" i="6" s="1"/>
  <c r="AA227" i="6" s="1"/>
  <c r="T84" i="6"/>
  <c r="W84" i="6"/>
  <c r="Z84" i="6" s="1"/>
  <c r="AA84" i="6" s="1"/>
  <c r="T155" i="6"/>
  <c r="W155" i="6"/>
  <c r="Z155" i="6" s="1"/>
  <c r="AA155" i="6" s="1"/>
  <c r="T141" i="6"/>
  <c r="W141" i="6"/>
  <c r="Z141" i="6" s="1"/>
  <c r="AA141" i="6" s="1"/>
  <c r="T184" i="6"/>
  <c r="W184" i="6"/>
  <c r="Z184" i="6" s="1"/>
  <c r="AA184" i="6" s="1"/>
  <c r="U243" i="6"/>
  <c r="T20" i="6"/>
  <c r="W20" i="6"/>
  <c r="Z20" i="6" s="1"/>
  <c r="AA20" i="6" s="1"/>
  <c r="T505" i="6"/>
  <c r="W505" i="6"/>
  <c r="Z505" i="6" s="1"/>
  <c r="AA505" i="6" s="1"/>
  <c r="T268" i="6"/>
  <c r="W268" i="6"/>
  <c r="Z268" i="6" s="1"/>
  <c r="AA268" i="6" s="1"/>
  <c r="T256" i="6"/>
  <c r="W256" i="6"/>
  <c r="Z256" i="6" s="1"/>
  <c r="AA256" i="6" s="1"/>
  <c r="U256" i="6"/>
  <c r="T281" i="6"/>
  <c r="W281" i="6"/>
  <c r="Z281" i="6" s="1"/>
  <c r="AA281" i="6" s="1"/>
  <c r="U281" i="6"/>
  <c r="T551" i="6"/>
  <c r="W551" i="6"/>
  <c r="Z551" i="6" s="1"/>
  <c r="AA551" i="6" s="1"/>
  <c r="U551" i="6"/>
  <c r="T244" i="6"/>
  <c r="W244" i="6"/>
  <c r="Z244" i="6" s="1"/>
  <c r="AA244" i="6" s="1"/>
  <c r="U244" i="6"/>
  <c r="T295" i="6"/>
  <c r="W295" i="6"/>
  <c r="Z295" i="6" s="1"/>
  <c r="AA295" i="6" s="1"/>
  <c r="U295" i="6"/>
  <c r="U596" i="6"/>
  <c r="T565" i="6"/>
  <c r="W565" i="6"/>
  <c r="Z565" i="6" s="1"/>
  <c r="AA565" i="6" s="1"/>
  <c r="U387" i="6"/>
  <c r="T99" i="6"/>
  <c r="W99" i="6"/>
  <c r="Z99" i="6" s="1"/>
  <c r="AA99" i="6" s="1"/>
  <c r="T481" i="6"/>
  <c r="W481" i="6"/>
  <c r="Z481" i="6" s="1"/>
  <c r="AA481" i="6" s="1"/>
  <c r="T583" i="6"/>
  <c r="W583" i="6"/>
  <c r="Z583" i="6" s="1"/>
  <c r="AA583" i="6" s="1"/>
  <c r="T219" i="6"/>
  <c r="W219" i="6"/>
  <c r="Z219" i="6" s="1"/>
  <c r="AA219" i="6" s="1"/>
  <c r="T414" i="6"/>
  <c r="W414" i="6"/>
  <c r="Z414" i="6" s="1"/>
  <c r="AA414" i="6" s="1"/>
  <c r="W366" i="6"/>
  <c r="Z366" i="6" s="1"/>
  <c r="AA366" i="6" s="1"/>
  <c r="T547" i="6"/>
  <c r="W547" i="6"/>
  <c r="Z547" i="6" s="1"/>
  <c r="AA547" i="6" s="1"/>
  <c r="T235" i="6"/>
  <c r="W235" i="6"/>
  <c r="Z235" i="6" s="1"/>
  <c r="AA235" i="6" s="1"/>
  <c r="T67" i="6"/>
  <c r="W67" i="6"/>
  <c r="Z67" i="6" s="1"/>
  <c r="AA67" i="6" s="1"/>
  <c r="T553" i="6"/>
  <c r="W553" i="6"/>
  <c r="Z553" i="6" s="1"/>
  <c r="AA553" i="6" s="1"/>
  <c r="T303" i="6"/>
  <c r="W303" i="6"/>
  <c r="Z303" i="6" s="1"/>
  <c r="AA303" i="6" s="1"/>
  <c r="T333" i="6"/>
  <c r="W333" i="6"/>
  <c r="Z333" i="6" s="1"/>
  <c r="AA333" i="6" s="1"/>
  <c r="T511" i="6"/>
  <c r="W511" i="6"/>
  <c r="Z511" i="6" s="1"/>
  <c r="AA511" i="6" s="1"/>
  <c r="T382" i="6"/>
  <c r="W382" i="6"/>
  <c r="Z382" i="6" s="1"/>
  <c r="AA382" i="6" s="1"/>
  <c r="T342" i="6"/>
  <c r="W342" i="6"/>
  <c r="Z342" i="6" s="1"/>
  <c r="AA342" i="6" s="1"/>
  <c r="T405" i="6"/>
  <c r="W405" i="6"/>
  <c r="Z405" i="6" s="1"/>
  <c r="AA405" i="6" s="1"/>
  <c r="T587" i="6"/>
  <c r="W587" i="6"/>
  <c r="Z587" i="6" s="1"/>
  <c r="AA587" i="6" s="1"/>
  <c r="T340" i="6"/>
  <c r="W340" i="6"/>
  <c r="Z340" i="6" s="1"/>
  <c r="AA340" i="6" s="1"/>
  <c r="T411" i="6"/>
  <c r="W411" i="6"/>
  <c r="Z411" i="6" s="1"/>
  <c r="AA411" i="6" s="1"/>
  <c r="T294" i="6"/>
  <c r="W294" i="6"/>
  <c r="Z294" i="6" s="1"/>
  <c r="AA294" i="6" s="1"/>
  <c r="T175" i="6"/>
  <c r="W175" i="6"/>
  <c r="Z175" i="6" s="1"/>
  <c r="AA175" i="6" s="1"/>
  <c r="T570" i="6"/>
  <c r="W570" i="6"/>
  <c r="Z570" i="6" s="1"/>
  <c r="AA570" i="6" s="1"/>
  <c r="T30" i="6"/>
  <c r="W30" i="6"/>
  <c r="Z30" i="6" s="1"/>
  <c r="AA30" i="6" s="1"/>
  <c r="T415" i="6"/>
  <c r="W415" i="6"/>
  <c r="Z415" i="6" s="1"/>
  <c r="AA415" i="6" s="1"/>
  <c r="T374" i="6"/>
  <c r="W374" i="6"/>
  <c r="Z374" i="6" s="1"/>
  <c r="AA374" i="6" s="1"/>
  <c r="T37" i="6"/>
  <c r="W37" i="6"/>
  <c r="Z37" i="6" s="1"/>
  <c r="AA37" i="6" s="1"/>
  <c r="T595" i="6"/>
  <c r="W595" i="6"/>
  <c r="Z595" i="6" s="1"/>
  <c r="AA595" i="6" s="1"/>
  <c r="T453" i="6"/>
  <c r="W453" i="6"/>
  <c r="Z453" i="6" s="1"/>
  <c r="AA453" i="6" s="1"/>
  <c r="T109" i="6"/>
  <c r="W109" i="6"/>
  <c r="Z109" i="6" s="1"/>
  <c r="AA109" i="6" s="1"/>
  <c r="T304" i="6"/>
  <c r="W304" i="6"/>
  <c r="Z304" i="6" s="1"/>
  <c r="AA304" i="6" s="1"/>
  <c r="T459" i="6"/>
  <c r="W459" i="6"/>
  <c r="Z459" i="6" s="1"/>
  <c r="AA459" i="6" s="1"/>
  <c r="T139" i="6"/>
  <c r="W139" i="6"/>
  <c r="Z139" i="6" s="1"/>
  <c r="AA139" i="6" s="1"/>
  <c r="T179" i="6"/>
  <c r="W179" i="6"/>
  <c r="Z179" i="6" s="1"/>
  <c r="AA179" i="6" s="1"/>
  <c r="T572" i="6"/>
  <c r="W572" i="6"/>
  <c r="Z572" i="6" s="1"/>
  <c r="AA572" i="6" s="1"/>
  <c r="T298" i="6"/>
  <c r="W298" i="6"/>
  <c r="Z298" i="6" s="1"/>
  <c r="AA298" i="6" s="1"/>
  <c r="T558" i="6"/>
  <c r="W558" i="6"/>
  <c r="Z558" i="6" s="1"/>
  <c r="AA558" i="6" s="1"/>
  <c r="T435" i="6"/>
  <c r="W435" i="6"/>
  <c r="Z435" i="6" s="1"/>
  <c r="AA435" i="6" s="1"/>
  <c r="T45" i="6"/>
  <c r="W45" i="6"/>
  <c r="Z45" i="6" s="1"/>
  <c r="AA45" i="6" s="1"/>
  <c r="T3" i="6"/>
  <c r="W3" i="6"/>
  <c r="Z3" i="6" s="1"/>
  <c r="AA3" i="6" s="1"/>
  <c r="T32" i="6"/>
  <c r="W32" i="6"/>
  <c r="Z32" i="6" s="1"/>
  <c r="AA32" i="6" s="1"/>
  <c r="U174" i="6"/>
  <c r="U137" i="6"/>
  <c r="U28" i="6"/>
  <c r="U468" i="6"/>
  <c r="T355" i="6"/>
  <c r="W355" i="6"/>
  <c r="Z355" i="6" s="1"/>
  <c r="AA355" i="6" s="1"/>
  <c r="T43" i="6"/>
  <c r="W43" i="6"/>
  <c r="Z43" i="6" s="1"/>
  <c r="AA43" i="6" s="1"/>
  <c r="T490" i="6"/>
  <c r="W490" i="6"/>
  <c r="Z490" i="6" s="1"/>
  <c r="AA490" i="6" s="1"/>
  <c r="T428" i="6"/>
  <c r="W428" i="6"/>
  <c r="Z428" i="6" s="1"/>
  <c r="AA428" i="6" s="1"/>
  <c r="T133" i="6"/>
  <c r="W133" i="6"/>
  <c r="Z133" i="6" s="1"/>
  <c r="AA133" i="6" s="1"/>
  <c r="T584" i="6"/>
  <c r="W584" i="6"/>
  <c r="Z584" i="6" s="1"/>
  <c r="AA584" i="6" s="1"/>
  <c r="U415" i="6"/>
  <c r="U95" i="6"/>
  <c r="U93" i="6"/>
  <c r="T447" i="6"/>
  <c r="W447" i="6"/>
  <c r="Z447" i="6" s="1"/>
  <c r="AA447" i="6" s="1"/>
  <c r="U466" i="6"/>
  <c r="T432" i="6"/>
  <c r="W432" i="6"/>
  <c r="Z432" i="6" s="1"/>
  <c r="AA432" i="6" s="1"/>
  <c r="T204" i="6"/>
  <c r="W204" i="6"/>
  <c r="Z204" i="6" s="1"/>
  <c r="AA204" i="6" s="1"/>
  <c r="T13" i="6"/>
  <c r="W13" i="6"/>
  <c r="Z13" i="6" s="1"/>
  <c r="AA13" i="6" s="1"/>
  <c r="T386" i="6"/>
  <c r="W386" i="6"/>
  <c r="Z386" i="6" s="1"/>
  <c r="AA386" i="6" s="1"/>
  <c r="T368" i="6"/>
  <c r="W368" i="6"/>
  <c r="Z368" i="6" s="1"/>
  <c r="AA368" i="6" s="1"/>
  <c r="T208" i="6"/>
  <c r="W208" i="6"/>
  <c r="Z208" i="6" s="1"/>
  <c r="AA208" i="6" s="1"/>
  <c r="T599" i="6"/>
  <c r="W599" i="6"/>
  <c r="Z599" i="6" s="1"/>
  <c r="AA599" i="6" s="1"/>
  <c r="T469" i="6"/>
  <c r="W469" i="6"/>
  <c r="Z469" i="6" s="1"/>
  <c r="AA469" i="6" s="1"/>
  <c r="T71" i="6"/>
  <c r="W71" i="6"/>
  <c r="Z71" i="6" s="1"/>
  <c r="AA71" i="6" s="1"/>
  <c r="T445" i="6"/>
  <c r="W445" i="6"/>
  <c r="Z445" i="6" s="1"/>
  <c r="AA445" i="6" s="1"/>
  <c r="T602" i="6"/>
  <c r="W602" i="6"/>
  <c r="Z602" i="6" s="1"/>
  <c r="AA602" i="6" s="1"/>
  <c r="T103" i="6"/>
  <c r="W103" i="6"/>
  <c r="Z103" i="6" s="1"/>
  <c r="AA103" i="6" s="1"/>
  <c r="U103" i="6"/>
  <c r="U201" i="6"/>
  <c r="T472" i="6"/>
  <c r="W472" i="6"/>
  <c r="Z472" i="6" s="1"/>
  <c r="AA472" i="6" s="1"/>
  <c r="T172" i="6"/>
  <c r="W172" i="6"/>
  <c r="Z172" i="6" s="1"/>
  <c r="AA172" i="6" s="1"/>
  <c r="T171" i="6"/>
  <c r="W171" i="6"/>
  <c r="Z171" i="6" s="1"/>
  <c r="AA171" i="6" s="1"/>
  <c r="T203" i="6"/>
  <c r="W203" i="6"/>
  <c r="Z203" i="6" s="1"/>
  <c r="AA203" i="6" s="1"/>
  <c r="T455" i="6"/>
  <c r="W455" i="6"/>
  <c r="Z455" i="6" s="1"/>
  <c r="AA455" i="6" s="1"/>
  <c r="T173" i="6"/>
  <c r="W173" i="6"/>
  <c r="Z173" i="6" s="1"/>
  <c r="AA173" i="6" s="1"/>
  <c r="T56" i="6"/>
  <c r="W56" i="6"/>
  <c r="Z56" i="6" s="1"/>
  <c r="AA56" i="6" s="1"/>
  <c r="T168" i="6"/>
  <c r="W168" i="6"/>
  <c r="Z168" i="6" s="1"/>
  <c r="AA168" i="6" s="1"/>
  <c r="T319" i="6"/>
  <c r="W319" i="6"/>
  <c r="Z319" i="6" s="1"/>
  <c r="AA319" i="6" s="1"/>
  <c r="T49" i="6"/>
  <c r="W49" i="6"/>
  <c r="Z49" i="6" s="1"/>
  <c r="AA49" i="6" s="1"/>
  <c r="T218" i="6"/>
  <c r="W218" i="6"/>
  <c r="Z218" i="6" s="1"/>
  <c r="AA218" i="6" s="1"/>
  <c r="T24" i="6"/>
  <c r="W24" i="6"/>
  <c r="Z24" i="6" s="1"/>
  <c r="AA24" i="6" s="1"/>
  <c r="T305" i="6"/>
  <c r="W305" i="6"/>
  <c r="Z305" i="6" s="1"/>
  <c r="AA305" i="6" s="1"/>
  <c r="T150" i="6"/>
  <c r="W150" i="6"/>
  <c r="Z150" i="6" s="1"/>
  <c r="AA150" i="6" s="1"/>
  <c r="T229" i="6"/>
  <c r="W229" i="6"/>
  <c r="Z229" i="6" s="1"/>
  <c r="AA229" i="6" s="1"/>
  <c r="T101" i="6"/>
  <c r="W101" i="6"/>
  <c r="Z101" i="6" s="1"/>
  <c r="AA101" i="6" s="1"/>
  <c r="T575" i="6"/>
  <c r="W575" i="6"/>
  <c r="Z575" i="6" s="1"/>
  <c r="AA575" i="6" s="1"/>
  <c r="T450" i="6"/>
  <c r="W450" i="6"/>
  <c r="Z450" i="6" s="1"/>
  <c r="AA450" i="6" s="1"/>
  <c r="T62" i="6"/>
  <c r="W62" i="6"/>
  <c r="Z62" i="6" s="1"/>
  <c r="AA62" i="6" s="1"/>
  <c r="T491" i="6"/>
  <c r="W491" i="6"/>
  <c r="Z491" i="6" s="1"/>
  <c r="AA491" i="6" s="1"/>
  <c r="T591" i="6"/>
  <c r="W591" i="6"/>
  <c r="Z591" i="6" s="1"/>
  <c r="AA591" i="6" s="1"/>
  <c r="T568" i="6"/>
  <c r="W568" i="6"/>
  <c r="Z568" i="6" s="1"/>
  <c r="AA568" i="6" s="1"/>
  <c r="T404" i="6"/>
  <c r="W404" i="6"/>
  <c r="Z404" i="6" s="1"/>
  <c r="AA404" i="6" s="1"/>
  <c r="T75" i="6"/>
  <c r="W75" i="6"/>
  <c r="Z75" i="6" s="1"/>
  <c r="AA75" i="6" s="1"/>
  <c r="T346" i="6"/>
  <c r="W346" i="6"/>
  <c r="Z346" i="6" s="1"/>
  <c r="AA346" i="6" s="1"/>
  <c r="T362" i="6"/>
  <c r="W362" i="6"/>
  <c r="Z362" i="6" s="1"/>
  <c r="AA362" i="6" s="1"/>
  <c r="T499" i="6"/>
  <c r="W499" i="6"/>
  <c r="Z499" i="6" s="1"/>
  <c r="AA499" i="6" s="1"/>
  <c r="T314" i="6"/>
  <c r="W314" i="6"/>
  <c r="Z314" i="6" s="1"/>
  <c r="AA314" i="6" s="1"/>
  <c r="U361" i="6"/>
  <c r="T240" i="6"/>
  <c r="W240" i="6"/>
  <c r="Z240" i="6" s="1"/>
  <c r="AA240" i="6" s="1"/>
  <c r="U163" i="6"/>
  <c r="T482" i="6"/>
  <c r="W482" i="6"/>
  <c r="Z482" i="6" s="1"/>
  <c r="AA482" i="6" s="1"/>
  <c r="U245" i="6"/>
  <c r="T120" i="6"/>
  <c r="W120" i="6"/>
  <c r="Z120" i="6" s="1"/>
  <c r="AA120" i="6" s="1"/>
  <c r="T395" i="6"/>
  <c r="W395" i="6"/>
  <c r="Z395" i="6" s="1"/>
  <c r="AA395" i="6" s="1"/>
  <c r="T581" i="6"/>
  <c r="W581" i="6"/>
  <c r="Z581" i="6" s="1"/>
  <c r="AA581" i="6" s="1"/>
  <c r="T522" i="6"/>
  <c r="W522" i="6"/>
  <c r="Z522" i="6" s="1"/>
  <c r="AA522" i="6" s="1"/>
  <c r="T452" i="6"/>
  <c r="W452" i="6"/>
  <c r="Z452" i="6" s="1"/>
  <c r="AA452" i="6" s="1"/>
  <c r="T390" i="6"/>
  <c r="W390" i="6"/>
  <c r="Z390" i="6" s="1"/>
  <c r="AA390" i="6" s="1"/>
  <c r="T559" i="6"/>
  <c r="W559" i="6"/>
  <c r="Z559" i="6" s="1"/>
  <c r="AA559" i="6" s="1"/>
  <c r="T470" i="6"/>
  <c r="W470" i="6"/>
  <c r="Z470" i="6" s="1"/>
  <c r="AA470" i="6" s="1"/>
  <c r="T371" i="6"/>
  <c r="W371" i="6"/>
  <c r="Z371" i="6" s="1"/>
  <c r="AA371" i="6" s="1"/>
  <c r="T323" i="6"/>
  <c r="W323" i="6"/>
  <c r="Z323" i="6" s="1"/>
  <c r="AA323" i="6" s="1"/>
  <c r="T588" i="6"/>
  <c r="W588" i="6"/>
  <c r="Z588" i="6" s="1"/>
  <c r="AA588" i="6" s="1"/>
  <c r="T26" i="6"/>
  <c r="W26" i="6"/>
  <c r="Z26" i="6" s="1"/>
  <c r="AA26" i="6" s="1"/>
  <c r="U229" i="6"/>
  <c r="T500" i="6"/>
  <c r="W500" i="6"/>
  <c r="Z500" i="6" s="1"/>
  <c r="AA500" i="6" s="1"/>
  <c r="U500" i="6"/>
  <c r="T192" i="6"/>
  <c r="W192" i="6"/>
  <c r="Z192" i="6" s="1"/>
  <c r="AA192" i="6" s="1"/>
  <c r="U192" i="6"/>
  <c r="T116" i="6"/>
  <c r="W116" i="6"/>
  <c r="Z116" i="6" s="1"/>
  <c r="AA116" i="6" s="1"/>
  <c r="U116" i="6"/>
  <c r="T448" i="6"/>
  <c r="W448" i="6"/>
  <c r="Z448" i="6" s="1"/>
  <c r="AA448" i="6" s="1"/>
  <c r="U448" i="6"/>
  <c r="T384" i="6"/>
  <c r="W384" i="6"/>
  <c r="Z384" i="6" s="1"/>
  <c r="AA384" i="6" s="1"/>
  <c r="U384" i="6"/>
  <c r="T359" i="6"/>
  <c r="W359" i="6"/>
  <c r="Z359" i="6" s="1"/>
  <c r="AA359" i="6" s="1"/>
  <c r="U359" i="6"/>
  <c r="T529" i="6"/>
  <c r="W529" i="6"/>
  <c r="Z529" i="6" s="1"/>
  <c r="AA529" i="6" s="1"/>
  <c r="T309" i="6"/>
  <c r="W309" i="6"/>
  <c r="Z309" i="6" s="1"/>
  <c r="AA309" i="6" s="1"/>
  <c r="T541" i="6"/>
  <c r="W541" i="6"/>
  <c r="Z541" i="6" s="1"/>
  <c r="AA541" i="6" s="1"/>
  <c r="T552" i="6"/>
  <c r="W552" i="6"/>
  <c r="Z552" i="6" s="1"/>
  <c r="AA552" i="6" s="1"/>
  <c r="T186" i="6"/>
  <c r="W186" i="6"/>
  <c r="Z186" i="6" s="1"/>
  <c r="AA186" i="6" s="1"/>
  <c r="T494" i="6"/>
  <c r="W494" i="6"/>
  <c r="Z494" i="6" s="1"/>
  <c r="AA494" i="6" s="1"/>
  <c r="U342" i="6"/>
  <c r="U293" i="6"/>
  <c r="T6" i="6"/>
  <c r="W6" i="6"/>
  <c r="Z6" i="6" s="1"/>
  <c r="AA6" i="6" s="1"/>
  <c r="T301" i="6"/>
  <c r="W301" i="6"/>
  <c r="Z301" i="6" s="1"/>
  <c r="AA301" i="6" s="1"/>
  <c r="T330" i="6"/>
  <c r="W330" i="6"/>
  <c r="Z330" i="6" s="1"/>
  <c r="AA330" i="6" s="1"/>
  <c r="U316" i="6"/>
  <c r="T464" i="6"/>
  <c r="W464" i="6"/>
  <c r="Z464" i="6" s="1"/>
  <c r="AA464" i="6" s="1"/>
  <c r="U553" i="6"/>
  <c r="T264" i="6"/>
  <c r="W264" i="6"/>
  <c r="Z264" i="6" s="1"/>
  <c r="AA264" i="6" s="1"/>
  <c r="U157" i="6"/>
  <c r="T249" i="6"/>
  <c r="W249" i="6"/>
  <c r="Z249" i="6" s="1"/>
  <c r="AA249" i="6" s="1"/>
  <c r="T210" i="6"/>
  <c r="W210" i="6"/>
  <c r="Z210" i="6" s="1"/>
  <c r="AA210" i="6" s="1"/>
  <c r="T578" i="6"/>
  <c r="W578" i="6"/>
  <c r="Z578" i="6" s="1"/>
  <c r="AA578" i="6" s="1"/>
  <c r="T113" i="6"/>
  <c r="W113" i="6"/>
  <c r="Z113" i="6" s="1"/>
  <c r="AA113" i="6" s="1"/>
  <c r="T130" i="6"/>
  <c r="W130" i="6"/>
  <c r="Z130" i="6" s="1"/>
  <c r="AA130" i="6" s="1"/>
  <c r="U532" i="6"/>
  <c r="T593" i="6"/>
  <c r="W593" i="6"/>
  <c r="Z593" i="6" s="1"/>
  <c r="AA593" i="6" s="1"/>
  <c r="T574" i="6"/>
  <c r="W574" i="6"/>
  <c r="Z574" i="6" s="1"/>
  <c r="AA574" i="6" s="1"/>
  <c r="T255" i="6"/>
  <c r="W255" i="6"/>
  <c r="Z255" i="6" s="1"/>
  <c r="AA255" i="6" s="1"/>
  <c r="T585" i="6"/>
  <c r="W585" i="6"/>
  <c r="Z585" i="6" s="1"/>
  <c r="AA585" i="6" s="1"/>
  <c r="T580" i="6"/>
  <c r="W580" i="6"/>
  <c r="Z580" i="6" s="1"/>
  <c r="AA580" i="6" s="1"/>
  <c r="T275" i="6"/>
  <c r="W275" i="6"/>
  <c r="Z275" i="6" s="1"/>
  <c r="AA275" i="6" s="1"/>
  <c r="T188" i="6"/>
  <c r="W188" i="6"/>
  <c r="Z188" i="6" s="1"/>
  <c r="AA188" i="6" s="1"/>
  <c r="T444" i="6"/>
  <c r="W444" i="6"/>
  <c r="Z444" i="6" s="1"/>
  <c r="AA444" i="6" s="1"/>
  <c r="T391" i="6"/>
  <c r="W391" i="6"/>
  <c r="Z391" i="6" s="1"/>
  <c r="AA391" i="6" s="1"/>
  <c r="T16" i="6"/>
  <c r="W16" i="6"/>
  <c r="Z16" i="6" s="1"/>
  <c r="AA16" i="6" s="1"/>
  <c r="T516" i="6"/>
  <c r="W516" i="6"/>
  <c r="Z516" i="6" s="1"/>
  <c r="AA516" i="6" s="1"/>
  <c r="T528" i="6"/>
  <c r="W528" i="6"/>
  <c r="Z528" i="6" s="1"/>
  <c r="AA528" i="6" s="1"/>
  <c r="T237" i="6"/>
  <c r="W237" i="6"/>
  <c r="Z237" i="6" s="1"/>
  <c r="AA237" i="6" s="1"/>
  <c r="T211" i="6"/>
  <c r="W211" i="6"/>
  <c r="Z211" i="6" s="1"/>
  <c r="AA211" i="6" s="1"/>
  <c r="T90" i="6"/>
  <c r="W90" i="6"/>
  <c r="Z90" i="6" s="1"/>
  <c r="AA90" i="6" s="1"/>
  <c r="U173" i="6"/>
  <c r="U581" i="6"/>
  <c r="T412" i="6"/>
  <c r="W412" i="6"/>
  <c r="Z412" i="6" s="1"/>
  <c r="AA412" i="6" s="1"/>
  <c r="T506" i="6"/>
  <c r="W506" i="6"/>
  <c r="Z506" i="6" s="1"/>
  <c r="AA506" i="6" s="1"/>
  <c r="T277" i="6"/>
  <c r="W277" i="6"/>
  <c r="Z277" i="6" s="1"/>
  <c r="AA277" i="6" s="1"/>
  <c r="T185" i="6"/>
  <c r="W185" i="6"/>
  <c r="Z185" i="6" s="1"/>
  <c r="AA185" i="6" s="1"/>
  <c r="T403" i="6"/>
  <c r="W403" i="6"/>
  <c r="Z403" i="6" s="1"/>
  <c r="AA403" i="6" s="1"/>
  <c r="T503" i="6"/>
  <c r="W503" i="6"/>
  <c r="Z503" i="6" s="1"/>
  <c r="AA503" i="6" s="1"/>
  <c r="T85" i="6"/>
  <c r="W85" i="6"/>
  <c r="Z85" i="6" s="1"/>
  <c r="AA85" i="6" s="1"/>
  <c r="T407" i="6"/>
  <c r="W407" i="6"/>
  <c r="Z407" i="6" s="1"/>
  <c r="AA407" i="6" s="1"/>
  <c r="T223" i="6"/>
  <c r="W223" i="6"/>
  <c r="Z223" i="6" s="1"/>
  <c r="AA223" i="6" s="1"/>
  <c r="T138" i="6"/>
  <c r="W138" i="6"/>
  <c r="Z138" i="6" s="1"/>
  <c r="AA138" i="6" s="1"/>
  <c r="T579" i="6"/>
  <c r="W579" i="6"/>
  <c r="Z579" i="6" s="1"/>
  <c r="AA579" i="6" s="1"/>
  <c r="U412" i="6"/>
  <c r="T492" i="6"/>
  <c r="W492" i="6"/>
  <c r="Z492" i="6" s="1"/>
  <c r="AA492" i="6" s="1"/>
  <c r="T162" i="6"/>
  <c r="W162" i="6"/>
  <c r="Z162" i="6" s="1"/>
  <c r="AA162" i="6" s="1"/>
  <c r="T310" i="6"/>
  <c r="W310" i="6"/>
  <c r="Z310" i="6" s="1"/>
  <c r="AA310" i="6" s="1"/>
  <c r="T561" i="6"/>
  <c r="W561" i="6"/>
  <c r="Z561" i="6" s="1"/>
  <c r="AA561" i="6" s="1"/>
  <c r="T246" i="6"/>
  <c r="W246" i="6"/>
  <c r="Z246" i="6" s="1"/>
  <c r="AA246" i="6" s="1"/>
  <c r="T10" i="6"/>
  <c r="W10" i="6"/>
  <c r="Z10" i="6" s="1"/>
  <c r="AA10" i="6" s="1"/>
  <c r="T91" i="6"/>
  <c r="W91" i="6"/>
  <c r="Z91" i="6" s="1"/>
  <c r="AA91" i="6" s="1"/>
  <c r="T566" i="6"/>
  <c r="W566" i="6"/>
  <c r="Z566" i="6" s="1"/>
  <c r="AA566" i="6" s="1"/>
  <c r="T257" i="6"/>
  <c r="W257" i="6"/>
  <c r="Z257" i="6" s="1"/>
  <c r="AA257" i="6" s="1"/>
  <c r="T433" i="6"/>
  <c r="W433" i="6"/>
  <c r="Z433" i="6" s="1"/>
  <c r="AA433" i="6" s="1"/>
  <c r="T131" i="6"/>
  <c r="W131" i="6"/>
  <c r="Z131" i="6" s="1"/>
  <c r="AA131" i="6" s="1"/>
  <c r="T180" i="6"/>
  <c r="W180" i="6"/>
  <c r="Z180" i="6" s="1"/>
  <c r="AA180" i="6" s="1"/>
  <c r="U180" i="6"/>
  <c r="T31" i="6"/>
  <c r="W31" i="6"/>
  <c r="Z31" i="6" s="1"/>
  <c r="AA31" i="6" s="1"/>
  <c r="T540" i="6"/>
  <c r="W540" i="6"/>
  <c r="Z540" i="6" s="1"/>
  <c r="AA540" i="6" s="1"/>
  <c r="T58" i="6"/>
  <c r="W58" i="6"/>
  <c r="Z58" i="6" s="1"/>
  <c r="AA58" i="6" s="1"/>
  <c r="T46" i="6"/>
  <c r="W46" i="6"/>
  <c r="Z46" i="6" s="1"/>
  <c r="AA46" i="6" s="1"/>
  <c r="U386" i="6"/>
  <c r="T47" i="6"/>
  <c r="W47" i="6"/>
  <c r="Z47" i="6" s="1"/>
  <c r="AA47" i="6" s="1"/>
  <c r="T493" i="6"/>
  <c r="W493" i="6"/>
  <c r="Z493" i="6" s="1"/>
  <c r="AA493" i="6" s="1"/>
  <c r="T287" i="6"/>
  <c r="W287" i="6"/>
  <c r="Z287" i="6" s="1"/>
  <c r="AA287" i="6" s="1"/>
  <c r="T302" i="6"/>
  <c r="W302" i="6"/>
  <c r="Z302" i="6" s="1"/>
  <c r="AA302" i="6" s="1"/>
  <c r="T327" i="6"/>
  <c r="W327" i="6"/>
  <c r="Z327" i="6" s="1"/>
  <c r="AA327" i="6" s="1"/>
  <c r="T397" i="6"/>
  <c r="W397" i="6"/>
  <c r="Z397" i="6" s="1"/>
  <c r="AA397" i="6" s="1"/>
  <c r="T152" i="6"/>
  <c r="W152" i="6"/>
  <c r="Z152" i="6" s="1"/>
  <c r="AA152" i="6" s="1"/>
  <c r="T429" i="6"/>
  <c r="W429" i="6"/>
  <c r="Z429" i="6" s="1"/>
  <c r="AA429" i="6" s="1"/>
  <c r="T313" i="6"/>
  <c r="W313" i="6"/>
  <c r="Z313" i="6" s="1"/>
  <c r="AA313" i="6" s="1"/>
  <c r="T308" i="6"/>
  <c r="W308" i="6"/>
  <c r="Z308" i="6" s="1"/>
  <c r="AA308" i="6" s="1"/>
  <c r="U308" i="6"/>
  <c r="T214" i="6"/>
  <c r="W214" i="6"/>
  <c r="Z214" i="6" s="1"/>
  <c r="AA214" i="6" s="1"/>
  <c r="T508" i="6"/>
  <c r="W508" i="6"/>
  <c r="Z508" i="6" s="1"/>
  <c r="AA508" i="6" s="1"/>
  <c r="T230" i="6"/>
  <c r="W230" i="6"/>
  <c r="Z230" i="6" s="1"/>
  <c r="AA230" i="6" s="1"/>
  <c r="T431" i="6"/>
  <c r="W431" i="6"/>
  <c r="Z431" i="6" s="1"/>
  <c r="AA431" i="6" s="1"/>
  <c r="T57" i="6"/>
  <c r="W57" i="6"/>
  <c r="Z57" i="6" s="1"/>
  <c r="AA57" i="6" s="1"/>
  <c r="U350" i="6"/>
  <c r="T389" i="6"/>
  <c r="W389" i="6"/>
  <c r="Z389" i="6" s="1"/>
  <c r="AA389" i="6" s="1"/>
  <c r="T238" i="6"/>
  <c r="W238" i="6"/>
  <c r="Z238" i="6" s="1"/>
  <c r="AA238" i="6" s="1"/>
  <c r="U504" i="6"/>
  <c r="U354" i="6"/>
  <c r="T22" i="6"/>
  <c r="W22" i="6"/>
  <c r="Z22" i="6" s="1"/>
  <c r="AA22" i="6" s="1"/>
  <c r="T517" i="6"/>
  <c r="W517" i="6"/>
  <c r="Z517" i="6" s="1"/>
  <c r="AA517" i="6" s="1"/>
  <c r="U485" i="6"/>
  <c r="T250" i="6"/>
  <c r="W250" i="6"/>
  <c r="Z250" i="6" s="1"/>
  <c r="AA250" i="6" s="1"/>
  <c r="U31" i="6"/>
  <c r="T196" i="6"/>
  <c r="W196" i="6"/>
  <c r="Z196" i="6" s="1"/>
  <c r="AA196" i="6" s="1"/>
  <c r="U362" i="6"/>
  <c r="T477" i="6"/>
  <c r="W477" i="6"/>
  <c r="Z477" i="6" s="1"/>
  <c r="AA477" i="6" s="1"/>
  <c r="T118" i="6"/>
  <c r="W118" i="6"/>
  <c r="Z118" i="6" s="1"/>
  <c r="AA118" i="6" s="1"/>
  <c r="T356" i="6"/>
  <c r="W356" i="6"/>
  <c r="Z356" i="6" s="1"/>
  <c r="AA356" i="6" s="1"/>
  <c r="T336" i="6"/>
  <c r="W336" i="6"/>
  <c r="Z336" i="6" s="1"/>
  <c r="AA336" i="6" s="1"/>
  <c r="T284" i="6"/>
  <c r="W284" i="6"/>
  <c r="Z284" i="6" s="1"/>
  <c r="AA284" i="6" s="1"/>
  <c r="U410" i="6"/>
  <c r="U602" i="6"/>
  <c r="T159" i="6"/>
  <c r="W159" i="6"/>
  <c r="Z159" i="6" s="1"/>
  <c r="AA159" i="6" s="1"/>
  <c r="T548" i="6"/>
  <c r="W548" i="6"/>
  <c r="Z548" i="6" s="1"/>
  <c r="AA548" i="6" s="1"/>
  <c r="U124" i="6"/>
  <c r="T353" i="6"/>
  <c r="W353" i="6"/>
  <c r="Z353" i="6" s="1"/>
  <c r="AA353" i="6" s="1"/>
  <c r="T358" i="6"/>
  <c r="W358" i="6"/>
  <c r="Z358" i="6" s="1"/>
  <c r="AA358" i="6" s="1"/>
  <c r="T39" i="6"/>
  <c r="W39" i="6"/>
  <c r="Z39" i="6" s="1"/>
  <c r="AA39" i="6" s="1"/>
  <c r="U39" i="6"/>
  <c r="T557" i="6"/>
  <c r="W557" i="6"/>
  <c r="Z557" i="6" s="1"/>
  <c r="AA557" i="6" s="1"/>
  <c r="T178" i="6"/>
  <c r="W178" i="6"/>
  <c r="Z178" i="6" s="1"/>
  <c r="AA178" i="6" s="1"/>
  <c r="T462" i="6"/>
  <c r="W462" i="6"/>
  <c r="Z462" i="6" s="1"/>
  <c r="AA462" i="6" s="1"/>
  <c r="U462" i="6"/>
  <c r="T334" i="6"/>
  <c r="W334" i="6"/>
  <c r="Z334" i="6" s="1"/>
  <c r="AA334" i="6" s="1"/>
  <c r="U334" i="6"/>
  <c r="T601" i="6"/>
  <c r="W601" i="6"/>
  <c r="Z601" i="6" s="1"/>
  <c r="AA601" i="6" s="1"/>
  <c r="U601" i="6"/>
  <c r="T564" i="6"/>
  <c r="W564" i="6"/>
  <c r="Z564" i="6" s="1"/>
  <c r="AA564" i="6" s="1"/>
  <c r="U564" i="6"/>
  <c r="T487" i="6"/>
  <c r="U487" i="6"/>
  <c r="W487" i="6"/>
  <c r="Z487" i="6" s="1"/>
  <c r="AA487" i="6" s="1"/>
  <c r="T160" i="6"/>
  <c r="W160" i="6"/>
  <c r="Z160" i="6" s="1"/>
  <c r="AA160" i="6" s="1"/>
  <c r="T276" i="6"/>
  <c r="W276" i="6"/>
  <c r="Z276" i="6" s="1"/>
  <c r="AA276" i="6" s="1"/>
  <c r="T367" i="6"/>
  <c r="W367" i="6"/>
  <c r="Z367" i="6" s="1"/>
  <c r="AA367" i="6" s="1"/>
  <c r="T437" i="6"/>
  <c r="W437" i="6"/>
  <c r="Z437" i="6" s="1"/>
  <c r="AA437" i="6" s="1"/>
  <c r="T169" i="6"/>
  <c r="W169" i="6"/>
  <c r="Z169" i="6" s="1"/>
  <c r="AA169" i="6" s="1"/>
  <c r="T383" i="6"/>
  <c r="W383" i="6"/>
  <c r="Z383" i="6" s="1"/>
  <c r="AA383" i="6" s="1"/>
  <c r="T215" i="6"/>
  <c r="W215" i="6"/>
  <c r="Z215" i="6" s="1"/>
  <c r="AA215" i="6" s="1"/>
  <c r="T562" i="6"/>
  <c r="W562" i="6"/>
  <c r="Z562" i="6" s="1"/>
  <c r="AA562" i="6" s="1"/>
  <c r="T11" i="6"/>
  <c r="W11" i="6"/>
  <c r="Z11" i="6" s="1"/>
  <c r="AA11" i="6" s="1"/>
  <c r="T406" i="6"/>
  <c r="W406" i="6"/>
  <c r="Z406" i="6" s="1"/>
  <c r="AA406" i="6" s="1"/>
  <c r="T200" i="6"/>
  <c r="W200" i="6"/>
  <c r="Z200" i="6" s="1"/>
  <c r="AA200" i="6" s="1"/>
  <c r="T440" i="6"/>
  <c r="W440" i="6"/>
  <c r="Z440" i="6" s="1"/>
  <c r="AA440" i="6" s="1"/>
  <c r="T497" i="6"/>
  <c r="W497" i="6"/>
  <c r="Z497" i="6" s="1"/>
  <c r="AA497" i="6" s="1"/>
  <c r="T597" i="6"/>
  <c r="W597" i="6"/>
  <c r="Z597" i="6" s="1"/>
  <c r="AA597" i="6" s="1"/>
  <c r="T556" i="6"/>
  <c r="W556" i="6"/>
  <c r="Z556" i="6" s="1"/>
  <c r="AA556" i="6" s="1"/>
  <c r="U469" i="6"/>
  <c r="U428" i="6"/>
  <c r="T29" i="6"/>
  <c r="W29" i="6"/>
  <c r="Z29" i="6" s="1"/>
  <c r="AA29" i="6" s="1"/>
  <c r="T269" i="6"/>
  <c r="W269" i="6"/>
  <c r="Z269" i="6" s="1"/>
  <c r="AA269" i="6" s="1"/>
  <c r="T94" i="6"/>
  <c r="W94" i="6"/>
  <c r="Z94" i="6" s="1"/>
  <c r="AA94" i="6" s="1"/>
  <c r="T74" i="6"/>
  <c r="W74" i="6"/>
  <c r="Z74" i="6" s="1"/>
  <c r="AA74" i="6" s="1"/>
  <c r="U404" i="6"/>
  <c r="T136" i="6"/>
  <c r="W136" i="6"/>
  <c r="Z136" i="6" s="1"/>
  <c r="AA136" i="6" s="1"/>
  <c r="T221" i="6"/>
  <c r="W221" i="6"/>
  <c r="Z221" i="6" s="1"/>
  <c r="AA221" i="6" s="1"/>
  <c r="T282" i="6"/>
  <c r="W282" i="6"/>
  <c r="Z282" i="6" s="1"/>
  <c r="AA282" i="6" s="1"/>
  <c r="U305" i="6"/>
  <c r="U177" i="6"/>
  <c r="T377" i="6"/>
  <c r="W377" i="6"/>
  <c r="Z377" i="6" s="1"/>
  <c r="AA377" i="6" s="1"/>
  <c r="T187" i="6"/>
  <c r="W187" i="6"/>
  <c r="Z187" i="6" s="1"/>
  <c r="AA187" i="6" s="1"/>
  <c r="T360" i="6"/>
  <c r="W360" i="6"/>
  <c r="Z360" i="6" s="1"/>
  <c r="AA360" i="6" s="1"/>
  <c r="T232" i="6"/>
  <c r="W232" i="6"/>
  <c r="Z232" i="6" s="1"/>
  <c r="AA232" i="6" s="1"/>
  <c r="T272" i="6"/>
  <c r="W272" i="6"/>
  <c r="Z272" i="6" s="1"/>
  <c r="AA272" i="6" s="1"/>
  <c r="U578" i="6"/>
  <c r="T50" i="6"/>
  <c r="W50" i="6"/>
  <c r="Z50" i="6" s="1"/>
  <c r="AA50" i="6" s="1"/>
  <c r="T111" i="6"/>
  <c r="W111" i="6"/>
  <c r="Z111" i="6" s="1"/>
  <c r="AA111" i="6" s="1"/>
  <c r="U286" i="6"/>
  <c r="U575" i="6"/>
  <c r="U43" i="6"/>
  <c r="T430" i="6"/>
  <c r="W430" i="6"/>
  <c r="Z430" i="6" s="1"/>
  <c r="AA430" i="6" s="1"/>
  <c r="U548" i="6"/>
  <c r="T108" i="6"/>
  <c r="W108" i="6"/>
  <c r="Z108" i="6" s="1"/>
  <c r="AA108" i="6" s="1"/>
  <c r="T135" i="6"/>
  <c r="W135" i="6"/>
  <c r="Z135" i="6" s="1"/>
  <c r="AA135" i="6" s="1"/>
  <c r="U528" i="6"/>
  <c r="T538" i="6"/>
  <c r="W538" i="6"/>
  <c r="Z538" i="6" s="1"/>
  <c r="AA538" i="6" s="1"/>
  <c r="T463" i="6"/>
  <c r="W463" i="6"/>
  <c r="Z463" i="6" s="1"/>
  <c r="AA463" i="6" s="1"/>
  <c r="T385" i="6"/>
  <c r="W385" i="6"/>
  <c r="Z385" i="6" s="1"/>
  <c r="AA385" i="6" s="1"/>
  <c r="T502" i="6"/>
  <c r="W502" i="6"/>
  <c r="Z502" i="6" s="1"/>
  <c r="AA502" i="6" s="1"/>
  <c r="T498" i="6"/>
  <c r="W498" i="6"/>
  <c r="Z498" i="6" s="1"/>
  <c r="AA498" i="6" s="1"/>
  <c r="T523" i="6"/>
  <c r="W523" i="6"/>
  <c r="Z523" i="6" s="1"/>
  <c r="AA523" i="6" s="1"/>
  <c r="T279" i="6"/>
  <c r="W279" i="6"/>
  <c r="Z279" i="6" s="1"/>
  <c r="AA279" i="6" s="1"/>
  <c r="T260" i="6"/>
  <c r="W260" i="6"/>
  <c r="Z260" i="6" s="1"/>
  <c r="AA260" i="6" s="1"/>
  <c r="U133" i="6"/>
  <c r="U54" i="6"/>
  <c r="T129" i="6"/>
  <c r="W129" i="6"/>
  <c r="Z129" i="6" s="1"/>
  <c r="AA129" i="6" s="1"/>
  <c r="U475" i="6"/>
  <c r="U587" i="6"/>
  <c r="T332" i="6"/>
  <c r="W332" i="6"/>
  <c r="Z332" i="6" s="1"/>
  <c r="AA332" i="6" s="1"/>
  <c r="U583" i="6"/>
  <c r="T82" i="6"/>
  <c r="W82" i="6"/>
  <c r="Z82" i="6" s="1"/>
  <c r="AA82" i="6" s="1"/>
  <c r="T461" i="6"/>
  <c r="W461" i="6"/>
  <c r="Z461" i="6" s="1"/>
  <c r="AA461" i="6" s="1"/>
  <c r="U568" i="6"/>
  <c r="T117" i="6"/>
  <c r="W117" i="6"/>
  <c r="Z117" i="6" s="1"/>
  <c r="AA117" i="6" s="1"/>
  <c r="U367" i="6"/>
  <c r="U301" i="6"/>
  <c r="U227" i="6"/>
  <c r="T598" i="6"/>
  <c r="W598" i="6"/>
  <c r="Z598" i="6" s="1"/>
  <c r="AA598" i="6" s="1"/>
  <c r="T467" i="6"/>
  <c r="W467" i="6"/>
  <c r="Z467" i="6" s="1"/>
  <c r="AA467" i="6" s="1"/>
  <c r="T115" i="6"/>
  <c r="W115" i="6"/>
  <c r="Z115" i="6" s="1"/>
  <c r="AA115" i="6" s="1"/>
  <c r="T380" i="6"/>
  <c r="W380" i="6"/>
  <c r="Z380" i="6" s="1"/>
  <c r="AA380" i="6" s="1"/>
  <c r="T51" i="6"/>
  <c r="W51" i="6"/>
  <c r="Z51" i="6" s="1"/>
  <c r="AA51" i="6" s="1"/>
  <c r="T399" i="6"/>
  <c r="W399" i="6"/>
  <c r="Z399" i="6" s="1"/>
  <c r="AA399" i="6" s="1"/>
  <c r="T576" i="6"/>
  <c r="W576" i="6"/>
  <c r="Z576" i="6" s="1"/>
  <c r="AA576" i="6" s="1"/>
  <c r="U576" i="6"/>
  <c r="T142" i="6"/>
  <c r="W142" i="6"/>
  <c r="Z142" i="6" s="1"/>
  <c r="AA142" i="6" s="1"/>
  <c r="U142" i="6"/>
  <c r="T409" i="6"/>
  <c r="U409" i="6"/>
  <c r="W409" i="6"/>
  <c r="Z409" i="6" s="1"/>
  <c r="AA409" i="6" s="1"/>
  <c r="T182" i="6"/>
  <c r="W182" i="6"/>
  <c r="Z182" i="6" s="1"/>
  <c r="AA182" i="6" s="1"/>
  <c r="T5" i="6"/>
  <c r="W5" i="6"/>
  <c r="Z5" i="6" s="1"/>
  <c r="AA5" i="6" s="1"/>
  <c r="T454" i="6"/>
  <c r="W454" i="6"/>
  <c r="Z454" i="6" s="1"/>
  <c r="AA454" i="6" s="1"/>
  <c r="T70" i="6"/>
  <c r="W70" i="6"/>
  <c r="Z70" i="6" s="1"/>
  <c r="AA70" i="6" s="1"/>
  <c r="T400" i="6"/>
  <c r="W400" i="6"/>
  <c r="Z400" i="6" s="1"/>
  <c r="AA400" i="6" s="1"/>
  <c r="T106" i="6"/>
  <c r="W106" i="6"/>
  <c r="Z106" i="6" s="1"/>
  <c r="AA106" i="6" s="1"/>
  <c r="U365" i="6"/>
  <c r="W55" i="6"/>
  <c r="Z55" i="6" s="1"/>
  <c r="AA55" i="6" s="1"/>
  <c r="T252" i="6"/>
  <c r="W252" i="6"/>
  <c r="Z252" i="6" s="1"/>
  <c r="AA252" i="6" s="1"/>
  <c r="U212" i="6"/>
  <c r="U246" i="6"/>
  <c r="T123" i="6"/>
  <c r="W123" i="6"/>
  <c r="Z123" i="6" s="1"/>
  <c r="AA123" i="6" s="1"/>
  <c r="U257" i="6"/>
  <c r="T114" i="6"/>
  <c r="W114" i="6"/>
  <c r="Z114" i="6" s="1"/>
  <c r="AA114" i="6" s="1"/>
  <c r="U296" i="6"/>
  <c r="T539" i="6"/>
  <c r="W539" i="6"/>
  <c r="Z539" i="6" s="1"/>
  <c r="AA539" i="6" s="1"/>
  <c r="T228" i="6"/>
  <c r="W228" i="6"/>
  <c r="Z228" i="6" s="1"/>
  <c r="AA228" i="6" s="1"/>
  <c r="U73" i="6"/>
  <c r="T501" i="6"/>
  <c r="W501" i="6"/>
  <c r="Z501" i="6" s="1"/>
  <c r="AA501" i="6" s="1"/>
  <c r="T87" i="6"/>
  <c r="W87" i="6"/>
  <c r="Z87" i="6" s="1"/>
  <c r="AA87" i="6" s="1"/>
  <c r="U519" i="6"/>
  <c r="T373" i="6"/>
  <c r="W373" i="6"/>
  <c r="Z373" i="6" s="1"/>
  <c r="AA373" i="6" s="1"/>
  <c r="T81" i="6"/>
  <c r="W81" i="6"/>
  <c r="Z81" i="6" s="1"/>
  <c r="AA81" i="6" s="1"/>
  <c r="T325" i="6"/>
  <c r="W325" i="6"/>
  <c r="Z325" i="6" s="1"/>
  <c r="AA325" i="6" s="1"/>
  <c r="T545" i="6"/>
  <c r="W545" i="6"/>
  <c r="Z545" i="6" s="1"/>
  <c r="AA545" i="6" s="1"/>
  <c r="T154" i="6"/>
  <c r="W154" i="6"/>
  <c r="Z154" i="6" s="1"/>
  <c r="AA154" i="6" s="1"/>
  <c r="U87" i="6"/>
  <c r="T484" i="6"/>
  <c r="W484" i="6"/>
  <c r="Z484" i="6" s="1"/>
  <c r="AA484" i="6" s="1"/>
  <c r="T102" i="6"/>
  <c r="W102" i="6"/>
  <c r="Z102" i="6" s="1"/>
  <c r="AA102" i="6" s="1"/>
  <c r="U228" i="6"/>
  <c r="T248" i="6"/>
  <c r="W248" i="6"/>
  <c r="Z248" i="6" s="1"/>
  <c r="AA248" i="6" s="1"/>
  <c r="T48" i="6"/>
  <c r="W48" i="6"/>
  <c r="Z48" i="6" s="1"/>
  <c r="AA48" i="6" s="1"/>
  <c r="T205" i="6"/>
  <c r="W205" i="6"/>
  <c r="Z205" i="6" s="1"/>
  <c r="AA205" i="6" s="1"/>
  <c r="T394" i="6"/>
  <c r="W394" i="6"/>
  <c r="Z394" i="6" s="1"/>
  <c r="AA394" i="6" s="1"/>
  <c r="T536" i="6"/>
  <c r="W536" i="6"/>
  <c r="Z536" i="6" s="1"/>
  <c r="AA536" i="6" s="1"/>
  <c r="T121" i="6"/>
  <c r="W121" i="6"/>
  <c r="Z121" i="6" s="1"/>
  <c r="AA121" i="6" s="1"/>
  <c r="T344" i="6"/>
  <c r="W344" i="6"/>
  <c r="Z344" i="6" s="1"/>
  <c r="AA344" i="6" s="1"/>
  <c r="T364" i="6"/>
  <c r="W364" i="6"/>
  <c r="Z364" i="6" s="1"/>
  <c r="AA364" i="6" s="1"/>
  <c r="T161" i="6"/>
  <c r="W161" i="6"/>
  <c r="Z161" i="6" s="1"/>
  <c r="AA161" i="6" s="1"/>
  <c r="U47" i="6"/>
  <c r="T306" i="6"/>
  <c r="W306" i="6"/>
  <c r="Z306" i="6" s="1"/>
  <c r="AA306" i="6" s="1"/>
  <c r="U123" i="6"/>
  <c r="U62" i="6"/>
  <c r="T17" i="6"/>
  <c r="W17" i="6"/>
  <c r="Z17" i="6" s="1"/>
  <c r="AA17" i="6" s="1"/>
  <c r="T372" i="6"/>
  <c r="W372" i="6"/>
  <c r="Z372" i="6" s="1"/>
  <c r="AA372" i="6" s="1"/>
  <c r="U372" i="6"/>
  <c r="T7" i="6"/>
  <c r="W7" i="6"/>
  <c r="Z7" i="6" s="1"/>
  <c r="AA7" i="6" s="1"/>
  <c r="U7" i="6"/>
  <c r="T590" i="6"/>
  <c r="W590" i="6"/>
  <c r="Z590" i="6" s="1"/>
  <c r="AA590" i="6" s="1"/>
  <c r="U590" i="6"/>
  <c r="T398" i="6"/>
  <c r="W398" i="6"/>
  <c r="Z398" i="6" s="1"/>
  <c r="AA398" i="6" s="1"/>
  <c r="U398" i="6"/>
  <c r="T128" i="6"/>
  <c r="W128" i="6"/>
  <c r="Z128" i="6" s="1"/>
  <c r="AA128" i="6" s="1"/>
  <c r="U128" i="6"/>
  <c r="T80" i="6"/>
  <c r="W80" i="6"/>
  <c r="Z80" i="6" s="1"/>
  <c r="AA80" i="6" s="1"/>
  <c r="U566" i="6"/>
  <c r="T258" i="6"/>
  <c r="W258" i="6"/>
  <c r="Z258" i="6" s="1"/>
  <c r="AA258" i="6" s="1"/>
  <c r="U266" i="6"/>
  <c r="T197" i="6"/>
  <c r="W197" i="6"/>
  <c r="Z197" i="6" s="1"/>
  <c r="AA197" i="6" s="1"/>
  <c r="U175" i="6"/>
  <c r="T125" i="6"/>
  <c r="W125" i="6"/>
  <c r="Z125" i="6" s="1"/>
  <c r="AA125" i="6" s="1"/>
  <c r="U75" i="6"/>
  <c r="T381" i="6"/>
  <c r="W381" i="6"/>
  <c r="Z381" i="6" s="1"/>
  <c r="AA381" i="6" s="1"/>
  <c r="T489" i="6"/>
  <c r="W489" i="6"/>
  <c r="Z489" i="6" s="1"/>
  <c r="AA489" i="6" s="1"/>
  <c r="T594" i="6"/>
  <c r="W594" i="6"/>
  <c r="Z594" i="6" s="1"/>
  <c r="AA594" i="6" s="1"/>
  <c r="T471" i="6"/>
  <c r="W471" i="6"/>
  <c r="Z471" i="6" s="1"/>
  <c r="AA471" i="6" s="1"/>
  <c r="U327" i="6"/>
  <c r="T280" i="6"/>
  <c r="W280" i="6"/>
  <c r="Z280" i="6" s="1"/>
  <c r="AA280" i="6" s="1"/>
  <c r="T375" i="6"/>
  <c r="W375" i="6"/>
  <c r="Z375" i="6" s="1"/>
  <c r="AA375" i="6" s="1"/>
  <c r="U369" i="6"/>
  <c r="U151" i="6"/>
  <c r="T259" i="6"/>
  <c r="W259" i="6"/>
  <c r="Z259" i="6" s="1"/>
  <c r="AA259" i="6" s="1"/>
  <c r="U383" i="6"/>
  <c r="T79" i="6"/>
  <c r="W79" i="6"/>
  <c r="Z79" i="6" s="1"/>
  <c r="AA79" i="6" s="1"/>
  <c r="T107" i="6"/>
  <c r="W107" i="6"/>
  <c r="Z107" i="6" s="1"/>
  <c r="AA107" i="6" s="1"/>
  <c r="T514" i="6"/>
  <c r="W514" i="6"/>
  <c r="Z514" i="6" s="1"/>
  <c r="AA514" i="6" s="1"/>
  <c r="T291" i="6"/>
  <c r="W291" i="6"/>
  <c r="Z291" i="6" s="1"/>
  <c r="AA291" i="6" s="1"/>
  <c r="T379" i="6"/>
  <c r="W379" i="6"/>
  <c r="Z379" i="6" s="1"/>
  <c r="AA379" i="6" s="1"/>
  <c r="U49" i="6"/>
  <c r="T147" i="6"/>
  <c r="W147" i="6"/>
  <c r="Z147" i="6" s="1"/>
  <c r="AA147" i="6" s="1"/>
  <c r="U139" i="6"/>
  <c r="U26" i="6"/>
  <c r="T21" i="6"/>
  <c r="W21" i="6"/>
  <c r="Z21" i="6" s="1"/>
  <c r="AA21" i="6" s="1"/>
  <c r="U98" i="6"/>
  <c r="U393" i="6"/>
  <c r="T318" i="6"/>
  <c r="W318" i="6"/>
  <c r="Z318" i="6" s="1"/>
  <c r="AA318" i="6" s="1"/>
  <c r="U558" i="6"/>
  <c r="T571" i="6"/>
  <c r="W571" i="6"/>
  <c r="Z571" i="6" s="1"/>
  <c r="AA571" i="6" s="1"/>
  <c r="T417" i="6"/>
  <c r="W417" i="6"/>
  <c r="Z417" i="6" s="1"/>
  <c r="AA417" i="6" s="1"/>
  <c r="U258" i="6"/>
  <c r="T271" i="6"/>
  <c r="W271" i="6"/>
  <c r="Z271" i="6" s="1"/>
  <c r="AA271" i="6" s="1"/>
  <c r="U150" i="6"/>
  <c r="T582" i="6"/>
  <c r="W582" i="6"/>
  <c r="Z582" i="6" s="1"/>
  <c r="AA582" i="6" s="1"/>
  <c r="T72" i="6"/>
  <c r="W72" i="6"/>
  <c r="Z72" i="6" s="1"/>
  <c r="AA72" i="6" s="1"/>
  <c r="U358" i="6"/>
  <c r="T458" i="6"/>
  <c r="W458" i="6"/>
  <c r="Z458" i="6" s="1"/>
  <c r="AA458" i="6" s="1"/>
  <c r="T183" i="6"/>
  <c r="W183" i="6"/>
  <c r="Z183" i="6" s="1"/>
  <c r="AA183" i="6" s="1"/>
  <c r="T164" i="6"/>
  <c r="W164" i="6"/>
  <c r="Z164" i="6" s="1"/>
  <c r="AA164" i="6" s="1"/>
  <c r="T434" i="6"/>
  <c r="W434" i="6"/>
  <c r="Z434" i="6" s="1"/>
  <c r="AA434" i="6" s="1"/>
  <c r="U472" i="6"/>
  <c r="T419" i="6"/>
  <c r="W419" i="6"/>
  <c r="Z419" i="6" s="1"/>
  <c r="AA419" i="6" s="1"/>
  <c r="U536" i="6"/>
  <c r="T194" i="6"/>
  <c r="W194" i="6"/>
  <c r="Z194" i="6" s="1"/>
  <c r="AA194" i="6" s="1"/>
  <c r="U506" i="6"/>
  <c r="T577" i="6"/>
  <c r="W577" i="6"/>
  <c r="Z577" i="6" s="1"/>
  <c r="AA577" i="6" s="1"/>
  <c r="T420" i="6"/>
  <c r="W420" i="6"/>
  <c r="Z420" i="6" s="1"/>
  <c r="AA420" i="6" s="1"/>
  <c r="U524" i="6"/>
  <c r="U168" i="6"/>
  <c r="U368" i="6"/>
  <c r="U376" i="6"/>
  <c r="U125" i="6"/>
  <c r="T513" i="6"/>
  <c r="W513" i="6"/>
  <c r="Z513" i="6" s="1"/>
  <c r="AA513" i="6" s="1"/>
  <c r="U489" i="6"/>
  <c r="T569" i="6"/>
  <c r="W569" i="6"/>
  <c r="Z569" i="6" s="1"/>
  <c r="AA569" i="6" s="1"/>
  <c r="U562" i="6"/>
  <c r="T331" i="6"/>
  <c r="W331" i="6"/>
  <c r="Z331" i="6" s="1"/>
  <c r="AA331" i="6" s="1"/>
  <c r="T236" i="6"/>
  <c r="W236" i="6"/>
  <c r="Z236" i="6" s="1"/>
  <c r="AA236" i="6" s="1"/>
  <c r="T12" i="6"/>
  <c r="W12" i="6"/>
  <c r="Z12" i="6" s="1"/>
  <c r="AA12" i="6" s="1"/>
  <c r="T422" i="6"/>
  <c r="W422" i="6"/>
  <c r="Z422" i="6" s="1"/>
  <c r="AA422" i="6" s="1"/>
  <c r="U595" i="6"/>
  <c r="U513" i="6"/>
  <c r="U182" i="6"/>
  <c r="T149" i="6"/>
  <c r="W149" i="6"/>
  <c r="Z149" i="6" s="1"/>
  <c r="AA149" i="6" s="1"/>
  <c r="T311" i="6"/>
  <c r="W311" i="6"/>
  <c r="Z311" i="6" s="1"/>
  <c r="AA311" i="6" s="1"/>
  <c r="U450" i="6"/>
  <c r="T225" i="6"/>
  <c r="W225" i="6"/>
  <c r="Z225" i="6" s="1"/>
  <c r="AA225" i="6" s="1"/>
  <c r="T209" i="6"/>
  <c r="W209" i="6"/>
  <c r="Z209" i="6" s="1"/>
  <c r="AA209" i="6" s="1"/>
  <c r="T126" i="6"/>
  <c r="W126" i="6"/>
  <c r="Z126" i="6" s="1"/>
  <c r="AA126" i="6" s="1"/>
  <c r="T451" i="6"/>
  <c r="W451" i="6"/>
  <c r="Z451" i="6" s="1"/>
  <c r="AA451" i="6" s="1"/>
  <c r="T23" i="6"/>
  <c r="W23" i="6"/>
  <c r="Z23" i="6" s="1"/>
  <c r="AA23" i="6" s="1"/>
  <c r="U290" i="6"/>
  <c r="U339" i="6"/>
  <c r="T202" i="6"/>
  <c r="W202" i="6"/>
  <c r="Z202" i="6" s="1"/>
  <c r="AA202" i="6" s="1"/>
  <c r="T265" i="6"/>
  <c r="W265" i="6"/>
  <c r="Z265" i="6" s="1"/>
  <c r="AA265" i="6" s="1"/>
  <c r="T546" i="6"/>
  <c r="W546" i="6"/>
  <c r="Z546" i="6" s="1"/>
  <c r="AA546" i="6" s="1"/>
  <c r="T170" i="6"/>
  <c r="W170" i="6"/>
  <c r="Z170" i="6" s="1"/>
  <c r="AA170" i="6" s="1"/>
  <c r="T441" i="6"/>
  <c r="W441" i="6"/>
  <c r="Z441" i="6" s="1"/>
  <c r="AA441" i="6" s="1"/>
  <c r="T69" i="6"/>
  <c r="W69" i="6"/>
  <c r="Z69" i="6" s="1"/>
  <c r="AA69" i="6" s="1"/>
  <c r="T86" i="6"/>
  <c r="W86" i="6"/>
  <c r="Z86" i="6" s="1"/>
  <c r="AA86" i="6" s="1"/>
  <c r="T254" i="6"/>
  <c r="W254" i="6"/>
  <c r="Z254" i="6" s="1"/>
  <c r="AA254" i="6" s="1"/>
  <c r="U66" i="6"/>
  <c r="U68" i="6"/>
  <c r="T104" i="6"/>
  <c r="W104" i="6"/>
  <c r="Z104" i="6" s="1"/>
  <c r="AA104" i="6" s="1"/>
  <c r="T97" i="6"/>
  <c r="W97" i="6"/>
  <c r="Z97" i="6" s="1"/>
  <c r="AA97" i="6" s="1"/>
  <c r="T261" i="6"/>
  <c r="W261" i="6"/>
  <c r="Z261" i="6" s="1"/>
  <c r="AA261" i="6" s="1"/>
  <c r="U145" i="6"/>
  <c r="T53" i="6"/>
  <c r="W53" i="6"/>
  <c r="Z53" i="6" s="1"/>
  <c r="AA53" i="6" s="1"/>
  <c r="T140" i="6"/>
  <c r="W140" i="6"/>
  <c r="Z140" i="6" s="1"/>
  <c r="AA140" i="6" s="1"/>
  <c r="T262" i="6"/>
  <c r="W262" i="6"/>
  <c r="Z262" i="6" s="1"/>
  <c r="AA262" i="6" s="1"/>
  <c r="T600" i="6"/>
  <c r="W600" i="6"/>
  <c r="Z600" i="6" s="1"/>
  <c r="AA600" i="6" s="1"/>
  <c r="T224" i="6"/>
  <c r="W224" i="6"/>
  <c r="Z224" i="6" s="1"/>
  <c r="AA224" i="6" s="1"/>
  <c r="U262" i="6"/>
  <c r="U599" i="6"/>
  <c r="T198" i="6"/>
  <c r="W198" i="6"/>
  <c r="Z198" i="6" s="1"/>
  <c r="AA198" i="6" s="1"/>
  <c r="T76" i="6"/>
  <c r="W76" i="6"/>
  <c r="Z76" i="6" s="1"/>
  <c r="AA76" i="6" s="1"/>
  <c r="U158" i="6"/>
  <c r="T273" i="6"/>
  <c r="W273" i="6"/>
  <c r="Z273" i="6" s="1"/>
  <c r="AA273" i="6" s="1"/>
  <c r="U438" i="6"/>
  <c r="U152" i="6"/>
  <c r="T41" i="6"/>
  <c r="W41" i="6"/>
  <c r="Z41" i="6" s="1"/>
  <c r="AA41" i="6" s="1"/>
  <c r="U99" i="6"/>
  <c r="T549" i="6"/>
  <c r="W549" i="6"/>
  <c r="Z549" i="6" s="1"/>
  <c r="AA549" i="6" s="1"/>
  <c r="U253" i="6"/>
  <c r="U522" i="6"/>
  <c r="U303" i="6"/>
  <c r="T423" i="6"/>
  <c r="U423" i="6"/>
  <c r="W423" i="6"/>
  <c r="Z423" i="6" s="1"/>
  <c r="AA423" i="6" s="1"/>
  <c r="T25" i="6"/>
  <c r="W25" i="6"/>
  <c r="Z25" i="6" s="1"/>
  <c r="AA25" i="6" s="1"/>
  <c r="U25" i="6"/>
  <c r="T526" i="6"/>
  <c r="W526" i="6"/>
  <c r="Z526" i="6" s="1"/>
  <c r="AA526" i="6" s="1"/>
  <c r="U526" i="6"/>
  <c r="T473" i="6"/>
  <c r="U473" i="6"/>
  <c r="W473" i="6"/>
  <c r="Z473" i="6" s="1"/>
  <c r="AA473" i="6" s="1"/>
  <c r="T14" i="6"/>
  <c r="W14" i="6"/>
  <c r="Z14" i="6" s="1"/>
  <c r="AA14" i="6" s="1"/>
  <c r="U14" i="6"/>
  <c r="T143" i="6"/>
  <c r="W143" i="6"/>
  <c r="Z143" i="6" s="1"/>
  <c r="AA143" i="6" s="1"/>
  <c r="T589" i="6"/>
  <c r="W589" i="6"/>
  <c r="Z589" i="6" s="1"/>
  <c r="AA589" i="6" s="1"/>
  <c r="T563" i="6"/>
  <c r="W563" i="6"/>
  <c r="Z563" i="6" s="1"/>
  <c r="AA563" i="6" s="1"/>
  <c r="T247" i="6"/>
  <c r="W247" i="6"/>
  <c r="Z247" i="6" s="1"/>
  <c r="AA247" i="6" s="1"/>
  <c r="U51" i="6"/>
  <c r="T144" i="6"/>
  <c r="W144" i="6"/>
  <c r="Z144" i="6" s="1"/>
  <c r="AA144" i="6" s="1"/>
  <c r="U23" i="6"/>
  <c r="T573" i="6"/>
  <c r="W573" i="6"/>
  <c r="Z573" i="6" s="1"/>
  <c r="AA573" i="6" s="1"/>
  <c r="U570" i="6"/>
  <c r="T234" i="6"/>
  <c r="W234" i="6"/>
  <c r="Z234" i="6" s="1"/>
  <c r="AA234" i="6" s="1"/>
  <c r="U501" i="6"/>
  <c r="T527" i="6"/>
  <c r="W527" i="6"/>
  <c r="Z527" i="6" s="1"/>
  <c r="AA527" i="6" s="1"/>
  <c r="T554" i="6"/>
  <c r="W554" i="6"/>
  <c r="Z554" i="6" s="1"/>
  <c r="AA554" i="6" s="1"/>
  <c r="T127" i="6"/>
  <c r="W127" i="6"/>
  <c r="Z127" i="6" s="1"/>
  <c r="AA127" i="6" s="1"/>
  <c r="U390" i="6"/>
  <c r="T335" i="6"/>
  <c r="W335" i="6"/>
  <c r="Z335" i="6" s="1"/>
  <c r="AA335" i="6" s="1"/>
  <c r="U186" i="6"/>
  <c r="U20" i="6"/>
  <c r="U60" i="6"/>
  <c r="U294" i="6"/>
  <c r="U333" i="6"/>
  <c r="U184" i="6"/>
  <c r="U70" i="6"/>
  <c r="U494" i="6"/>
  <c r="T425" i="6"/>
  <c r="W425" i="6"/>
  <c r="Z425" i="6" s="1"/>
  <c r="AA425" i="6" s="1"/>
  <c r="U278" i="6"/>
  <c r="T233" i="6"/>
  <c r="W233" i="6"/>
  <c r="Z233" i="6" s="1"/>
  <c r="AA233" i="6" s="1"/>
  <c r="T112" i="6"/>
  <c r="W112" i="6"/>
  <c r="Z112" i="6" s="1"/>
  <c r="AA112" i="6" s="1"/>
  <c r="T479" i="6"/>
  <c r="W479" i="6"/>
  <c r="Z479" i="6" s="1"/>
  <c r="AA479" i="6" s="1"/>
  <c r="T533" i="6"/>
  <c r="W533" i="6"/>
  <c r="Z533" i="6" s="1"/>
  <c r="AA533" i="6" s="1"/>
  <c r="U313" i="6"/>
  <c r="T520" i="6"/>
  <c r="W520" i="6"/>
  <c r="Z520" i="6" s="1"/>
  <c r="AA520" i="6" s="1"/>
  <c r="T329" i="6"/>
  <c r="W329" i="6"/>
  <c r="Z329" i="6" s="1"/>
  <c r="AA329" i="6" s="1"/>
  <c r="T220" i="6"/>
  <c r="W220" i="6"/>
  <c r="Z220" i="6" s="1"/>
  <c r="AA220" i="6" s="1"/>
  <c r="U439" i="6"/>
  <c r="T299" i="6"/>
  <c r="W299" i="6"/>
  <c r="Z299" i="6" s="1"/>
  <c r="AA299" i="6" s="1"/>
  <c r="T241" i="6"/>
  <c r="W241" i="6"/>
  <c r="Z241" i="6" s="1"/>
  <c r="AA241" i="6" s="1"/>
  <c r="T288" i="6"/>
  <c r="W288" i="6"/>
  <c r="Z288" i="6" s="1"/>
  <c r="AA288" i="6" s="1"/>
  <c r="T396" i="6"/>
  <c r="W396" i="6"/>
  <c r="Z396" i="6" s="1"/>
  <c r="AA396" i="6" s="1"/>
  <c r="T567" i="6"/>
  <c r="W567" i="6"/>
  <c r="Z567" i="6" s="1"/>
  <c r="AA567" i="6" s="1"/>
  <c r="U542" i="6"/>
  <c r="T408" i="6"/>
  <c r="W408" i="6"/>
  <c r="Z408" i="6" s="1"/>
  <c r="AA408" i="6" s="1"/>
  <c r="T402" i="6"/>
  <c r="W402" i="6"/>
  <c r="Z402" i="6" s="1"/>
  <c r="AA402" i="6" s="1"/>
  <c r="U567" i="6"/>
  <c r="T176" i="6"/>
  <c r="W176" i="6"/>
  <c r="Z176" i="6" s="1"/>
  <c r="AA176" i="6" s="1"/>
  <c r="U464" i="6"/>
  <c r="U280" i="6"/>
  <c r="U237" i="6"/>
  <c r="U84" i="6"/>
  <c r="U297" i="6"/>
  <c r="T535" i="6"/>
  <c r="W535" i="6"/>
  <c r="Z535" i="6" s="1"/>
  <c r="AA535" i="6" s="1"/>
  <c r="T328" i="6"/>
  <c r="W328" i="6"/>
  <c r="Z328" i="6" s="1"/>
  <c r="AA328" i="6" s="1"/>
  <c r="U381" i="6"/>
  <c r="T592" i="6"/>
  <c r="W592" i="6"/>
  <c r="Z592" i="6" s="1"/>
  <c r="AA592" i="6" s="1"/>
  <c r="T351" i="6"/>
  <c r="W351" i="6"/>
  <c r="Z351" i="6" s="1"/>
  <c r="AA351" i="6" s="1"/>
  <c r="T33" i="6"/>
  <c r="W33" i="6"/>
  <c r="Z33" i="6" s="1"/>
  <c r="AA33" i="6" s="1"/>
  <c r="U249" i="6"/>
  <c r="U144" i="6"/>
  <c r="T65" i="6"/>
  <c r="W65" i="6"/>
  <c r="Z65" i="6" s="1"/>
  <c r="AA65" i="6" s="1"/>
  <c r="U545" i="6"/>
  <c r="T348" i="6"/>
  <c r="W348" i="6"/>
  <c r="Z348" i="6" s="1"/>
  <c r="AA348" i="6" s="1"/>
  <c r="T518" i="6"/>
  <c r="W518" i="6"/>
  <c r="Z518" i="6" s="1"/>
  <c r="AA518" i="6" s="1"/>
  <c r="T427" i="6"/>
  <c r="W427" i="6"/>
  <c r="Z427" i="6" s="1"/>
  <c r="AA427" i="6" s="1"/>
  <c r="U340" i="6"/>
  <c r="T40" i="6"/>
  <c r="W40" i="6"/>
  <c r="Z40" i="6" s="1"/>
  <c r="AA40" i="6" s="1"/>
  <c r="U330" i="6"/>
  <c r="T105" i="6"/>
  <c r="W105" i="6"/>
  <c r="Z105" i="6" s="1"/>
  <c r="AA105" i="6" s="1"/>
  <c r="T88" i="6"/>
  <c r="W88" i="6"/>
  <c r="Z88" i="6" s="1"/>
  <c r="AA88" i="6" s="1"/>
  <c r="T337" i="6"/>
  <c r="W337" i="6"/>
  <c r="Z337" i="6" s="1"/>
  <c r="AA337" i="6" s="1"/>
  <c r="T100" i="6"/>
  <c r="W100" i="6"/>
  <c r="Z100" i="6" s="1"/>
  <c r="AA100" i="6" s="1"/>
  <c r="T442" i="6"/>
  <c r="W442" i="6"/>
  <c r="Z442" i="6" s="1"/>
  <c r="AA442" i="6" s="1"/>
  <c r="T320" i="6"/>
  <c r="W320" i="6"/>
  <c r="Z320" i="6" s="1"/>
  <c r="AA320" i="6" s="1"/>
  <c r="U320" i="6"/>
  <c r="T251" i="6"/>
  <c r="W251" i="6"/>
  <c r="Z251" i="6" s="1"/>
  <c r="AA251" i="6" s="1"/>
  <c r="T449" i="6"/>
  <c r="W449" i="6"/>
  <c r="Z449" i="6" s="1"/>
  <c r="AA449" i="6" s="1"/>
  <c r="T531" i="6"/>
  <c r="W531" i="6"/>
  <c r="Z531" i="6" s="1"/>
  <c r="AA531" i="6" s="1"/>
  <c r="T191" i="6"/>
  <c r="W191" i="6"/>
  <c r="Z191" i="6" s="1"/>
  <c r="AA191" i="6" s="1"/>
  <c r="T307" i="6"/>
  <c r="W307" i="6"/>
  <c r="Z307" i="6" s="1"/>
  <c r="AA307" i="6" s="1"/>
  <c r="T510" i="6"/>
  <c r="W510" i="6"/>
  <c r="Z510" i="6" s="1"/>
  <c r="AA510" i="6" s="1"/>
  <c r="U465" i="6"/>
  <c r="T478" i="6"/>
  <c r="W478" i="6"/>
  <c r="Z478" i="6" s="1"/>
  <c r="AA478" i="6" s="1"/>
  <c r="T456" i="6"/>
  <c r="W456" i="6"/>
  <c r="Z456" i="6" s="1"/>
  <c r="AA456" i="6" s="1"/>
  <c r="U598" i="6"/>
  <c r="T44" i="6"/>
  <c r="W44" i="6"/>
  <c r="Z44" i="6" s="1"/>
  <c r="AA44" i="6" s="1"/>
  <c r="T35" i="6"/>
  <c r="W35" i="6"/>
  <c r="Z35" i="6" s="1"/>
  <c r="AA35" i="6" s="1"/>
  <c r="T285" i="6"/>
  <c r="W285" i="6"/>
  <c r="Z285" i="6" s="1"/>
  <c r="AA285" i="6" s="1"/>
  <c r="T222" i="6"/>
  <c r="W222" i="6"/>
  <c r="Z222" i="6" s="1"/>
  <c r="AA222" i="6" s="1"/>
  <c r="T207" i="6"/>
  <c r="W207" i="6"/>
  <c r="Z207" i="6" s="1"/>
  <c r="AA207" i="6" s="1"/>
  <c r="T59" i="6"/>
  <c r="W59" i="6"/>
  <c r="Z59" i="6" s="1"/>
  <c r="AA59" i="6" s="1"/>
  <c r="U441" i="6"/>
  <c r="T357" i="6"/>
  <c r="W357" i="6"/>
  <c r="Z357" i="6" s="1"/>
  <c r="AA357" i="6" s="1"/>
  <c r="T476" i="6"/>
  <c r="W476" i="6"/>
  <c r="Z476" i="6" s="1"/>
  <c r="AA476" i="6" s="1"/>
  <c r="T83" i="6"/>
  <c r="W83" i="6"/>
  <c r="Z83" i="6" s="1"/>
  <c r="AA83" i="6" s="1"/>
  <c r="T326" i="6"/>
  <c r="W326" i="6"/>
  <c r="Z326" i="6" s="1"/>
  <c r="AA326" i="6" s="1"/>
  <c r="U476" i="6"/>
  <c r="T457" i="6"/>
  <c r="W457" i="6"/>
  <c r="Z457" i="6" s="1"/>
  <c r="AA457" i="6" s="1"/>
  <c r="T146" i="6"/>
  <c r="W146" i="6"/>
  <c r="Z146" i="6" s="1"/>
  <c r="AA146" i="6" s="1"/>
  <c r="T530" i="6"/>
  <c r="W530" i="6"/>
  <c r="Z530" i="6" s="1"/>
  <c r="AA530" i="6" s="1"/>
  <c r="T560" i="6"/>
  <c r="W560" i="6"/>
  <c r="Z560" i="6" s="1"/>
  <c r="AA560" i="6" s="1"/>
  <c r="T96" i="6"/>
  <c r="W96" i="6"/>
  <c r="Z96" i="6" s="1"/>
  <c r="AA96" i="6" s="1"/>
  <c r="T521" i="6"/>
  <c r="W521" i="6"/>
  <c r="Z521" i="6" s="1"/>
  <c r="AA521" i="6" s="1"/>
  <c r="T38" i="6"/>
  <c r="W38" i="6"/>
  <c r="Z38" i="6" s="1"/>
  <c r="AA38" i="6" s="1"/>
  <c r="U57" i="6"/>
  <c r="U261" i="6"/>
  <c r="T586" i="6"/>
  <c r="W586" i="6"/>
  <c r="Z586" i="6" s="1"/>
  <c r="AA586" i="6" s="1"/>
  <c r="T165" i="6"/>
  <c r="W165" i="6"/>
  <c r="Z165" i="6" s="1"/>
  <c r="AA165" i="6" s="1"/>
  <c r="U240" i="6"/>
  <c r="U480" i="6"/>
  <c r="T263" i="6"/>
  <c r="W263" i="6"/>
  <c r="Z263" i="6" s="1"/>
  <c r="AA263" i="6" s="1"/>
  <c r="T352" i="6"/>
  <c r="W352" i="6"/>
  <c r="Z352" i="6" s="1"/>
  <c r="AA352" i="6" s="1"/>
  <c r="U263" i="6"/>
  <c r="T322" i="6"/>
  <c r="W322" i="6"/>
  <c r="Z322" i="6" s="1"/>
  <c r="AA322" i="6" s="1"/>
  <c r="T15" i="6"/>
  <c r="W15" i="6"/>
  <c r="Z15" i="6" s="1"/>
  <c r="AA15" i="6" s="1"/>
  <c r="U48" i="6"/>
  <c r="T213" i="6"/>
  <c r="W213" i="6"/>
  <c r="Z213" i="6" s="1"/>
  <c r="AA213" i="6" s="1"/>
  <c r="T401" i="6"/>
  <c r="W401" i="6"/>
  <c r="Z401" i="6" s="1"/>
  <c r="AA401" i="6" s="1"/>
  <c r="U199" i="6"/>
  <c r="T167" i="6"/>
  <c r="W167" i="6"/>
  <c r="Z167" i="6" s="1"/>
  <c r="AA167" i="6" s="1"/>
  <c r="U167" i="6"/>
  <c r="T515" i="6"/>
  <c r="W515" i="6"/>
  <c r="Z515" i="6" s="1"/>
  <c r="AA515" i="6" s="1"/>
  <c r="T421" i="6"/>
  <c r="W421" i="6"/>
  <c r="Z421" i="6" s="1"/>
  <c r="AA421" i="6" s="1"/>
  <c r="U198" i="6"/>
  <c r="T509" i="6"/>
  <c r="W509" i="6"/>
  <c r="Z509" i="6" s="1"/>
  <c r="AA509" i="6" s="1"/>
  <c r="T217" i="6"/>
  <c r="W217" i="6"/>
  <c r="Z217" i="6" s="1"/>
  <c r="AA217" i="6" s="1"/>
  <c r="U217" i="6"/>
  <c r="T64" i="6"/>
  <c r="W64" i="6"/>
  <c r="Z64" i="6" s="1"/>
  <c r="AA64" i="6" s="1"/>
  <c r="U64" i="6"/>
  <c r="T231" i="6"/>
  <c r="W231" i="6"/>
  <c r="Z231" i="6" s="1"/>
  <c r="AA231" i="6" s="1"/>
  <c r="U231" i="6"/>
  <c r="T206" i="6"/>
  <c r="W206" i="6"/>
  <c r="Z206" i="6" s="1"/>
  <c r="AA206" i="6" s="1"/>
  <c r="U206" i="6"/>
  <c r="T512" i="6"/>
  <c r="W512" i="6"/>
  <c r="Z512" i="6" s="1"/>
  <c r="AA512" i="6" s="1"/>
  <c r="U512" i="6"/>
  <c r="T443" i="6"/>
  <c r="W443" i="6"/>
  <c r="Z443" i="6" s="1"/>
  <c r="AA443" i="6" s="1"/>
  <c r="U335" i="6"/>
  <c r="T413" i="6"/>
  <c r="W413" i="6"/>
  <c r="Z413" i="6" s="1"/>
  <c r="AA413" i="6" s="1"/>
  <c r="U235" i="6"/>
  <c r="T77" i="6"/>
  <c r="W77" i="6"/>
  <c r="Z77" i="6" s="1"/>
  <c r="AA77" i="6" s="1"/>
  <c r="T132" i="6"/>
  <c r="W132" i="6"/>
  <c r="Z132" i="6" s="1"/>
  <c r="AA132" i="6" s="1"/>
  <c r="T555" i="6"/>
  <c r="W555" i="6"/>
  <c r="Z555" i="6" s="1"/>
  <c r="AA555" i="6" s="1"/>
  <c r="U203" i="6"/>
  <c r="U527" i="6"/>
  <c r="T388" i="6"/>
  <c r="W388" i="6"/>
  <c r="Z388" i="6" s="1"/>
  <c r="AA388" i="6" s="1"/>
  <c r="U389" i="6"/>
  <c r="U540" i="6"/>
  <c r="U380" i="6"/>
  <c r="U181" i="6"/>
  <c r="U190" i="6"/>
  <c r="T110" i="6"/>
  <c r="W110" i="6"/>
  <c r="Z110" i="6" s="1"/>
  <c r="AA110" i="6" s="1"/>
  <c r="U593" i="6"/>
  <c r="T8" i="6"/>
  <c r="W8" i="6"/>
  <c r="Z8" i="6" s="1"/>
  <c r="AA8" i="6" s="1"/>
  <c r="T460" i="6"/>
  <c r="W460" i="6"/>
  <c r="Z460" i="6" s="1"/>
  <c r="AA460" i="6" s="1"/>
  <c r="U191" i="6"/>
  <c r="U5" i="6"/>
  <c r="U371" i="6"/>
  <c r="T315" i="6"/>
  <c r="W315" i="6"/>
  <c r="Z315" i="6" s="1"/>
  <c r="AA315" i="6" s="1"/>
  <c r="T324" i="6"/>
  <c r="W324" i="6"/>
  <c r="Z324" i="6" s="1"/>
  <c r="AA324" i="6" s="1"/>
  <c r="U35" i="6"/>
  <c r="T341" i="6"/>
  <c r="W341" i="6"/>
  <c r="Z341" i="6" s="1"/>
  <c r="AA341" i="6" s="1"/>
  <c r="T525" i="6"/>
  <c r="W525" i="6"/>
  <c r="Z525" i="6" s="1"/>
  <c r="AA525" i="6" s="1"/>
  <c r="U591" i="6"/>
  <c r="U107" i="6"/>
  <c r="T119" i="6"/>
  <c r="W119" i="6"/>
  <c r="Z119" i="6" s="1"/>
  <c r="AA119" i="6" s="1"/>
  <c r="U9" i="6"/>
  <c r="U325" i="6"/>
  <c r="T347" i="6"/>
  <c r="W347" i="6"/>
  <c r="Z347" i="6" s="1"/>
  <c r="AA347" i="6" s="1"/>
  <c r="U230" i="6"/>
  <c r="U77" i="6"/>
  <c r="T392" i="6"/>
  <c r="W392" i="6"/>
  <c r="Z392" i="6" s="1"/>
  <c r="AA392" i="6" s="1"/>
  <c r="T544" i="6"/>
  <c r="W544" i="6"/>
  <c r="Z544" i="6" s="1"/>
  <c r="AA544" i="6" s="1"/>
  <c r="T292" i="6"/>
  <c r="W292" i="6"/>
  <c r="Z292" i="6" s="1"/>
  <c r="AA292" i="6" s="1"/>
  <c r="T195" i="6"/>
  <c r="W195" i="6"/>
  <c r="Z195" i="6" s="1"/>
  <c r="AA195" i="6" s="1"/>
  <c r="T239" i="6"/>
  <c r="W239" i="6"/>
  <c r="Z239" i="6" s="1"/>
  <c r="AA239" i="6" s="1"/>
  <c r="U34" i="6"/>
  <c r="T483" i="6"/>
  <c r="W483" i="6"/>
  <c r="Z483" i="6" s="1"/>
  <c r="AA483" i="6" s="1"/>
  <c r="U193" i="6"/>
  <c r="T418" i="6"/>
  <c r="W418" i="6"/>
  <c r="Z418" i="6" s="1"/>
  <c r="AA418" i="6" s="1"/>
  <c r="U319" i="6"/>
  <c r="T543" i="6"/>
  <c r="W543" i="6"/>
  <c r="Z543" i="6" s="1"/>
  <c r="AA543" i="6" s="1"/>
  <c r="T507" i="6"/>
  <c r="W507" i="6"/>
  <c r="Z507" i="6" s="1"/>
  <c r="AA507" i="6" s="1"/>
  <c r="T343" i="6"/>
  <c r="W343" i="6"/>
  <c r="Z343" i="6" s="1"/>
  <c r="AA343" i="6" s="1"/>
  <c r="U306" i="6"/>
  <c r="T27" i="6"/>
  <c r="W27" i="6"/>
  <c r="Z27" i="6" s="1"/>
  <c r="AA27" i="6" s="1"/>
  <c r="T426" i="6"/>
  <c r="W426" i="6"/>
  <c r="Z426" i="6" s="1"/>
  <c r="AA426" i="6" s="1"/>
  <c r="U183" i="6"/>
  <c r="T289" i="6"/>
  <c r="W289" i="6"/>
  <c r="Z289" i="6" s="1"/>
  <c r="AA289" i="6" s="1"/>
  <c r="U401" i="6"/>
  <c r="U121" i="6"/>
  <c r="U363" i="6"/>
  <c r="T378" i="6"/>
  <c r="W378" i="6"/>
  <c r="Z378" i="6" s="1"/>
  <c r="AA378" i="6" s="1"/>
  <c r="T156" i="6"/>
  <c r="W156" i="6"/>
  <c r="Z156" i="6" s="1"/>
  <c r="AA156" i="6" s="1"/>
  <c r="T349" i="6"/>
  <c r="W349" i="6"/>
  <c r="Z349" i="6" s="1"/>
  <c r="AA349" i="6" s="1"/>
  <c r="U356" i="6"/>
  <c r="U8" i="6"/>
  <c r="U414" i="6"/>
  <c r="T274" i="6"/>
  <c r="W274" i="6"/>
  <c r="Z274" i="6" s="1"/>
  <c r="AA274" i="6" s="1"/>
  <c r="T226" i="6"/>
  <c r="W226" i="6"/>
  <c r="Z226" i="6" s="1"/>
  <c r="AA226" i="6" s="1"/>
  <c r="T474" i="6"/>
  <c r="W474" i="6"/>
  <c r="Z474" i="6" s="1"/>
  <c r="AA474" i="6" s="1"/>
  <c r="U505" i="6"/>
  <c r="T92" i="6"/>
  <c r="W92" i="6"/>
  <c r="Z92" i="6" s="1"/>
  <c r="AA92" i="6" s="1"/>
  <c r="T534" i="6"/>
  <c r="W534" i="6"/>
  <c r="Z534" i="6" s="1"/>
  <c r="AA534" i="6" s="1"/>
  <c r="T4" i="6"/>
  <c r="W4" i="6"/>
  <c r="Z4" i="6" s="1"/>
  <c r="AA4" i="6" s="1"/>
  <c r="U10" i="6"/>
  <c r="U395" i="6"/>
  <c r="U90" i="6"/>
  <c r="U111" i="6"/>
  <c r="T148" i="6"/>
  <c r="W148" i="6"/>
  <c r="Z148" i="6" s="1"/>
  <c r="AA148" i="6" s="1"/>
  <c r="U323" i="6"/>
  <c r="T550" i="6"/>
  <c r="W550" i="6"/>
  <c r="Z550" i="6" s="1"/>
  <c r="AA550" i="6" s="1"/>
  <c r="U216" i="6"/>
  <c r="T242" i="6"/>
  <c r="W242" i="6"/>
  <c r="Z242" i="6" s="1"/>
  <c r="AA242" i="6" s="1"/>
  <c r="T283" i="6"/>
  <c r="W283" i="6"/>
  <c r="Z283" i="6" s="1"/>
  <c r="AA283" i="6" s="1"/>
  <c r="U565" i="6"/>
  <c r="T496" i="6"/>
  <c r="W496" i="6"/>
  <c r="Z496" i="6" s="1"/>
  <c r="AA496" i="6" s="1"/>
  <c r="T495" i="6"/>
  <c r="W495" i="6"/>
  <c r="Z495" i="6" s="1"/>
  <c r="AA495" i="6" s="1"/>
  <c r="T122" i="6"/>
  <c r="W122" i="6"/>
  <c r="Z122" i="6" s="1"/>
  <c r="AA122" i="6" s="1"/>
  <c r="U115" i="6"/>
  <c r="T42" i="6"/>
  <c r="W42" i="6"/>
  <c r="Z42" i="6" s="1"/>
  <c r="AA42" i="6" s="1"/>
  <c r="T134" i="6"/>
  <c r="W134" i="6"/>
  <c r="Z134" i="6" s="1"/>
  <c r="AA134" i="6" s="1"/>
  <c r="T446" i="6"/>
  <c r="W446" i="6"/>
  <c r="Z446" i="6" s="1"/>
  <c r="AA446" i="6" s="1"/>
  <c r="U400" i="6"/>
  <c r="U577" i="6"/>
  <c r="U437" i="6"/>
  <c r="U446" i="6"/>
  <c r="Q2" i="6"/>
  <c r="W2" i="3"/>
  <c r="W3" i="3"/>
  <c r="U3" i="3"/>
  <c r="U2" i="3"/>
  <c r="T55" i="6" l="1"/>
  <c r="W157" i="6"/>
  <c r="Z157" i="6" s="1"/>
  <c r="AA157" i="6" s="1"/>
  <c r="W488" i="6"/>
  <c r="Z488" i="6" s="1"/>
  <c r="AA488" i="6" s="1"/>
  <c r="T366" i="6"/>
  <c r="U488" i="6"/>
  <c r="W61" i="6"/>
  <c r="Z61" i="6" s="1"/>
  <c r="AA61" i="6" s="1"/>
  <c r="T61" i="6"/>
  <c r="B17" i="6"/>
  <c r="W486" i="6"/>
  <c r="Z486" i="6" s="1"/>
  <c r="AA486" i="6" s="1"/>
  <c r="B31" i="6"/>
  <c r="T486" i="6"/>
  <c r="W189" i="6"/>
  <c r="Z189" i="6" s="1"/>
  <c r="AA189" i="6" s="1"/>
  <c r="B32" i="6"/>
  <c r="T189" i="6"/>
  <c r="Z2" i="6"/>
  <c r="AA2" i="6" s="1"/>
  <c r="B18" i="6"/>
  <c r="B14" i="6"/>
  <c r="U2" i="6"/>
  <c r="P2" i="6"/>
  <c r="B13" i="6"/>
  <c r="B51" i="6" l="1"/>
  <c r="B50" i="6"/>
  <c r="T2" i="6"/>
  <c r="B34" i="6"/>
  <c r="B33" i="6"/>
  <c r="B16" i="6"/>
  <c r="B15" i="6"/>
  <c r="B44" i="6" l="1"/>
  <c r="B37" i="6"/>
  <c r="B38" i="6"/>
  <c r="B36" i="6"/>
  <c r="B35" i="6"/>
  <c r="B45" i="6" l="1"/>
  <c r="V3" i="6" s="1"/>
  <c r="V2" i="6" l="1"/>
  <c r="V518" i="6"/>
  <c r="X518" i="6" s="1"/>
  <c r="V530" i="6"/>
  <c r="V290" i="6"/>
  <c r="Y290" i="6" s="1"/>
  <c r="V560" i="6"/>
  <c r="V449" i="6"/>
  <c r="V207" i="6"/>
  <c r="V432" i="6"/>
  <c r="Y432" i="6" s="1"/>
  <c r="V536" i="6"/>
  <c r="X536" i="6" s="1"/>
  <c r="V306" i="6"/>
  <c r="X306" i="6" s="1"/>
  <c r="V193" i="6"/>
  <c r="V584" i="6"/>
  <c r="X584" i="6" s="1"/>
  <c r="V400" i="6"/>
  <c r="V601" i="6"/>
  <c r="V296" i="6"/>
  <c r="V58" i="6"/>
  <c r="Y58" i="6" s="1"/>
  <c r="V40" i="6"/>
  <c r="Y40" i="6" s="1"/>
  <c r="V550" i="6"/>
  <c r="Y550" i="6" s="1"/>
  <c r="V392" i="6"/>
  <c r="V448" i="6"/>
  <c r="Y448" i="6" s="1"/>
  <c r="V401" i="6"/>
  <c r="V145" i="6"/>
  <c r="V248" i="6"/>
  <c r="V591" i="6"/>
  <c r="Y591" i="6" s="1"/>
  <c r="V143" i="6"/>
  <c r="Y143" i="6" s="1"/>
  <c r="V384" i="6"/>
  <c r="Y384" i="6" s="1"/>
  <c r="V385" i="6"/>
  <c r="V575" i="6"/>
  <c r="X575" i="6" s="1"/>
  <c r="V79" i="6"/>
  <c r="V554" i="6"/>
  <c r="V537" i="6"/>
  <c r="V480" i="6"/>
  <c r="Y480" i="6" s="1"/>
  <c r="V577" i="6"/>
  <c r="X577" i="6" s="1"/>
  <c r="V18" i="6"/>
  <c r="X18" i="6" s="1"/>
  <c r="V337" i="6"/>
  <c r="V81" i="6"/>
  <c r="X81" i="6" s="1"/>
  <c r="V184" i="6"/>
  <c r="V527" i="6"/>
  <c r="V15" i="6"/>
  <c r="V376" i="6"/>
  <c r="X376" i="6" s="1"/>
  <c r="V574" i="6"/>
  <c r="X574" i="6" s="1"/>
  <c r="V321" i="6"/>
  <c r="X321" i="6" s="1"/>
  <c r="V65" i="6"/>
  <c r="V168" i="6"/>
  <c r="X168" i="6" s="1"/>
  <c r="V463" i="6"/>
  <c r="V454" i="6"/>
  <c r="V545" i="6"/>
  <c r="V586" i="6"/>
  <c r="X586" i="6" s="1"/>
  <c r="V368" i="6"/>
  <c r="Y368" i="6" s="1"/>
  <c r="V464" i="6"/>
  <c r="X464" i="6" s="1"/>
  <c r="V234" i="6"/>
  <c r="X234" i="6" s="1"/>
  <c r="V418" i="6"/>
  <c r="V466" i="6"/>
  <c r="V273" i="6"/>
  <c r="V17" i="6"/>
  <c r="V120" i="6"/>
  <c r="Y120" i="6" s="1"/>
  <c r="V399" i="6"/>
  <c r="Y399" i="6" s="1"/>
  <c r="V390" i="6"/>
  <c r="V232" i="6"/>
  <c r="Y232" i="6" s="1"/>
  <c r="V505" i="6"/>
  <c r="Y505" i="6" s="1"/>
  <c r="V602" i="6"/>
  <c r="V314" i="6"/>
  <c r="V106" i="6"/>
  <c r="V346" i="6"/>
  <c r="X346" i="6" s="1"/>
  <c r="V410" i="6"/>
  <c r="X410" i="6" s="1"/>
  <c r="V257" i="6"/>
  <c r="Y257" i="6" s="1"/>
  <c r="V360" i="6"/>
  <c r="V104" i="6"/>
  <c r="X104" i="6" s="1"/>
  <c r="V335" i="6"/>
  <c r="V326" i="6"/>
  <c r="V129" i="6"/>
  <c r="V362" i="6"/>
  <c r="Y362" i="6" s="1"/>
  <c r="V570" i="6"/>
  <c r="X570" i="6" s="1"/>
  <c r="V258" i="6"/>
  <c r="Y258" i="6" s="1"/>
  <c r="V465" i="6"/>
  <c r="V186" i="6"/>
  <c r="X186" i="6" s="1"/>
  <c r="V562" i="6"/>
  <c r="V592" i="6"/>
  <c r="V74" i="6"/>
  <c r="V209" i="6"/>
  <c r="X209" i="6" s="1"/>
  <c r="V312" i="6"/>
  <c r="Y312" i="6" s="1"/>
  <c r="V56" i="6"/>
  <c r="X56" i="6" s="1"/>
  <c r="V271" i="6"/>
  <c r="V262" i="6"/>
  <c r="X262" i="6" s="1"/>
  <c r="Y3" i="6"/>
  <c r="X3" i="6"/>
  <c r="Y577" i="6"/>
  <c r="Y337" i="6"/>
  <c r="X337" i="6"/>
  <c r="Y554" i="6"/>
  <c r="X554" i="6"/>
  <c r="X290" i="6"/>
  <c r="X384" i="6"/>
  <c r="Y385" i="6"/>
  <c r="X385" i="6"/>
  <c r="X193" i="6"/>
  <c r="Y193" i="6"/>
  <c r="Y65" i="6"/>
  <c r="X65" i="6"/>
  <c r="Y104" i="6"/>
  <c r="V511" i="6"/>
  <c r="V447" i="6"/>
  <c r="V383" i="6"/>
  <c r="V319" i="6"/>
  <c r="V255" i="6"/>
  <c r="V191" i="6"/>
  <c r="V127" i="6"/>
  <c r="V63" i="6"/>
  <c r="V502" i="6"/>
  <c r="V438" i="6"/>
  <c r="V374" i="6"/>
  <c r="V310" i="6"/>
  <c r="V246" i="6"/>
  <c r="V182" i="6"/>
  <c r="V118" i="6"/>
  <c r="V54" i="6"/>
  <c r="V589" i="6"/>
  <c r="V525" i="6"/>
  <c r="V461" i="6"/>
  <c r="V397" i="6"/>
  <c r="V333" i="6"/>
  <c r="V269" i="6"/>
  <c r="V205" i="6"/>
  <c r="V141" i="6"/>
  <c r="V77" i="6"/>
  <c r="V13" i="6"/>
  <c r="V548" i="6"/>
  <c r="V484" i="6"/>
  <c r="V420" i="6"/>
  <c r="V356" i="6"/>
  <c r="V292" i="6"/>
  <c r="V228" i="6"/>
  <c r="V164" i="6"/>
  <c r="V100" i="6"/>
  <c r="V36" i="6"/>
  <c r="V571" i="6"/>
  <c r="V507" i="6"/>
  <c r="V443" i="6"/>
  <c r="V379" i="6"/>
  <c r="V315" i="6"/>
  <c r="V251" i="6"/>
  <c r="V187" i="6"/>
  <c r="V123" i="6"/>
  <c r="V59" i="6"/>
  <c r="V522" i="6"/>
  <c r="V520" i="6"/>
  <c r="V488" i="6"/>
  <c r="V538" i="6"/>
  <c r="V50" i="6"/>
  <c r="V482" i="6"/>
  <c r="V122" i="6"/>
  <c r="V498" i="6"/>
  <c r="V170" i="6"/>
  <c r="V514" i="6"/>
  <c r="V226" i="6"/>
  <c r="V529" i="6"/>
  <c r="V282" i="6"/>
  <c r="V544" i="6"/>
  <c r="V338" i="6"/>
  <c r="V558" i="6"/>
  <c r="V378" i="6"/>
  <c r="V441" i="6"/>
  <c r="V377" i="6"/>
  <c r="V313" i="6"/>
  <c r="V249" i="6"/>
  <c r="V185" i="6"/>
  <c r="V121" i="6"/>
  <c r="V57" i="6"/>
  <c r="V352" i="6"/>
  <c r="V288" i="6"/>
  <c r="V224" i="6"/>
  <c r="V160" i="6"/>
  <c r="V96" i="6"/>
  <c r="V32" i="6"/>
  <c r="V567" i="6"/>
  <c r="V503" i="6"/>
  <c r="V439" i="6"/>
  <c r="V375" i="6"/>
  <c r="V311" i="6"/>
  <c r="V247" i="6"/>
  <c r="V183" i="6"/>
  <c r="V119" i="6"/>
  <c r="V55" i="6"/>
  <c r="V494" i="6"/>
  <c r="V430" i="6"/>
  <c r="V366" i="6"/>
  <c r="V302" i="6"/>
  <c r="V238" i="6"/>
  <c r="V174" i="6"/>
  <c r="V110" i="6"/>
  <c r="V46" i="6"/>
  <c r="V581" i="6"/>
  <c r="V517" i="6"/>
  <c r="V453" i="6"/>
  <c r="V389" i="6"/>
  <c r="V325" i="6"/>
  <c r="V261" i="6"/>
  <c r="V197" i="6"/>
  <c r="V133" i="6"/>
  <c r="V69" i="6"/>
  <c r="V5" i="6"/>
  <c r="V540" i="6"/>
  <c r="V476" i="6"/>
  <c r="V412" i="6"/>
  <c r="V348" i="6"/>
  <c r="V284" i="6"/>
  <c r="V220" i="6"/>
  <c r="V156" i="6"/>
  <c r="V92" i="6"/>
  <c r="V28" i="6"/>
  <c r="V563" i="6"/>
  <c r="V499" i="6"/>
  <c r="V435" i="6"/>
  <c r="V371" i="6"/>
  <c r="V307" i="6"/>
  <c r="V243" i="6"/>
  <c r="V179" i="6"/>
  <c r="V115" i="6"/>
  <c r="V51" i="6"/>
  <c r="X400" i="6"/>
  <c r="Y400" i="6"/>
  <c r="X362" i="6"/>
  <c r="X448" i="6"/>
  <c r="Y273" i="6"/>
  <c r="X273" i="6"/>
  <c r="X184" i="6"/>
  <c r="Y184" i="6"/>
  <c r="Y586" i="6"/>
  <c r="Y306" i="6"/>
  <c r="X530" i="6"/>
  <c r="Y530" i="6"/>
  <c r="X129" i="6"/>
  <c r="Y129" i="6"/>
  <c r="V162" i="6"/>
  <c r="V274" i="6"/>
  <c r="V305" i="6"/>
  <c r="V280" i="6"/>
  <c r="V24" i="6"/>
  <c r="V367" i="6"/>
  <c r="V47" i="6"/>
  <c r="V166" i="6"/>
  <c r="V573" i="6"/>
  <c r="V445" i="6"/>
  <c r="V381" i="6"/>
  <c r="V317" i="6"/>
  <c r="V125" i="6"/>
  <c r="V596" i="6"/>
  <c r="V532" i="6"/>
  <c r="V468" i="6"/>
  <c r="V404" i="6"/>
  <c r="V340" i="6"/>
  <c r="V276" i="6"/>
  <c r="V212" i="6"/>
  <c r="V148" i="6"/>
  <c r="V84" i="6"/>
  <c r="V20" i="6"/>
  <c r="V555" i="6"/>
  <c r="V491" i="6"/>
  <c r="V427" i="6"/>
  <c r="V363" i="6"/>
  <c r="V299" i="6"/>
  <c r="V235" i="6"/>
  <c r="V171" i="6"/>
  <c r="V107" i="6"/>
  <c r="V43" i="6"/>
  <c r="X537" i="6"/>
  <c r="Y537" i="6"/>
  <c r="Y562" i="6"/>
  <c r="X562" i="6"/>
  <c r="X145" i="6"/>
  <c r="Y145" i="6"/>
  <c r="Y234" i="6"/>
  <c r="Y560" i="6"/>
  <c r="X560" i="6"/>
  <c r="X232" i="6"/>
  <c r="Y601" i="6"/>
  <c r="X601" i="6"/>
  <c r="Y106" i="6"/>
  <c r="X106" i="6"/>
  <c r="V528" i="6"/>
  <c r="V433" i="6"/>
  <c r="V177" i="6"/>
  <c r="V344" i="6"/>
  <c r="V88" i="6"/>
  <c r="V431" i="6"/>
  <c r="V175" i="6"/>
  <c r="V486" i="6"/>
  <c r="V294" i="6"/>
  <c r="V38" i="6"/>
  <c r="V253" i="6"/>
  <c r="V130" i="6"/>
  <c r="V598" i="6"/>
  <c r="V474" i="6"/>
  <c r="V154" i="6"/>
  <c r="V266" i="6"/>
  <c r="V233" i="6"/>
  <c r="V41" i="6"/>
  <c r="V208" i="6"/>
  <c r="V16" i="6"/>
  <c r="V487" i="6"/>
  <c r="V359" i="6"/>
  <c r="V231" i="6"/>
  <c r="V167" i="6"/>
  <c r="V103" i="6"/>
  <c r="V39" i="6"/>
  <c r="V478" i="6"/>
  <c r="V414" i="6"/>
  <c r="V350" i="6"/>
  <c r="V286" i="6"/>
  <c r="V222" i="6"/>
  <c r="V158" i="6"/>
  <c r="V94" i="6"/>
  <c r="V30" i="6"/>
  <c r="V565" i="6"/>
  <c r="V501" i="6"/>
  <c r="V437" i="6"/>
  <c r="V373" i="6"/>
  <c r="V309" i="6"/>
  <c r="V245" i="6"/>
  <c r="V181" i="6"/>
  <c r="V117" i="6"/>
  <c r="V53" i="6"/>
  <c r="V588" i="6"/>
  <c r="V524" i="6"/>
  <c r="V460" i="6"/>
  <c r="V396" i="6"/>
  <c r="V332" i="6"/>
  <c r="V268" i="6"/>
  <c r="V204" i="6"/>
  <c r="V140" i="6"/>
  <c r="V76" i="6"/>
  <c r="V12" i="6"/>
  <c r="V547" i="6"/>
  <c r="V483" i="6"/>
  <c r="V419" i="6"/>
  <c r="V355" i="6"/>
  <c r="V291" i="6"/>
  <c r="V227" i="6"/>
  <c r="V163" i="6"/>
  <c r="V99" i="6"/>
  <c r="V35" i="6"/>
  <c r="Y392" i="6"/>
  <c r="X392" i="6"/>
  <c r="X74" i="6"/>
  <c r="Y74" i="6"/>
  <c r="Y17" i="6"/>
  <c r="X17" i="6"/>
  <c r="Y545" i="6"/>
  <c r="X545" i="6"/>
  <c r="Y449" i="6"/>
  <c r="X449" i="6"/>
  <c r="Y360" i="6"/>
  <c r="X360" i="6"/>
  <c r="X432" i="6"/>
  <c r="V497" i="6"/>
  <c r="V218" i="6"/>
  <c r="V330" i="6"/>
  <c r="V241" i="6"/>
  <c r="V49" i="6"/>
  <c r="V152" i="6"/>
  <c r="V495" i="6"/>
  <c r="V239" i="6"/>
  <c r="V422" i="6"/>
  <c r="V102" i="6"/>
  <c r="V189" i="6"/>
  <c r="V506" i="6"/>
  <c r="V322" i="6"/>
  <c r="V434" i="6"/>
  <c r="V42" i="6"/>
  <c r="V496" i="6"/>
  <c r="V512" i="6"/>
  <c r="V526" i="6"/>
  <c r="V361" i="6"/>
  <c r="V169" i="6"/>
  <c r="V272" i="6"/>
  <c r="V80" i="6"/>
  <c r="V423" i="6"/>
  <c r="V440" i="6"/>
  <c r="V66" i="6"/>
  <c r="V402" i="6"/>
  <c r="V594" i="6"/>
  <c r="V34" i="6"/>
  <c r="V490" i="6"/>
  <c r="V510" i="6"/>
  <c r="V417" i="6"/>
  <c r="V353" i="6"/>
  <c r="V289" i="6"/>
  <c r="V225" i="6"/>
  <c r="V161" i="6"/>
  <c r="V97" i="6"/>
  <c r="V33" i="6"/>
  <c r="V328" i="6"/>
  <c r="V264" i="6"/>
  <c r="V200" i="6"/>
  <c r="V136" i="6"/>
  <c r="V72" i="6"/>
  <c r="V8" i="6"/>
  <c r="V543" i="6"/>
  <c r="V479" i="6"/>
  <c r="V415" i="6"/>
  <c r="V351" i="6"/>
  <c r="V287" i="6"/>
  <c r="V223" i="6"/>
  <c r="V159" i="6"/>
  <c r="V95" i="6"/>
  <c r="V31" i="6"/>
  <c r="V470" i="6"/>
  <c r="V406" i="6"/>
  <c r="V342" i="6"/>
  <c r="V278" i="6"/>
  <c r="V214" i="6"/>
  <c r="V150" i="6"/>
  <c r="V86" i="6"/>
  <c r="V22" i="6"/>
  <c r="V557" i="6"/>
  <c r="V493" i="6"/>
  <c r="V429" i="6"/>
  <c r="V365" i="6"/>
  <c r="V301" i="6"/>
  <c r="V237" i="6"/>
  <c r="V173" i="6"/>
  <c r="V109" i="6"/>
  <c r="V45" i="6"/>
  <c r="V580" i="6"/>
  <c r="V516" i="6"/>
  <c r="V452" i="6"/>
  <c r="V388" i="6"/>
  <c r="V324" i="6"/>
  <c r="V260" i="6"/>
  <c r="V196" i="6"/>
  <c r="V132" i="6"/>
  <c r="V68" i="6"/>
  <c r="V4" i="6"/>
  <c r="V539" i="6"/>
  <c r="V475" i="6"/>
  <c r="V411" i="6"/>
  <c r="V347" i="6"/>
  <c r="V283" i="6"/>
  <c r="V219" i="6"/>
  <c r="V155" i="6"/>
  <c r="V91" i="6"/>
  <c r="V27" i="6"/>
  <c r="X258" i="6"/>
  <c r="X550" i="6"/>
  <c r="X592" i="6"/>
  <c r="Y592" i="6"/>
  <c r="Y466" i="6"/>
  <c r="X466" i="6"/>
  <c r="Y81" i="6"/>
  <c r="X463" i="6"/>
  <c r="Y463" i="6"/>
  <c r="Y602" i="6"/>
  <c r="X602" i="6"/>
  <c r="Y518" i="6"/>
  <c r="X257" i="6"/>
  <c r="Y296" i="6"/>
  <c r="X296" i="6"/>
  <c r="X465" i="6"/>
  <c r="Y465" i="6"/>
  <c r="V513" i="6"/>
  <c r="V542" i="6"/>
  <c r="V369" i="6"/>
  <c r="V113" i="6"/>
  <c r="V216" i="6"/>
  <c r="V559" i="6"/>
  <c r="V303" i="6"/>
  <c r="V111" i="6"/>
  <c r="V358" i="6"/>
  <c r="V230" i="6"/>
  <c r="V509" i="6"/>
  <c r="V61" i="6"/>
  <c r="V242" i="6"/>
  <c r="V585" i="6"/>
  <c r="V457" i="6"/>
  <c r="V98" i="6"/>
  <c r="V210" i="6"/>
  <c r="V425" i="6"/>
  <c r="V297" i="6"/>
  <c r="V105" i="6"/>
  <c r="V336" i="6"/>
  <c r="V144" i="6"/>
  <c r="V551" i="6"/>
  <c r="V295" i="6"/>
  <c r="V568" i="6"/>
  <c r="V552" i="6"/>
  <c r="V569" i="6"/>
  <c r="V582" i="6"/>
  <c r="V426" i="6"/>
  <c r="V456" i="6"/>
  <c r="V473" i="6"/>
  <c r="V90" i="6"/>
  <c r="V146" i="6"/>
  <c r="V202" i="6"/>
  <c r="V408" i="6"/>
  <c r="V504" i="6"/>
  <c r="V481" i="6"/>
  <c r="V600" i="6"/>
  <c r="V553" i="6"/>
  <c r="V370" i="6"/>
  <c r="V566" i="6"/>
  <c r="V394" i="6"/>
  <c r="V578" i="6"/>
  <c r="V424" i="6"/>
  <c r="V593" i="6"/>
  <c r="V450" i="6"/>
  <c r="V26" i="6"/>
  <c r="V472" i="6"/>
  <c r="V82" i="6"/>
  <c r="V489" i="6"/>
  <c r="V138" i="6"/>
  <c r="V409" i="6"/>
  <c r="V345" i="6"/>
  <c r="V281" i="6"/>
  <c r="V217" i="6"/>
  <c r="V153" i="6"/>
  <c r="V89" i="6"/>
  <c r="V25" i="6"/>
  <c r="V320" i="6"/>
  <c r="V256" i="6"/>
  <c r="V192" i="6"/>
  <c r="V128" i="6"/>
  <c r="V64" i="6"/>
  <c r="V599" i="6"/>
  <c r="V535" i="6"/>
  <c r="V471" i="6"/>
  <c r="V407" i="6"/>
  <c r="V343" i="6"/>
  <c r="V279" i="6"/>
  <c r="V215" i="6"/>
  <c r="V151" i="6"/>
  <c r="V87" i="6"/>
  <c r="V23" i="6"/>
  <c r="V462" i="6"/>
  <c r="V398" i="6"/>
  <c r="V334" i="6"/>
  <c r="V270" i="6"/>
  <c r="V206" i="6"/>
  <c r="V142" i="6"/>
  <c r="V78" i="6"/>
  <c r="V14" i="6"/>
  <c r="V549" i="6"/>
  <c r="V485" i="6"/>
  <c r="V421" i="6"/>
  <c r="V357" i="6"/>
  <c r="V293" i="6"/>
  <c r="V229" i="6"/>
  <c r="V165" i="6"/>
  <c r="V101" i="6"/>
  <c r="V37" i="6"/>
  <c r="V572" i="6"/>
  <c r="V508" i="6"/>
  <c r="V444" i="6"/>
  <c r="V380" i="6"/>
  <c r="V316" i="6"/>
  <c r="V252" i="6"/>
  <c r="V188" i="6"/>
  <c r="V124" i="6"/>
  <c r="V60" i="6"/>
  <c r="V595" i="6"/>
  <c r="V531" i="6"/>
  <c r="V467" i="6"/>
  <c r="V403" i="6"/>
  <c r="V339" i="6"/>
  <c r="V275" i="6"/>
  <c r="V211" i="6"/>
  <c r="V147" i="6"/>
  <c r="V83" i="6"/>
  <c r="V19" i="6"/>
  <c r="V198" i="6"/>
  <c r="V134" i="6"/>
  <c r="V70" i="6"/>
  <c r="V6" i="6"/>
  <c r="V541" i="6"/>
  <c r="V477" i="6"/>
  <c r="V413" i="6"/>
  <c r="V349" i="6"/>
  <c r="V285" i="6"/>
  <c r="V221" i="6"/>
  <c r="V157" i="6"/>
  <c r="V93" i="6"/>
  <c r="V29" i="6"/>
  <c r="V564" i="6"/>
  <c r="V500" i="6"/>
  <c r="V436" i="6"/>
  <c r="V372" i="6"/>
  <c r="V308" i="6"/>
  <c r="V244" i="6"/>
  <c r="V180" i="6"/>
  <c r="V116" i="6"/>
  <c r="V52" i="6"/>
  <c r="V587" i="6"/>
  <c r="V523" i="6"/>
  <c r="V459" i="6"/>
  <c r="V395" i="6"/>
  <c r="V331" i="6"/>
  <c r="V267" i="6"/>
  <c r="V203" i="6"/>
  <c r="V139" i="6"/>
  <c r="V75" i="6"/>
  <c r="V11" i="6"/>
  <c r="X314" i="6"/>
  <c r="Y314" i="6"/>
  <c r="Y418" i="6"/>
  <c r="X418" i="6"/>
  <c r="X401" i="6"/>
  <c r="Y401" i="6"/>
  <c r="Y248" i="6"/>
  <c r="X248" i="6"/>
  <c r="X527" i="6"/>
  <c r="Y527" i="6"/>
  <c r="Y335" i="6"/>
  <c r="X335" i="6"/>
  <c r="X271" i="6"/>
  <c r="Y271" i="6"/>
  <c r="X207" i="6"/>
  <c r="Y207" i="6"/>
  <c r="Y79" i="6"/>
  <c r="X79" i="6"/>
  <c r="X15" i="6"/>
  <c r="Y15" i="6"/>
  <c r="Y454" i="6"/>
  <c r="X454" i="6"/>
  <c r="Y390" i="6"/>
  <c r="X390" i="6"/>
  <c r="X326" i="6"/>
  <c r="Y326" i="6"/>
  <c r="V194" i="6"/>
  <c r="V178" i="6"/>
  <c r="V114" i="6"/>
  <c r="V458" i="6"/>
  <c r="V521" i="6"/>
  <c r="V250" i="6"/>
  <c r="V534" i="6"/>
  <c r="V298" i="6"/>
  <c r="V546" i="6"/>
  <c r="V354" i="6"/>
  <c r="V561" i="6"/>
  <c r="V386" i="6"/>
  <c r="V576" i="6"/>
  <c r="V416" i="6"/>
  <c r="V590" i="6"/>
  <c r="V442" i="6"/>
  <c r="V10" i="6"/>
  <c r="V393" i="6"/>
  <c r="V329" i="6"/>
  <c r="V265" i="6"/>
  <c r="V201" i="6"/>
  <c r="V137" i="6"/>
  <c r="V73" i="6"/>
  <c r="V9" i="6"/>
  <c r="V304" i="6"/>
  <c r="V240" i="6"/>
  <c r="V176" i="6"/>
  <c r="V112" i="6"/>
  <c r="V48" i="6"/>
  <c r="V583" i="6"/>
  <c r="V519" i="6"/>
  <c r="V455" i="6"/>
  <c r="V391" i="6"/>
  <c r="V327" i="6"/>
  <c r="V263" i="6"/>
  <c r="V199" i="6"/>
  <c r="V135" i="6"/>
  <c r="V71" i="6"/>
  <c r="V7" i="6"/>
  <c r="V446" i="6"/>
  <c r="V382" i="6"/>
  <c r="V318" i="6"/>
  <c r="V254" i="6"/>
  <c r="V190" i="6"/>
  <c r="V126" i="6"/>
  <c r="V62" i="6"/>
  <c r="V597" i="6"/>
  <c r="V533" i="6"/>
  <c r="V469" i="6"/>
  <c r="V405" i="6"/>
  <c r="V341" i="6"/>
  <c r="V277" i="6"/>
  <c r="V213" i="6"/>
  <c r="V149" i="6"/>
  <c r="V85" i="6"/>
  <c r="V21" i="6"/>
  <c r="V556" i="6"/>
  <c r="V492" i="6"/>
  <c r="V428" i="6"/>
  <c r="V364" i="6"/>
  <c r="V300" i="6"/>
  <c r="V236" i="6"/>
  <c r="V172" i="6"/>
  <c r="V108" i="6"/>
  <c r="V44" i="6"/>
  <c r="V579" i="6"/>
  <c r="V515" i="6"/>
  <c r="V451" i="6"/>
  <c r="V387" i="6"/>
  <c r="V323" i="6"/>
  <c r="V259" i="6"/>
  <c r="V195" i="6"/>
  <c r="V131" i="6"/>
  <c r="V67" i="6"/>
  <c r="Y2" i="6"/>
  <c r="Y168" i="6" l="1"/>
  <c r="X58" i="6"/>
  <c r="X591" i="6"/>
  <c r="Y536" i="6"/>
  <c r="X505" i="6"/>
  <c r="Y584" i="6"/>
  <c r="Y186" i="6"/>
  <c r="Y262" i="6"/>
  <c r="Y464" i="6"/>
  <c r="X40" i="6"/>
  <c r="Y18" i="6"/>
  <c r="X480" i="6"/>
  <c r="Y574" i="6"/>
  <c r="Y56" i="6"/>
  <c r="X368" i="6"/>
  <c r="Y321" i="6"/>
  <c r="X120" i="6"/>
  <c r="Y410" i="6"/>
  <c r="Y209" i="6"/>
  <c r="Y575" i="6"/>
  <c r="X312" i="6"/>
  <c r="Y346" i="6"/>
  <c r="X399" i="6"/>
  <c r="X143" i="6"/>
  <c r="Y376" i="6"/>
  <c r="Y570" i="6"/>
  <c r="Y323" i="6"/>
  <c r="X323" i="6"/>
  <c r="Y416" i="6"/>
  <c r="X416" i="6"/>
  <c r="X52" i="6"/>
  <c r="Y52" i="6"/>
  <c r="X357" i="6"/>
  <c r="Y357" i="6"/>
  <c r="Y426" i="6"/>
  <c r="X426" i="6"/>
  <c r="Y136" i="6"/>
  <c r="X136" i="6"/>
  <c r="Y422" i="6"/>
  <c r="X422" i="6"/>
  <c r="Y524" i="6"/>
  <c r="X524" i="6"/>
  <c r="Y598" i="6"/>
  <c r="X598" i="6"/>
  <c r="X532" i="6"/>
  <c r="Y532" i="6"/>
  <c r="X115" i="6"/>
  <c r="Y115" i="6"/>
  <c r="X28" i="6"/>
  <c r="Y28" i="6"/>
  <c r="X540" i="6"/>
  <c r="Y540" i="6"/>
  <c r="X375" i="6"/>
  <c r="Y375" i="6"/>
  <c r="Y514" i="6"/>
  <c r="X514" i="6"/>
  <c r="X520" i="6"/>
  <c r="Y520" i="6"/>
  <c r="Y443" i="6"/>
  <c r="X443" i="6"/>
  <c r="Y356" i="6"/>
  <c r="X356" i="6"/>
  <c r="X269" i="6"/>
  <c r="Y269" i="6"/>
  <c r="Y182" i="6"/>
  <c r="X182" i="6"/>
  <c r="Y191" i="6"/>
  <c r="X191" i="6"/>
  <c r="X387" i="6"/>
  <c r="Y387" i="6"/>
  <c r="Y300" i="6"/>
  <c r="X300" i="6"/>
  <c r="Y213" i="6"/>
  <c r="X213" i="6"/>
  <c r="X126" i="6"/>
  <c r="Y126" i="6"/>
  <c r="X135" i="6"/>
  <c r="Y135" i="6"/>
  <c r="Y48" i="6"/>
  <c r="X48" i="6"/>
  <c r="Y201" i="6"/>
  <c r="X201" i="6"/>
  <c r="Y576" i="6"/>
  <c r="X576" i="6"/>
  <c r="Y521" i="6"/>
  <c r="X521" i="6"/>
  <c r="X203" i="6"/>
  <c r="Y203" i="6"/>
  <c r="X116" i="6"/>
  <c r="Y116" i="6"/>
  <c r="X29" i="6"/>
  <c r="Y29" i="6"/>
  <c r="X541" i="6"/>
  <c r="Y541" i="6"/>
  <c r="X83" i="6"/>
  <c r="Y83" i="6"/>
  <c r="X595" i="6"/>
  <c r="Y595" i="6"/>
  <c r="X508" i="6"/>
  <c r="Y508" i="6"/>
  <c r="X421" i="6"/>
  <c r="Y421" i="6"/>
  <c r="X334" i="6"/>
  <c r="Y334" i="6"/>
  <c r="X343" i="6"/>
  <c r="Y343" i="6"/>
  <c r="X256" i="6"/>
  <c r="Y256" i="6"/>
  <c r="Y409" i="6"/>
  <c r="X409" i="6"/>
  <c r="X424" i="6"/>
  <c r="Y424" i="6"/>
  <c r="X504" i="6"/>
  <c r="Y504" i="6"/>
  <c r="X582" i="6"/>
  <c r="Y582" i="6"/>
  <c r="Y105" i="6"/>
  <c r="X105" i="6"/>
  <c r="Y61" i="6"/>
  <c r="X61" i="6"/>
  <c r="X113" i="6"/>
  <c r="Y113" i="6"/>
  <c r="Y27" i="6"/>
  <c r="X27" i="6"/>
  <c r="Y539" i="6"/>
  <c r="X539" i="6"/>
  <c r="Y452" i="6"/>
  <c r="X452" i="6"/>
  <c r="X365" i="6"/>
  <c r="Y365" i="6"/>
  <c r="X278" i="6"/>
  <c r="Y278" i="6"/>
  <c r="Y287" i="6"/>
  <c r="X287" i="6"/>
  <c r="Y200" i="6"/>
  <c r="X200" i="6"/>
  <c r="X353" i="6"/>
  <c r="Y353" i="6"/>
  <c r="Y440" i="6"/>
  <c r="X440" i="6"/>
  <c r="Y496" i="6"/>
  <c r="X496" i="6"/>
  <c r="Y239" i="6"/>
  <c r="X239" i="6"/>
  <c r="Y163" i="6"/>
  <c r="X163" i="6"/>
  <c r="X76" i="6"/>
  <c r="Y76" i="6"/>
  <c r="X588" i="6"/>
  <c r="Y588" i="6"/>
  <c r="Y501" i="6"/>
  <c r="X501" i="6"/>
  <c r="X414" i="6"/>
  <c r="Y414" i="6"/>
  <c r="Y16" i="6"/>
  <c r="X16" i="6"/>
  <c r="Y130" i="6"/>
  <c r="X130" i="6"/>
  <c r="Y344" i="6"/>
  <c r="X344" i="6"/>
  <c r="Y171" i="6"/>
  <c r="X171" i="6"/>
  <c r="Y84" i="6"/>
  <c r="X84" i="6"/>
  <c r="Y596" i="6"/>
  <c r="X596" i="6"/>
  <c r="Y367" i="6"/>
  <c r="X367" i="6"/>
  <c r="X179" i="6"/>
  <c r="Y179" i="6"/>
  <c r="X92" i="6"/>
  <c r="Y92" i="6"/>
  <c r="Y5" i="6"/>
  <c r="X5" i="6"/>
  <c r="Y517" i="6"/>
  <c r="X517" i="6"/>
  <c r="Y430" i="6"/>
  <c r="X430" i="6"/>
  <c r="X439" i="6"/>
  <c r="Y439" i="6"/>
  <c r="X352" i="6"/>
  <c r="Y352" i="6"/>
  <c r="X378" i="6"/>
  <c r="Y378" i="6"/>
  <c r="X170" i="6"/>
  <c r="Y170" i="6"/>
  <c r="X522" i="6"/>
  <c r="Y522" i="6"/>
  <c r="X507" i="6"/>
  <c r="Y507" i="6"/>
  <c r="X420" i="6"/>
  <c r="Y420" i="6"/>
  <c r="Y333" i="6"/>
  <c r="X333" i="6"/>
  <c r="X246" i="6"/>
  <c r="Y246" i="6"/>
  <c r="X255" i="6"/>
  <c r="Y255" i="6"/>
  <c r="X149" i="6"/>
  <c r="Y149" i="6"/>
  <c r="X477" i="6"/>
  <c r="Y477" i="6"/>
  <c r="X192" i="6"/>
  <c r="Y192" i="6"/>
  <c r="X216" i="6"/>
  <c r="Y216" i="6"/>
  <c r="X214" i="6"/>
  <c r="Y214" i="6"/>
  <c r="X512" i="6"/>
  <c r="Y512" i="6"/>
  <c r="Y99" i="6"/>
  <c r="X99" i="6"/>
  <c r="X487" i="6"/>
  <c r="Y487" i="6"/>
  <c r="X453" i="6"/>
  <c r="Y453" i="6"/>
  <c r="Y277" i="6"/>
  <c r="X277" i="6"/>
  <c r="X386" i="6"/>
  <c r="Y386" i="6"/>
  <c r="X147" i="6"/>
  <c r="Y147" i="6"/>
  <c r="X407" i="6"/>
  <c r="Y407" i="6"/>
  <c r="Y408" i="6"/>
  <c r="X408" i="6"/>
  <c r="X91" i="6"/>
  <c r="Y91" i="6"/>
  <c r="Y429" i="6"/>
  <c r="X429" i="6"/>
  <c r="X264" i="6"/>
  <c r="Y264" i="6"/>
  <c r="Y423" i="6"/>
  <c r="X423" i="6"/>
  <c r="X227" i="6"/>
  <c r="Y227" i="6"/>
  <c r="X140" i="6"/>
  <c r="Y140" i="6"/>
  <c r="X53" i="6"/>
  <c r="Y53" i="6"/>
  <c r="X565" i="6"/>
  <c r="Y565" i="6"/>
  <c r="X478" i="6"/>
  <c r="Y478" i="6"/>
  <c r="Y208" i="6"/>
  <c r="X208" i="6"/>
  <c r="X177" i="6"/>
  <c r="Y177" i="6"/>
  <c r="X235" i="6"/>
  <c r="Y235" i="6"/>
  <c r="Y148" i="6"/>
  <c r="X148" i="6"/>
  <c r="X125" i="6"/>
  <c r="Y125" i="6"/>
  <c r="X24" i="6"/>
  <c r="Y24" i="6"/>
  <c r="X243" i="6"/>
  <c r="Y243" i="6"/>
  <c r="Y156" i="6"/>
  <c r="X156" i="6"/>
  <c r="Y69" i="6"/>
  <c r="X69" i="6"/>
  <c r="Y581" i="6"/>
  <c r="X581" i="6"/>
  <c r="Y494" i="6"/>
  <c r="X494" i="6"/>
  <c r="Y503" i="6"/>
  <c r="X503" i="6"/>
  <c r="X57" i="6"/>
  <c r="Y57" i="6"/>
  <c r="X558" i="6"/>
  <c r="Y558" i="6"/>
  <c r="X498" i="6"/>
  <c r="Y498" i="6"/>
  <c r="X59" i="6"/>
  <c r="Y59" i="6"/>
  <c r="X571" i="6"/>
  <c r="Y571" i="6"/>
  <c r="X484" i="6"/>
  <c r="Y484" i="6"/>
  <c r="Y397" i="6"/>
  <c r="X397" i="6"/>
  <c r="Y310" i="6"/>
  <c r="X310" i="6"/>
  <c r="X319" i="6"/>
  <c r="Y319" i="6"/>
  <c r="Y71" i="6"/>
  <c r="X71" i="6"/>
  <c r="Y531" i="6"/>
  <c r="X531" i="6"/>
  <c r="Y593" i="6"/>
  <c r="X593" i="6"/>
  <c r="X301" i="6"/>
  <c r="Y301" i="6"/>
  <c r="Y66" i="6"/>
  <c r="X66" i="6"/>
  <c r="Y12" i="6"/>
  <c r="X12" i="6"/>
  <c r="Y88" i="6"/>
  <c r="X88" i="6"/>
  <c r="X20" i="6"/>
  <c r="Y20" i="6"/>
  <c r="Y441" i="6"/>
  <c r="X441" i="6"/>
  <c r="X364" i="6"/>
  <c r="Y364" i="6"/>
  <c r="X199" i="6"/>
  <c r="Y199" i="6"/>
  <c r="Y458" i="6"/>
  <c r="X458" i="6"/>
  <c r="Y93" i="6"/>
  <c r="X93" i="6"/>
  <c r="Y60" i="6"/>
  <c r="X60" i="6"/>
  <c r="X398" i="6"/>
  <c r="Y398" i="6"/>
  <c r="Y578" i="6"/>
  <c r="X578" i="6"/>
  <c r="Y509" i="6"/>
  <c r="X509" i="6"/>
  <c r="X516" i="6"/>
  <c r="Y516" i="6"/>
  <c r="Y342" i="6"/>
  <c r="X342" i="6"/>
  <c r="X417" i="6"/>
  <c r="Y417" i="6"/>
  <c r="Y253" i="6"/>
  <c r="X253" i="6"/>
  <c r="Y515" i="6"/>
  <c r="X515" i="6"/>
  <c r="X428" i="6"/>
  <c r="Y428" i="6"/>
  <c r="X341" i="6"/>
  <c r="Y341" i="6"/>
  <c r="Y254" i="6"/>
  <c r="X254" i="6"/>
  <c r="Y263" i="6"/>
  <c r="X263" i="6"/>
  <c r="X176" i="6"/>
  <c r="Y176" i="6"/>
  <c r="X329" i="6"/>
  <c r="Y329" i="6"/>
  <c r="Y561" i="6"/>
  <c r="X561" i="6"/>
  <c r="Y114" i="6"/>
  <c r="X114" i="6"/>
  <c r="Y331" i="6"/>
  <c r="X331" i="6"/>
  <c r="X244" i="6"/>
  <c r="Y244" i="6"/>
  <c r="Y157" i="6"/>
  <c r="X157" i="6"/>
  <c r="X70" i="6"/>
  <c r="Y70" i="6"/>
  <c r="Y211" i="6"/>
  <c r="X211" i="6"/>
  <c r="Y124" i="6"/>
  <c r="X124" i="6"/>
  <c r="Y37" i="6"/>
  <c r="X37" i="6"/>
  <c r="Y549" i="6"/>
  <c r="X549" i="6"/>
  <c r="Y462" i="6"/>
  <c r="X462" i="6"/>
  <c r="Y471" i="6"/>
  <c r="X471" i="6"/>
  <c r="X25" i="6"/>
  <c r="Y25" i="6"/>
  <c r="X489" i="6"/>
  <c r="Y489" i="6"/>
  <c r="Y394" i="6"/>
  <c r="X394" i="6"/>
  <c r="Y202" i="6"/>
  <c r="X202" i="6"/>
  <c r="Y552" i="6"/>
  <c r="X552" i="6"/>
  <c r="Y425" i="6"/>
  <c r="X425" i="6"/>
  <c r="Y230" i="6"/>
  <c r="X230" i="6"/>
  <c r="Y542" i="6"/>
  <c r="X542" i="6"/>
  <c r="X155" i="6"/>
  <c r="Y155" i="6"/>
  <c r="X68" i="6"/>
  <c r="Y68" i="6"/>
  <c r="X580" i="6"/>
  <c r="Y580" i="6"/>
  <c r="Y493" i="6"/>
  <c r="X493" i="6"/>
  <c r="Y406" i="6"/>
  <c r="X406" i="6"/>
  <c r="X415" i="6"/>
  <c r="Y415" i="6"/>
  <c r="X328" i="6"/>
  <c r="Y328" i="6"/>
  <c r="Y510" i="6"/>
  <c r="X510" i="6"/>
  <c r="X80" i="6"/>
  <c r="Y80" i="6"/>
  <c r="Y434" i="6"/>
  <c r="X434" i="6"/>
  <c r="Y152" i="6"/>
  <c r="X152" i="6"/>
  <c r="X291" i="6"/>
  <c r="Y291" i="6"/>
  <c r="Y204" i="6"/>
  <c r="X204" i="6"/>
  <c r="Y117" i="6"/>
  <c r="X117" i="6"/>
  <c r="Y30" i="6"/>
  <c r="X30" i="6"/>
  <c r="X39" i="6"/>
  <c r="Y39" i="6"/>
  <c r="X41" i="6"/>
  <c r="Y41" i="6"/>
  <c r="X38" i="6"/>
  <c r="Y38" i="6"/>
  <c r="X433" i="6"/>
  <c r="Y433" i="6"/>
  <c r="Y299" i="6"/>
  <c r="X299" i="6"/>
  <c r="X212" i="6"/>
  <c r="Y212" i="6"/>
  <c r="Y317" i="6"/>
  <c r="X317" i="6"/>
  <c r="X280" i="6"/>
  <c r="Y280" i="6"/>
  <c r="X307" i="6"/>
  <c r="Y307" i="6"/>
  <c r="Y220" i="6"/>
  <c r="X220" i="6"/>
  <c r="X133" i="6"/>
  <c r="Y133" i="6"/>
  <c r="X46" i="6"/>
  <c r="Y46" i="6"/>
  <c r="Y55" i="6"/>
  <c r="X55" i="6"/>
  <c r="Y567" i="6"/>
  <c r="X567" i="6"/>
  <c r="Y121" i="6"/>
  <c r="X121" i="6"/>
  <c r="X338" i="6"/>
  <c r="Y338" i="6"/>
  <c r="X122" i="6"/>
  <c r="Y122" i="6"/>
  <c r="Y123" i="6"/>
  <c r="X123" i="6"/>
  <c r="Y36" i="6"/>
  <c r="X36" i="6"/>
  <c r="Y548" i="6"/>
  <c r="X548" i="6"/>
  <c r="X461" i="6"/>
  <c r="Y461" i="6"/>
  <c r="X374" i="6"/>
  <c r="Y374" i="6"/>
  <c r="Y383" i="6"/>
  <c r="X383" i="6"/>
  <c r="Y236" i="6"/>
  <c r="X236" i="6"/>
  <c r="Y279" i="6"/>
  <c r="X279" i="6"/>
  <c r="Y289" i="6"/>
  <c r="X289" i="6"/>
  <c r="Y350" i="6"/>
  <c r="X350" i="6"/>
  <c r="Y366" i="6"/>
  <c r="X366" i="6"/>
  <c r="X451" i="6"/>
  <c r="Y451" i="6"/>
  <c r="Y265" i="6"/>
  <c r="X265" i="6"/>
  <c r="X267" i="6"/>
  <c r="Y267" i="6"/>
  <c r="X6" i="6"/>
  <c r="Y6" i="6"/>
  <c r="Y485" i="6"/>
  <c r="X485" i="6"/>
  <c r="Y320" i="6"/>
  <c r="X320" i="6"/>
  <c r="X569" i="6"/>
  <c r="Y569" i="6"/>
  <c r="X495" i="6"/>
  <c r="Y495" i="6"/>
  <c r="Y579" i="6"/>
  <c r="X579" i="6"/>
  <c r="X405" i="6"/>
  <c r="Y405" i="6"/>
  <c r="X318" i="6"/>
  <c r="Y318" i="6"/>
  <c r="Y327" i="6"/>
  <c r="X327" i="6"/>
  <c r="Y240" i="6"/>
  <c r="X240" i="6"/>
  <c r="X393" i="6"/>
  <c r="Y393" i="6"/>
  <c r="X354" i="6"/>
  <c r="Y354" i="6"/>
  <c r="X178" i="6"/>
  <c r="Y178" i="6"/>
  <c r="Y395" i="6"/>
  <c r="X395" i="6"/>
  <c r="Y308" i="6"/>
  <c r="X308" i="6"/>
  <c r="X221" i="6"/>
  <c r="Y221" i="6"/>
  <c r="Y134" i="6"/>
  <c r="X134" i="6"/>
  <c r="Y275" i="6"/>
  <c r="X275" i="6"/>
  <c r="X188" i="6"/>
  <c r="Y188" i="6"/>
  <c r="X101" i="6"/>
  <c r="Y101" i="6"/>
  <c r="Y14" i="6"/>
  <c r="X14" i="6"/>
  <c r="Y23" i="6"/>
  <c r="X23" i="6"/>
  <c r="Y535" i="6"/>
  <c r="X535" i="6"/>
  <c r="Y89" i="6"/>
  <c r="X89" i="6"/>
  <c r="Y82" i="6"/>
  <c r="X82" i="6"/>
  <c r="X566" i="6"/>
  <c r="Y566" i="6"/>
  <c r="X146" i="6"/>
  <c r="Y146" i="6"/>
  <c r="Y568" i="6"/>
  <c r="X568" i="6"/>
  <c r="X210" i="6"/>
  <c r="Y210" i="6"/>
  <c r="X358" i="6"/>
  <c r="Y358" i="6"/>
  <c r="Y513" i="6"/>
  <c r="X513" i="6"/>
  <c r="Y219" i="6"/>
  <c r="X219" i="6"/>
  <c r="Y132" i="6"/>
  <c r="X132" i="6"/>
  <c r="Y45" i="6"/>
  <c r="X45" i="6"/>
  <c r="X557" i="6"/>
  <c r="Y557" i="6"/>
  <c r="X470" i="6"/>
  <c r="Y470" i="6"/>
  <c r="Y479" i="6"/>
  <c r="X479" i="6"/>
  <c r="Y33" i="6"/>
  <c r="X33" i="6"/>
  <c r="X490" i="6"/>
  <c r="Y490" i="6"/>
  <c r="Y272" i="6"/>
  <c r="X272" i="6"/>
  <c r="X322" i="6"/>
  <c r="Y322" i="6"/>
  <c r="Y49" i="6"/>
  <c r="X49" i="6"/>
  <c r="Y355" i="6"/>
  <c r="X355" i="6"/>
  <c r="Y268" i="6"/>
  <c r="X268" i="6"/>
  <c r="X181" i="6"/>
  <c r="Y181" i="6"/>
  <c r="Y94" i="6"/>
  <c r="X94" i="6"/>
  <c r="Y103" i="6"/>
  <c r="X103" i="6"/>
  <c r="X233" i="6"/>
  <c r="Y233" i="6"/>
  <c r="X294" i="6"/>
  <c r="Y294" i="6"/>
  <c r="Y528" i="6"/>
  <c r="X528" i="6"/>
  <c r="Y363" i="6"/>
  <c r="X363" i="6"/>
  <c r="X276" i="6"/>
  <c r="Y276" i="6"/>
  <c r="X381" i="6"/>
  <c r="Y381" i="6"/>
  <c r="Y305" i="6"/>
  <c r="X305" i="6"/>
  <c r="Y371" i="6"/>
  <c r="X371" i="6"/>
  <c r="X284" i="6"/>
  <c r="Y284" i="6"/>
  <c r="X197" i="6"/>
  <c r="Y197" i="6"/>
  <c r="Y110" i="6"/>
  <c r="X110" i="6"/>
  <c r="Y119" i="6"/>
  <c r="X119" i="6"/>
  <c r="X32" i="6"/>
  <c r="Y32" i="6"/>
  <c r="Y185" i="6"/>
  <c r="X185" i="6"/>
  <c r="X544" i="6"/>
  <c r="Y544" i="6"/>
  <c r="X482" i="6"/>
  <c r="Y482" i="6"/>
  <c r="Y187" i="6"/>
  <c r="X187" i="6"/>
  <c r="Y100" i="6"/>
  <c r="X100" i="6"/>
  <c r="X13" i="6"/>
  <c r="Y13" i="6"/>
  <c r="X525" i="6"/>
  <c r="Y525" i="6"/>
  <c r="X438" i="6"/>
  <c r="Y438" i="6"/>
  <c r="Y447" i="6"/>
  <c r="X447" i="6"/>
  <c r="X137" i="6"/>
  <c r="Y137" i="6"/>
  <c r="Y139" i="6"/>
  <c r="X139" i="6"/>
  <c r="X444" i="6"/>
  <c r="Y444" i="6"/>
  <c r="Y481" i="6"/>
  <c r="X481" i="6"/>
  <c r="Y223" i="6"/>
  <c r="X223" i="6"/>
  <c r="Y497" i="6"/>
  <c r="X497" i="6"/>
  <c r="Y437" i="6"/>
  <c r="X437" i="6"/>
  <c r="Y107" i="6"/>
  <c r="X107" i="6"/>
  <c r="X288" i="6"/>
  <c r="Y288" i="6"/>
  <c r="Y190" i="6"/>
  <c r="X190" i="6"/>
  <c r="X112" i="6"/>
  <c r="Y112" i="6"/>
  <c r="X180" i="6"/>
  <c r="Y180" i="6"/>
  <c r="Y572" i="6"/>
  <c r="X572" i="6"/>
  <c r="X138" i="6"/>
  <c r="Y138" i="6"/>
  <c r="X297" i="6"/>
  <c r="Y297" i="6"/>
  <c r="X369" i="6"/>
  <c r="Y369" i="6"/>
  <c r="X4" i="6"/>
  <c r="Y4" i="6"/>
  <c r="X351" i="6"/>
  <c r="Y351" i="6"/>
  <c r="Y42" i="6"/>
  <c r="X42" i="6"/>
  <c r="Y67" i="6"/>
  <c r="X67" i="6"/>
  <c r="Y492" i="6"/>
  <c r="X492" i="6"/>
  <c r="X131" i="6"/>
  <c r="Y131" i="6"/>
  <c r="Y44" i="6"/>
  <c r="X44" i="6"/>
  <c r="Y556" i="6"/>
  <c r="X556" i="6"/>
  <c r="Y469" i="6"/>
  <c r="X469" i="6"/>
  <c r="X382" i="6"/>
  <c r="Y382" i="6"/>
  <c r="X391" i="6"/>
  <c r="Y391" i="6"/>
  <c r="Y304" i="6"/>
  <c r="X304" i="6"/>
  <c r="X10" i="6"/>
  <c r="Y10" i="6"/>
  <c r="X546" i="6"/>
  <c r="Y546" i="6"/>
  <c r="Y194" i="6"/>
  <c r="X194" i="6"/>
  <c r="X459" i="6"/>
  <c r="Y459" i="6"/>
  <c r="X372" i="6"/>
  <c r="Y372" i="6"/>
  <c r="X285" i="6"/>
  <c r="Y285" i="6"/>
  <c r="Y198" i="6"/>
  <c r="X198" i="6"/>
  <c r="X339" i="6"/>
  <c r="Y339" i="6"/>
  <c r="X252" i="6"/>
  <c r="Y252" i="6"/>
  <c r="Y165" i="6"/>
  <c r="X165" i="6"/>
  <c r="X78" i="6"/>
  <c r="Y78" i="6"/>
  <c r="X87" i="6"/>
  <c r="Y87" i="6"/>
  <c r="X599" i="6"/>
  <c r="Y599" i="6"/>
  <c r="Y153" i="6"/>
  <c r="X153" i="6"/>
  <c r="X472" i="6"/>
  <c r="Y472" i="6"/>
  <c r="X370" i="6"/>
  <c r="Y370" i="6"/>
  <c r="Y90" i="6"/>
  <c r="X90" i="6"/>
  <c r="X295" i="6"/>
  <c r="Y295" i="6"/>
  <c r="Y98" i="6"/>
  <c r="X98" i="6"/>
  <c r="Y111" i="6"/>
  <c r="X111" i="6"/>
  <c r="Y283" i="6"/>
  <c r="X283" i="6"/>
  <c r="Y196" i="6"/>
  <c r="X196" i="6"/>
  <c r="X109" i="6"/>
  <c r="Y109" i="6"/>
  <c r="X22" i="6"/>
  <c r="Y22" i="6"/>
  <c r="Y31" i="6"/>
  <c r="X31" i="6"/>
  <c r="Y543" i="6"/>
  <c r="X543" i="6"/>
  <c r="X97" i="6"/>
  <c r="Y97" i="6"/>
  <c r="X34" i="6"/>
  <c r="Y34" i="6"/>
  <c r="Y169" i="6"/>
  <c r="X169" i="6"/>
  <c r="Y506" i="6"/>
  <c r="X506" i="6"/>
  <c r="Y241" i="6"/>
  <c r="X241" i="6"/>
  <c r="Y419" i="6"/>
  <c r="X419" i="6"/>
  <c r="X332" i="6"/>
  <c r="Y332" i="6"/>
  <c r="X245" i="6"/>
  <c r="Y245" i="6"/>
  <c r="X158" i="6"/>
  <c r="Y158" i="6"/>
  <c r="Y167" i="6"/>
  <c r="X167" i="6"/>
  <c r="Y266" i="6"/>
  <c r="X266" i="6"/>
  <c r="Y486" i="6"/>
  <c r="X486" i="6"/>
  <c r="X427" i="6"/>
  <c r="Y427" i="6"/>
  <c r="Y340" i="6"/>
  <c r="X340" i="6"/>
  <c r="X445" i="6"/>
  <c r="Y445" i="6"/>
  <c r="Y274" i="6"/>
  <c r="X274" i="6"/>
  <c r="Y435" i="6"/>
  <c r="X435" i="6"/>
  <c r="X348" i="6"/>
  <c r="Y348" i="6"/>
  <c r="Y261" i="6"/>
  <c r="X261" i="6"/>
  <c r="Y174" i="6"/>
  <c r="X174" i="6"/>
  <c r="Y183" i="6"/>
  <c r="X183" i="6"/>
  <c r="X96" i="6"/>
  <c r="Y96" i="6"/>
  <c r="Y249" i="6"/>
  <c r="X249" i="6"/>
  <c r="X282" i="6"/>
  <c r="Y282" i="6"/>
  <c r="Y50" i="6"/>
  <c r="X50" i="6"/>
  <c r="X251" i="6"/>
  <c r="Y251" i="6"/>
  <c r="X164" i="6"/>
  <c r="Y164" i="6"/>
  <c r="Y77" i="6"/>
  <c r="X77" i="6"/>
  <c r="Y589" i="6"/>
  <c r="X589" i="6"/>
  <c r="Y502" i="6"/>
  <c r="X502" i="6"/>
  <c r="X511" i="6"/>
  <c r="Y511" i="6"/>
  <c r="X62" i="6"/>
  <c r="Y62" i="6"/>
  <c r="Y250" i="6"/>
  <c r="X250" i="6"/>
  <c r="Y564" i="6"/>
  <c r="X564" i="6"/>
  <c r="Y270" i="6"/>
  <c r="X270" i="6"/>
  <c r="X336" i="6"/>
  <c r="Y336" i="6"/>
  <c r="Y475" i="6"/>
  <c r="X475" i="6"/>
  <c r="X108" i="6"/>
  <c r="Y108" i="6"/>
  <c r="Y533" i="6"/>
  <c r="X533" i="6"/>
  <c r="X455" i="6"/>
  <c r="Y455" i="6"/>
  <c r="X442" i="6"/>
  <c r="Y442" i="6"/>
  <c r="X11" i="6"/>
  <c r="Y11" i="6"/>
  <c r="Y436" i="6"/>
  <c r="X436" i="6"/>
  <c r="Y349" i="6"/>
  <c r="X349" i="6"/>
  <c r="Y316" i="6"/>
  <c r="X316" i="6"/>
  <c r="X142" i="6"/>
  <c r="Y142" i="6"/>
  <c r="Y64" i="6"/>
  <c r="X64" i="6"/>
  <c r="X26" i="6"/>
  <c r="Y26" i="6"/>
  <c r="X473" i="6"/>
  <c r="Y473" i="6"/>
  <c r="Y303" i="6"/>
  <c r="X303" i="6"/>
  <c r="X260" i="6"/>
  <c r="Y260" i="6"/>
  <c r="X95" i="6"/>
  <c r="Y95" i="6"/>
  <c r="X161" i="6"/>
  <c r="Y161" i="6"/>
  <c r="Y361" i="6"/>
  <c r="X361" i="6"/>
  <c r="Y330" i="6"/>
  <c r="X330" i="6"/>
  <c r="X483" i="6"/>
  <c r="Y483" i="6"/>
  <c r="X222" i="6"/>
  <c r="Y222" i="6"/>
  <c r="X175" i="6"/>
  <c r="Y175" i="6"/>
  <c r="Y491" i="6"/>
  <c r="X491" i="6"/>
  <c r="Y573" i="6"/>
  <c r="X573" i="6"/>
  <c r="X162" i="6"/>
  <c r="Y162" i="6"/>
  <c r="Y499" i="6"/>
  <c r="X499" i="6"/>
  <c r="Y412" i="6"/>
  <c r="X412" i="6"/>
  <c r="Y325" i="6"/>
  <c r="X325" i="6"/>
  <c r="X238" i="6"/>
  <c r="Y238" i="6"/>
  <c r="Y160" i="6"/>
  <c r="X160" i="6"/>
  <c r="X313" i="6"/>
  <c r="Y313" i="6"/>
  <c r="Y529" i="6"/>
  <c r="X529" i="6"/>
  <c r="Y538" i="6"/>
  <c r="X538" i="6"/>
  <c r="X315" i="6"/>
  <c r="Y315" i="6"/>
  <c r="X228" i="6"/>
  <c r="Y228" i="6"/>
  <c r="Y141" i="6"/>
  <c r="X141" i="6"/>
  <c r="X54" i="6"/>
  <c r="Y54" i="6"/>
  <c r="X63" i="6"/>
  <c r="Y63" i="6"/>
  <c r="Y583" i="6"/>
  <c r="X583" i="6"/>
  <c r="Y19" i="6"/>
  <c r="X19" i="6"/>
  <c r="Y345" i="6"/>
  <c r="X345" i="6"/>
  <c r="Y242" i="6"/>
  <c r="X242" i="6"/>
  <c r="Y388" i="6"/>
  <c r="X388" i="6"/>
  <c r="Y47" i="6"/>
  <c r="X47" i="6"/>
  <c r="X195" i="6"/>
  <c r="Y195" i="6"/>
  <c r="Y21" i="6"/>
  <c r="X21" i="6"/>
  <c r="Y446" i="6"/>
  <c r="X446" i="6"/>
  <c r="Y9" i="6"/>
  <c r="X9" i="6"/>
  <c r="X298" i="6"/>
  <c r="Y298" i="6"/>
  <c r="X523" i="6"/>
  <c r="Y523" i="6"/>
  <c r="X403" i="6"/>
  <c r="Y403" i="6"/>
  <c r="Y229" i="6"/>
  <c r="X229" i="6"/>
  <c r="X151" i="6"/>
  <c r="Y151" i="6"/>
  <c r="X217" i="6"/>
  <c r="Y217" i="6"/>
  <c r="X553" i="6"/>
  <c r="Y553" i="6"/>
  <c r="X551" i="6"/>
  <c r="Y551" i="6"/>
  <c r="Y457" i="6"/>
  <c r="X457" i="6"/>
  <c r="X347" i="6"/>
  <c r="Y347" i="6"/>
  <c r="Y173" i="6"/>
  <c r="X173" i="6"/>
  <c r="Y86" i="6"/>
  <c r="X86" i="6"/>
  <c r="X8" i="6"/>
  <c r="Y8" i="6"/>
  <c r="Y594" i="6"/>
  <c r="X594" i="6"/>
  <c r="X189" i="6"/>
  <c r="Y189" i="6"/>
  <c r="X396" i="6"/>
  <c r="Y396" i="6"/>
  <c r="Y309" i="6"/>
  <c r="X309" i="6"/>
  <c r="X231" i="6"/>
  <c r="Y231" i="6"/>
  <c r="X154" i="6"/>
  <c r="Y154" i="6"/>
  <c r="Y404" i="6"/>
  <c r="X404" i="6"/>
  <c r="X247" i="6"/>
  <c r="Y247" i="6"/>
  <c r="Y259" i="6"/>
  <c r="X259" i="6"/>
  <c r="X172" i="6"/>
  <c r="Y172" i="6"/>
  <c r="X85" i="6"/>
  <c r="Y85" i="6"/>
  <c r="X597" i="6"/>
  <c r="Y597" i="6"/>
  <c r="Y7" i="6"/>
  <c r="X7" i="6"/>
  <c r="Y519" i="6"/>
  <c r="X519" i="6"/>
  <c r="X73" i="6"/>
  <c r="Y73" i="6"/>
  <c r="X590" i="6"/>
  <c r="Y590" i="6"/>
  <c r="X534" i="6"/>
  <c r="Y534" i="6"/>
  <c r="Y75" i="6"/>
  <c r="X75" i="6"/>
  <c r="Y587" i="6"/>
  <c r="X587" i="6"/>
  <c r="Y500" i="6"/>
  <c r="X500" i="6"/>
  <c r="Y413" i="6"/>
  <c r="X413" i="6"/>
  <c r="Y467" i="6"/>
  <c r="X467" i="6"/>
  <c r="Y380" i="6"/>
  <c r="X380" i="6"/>
  <c r="Y293" i="6"/>
  <c r="X293" i="6"/>
  <c r="Y206" i="6"/>
  <c r="X206" i="6"/>
  <c r="Y215" i="6"/>
  <c r="X215" i="6"/>
  <c r="Y128" i="6"/>
  <c r="X128" i="6"/>
  <c r="X281" i="6"/>
  <c r="Y281" i="6"/>
  <c r="X450" i="6"/>
  <c r="Y450" i="6"/>
  <c r="Y600" i="6"/>
  <c r="X600" i="6"/>
  <c r="Y456" i="6"/>
  <c r="X456" i="6"/>
  <c r="X144" i="6"/>
  <c r="Y144" i="6"/>
  <c r="X585" i="6"/>
  <c r="Y585" i="6"/>
  <c r="Y559" i="6"/>
  <c r="X559" i="6"/>
  <c r="X411" i="6"/>
  <c r="Y411" i="6"/>
  <c r="X324" i="6"/>
  <c r="Y324" i="6"/>
  <c r="Y237" i="6"/>
  <c r="X237" i="6"/>
  <c r="Y150" i="6"/>
  <c r="X150" i="6"/>
  <c r="X159" i="6"/>
  <c r="Y159" i="6"/>
  <c r="X72" i="6"/>
  <c r="Y72" i="6"/>
  <c r="Y225" i="6"/>
  <c r="X225" i="6"/>
  <c r="Y402" i="6"/>
  <c r="X402" i="6"/>
  <c r="Y526" i="6"/>
  <c r="X526" i="6"/>
  <c r="X102" i="6"/>
  <c r="Y102" i="6"/>
  <c r="Y218" i="6"/>
  <c r="X218" i="6"/>
  <c r="X35" i="6"/>
  <c r="Y35" i="6"/>
  <c r="X547" i="6"/>
  <c r="Y547" i="6"/>
  <c r="Y460" i="6"/>
  <c r="X460" i="6"/>
  <c r="X373" i="6"/>
  <c r="Y373" i="6"/>
  <c r="Y286" i="6"/>
  <c r="X286" i="6"/>
  <c r="Y359" i="6"/>
  <c r="X359" i="6"/>
  <c r="X474" i="6"/>
  <c r="Y474" i="6"/>
  <c r="X431" i="6"/>
  <c r="Y431" i="6"/>
  <c r="Y43" i="6"/>
  <c r="X43" i="6"/>
  <c r="Y555" i="6"/>
  <c r="X555" i="6"/>
  <c r="X468" i="6"/>
  <c r="Y468" i="6"/>
  <c r="Y166" i="6"/>
  <c r="X166" i="6"/>
  <c r="X51" i="6"/>
  <c r="Y51" i="6"/>
  <c r="Y563" i="6"/>
  <c r="X563" i="6"/>
  <c r="Y476" i="6"/>
  <c r="X476" i="6"/>
  <c r="X389" i="6"/>
  <c r="Y389" i="6"/>
  <c r="X302" i="6"/>
  <c r="Y302" i="6"/>
  <c r="X311" i="6"/>
  <c r="Y311" i="6"/>
  <c r="Y224" i="6"/>
  <c r="X224" i="6"/>
  <c r="X377" i="6"/>
  <c r="Y377" i="6"/>
  <c r="Y226" i="6"/>
  <c r="X226" i="6"/>
  <c r="Y488" i="6"/>
  <c r="X488" i="6"/>
  <c r="Y379" i="6"/>
  <c r="X379" i="6"/>
  <c r="Y292" i="6"/>
  <c r="X292" i="6"/>
  <c r="X205" i="6"/>
  <c r="Y205" i="6"/>
  <c r="Y118" i="6"/>
  <c r="X118" i="6"/>
  <c r="Y127" i="6"/>
  <c r="X127" i="6"/>
  <c r="X2" i="6"/>
  <c r="B48" i="6" l="1"/>
  <c r="B4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<sst xmlns="http://schemas.openxmlformats.org/spreadsheetml/2006/main" count="210" uniqueCount="155">
  <si>
    <t>Point</t>
  </si>
  <si>
    <t>Bit</t>
  </si>
  <si>
    <t>D_out</t>
  </si>
  <si>
    <t>VDD</t>
  </si>
  <si>
    <t>GND</t>
  </si>
  <si>
    <t>Offset Error</t>
  </si>
  <si>
    <t>LSB</t>
  </si>
  <si>
    <t>LSB/V</t>
  </si>
  <si>
    <t>SPS</t>
  </si>
  <si>
    <t>Resolution</t>
  </si>
  <si>
    <t>dB</t>
  </si>
  <si>
    <t>raw_zero_25</t>
  </si>
  <si>
    <t>raw_full_25</t>
  </si>
  <si>
    <t>raw_zero_20</t>
  </si>
  <si>
    <t>raw_full_20</t>
  </si>
  <si>
    <t>raw_zero_50</t>
  </si>
  <si>
    <t>raw_full_50</t>
  </si>
  <si>
    <t>raw_zero_80</t>
  </si>
  <si>
    <t>raw_full_80</t>
  </si>
  <si>
    <t>Error</t>
  </si>
  <si>
    <t>T_s</t>
  </si>
  <si>
    <t>V_i</t>
  </si>
  <si>
    <t>V</t>
  </si>
  <si>
    <t>%</t>
  </si>
  <si>
    <t>Requirement</t>
  </si>
  <si>
    <t>ERROR</t>
  </si>
  <si>
    <t>ADC</t>
  </si>
  <si>
    <t>Min</t>
  </si>
  <si>
    <t>Typ</t>
  </si>
  <si>
    <t>Max</t>
  </si>
  <si>
    <t>Analog_In_V_to_GND</t>
  </si>
  <si>
    <t>Temperature</t>
  </si>
  <si>
    <t>độ C</t>
  </si>
  <si>
    <t>PGA (program gain amplifier)</t>
  </si>
  <si>
    <t>FS (Full-Scale)</t>
  </si>
  <si>
    <t>Unit</t>
  </si>
  <si>
    <t>Common-Mode Input Impedance</t>
  </si>
  <si>
    <t>Ohm</t>
  </si>
  <si>
    <t>DR (Data Rate)</t>
  </si>
  <si>
    <t>Range_Temperature</t>
  </si>
  <si>
    <t>Gain Drift</t>
  </si>
  <si>
    <t>%/độ C</t>
  </si>
  <si>
    <t>Common Mode Rejection</t>
  </si>
  <si>
    <t>Tại FS = 6.144</t>
  </si>
  <si>
    <t>Digital Input/Output</t>
  </si>
  <si>
    <t>V_IH</t>
  </si>
  <si>
    <t>V_IL</t>
  </si>
  <si>
    <t>Offset Voltage</t>
  </si>
  <si>
    <t>Gain Error</t>
  </si>
  <si>
    <t>INL _vs_VoltageSupply</t>
  </si>
  <si>
    <t>INL_vs_Temperature</t>
  </si>
  <si>
    <t>Offset_Vol</t>
  </si>
  <si>
    <t>Gain_Error</t>
  </si>
  <si>
    <t>Calibration</t>
  </si>
  <si>
    <t>Value_Standard</t>
  </si>
  <si>
    <t>Value_Measurement</t>
  </si>
  <si>
    <t>V_i_ADC</t>
  </si>
  <si>
    <t>G_E</t>
  </si>
  <si>
    <t>Error_V_i_ADC</t>
  </si>
  <si>
    <t>Digtal output</t>
  </si>
  <si>
    <t>Input Signal (V_i)</t>
  </si>
  <si>
    <t>&gt;= FS(2^15-1)/(2^15)</t>
  </si>
  <si>
    <t>Offset Drift</t>
  </si>
  <si>
    <t>LSB/độ C</t>
  </si>
  <si>
    <t>FS = 6.144V</t>
  </si>
  <si>
    <t>Offset power supply rejection</t>
  </si>
  <si>
    <t>VDD = 5.5V</t>
  </si>
  <si>
    <t>D_cal_error</t>
  </si>
  <si>
    <t>BIN</t>
  </si>
  <si>
    <t>Cal_V</t>
  </si>
  <si>
    <t>Cal_Temp</t>
  </si>
  <si>
    <t>T_standard</t>
  </si>
  <si>
    <t>V_standard</t>
  </si>
  <si>
    <t>T_cal</t>
  </si>
  <si>
    <t>Error_Temperature</t>
  </si>
  <si>
    <t>Error_Voltage</t>
  </si>
  <si>
    <t>Max_E_T</t>
  </si>
  <si>
    <t>Min_E_T</t>
  </si>
  <si>
    <t>Max_E_V</t>
  </si>
  <si>
    <t>Min_E_V</t>
  </si>
  <si>
    <t xml:space="preserve">INL </t>
  </si>
  <si>
    <t>Error_re</t>
  </si>
  <si>
    <t>Error_ab</t>
  </si>
  <si>
    <t>A</t>
  </si>
  <si>
    <t>B</t>
  </si>
  <si>
    <t>C</t>
  </si>
  <si>
    <t>D</t>
  </si>
  <si>
    <t>T_standard (K)</t>
  </si>
  <si>
    <t>Parameters of NTC</t>
  </si>
  <si>
    <t>T_standard (Celsius)</t>
  </si>
  <si>
    <t>R_parallel</t>
  </si>
  <si>
    <t>R_wire</t>
  </si>
  <si>
    <t>I_const</t>
  </si>
  <si>
    <t>V_o_MIN</t>
  </si>
  <si>
    <t>V_o_MAX</t>
  </si>
  <si>
    <t>A_V_o</t>
  </si>
  <si>
    <t>B_V_o</t>
  </si>
  <si>
    <t>A_V_o_NTC_Linear</t>
  </si>
  <si>
    <t>B_V_o_NTC_Linear</t>
  </si>
  <si>
    <t>Num</t>
  </si>
  <si>
    <t>Value</t>
  </si>
  <si>
    <t>Parameters</t>
  </si>
  <si>
    <t>G_INA</t>
  </si>
  <si>
    <t>R_G</t>
  </si>
  <si>
    <t>Lần</t>
  </si>
  <si>
    <t>G_INA_add_Noise</t>
  </si>
  <si>
    <t>Offset_Vol_T</t>
  </si>
  <si>
    <t>Gain_Drift</t>
  </si>
  <si>
    <t>Gain_Nonlinearity</t>
  </si>
  <si>
    <t>MAX_V_affter_NTC_ideal</t>
  </si>
  <si>
    <t>MIN_V_affter_NTC_ideal</t>
  </si>
  <si>
    <t>V_o_Standard (V)</t>
  </si>
  <si>
    <t>R_NTC (Ohm)</t>
  </si>
  <si>
    <t>V_o_NTC_NonLinearization (V)</t>
  </si>
  <si>
    <t>R_eq (Ohm)</t>
  </si>
  <si>
    <t>V_o_NTC_Linearization (V)</t>
  </si>
  <si>
    <t>V_affter_NTC_Ideal (V)</t>
  </si>
  <si>
    <t>V_o_INA (V)</t>
  </si>
  <si>
    <t>V_o_INA_ideal (V)</t>
  </si>
  <si>
    <t>Error_V_o_INA_ab (V)</t>
  </si>
  <si>
    <t>Error_V_o_INA_re (%)</t>
  </si>
  <si>
    <t>MAX_V_o_INA</t>
  </si>
  <si>
    <t>MIN_V_o_INA</t>
  </si>
  <si>
    <t>MAX_Error_V_o_INA_ab</t>
  </si>
  <si>
    <t>MIN_Error_V_o_INA_ab</t>
  </si>
  <si>
    <t>MAX_Error_V_o_INA_re</t>
  </si>
  <si>
    <t>MIN_Error_V_o_INA_re</t>
  </si>
  <si>
    <t>Amplifier</t>
  </si>
  <si>
    <t>INA128PA</t>
  </si>
  <si>
    <t>MAX_V_o_INA_ideal</t>
  </si>
  <si>
    <t>MIN_V_o_INA_ideal</t>
  </si>
  <si>
    <t>V_o_ideal (V)</t>
  </si>
  <si>
    <t>A_V_o_Cal</t>
  </si>
  <si>
    <t>B_V_o_Cal</t>
  </si>
  <si>
    <t>V_o_Cal (V)</t>
  </si>
  <si>
    <t>Error_V_o_Cal_ab (V)</t>
  </si>
  <si>
    <t>Error_V_o_Cal_re (%)</t>
  </si>
  <si>
    <t>MAX_Error_V_o_Cal</t>
  </si>
  <si>
    <t>MIN_Error_V_o_Cal</t>
  </si>
  <si>
    <t>Error_V_o_NTC_Linear_ab (V)</t>
  </si>
  <si>
    <t>MAX_Error_V_o_NTC_Linear_ab</t>
  </si>
  <si>
    <t>MIN_Error_V_o_NTC_Linear_ab</t>
  </si>
  <si>
    <t>Error_V_o_NTC_Linear_re (%)</t>
  </si>
  <si>
    <t>MAX_ERror_V_o_NTC_Linear_re</t>
  </si>
  <si>
    <t>MIN_ERror_V_o_NTC_Linear_re</t>
  </si>
  <si>
    <t>Error_T_cal</t>
  </si>
  <si>
    <t>MAX_Error_T_cal</t>
  </si>
  <si>
    <t>MIN_Error_T_cal</t>
  </si>
  <si>
    <t>Error_V_o_Measurement_ab (V)</t>
  </si>
  <si>
    <t>V_o_Measurement (V)</t>
  </si>
  <si>
    <t>Error_V_o_Measurement_re (%)</t>
  </si>
  <si>
    <t>T_Measurement_Cal (Celsius)</t>
  </si>
  <si>
    <t>Error_T_Measurement_Cal (%)</t>
  </si>
  <si>
    <t>R_offset</t>
  </si>
  <si>
    <t>R_eq_Sim (Ohm)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</si>
</sst>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%"/>
    <numFmt numFmtId="165" formatCode="0.000000"/>
    <numFmt numFmtId="166" formatCode="0.000000%"/>
    <numFmt numFmtId="167" formatCode="0.000000000"/>
    <numFmt numFmtId="168" formatCode="0.0000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6" borderId="2" applyNumberFormat="0" applyAlignment="0" applyProtection="0"/>
    <xf numFmtId="0" fontId="4" fillId="7" borderId="0" applyNumberFormat="0" applyBorder="0" applyAlignment="0" applyProtection="0"/>
    <xf numFmtId="0" fontId="5" fillId="8" borderId="1" applyNumberFormat="0" applyAlignment="0" applyProtection="0"/>
  </cellStyleXfs>
  <cellXfs count="35">
    <xf numFmtId="0" fontId="0" fillId="0" borderId="0" xfId="0"/>
    <xf numFmtId="9" fontId="0" fillId="0" borderId="0" xfId="1" applyFont="1"/>
    <xf numFmtId="164" fontId="0" fillId="0" borderId="0" xfId="1" applyNumberFormat="1" applyFont="1"/>
    <xf numFmtId="0" fontId="2" fillId="2" borderId="0" xfId="2"/>
    <xf numFmtId="0" fontId="0" fillId="3" borderId="0" xfId="0" applyFill="1"/>
    <xf numFmtId="0" fontId="0" fillId="0" borderId="0" xfId="0" applyAlignment="1">
      <alignment horizontal="center" vertical="center"/>
    </xf>
    <xf numFmtId="0" fontId="3" fillId="6" borderId="2" xfId="3"/>
    <xf numFmtId="167" fontId="0" fillId="0" borderId="0" xfId="0" applyNumberFormat="1"/>
    <xf numFmtId="164" fontId="4" fillId="7" borderId="0" xfId="4" applyNumberFormat="1"/>
    <xf numFmtId="0" fontId="4" fillId="7" borderId="0" xfId="4"/>
    <xf numFmtId="0" fontId="5" fillId="8" borderId="1" xfId="5"/>
    <xf numFmtId="164" fontId="5" fillId="8" borderId="1" xfId="5" applyNumberFormat="1"/>
    <xf numFmtId="167" fontId="2" fillId="2" borderId="0" xfId="2" applyNumberFormat="1"/>
    <xf numFmtId="0" fontId="0" fillId="0" borderId="3" xfId="0" applyBorder="1"/>
    <xf numFmtId="165" fontId="0" fillId="0" borderId="3" xfId="0" applyNumberFormat="1" applyBorder="1"/>
    <xf numFmtId="0" fontId="0" fillId="0" borderId="3" xfId="0" applyBorder="1" applyAlignment="1">
      <alignment horizontal="center" vertical="center"/>
    </xf>
    <xf numFmtId="164" fontId="0" fillId="0" borderId="3" xfId="1" applyNumberFormat="1" applyFont="1" applyBorder="1"/>
    <xf numFmtId="9" fontId="0" fillId="0" borderId="3" xfId="1" applyFont="1" applyBorder="1"/>
    <xf numFmtId="0" fontId="0" fillId="4" borderId="3" xfId="0" applyFill="1" applyBorder="1"/>
    <xf numFmtId="0" fontId="0" fillId="4" borderId="3" xfId="0" applyFill="1" applyBorder="1" applyAlignment="1">
      <alignment horizontal="center" vertical="center"/>
    </xf>
    <xf numFmtId="9" fontId="0" fillId="0" borderId="3" xfId="0" applyNumberFormat="1" applyBorder="1"/>
    <xf numFmtId="10" fontId="0" fillId="0" borderId="3" xfId="0" applyNumberFormat="1" applyBorder="1"/>
    <xf numFmtId="166" fontId="0" fillId="0" borderId="3" xfId="0" applyNumberFormat="1" applyBorder="1"/>
    <xf numFmtId="166" fontId="0" fillId="0" borderId="3" xfId="1" applyNumberFormat="1" applyFont="1" applyBorder="1"/>
    <xf numFmtId="0" fontId="0" fillId="5" borderId="3" xfId="0" applyFill="1" applyBorder="1"/>
    <xf numFmtId="0" fontId="0" fillId="5" borderId="3" xfId="0" applyFill="1" applyBorder="1" applyAlignment="1">
      <alignment horizontal="center" vertical="center"/>
    </xf>
    <xf numFmtId="0" fontId="3" fillId="6" borderId="7" xfId="3" applyBorder="1"/>
    <xf numFmtId="0" fontId="2" fillId="0" borderId="0" xfId="2" applyFill="1"/>
    <xf numFmtId="168" fontId="0" fillId="0" borderId="3" xfId="1" applyNumberFormat="1" applyFont="1" applyBorder="1"/>
    <xf numFmtId="0" fontId="0" fillId="0" borderId="3" xfId="1" applyNumberFormat="1" applyFont="1" applyBorder="1"/>
    <xf numFmtId="0" fontId="2" fillId="2" borderId="3" xfId="2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6">
    <cellStyle name="Calculation" xfId="5" builtinId="22"/>
    <cellStyle name="Check Cell" xfId="3" builtinId="23"/>
    <cellStyle name="Good" xfId="4" builtinId="26"/>
    <cellStyle name="Neutral" xfId="2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Cal_Error!$F$1</c:f>
              <c:strCache>
                <c:ptCount val="1"/>
                <c:pt idx="0">
                  <c:v>Error_Temperature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Cal_Error!$B$2:$B$602</c:f>
              <c:numCache>
                <c:formatCode>General</c:formatCode>
                <c:ptCount val="601"/>
                <c:pt idx="0">
                  <c:v>20</c:v>
                </c:pt>
                <c:pt idx="1">
                  <c:v>20.100000000000001</c:v>
                </c:pt>
                <c:pt idx="2">
                  <c:v>20.2</c:v>
                </c:pt>
                <c:pt idx="3">
                  <c:v>20.3</c:v>
                </c:pt>
                <c:pt idx="4">
                  <c:v>20.399999999999999</c:v>
                </c:pt>
                <c:pt idx="5">
                  <c:v>20.5</c:v>
                </c:pt>
                <c:pt idx="6">
                  <c:v>20.6</c:v>
                </c:pt>
                <c:pt idx="7">
                  <c:v>20.7</c:v>
                </c:pt>
                <c:pt idx="8">
                  <c:v>20.8</c:v>
                </c:pt>
                <c:pt idx="9">
                  <c:v>20.9</c:v>
                </c:pt>
                <c:pt idx="10">
                  <c:v>21</c:v>
                </c:pt>
                <c:pt idx="11">
                  <c:v>21.1</c:v>
                </c:pt>
                <c:pt idx="12">
                  <c:v>21.2</c:v>
                </c:pt>
                <c:pt idx="13">
                  <c:v>21.3</c:v>
                </c:pt>
                <c:pt idx="14">
                  <c:v>21.4</c:v>
                </c:pt>
                <c:pt idx="15">
                  <c:v>21.5</c:v>
                </c:pt>
                <c:pt idx="16">
                  <c:v>21.6</c:v>
                </c:pt>
                <c:pt idx="17">
                  <c:v>21.7</c:v>
                </c:pt>
                <c:pt idx="18">
                  <c:v>21.8</c:v>
                </c:pt>
                <c:pt idx="19">
                  <c:v>21.9</c:v>
                </c:pt>
                <c:pt idx="20">
                  <c:v>22</c:v>
                </c:pt>
                <c:pt idx="21">
                  <c:v>22.1</c:v>
                </c:pt>
                <c:pt idx="22">
                  <c:v>22.2</c:v>
                </c:pt>
                <c:pt idx="23">
                  <c:v>22.3</c:v>
                </c:pt>
                <c:pt idx="24">
                  <c:v>22.4</c:v>
                </c:pt>
                <c:pt idx="25">
                  <c:v>22.5</c:v>
                </c:pt>
                <c:pt idx="26">
                  <c:v>22.6</c:v>
                </c:pt>
                <c:pt idx="27">
                  <c:v>22.7</c:v>
                </c:pt>
                <c:pt idx="28">
                  <c:v>22.8</c:v>
                </c:pt>
                <c:pt idx="29">
                  <c:v>22.9</c:v>
                </c:pt>
                <c:pt idx="30">
                  <c:v>23</c:v>
                </c:pt>
                <c:pt idx="31">
                  <c:v>23.1</c:v>
                </c:pt>
                <c:pt idx="32">
                  <c:v>23.2</c:v>
                </c:pt>
                <c:pt idx="33">
                  <c:v>23.3</c:v>
                </c:pt>
                <c:pt idx="34">
                  <c:v>23.4</c:v>
                </c:pt>
                <c:pt idx="35">
                  <c:v>23.5</c:v>
                </c:pt>
                <c:pt idx="36">
                  <c:v>23.6</c:v>
                </c:pt>
                <c:pt idx="37">
                  <c:v>23.7</c:v>
                </c:pt>
                <c:pt idx="38">
                  <c:v>23.8</c:v>
                </c:pt>
                <c:pt idx="39">
                  <c:v>23.9</c:v>
                </c:pt>
                <c:pt idx="40">
                  <c:v>24</c:v>
                </c:pt>
                <c:pt idx="41">
                  <c:v>24.1</c:v>
                </c:pt>
                <c:pt idx="42">
                  <c:v>24.2</c:v>
                </c:pt>
                <c:pt idx="43">
                  <c:v>24.3</c:v>
                </c:pt>
                <c:pt idx="44">
                  <c:v>24.4</c:v>
                </c:pt>
                <c:pt idx="45">
                  <c:v>24.5</c:v>
                </c:pt>
                <c:pt idx="46">
                  <c:v>24.6</c:v>
                </c:pt>
                <c:pt idx="47">
                  <c:v>24.7</c:v>
                </c:pt>
                <c:pt idx="48">
                  <c:v>24.8</c:v>
                </c:pt>
                <c:pt idx="49">
                  <c:v>24.9</c:v>
                </c:pt>
                <c:pt idx="50">
                  <c:v>25</c:v>
                </c:pt>
                <c:pt idx="51">
                  <c:v>25.1</c:v>
                </c:pt>
                <c:pt idx="52">
                  <c:v>25.2</c:v>
                </c:pt>
                <c:pt idx="53">
                  <c:v>25.3</c:v>
                </c:pt>
                <c:pt idx="54">
                  <c:v>25.4</c:v>
                </c:pt>
                <c:pt idx="55">
                  <c:v>25.5</c:v>
                </c:pt>
                <c:pt idx="56">
                  <c:v>25.6</c:v>
                </c:pt>
                <c:pt idx="57">
                  <c:v>25.7</c:v>
                </c:pt>
                <c:pt idx="58">
                  <c:v>25.8</c:v>
                </c:pt>
                <c:pt idx="59">
                  <c:v>25.9</c:v>
                </c:pt>
                <c:pt idx="60">
                  <c:v>26</c:v>
                </c:pt>
                <c:pt idx="61">
                  <c:v>26.1</c:v>
                </c:pt>
                <c:pt idx="62">
                  <c:v>26.2</c:v>
                </c:pt>
                <c:pt idx="63">
                  <c:v>26.3</c:v>
                </c:pt>
                <c:pt idx="64">
                  <c:v>26.4</c:v>
                </c:pt>
                <c:pt idx="65">
                  <c:v>26.5</c:v>
                </c:pt>
                <c:pt idx="66">
                  <c:v>26.6</c:v>
                </c:pt>
                <c:pt idx="67">
                  <c:v>26.7</c:v>
                </c:pt>
                <c:pt idx="68">
                  <c:v>26.8</c:v>
                </c:pt>
                <c:pt idx="69">
                  <c:v>26.9</c:v>
                </c:pt>
                <c:pt idx="70">
                  <c:v>27</c:v>
                </c:pt>
                <c:pt idx="71">
                  <c:v>27.1</c:v>
                </c:pt>
                <c:pt idx="72">
                  <c:v>27.2</c:v>
                </c:pt>
                <c:pt idx="73">
                  <c:v>27.3</c:v>
                </c:pt>
                <c:pt idx="74">
                  <c:v>27.4</c:v>
                </c:pt>
                <c:pt idx="75">
                  <c:v>27.5</c:v>
                </c:pt>
                <c:pt idx="76">
                  <c:v>27.6</c:v>
                </c:pt>
                <c:pt idx="77">
                  <c:v>27.7</c:v>
                </c:pt>
                <c:pt idx="78">
                  <c:v>27.8</c:v>
                </c:pt>
                <c:pt idx="79">
                  <c:v>27.9</c:v>
                </c:pt>
                <c:pt idx="80">
                  <c:v>28</c:v>
                </c:pt>
                <c:pt idx="81">
                  <c:v>28.1</c:v>
                </c:pt>
                <c:pt idx="82">
                  <c:v>28.200000000000003</c:v>
                </c:pt>
                <c:pt idx="83">
                  <c:v>28.3</c:v>
                </c:pt>
                <c:pt idx="84">
                  <c:v>28.4</c:v>
                </c:pt>
                <c:pt idx="85">
                  <c:v>28.5</c:v>
                </c:pt>
                <c:pt idx="86">
                  <c:v>28.6</c:v>
                </c:pt>
                <c:pt idx="87">
                  <c:v>28.700000000000003</c:v>
                </c:pt>
                <c:pt idx="88">
                  <c:v>28.8</c:v>
                </c:pt>
                <c:pt idx="89">
                  <c:v>28.9</c:v>
                </c:pt>
                <c:pt idx="90">
                  <c:v>29</c:v>
                </c:pt>
                <c:pt idx="91">
                  <c:v>29.1</c:v>
                </c:pt>
                <c:pt idx="92">
                  <c:v>29.200000000000003</c:v>
                </c:pt>
                <c:pt idx="93">
                  <c:v>29.3</c:v>
                </c:pt>
                <c:pt idx="94">
                  <c:v>29.4</c:v>
                </c:pt>
                <c:pt idx="95">
                  <c:v>29.5</c:v>
                </c:pt>
                <c:pt idx="96">
                  <c:v>29.6</c:v>
                </c:pt>
                <c:pt idx="97">
                  <c:v>29.700000000000003</c:v>
                </c:pt>
                <c:pt idx="98">
                  <c:v>29.8</c:v>
                </c:pt>
                <c:pt idx="99">
                  <c:v>29.9</c:v>
                </c:pt>
                <c:pt idx="100">
                  <c:v>30</c:v>
                </c:pt>
                <c:pt idx="101">
                  <c:v>30.1</c:v>
                </c:pt>
                <c:pt idx="102">
                  <c:v>30.200000000000003</c:v>
                </c:pt>
                <c:pt idx="103">
                  <c:v>30.3</c:v>
                </c:pt>
                <c:pt idx="104">
                  <c:v>30.4</c:v>
                </c:pt>
                <c:pt idx="105">
                  <c:v>30.5</c:v>
                </c:pt>
                <c:pt idx="106">
                  <c:v>30.6</c:v>
                </c:pt>
                <c:pt idx="107">
                  <c:v>30.700000000000003</c:v>
                </c:pt>
                <c:pt idx="108">
                  <c:v>30.8</c:v>
                </c:pt>
                <c:pt idx="109">
                  <c:v>30.9</c:v>
                </c:pt>
                <c:pt idx="110">
                  <c:v>31</c:v>
                </c:pt>
                <c:pt idx="111">
                  <c:v>31.1</c:v>
                </c:pt>
                <c:pt idx="112">
                  <c:v>31.200000000000003</c:v>
                </c:pt>
                <c:pt idx="113">
                  <c:v>31.3</c:v>
                </c:pt>
                <c:pt idx="114">
                  <c:v>31.4</c:v>
                </c:pt>
                <c:pt idx="115">
                  <c:v>31.5</c:v>
                </c:pt>
                <c:pt idx="116">
                  <c:v>31.6</c:v>
                </c:pt>
                <c:pt idx="117">
                  <c:v>31.700000000000003</c:v>
                </c:pt>
                <c:pt idx="118">
                  <c:v>31.8</c:v>
                </c:pt>
                <c:pt idx="119">
                  <c:v>31.9</c:v>
                </c:pt>
                <c:pt idx="120">
                  <c:v>32</c:v>
                </c:pt>
                <c:pt idx="121">
                  <c:v>32.1</c:v>
                </c:pt>
                <c:pt idx="122">
                  <c:v>32.200000000000003</c:v>
                </c:pt>
                <c:pt idx="123">
                  <c:v>32.299999999999997</c:v>
                </c:pt>
                <c:pt idx="124">
                  <c:v>32.4</c:v>
                </c:pt>
                <c:pt idx="125">
                  <c:v>32.5</c:v>
                </c:pt>
                <c:pt idx="126">
                  <c:v>32.6</c:v>
                </c:pt>
                <c:pt idx="127">
                  <c:v>32.700000000000003</c:v>
                </c:pt>
                <c:pt idx="128">
                  <c:v>32.799999999999997</c:v>
                </c:pt>
                <c:pt idx="129">
                  <c:v>32.9</c:v>
                </c:pt>
                <c:pt idx="130">
                  <c:v>33</c:v>
                </c:pt>
                <c:pt idx="131">
                  <c:v>33.1</c:v>
                </c:pt>
                <c:pt idx="132">
                  <c:v>33.200000000000003</c:v>
                </c:pt>
                <c:pt idx="133">
                  <c:v>33.299999999999997</c:v>
                </c:pt>
                <c:pt idx="134">
                  <c:v>33.4</c:v>
                </c:pt>
                <c:pt idx="135">
                  <c:v>33.5</c:v>
                </c:pt>
                <c:pt idx="136">
                  <c:v>33.6</c:v>
                </c:pt>
                <c:pt idx="137">
                  <c:v>33.700000000000003</c:v>
                </c:pt>
                <c:pt idx="138">
                  <c:v>33.799999999999997</c:v>
                </c:pt>
                <c:pt idx="139">
                  <c:v>33.9</c:v>
                </c:pt>
                <c:pt idx="140">
                  <c:v>34</c:v>
                </c:pt>
                <c:pt idx="141">
                  <c:v>34.1</c:v>
                </c:pt>
                <c:pt idx="142">
                  <c:v>34.200000000000003</c:v>
                </c:pt>
                <c:pt idx="143">
                  <c:v>34.299999999999997</c:v>
                </c:pt>
                <c:pt idx="144">
                  <c:v>34.4</c:v>
                </c:pt>
                <c:pt idx="145">
                  <c:v>34.5</c:v>
                </c:pt>
                <c:pt idx="146">
                  <c:v>34.6</c:v>
                </c:pt>
                <c:pt idx="147">
                  <c:v>34.700000000000003</c:v>
                </c:pt>
                <c:pt idx="148">
                  <c:v>34.799999999999997</c:v>
                </c:pt>
                <c:pt idx="149">
                  <c:v>34.9</c:v>
                </c:pt>
                <c:pt idx="150">
                  <c:v>35</c:v>
                </c:pt>
                <c:pt idx="151">
                  <c:v>35.1</c:v>
                </c:pt>
                <c:pt idx="152">
                  <c:v>35.200000000000003</c:v>
                </c:pt>
                <c:pt idx="153">
                  <c:v>35.299999999999997</c:v>
                </c:pt>
                <c:pt idx="154">
                  <c:v>35.4</c:v>
                </c:pt>
                <c:pt idx="155">
                  <c:v>35.5</c:v>
                </c:pt>
                <c:pt idx="156">
                  <c:v>35.6</c:v>
                </c:pt>
                <c:pt idx="157">
                  <c:v>35.700000000000003</c:v>
                </c:pt>
                <c:pt idx="158">
                  <c:v>35.799999999999997</c:v>
                </c:pt>
                <c:pt idx="159">
                  <c:v>35.9</c:v>
                </c:pt>
                <c:pt idx="160">
                  <c:v>36</c:v>
                </c:pt>
                <c:pt idx="161">
                  <c:v>36.1</c:v>
                </c:pt>
                <c:pt idx="162">
                  <c:v>36.200000000000003</c:v>
                </c:pt>
                <c:pt idx="163">
                  <c:v>36.299999999999997</c:v>
                </c:pt>
                <c:pt idx="164">
                  <c:v>36.400000000000006</c:v>
                </c:pt>
                <c:pt idx="165">
                  <c:v>36.5</c:v>
                </c:pt>
                <c:pt idx="166">
                  <c:v>36.6</c:v>
                </c:pt>
                <c:pt idx="167">
                  <c:v>36.700000000000003</c:v>
                </c:pt>
                <c:pt idx="168">
                  <c:v>36.799999999999997</c:v>
                </c:pt>
                <c:pt idx="169">
                  <c:v>36.900000000000006</c:v>
                </c:pt>
                <c:pt idx="170">
                  <c:v>37</c:v>
                </c:pt>
                <c:pt idx="171">
                  <c:v>37.1</c:v>
                </c:pt>
                <c:pt idx="172">
                  <c:v>37.200000000000003</c:v>
                </c:pt>
                <c:pt idx="173">
                  <c:v>37.299999999999997</c:v>
                </c:pt>
                <c:pt idx="174">
                  <c:v>37.400000000000006</c:v>
                </c:pt>
                <c:pt idx="175">
                  <c:v>37.5</c:v>
                </c:pt>
                <c:pt idx="176">
                  <c:v>37.6</c:v>
                </c:pt>
                <c:pt idx="177">
                  <c:v>37.700000000000003</c:v>
                </c:pt>
                <c:pt idx="178">
                  <c:v>37.799999999999997</c:v>
                </c:pt>
                <c:pt idx="179">
                  <c:v>37.900000000000006</c:v>
                </c:pt>
                <c:pt idx="180">
                  <c:v>38</c:v>
                </c:pt>
                <c:pt idx="181">
                  <c:v>38.1</c:v>
                </c:pt>
                <c:pt idx="182">
                  <c:v>38.200000000000003</c:v>
                </c:pt>
                <c:pt idx="183">
                  <c:v>38.299999999999997</c:v>
                </c:pt>
                <c:pt idx="184">
                  <c:v>38.400000000000006</c:v>
                </c:pt>
                <c:pt idx="185">
                  <c:v>38.5</c:v>
                </c:pt>
                <c:pt idx="186">
                  <c:v>38.6</c:v>
                </c:pt>
                <c:pt idx="187">
                  <c:v>38.700000000000003</c:v>
                </c:pt>
                <c:pt idx="188">
                  <c:v>38.799999999999997</c:v>
                </c:pt>
                <c:pt idx="189">
                  <c:v>38.900000000000006</c:v>
                </c:pt>
                <c:pt idx="190">
                  <c:v>39</c:v>
                </c:pt>
                <c:pt idx="191">
                  <c:v>39.1</c:v>
                </c:pt>
                <c:pt idx="192">
                  <c:v>39.200000000000003</c:v>
                </c:pt>
                <c:pt idx="193">
                  <c:v>39.299999999999997</c:v>
                </c:pt>
                <c:pt idx="194">
                  <c:v>39.400000000000006</c:v>
                </c:pt>
                <c:pt idx="195">
                  <c:v>39.5</c:v>
                </c:pt>
                <c:pt idx="196">
                  <c:v>39.6</c:v>
                </c:pt>
                <c:pt idx="197">
                  <c:v>39.700000000000003</c:v>
                </c:pt>
                <c:pt idx="198">
                  <c:v>39.799999999999997</c:v>
                </c:pt>
                <c:pt idx="199">
                  <c:v>39.900000000000006</c:v>
                </c:pt>
                <c:pt idx="200">
                  <c:v>40</c:v>
                </c:pt>
                <c:pt idx="201">
                  <c:v>40.1</c:v>
                </c:pt>
                <c:pt idx="202">
                  <c:v>40.200000000000003</c:v>
                </c:pt>
                <c:pt idx="203">
                  <c:v>40.299999999999997</c:v>
                </c:pt>
                <c:pt idx="204">
                  <c:v>40.400000000000006</c:v>
                </c:pt>
                <c:pt idx="205">
                  <c:v>40.5</c:v>
                </c:pt>
                <c:pt idx="206">
                  <c:v>40.6</c:v>
                </c:pt>
                <c:pt idx="207">
                  <c:v>40.700000000000003</c:v>
                </c:pt>
                <c:pt idx="208">
                  <c:v>40.799999999999997</c:v>
                </c:pt>
                <c:pt idx="209">
                  <c:v>40.900000000000006</c:v>
                </c:pt>
                <c:pt idx="210">
                  <c:v>41</c:v>
                </c:pt>
                <c:pt idx="211">
                  <c:v>41.1</c:v>
                </c:pt>
                <c:pt idx="212">
                  <c:v>41.2</c:v>
                </c:pt>
                <c:pt idx="213">
                  <c:v>41.3</c:v>
                </c:pt>
                <c:pt idx="214">
                  <c:v>41.400000000000006</c:v>
                </c:pt>
                <c:pt idx="215">
                  <c:v>41.5</c:v>
                </c:pt>
                <c:pt idx="216">
                  <c:v>41.6</c:v>
                </c:pt>
                <c:pt idx="217">
                  <c:v>41.7</c:v>
                </c:pt>
                <c:pt idx="218">
                  <c:v>41.8</c:v>
                </c:pt>
                <c:pt idx="219">
                  <c:v>41.900000000000006</c:v>
                </c:pt>
                <c:pt idx="220">
                  <c:v>42</c:v>
                </c:pt>
                <c:pt idx="221">
                  <c:v>42.1</c:v>
                </c:pt>
                <c:pt idx="222">
                  <c:v>42.2</c:v>
                </c:pt>
                <c:pt idx="223">
                  <c:v>42.3</c:v>
                </c:pt>
                <c:pt idx="224">
                  <c:v>42.400000000000006</c:v>
                </c:pt>
                <c:pt idx="225">
                  <c:v>42.5</c:v>
                </c:pt>
                <c:pt idx="226">
                  <c:v>42.6</c:v>
                </c:pt>
                <c:pt idx="227">
                  <c:v>42.7</c:v>
                </c:pt>
                <c:pt idx="228">
                  <c:v>42.8</c:v>
                </c:pt>
                <c:pt idx="229">
                  <c:v>42.900000000000006</c:v>
                </c:pt>
                <c:pt idx="230">
                  <c:v>43</c:v>
                </c:pt>
                <c:pt idx="231">
                  <c:v>43.1</c:v>
                </c:pt>
                <c:pt idx="232">
                  <c:v>43.2</c:v>
                </c:pt>
                <c:pt idx="233">
                  <c:v>43.3</c:v>
                </c:pt>
                <c:pt idx="234">
                  <c:v>43.400000000000006</c:v>
                </c:pt>
                <c:pt idx="235">
                  <c:v>43.5</c:v>
                </c:pt>
                <c:pt idx="236">
                  <c:v>43.6</c:v>
                </c:pt>
                <c:pt idx="237">
                  <c:v>43.7</c:v>
                </c:pt>
                <c:pt idx="238">
                  <c:v>43.8</c:v>
                </c:pt>
                <c:pt idx="239">
                  <c:v>43.900000000000006</c:v>
                </c:pt>
                <c:pt idx="240">
                  <c:v>44</c:v>
                </c:pt>
                <c:pt idx="241">
                  <c:v>44.1</c:v>
                </c:pt>
                <c:pt idx="242">
                  <c:v>44.2</c:v>
                </c:pt>
                <c:pt idx="243">
                  <c:v>44.3</c:v>
                </c:pt>
                <c:pt idx="244">
                  <c:v>44.400000000000006</c:v>
                </c:pt>
                <c:pt idx="245">
                  <c:v>44.5</c:v>
                </c:pt>
                <c:pt idx="246">
                  <c:v>44.6</c:v>
                </c:pt>
                <c:pt idx="247">
                  <c:v>44.7</c:v>
                </c:pt>
                <c:pt idx="248">
                  <c:v>44.8</c:v>
                </c:pt>
                <c:pt idx="249">
                  <c:v>44.900000000000006</c:v>
                </c:pt>
                <c:pt idx="250">
                  <c:v>45</c:v>
                </c:pt>
                <c:pt idx="251">
                  <c:v>45.1</c:v>
                </c:pt>
                <c:pt idx="252">
                  <c:v>45.2</c:v>
                </c:pt>
                <c:pt idx="253">
                  <c:v>45.3</c:v>
                </c:pt>
                <c:pt idx="254">
                  <c:v>45.400000000000006</c:v>
                </c:pt>
                <c:pt idx="255">
                  <c:v>45.5</c:v>
                </c:pt>
                <c:pt idx="256">
                  <c:v>45.6</c:v>
                </c:pt>
                <c:pt idx="257">
                  <c:v>45.7</c:v>
                </c:pt>
                <c:pt idx="258">
                  <c:v>45.8</c:v>
                </c:pt>
                <c:pt idx="259">
                  <c:v>45.900000000000006</c:v>
                </c:pt>
                <c:pt idx="260">
                  <c:v>46</c:v>
                </c:pt>
                <c:pt idx="261">
                  <c:v>46.1</c:v>
                </c:pt>
                <c:pt idx="262">
                  <c:v>46.2</c:v>
                </c:pt>
                <c:pt idx="263">
                  <c:v>46.3</c:v>
                </c:pt>
                <c:pt idx="264">
                  <c:v>46.400000000000006</c:v>
                </c:pt>
                <c:pt idx="265">
                  <c:v>46.5</c:v>
                </c:pt>
                <c:pt idx="266">
                  <c:v>46.6</c:v>
                </c:pt>
                <c:pt idx="267">
                  <c:v>46.7</c:v>
                </c:pt>
                <c:pt idx="268">
                  <c:v>46.8</c:v>
                </c:pt>
                <c:pt idx="269">
                  <c:v>46.900000000000006</c:v>
                </c:pt>
                <c:pt idx="270">
                  <c:v>47</c:v>
                </c:pt>
                <c:pt idx="271">
                  <c:v>47.1</c:v>
                </c:pt>
                <c:pt idx="272">
                  <c:v>47.2</c:v>
                </c:pt>
                <c:pt idx="273">
                  <c:v>47.3</c:v>
                </c:pt>
                <c:pt idx="274">
                  <c:v>47.400000000000006</c:v>
                </c:pt>
                <c:pt idx="275">
                  <c:v>47.5</c:v>
                </c:pt>
                <c:pt idx="276">
                  <c:v>47.6</c:v>
                </c:pt>
                <c:pt idx="277">
                  <c:v>47.7</c:v>
                </c:pt>
                <c:pt idx="278">
                  <c:v>47.8</c:v>
                </c:pt>
                <c:pt idx="279">
                  <c:v>47.900000000000006</c:v>
                </c:pt>
                <c:pt idx="280">
                  <c:v>48</c:v>
                </c:pt>
                <c:pt idx="281">
                  <c:v>48.1</c:v>
                </c:pt>
                <c:pt idx="282">
                  <c:v>48.2</c:v>
                </c:pt>
                <c:pt idx="283">
                  <c:v>48.3</c:v>
                </c:pt>
                <c:pt idx="284">
                  <c:v>48.400000000000006</c:v>
                </c:pt>
                <c:pt idx="285">
                  <c:v>48.5</c:v>
                </c:pt>
                <c:pt idx="286">
                  <c:v>48.6</c:v>
                </c:pt>
                <c:pt idx="287">
                  <c:v>48.7</c:v>
                </c:pt>
                <c:pt idx="288">
                  <c:v>48.8</c:v>
                </c:pt>
                <c:pt idx="289">
                  <c:v>48.900000000000006</c:v>
                </c:pt>
                <c:pt idx="290">
                  <c:v>49</c:v>
                </c:pt>
                <c:pt idx="291">
                  <c:v>49.1</c:v>
                </c:pt>
                <c:pt idx="292">
                  <c:v>49.2</c:v>
                </c:pt>
                <c:pt idx="293">
                  <c:v>49.3</c:v>
                </c:pt>
                <c:pt idx="294">
                  <c:v>49.400000000000006</c:v>
                </c:pt>
                <c:pt idx="295">
                  <c:v>49.5</c:v>
                </c:pt>
                <c:pt idx="296">
                  <c:v>49.6</c:v>
                </c:pt>
                <c:pt idx="297">
                  <c:v>49.7</c:v>
                </c:pt>
                <c:pt idx="298">
                  <c:v>49.8</c:v>
                </c:pt>
                <c:pt idx="299">
                  <c:v>49.900000000000006</c:v>
                </c:pt>
                <c:pt idx="300">
                  <c:v>50</c:v>
                </c:pt>
                <c:pt idx="301">
                  <c:v>50.1</c:v>
                </c:pt>
                <c:pt idx="302">
                  <c:v>50.2</c:v>
                </c:pt>
                <c:pt idx="303">
                  <c:v>50.3</c:v>
                </c:pt>
                <c:pt idx="304">
                  <c:v>50.400000000000006</c:v>
                </c:pt>
                <c:pt idx="305">
                  <c:v>50.5</c:v>
                </c:pt>
                <c:pt idx="306">
                  <c:v>50.6</c:v>
                </c:pt>
                <c:pt idx="307">
                  <c:v>50.7</c:v>
                </c:pt>
                <c:pt idx="308">
                  <c:v>50.8</c:v>
                </c:pt>
                <c:pt idx="309">
                  <c:v>50.900000000000006</c:v>
                </c:pt>
                <c:pt idx="310">
                  <c:v>51</c:v>
                </c:pt>
                <c:pt idx="311">
                  <c:v>51.1</c:v>
                </c:pt>
                <c:pt idx="312">
                  <c:v>51.2</c:v>
                </c:pt>
                <c:pt idx="313">
                  <c:v>51.3</c:v>
                </c:pt>
                <c:pt idx="314">
                  <c:v>51.400000000000006</c:v>
                </c:pt>
                <c:pt idx="315">
                  <c:v>51.5</c:v>
                </c:pt>
                <c:pt idx="316">
                  <c:v>51.6</c:v>
                </c:pt>
                <c:pt idx="317">
                  <c:v>51.7</c:v>
                </c:pt>
                <c:pt idx="318">
                  <c:v>51.8</c:v>
                </c:pt>
                <c:pt idx="319">
                  <c:v>51.900000000000006</c:v>
                </c:pt>
                <c:pt idx="320">
                  <c:v>52</c:v>
                </c:pt>
                <c:pt idx="321">
                  <c:v>52.1</c:v>
                </c:pt>
                <c:pt idx="322">
                  <c:v>52.2</c:v>
                </c:pt>
                <c:pt idx="323">
                  <c:v>52.300000000000004</c:v>
                </c:pt>
                <c:pt idx="324">
                  <c:v>52.4</c:v>
                </c:pt>
                <c:pt idx="325">
                  <c:v>52.5</c:v>
                </c:pt>
                <c:pt idx="326">
                  <c:v>52.6</c:v>
                </c:pt>
                <c:pt idx="327">
                  <c:v>52.7</c:v>
                </c:pt>
                <c:pt idx="328">
                  <c:v>52.800000000000004</c:v>
                </c:pt>
                <c:pt idx="329">
                  <c:v>52.9</c:v>
                </c:pt>
                <c:pt idx="330">
                  <c:v>53</c:v>
                </c:pt>
                <c:pt idx="331">
                  <c:v>53.1</c:v>
                </c:pt>
                <c:pt idx="332">
                  <c:v>53.2</c:v>
                </c:pt>
                <c:pt idx="333">
                  <c:v>53.300000000000004</c:v>
                </c:pt>
                <c:pt idx="334">
                  <c:v>53.4</c:v>
                </c:pt>
                <c:pt idx="335">
                  <c:v>53.5</c:v>
                </c:pt>
                <c:pt idx="336">
                  <c:v>53.6</c:v>
                </c:pt>
                <c:pt idx="337">
                  <c:v>53.7</c:v>
                </c:pt>
                <c:pt idx="338">
                  <c:v>53.800000000000004</c:v>
                </c:pt>
                <c:pt idx="339">
                  <c:v>53.9</c:v>
                </c:pt>
                <c:pt idx="340">
                  <c:v>54</c:v>
                </c:pt>
                <c:pt idx="341">
                  <c:v>54.1</c:v>
                </c:pt>
                <c:pt idx="342">
                  <c:v>54.2</c:v>
                </c:pt>
                <c:pt idx="343">
                  <c:v>54.300000000000004</c:v>
                </c:pt>
                <c:pt idx="344">
                  <c:v>54.4</c:v>
                </c:pt>
                <c:pt idx="345">
                  <c:v>54.5</c:v>
                </c:pt>
                <c:pt idx="346">
                  <c:v>54.6</c:v>
                </c:pt>
                <c:pt idx="347">
                  <c:v>54.7</c:v>
                </c:pt>
                <c:pt idx="348">
                  <c:v>54.800000000000004</c:v>
                </c:pt>
                <c:pt idx="349">
                  <c:v>54.9</c:v>
                </c:pt>
                <c:pt idx="350">
                  <c:v>55</c:v>
                </c:pt>
                <c:pt idx="351">
                  <c:v>55.1</c:v>
                </c:pt>
                <c:pt idx="352">
                  <c:v>55.2</c:v>
                </c:pt>
                <c:pt idx="353">
                  <c:v>55.300000000000004</c:v>
                </c:pt>
                <c:pt idx="354">
                  <c:v>55.4</c:v>
                </c:pt>
                <c:pt idx="355">
                  <c:v>55.5</c:v>
                </c:pt>
                <c:pt idx="356">
                  <c:v>55.6</c:v>
                </c:pt>
                <c:pt idx="357">
                  <c:v>55.7</c:v>
                </c:pt>
                <c:pt idx="358">
                  <c:v>55.800000000000004</c:v>
                </c:pt>
                <c:pt idx="359">
                  <c:v>55.9</c:v>
                </c:pt>
                <c:pt idx="360">
                  <c:v>56</c:v>
                </c:pt>
                <c:pt idx="361">
                  <c:v>56.1</c:v>
                </c:pt>
                <c:pt idx="362">
                  <c:v>56.2</c:v>
                </c:pt>
                <c:pt idx="363">
                  <c:v>56.300000000000004</c:v>
                </c:pt>
                <c:pt idx="364">
                  <c:v>56.4</c:v>
                </c:pt>
                <c:pt idx="365">
                  <c:v>56.5</c:v>
                </c:pt>
                <c:pt idx="366">
                  <c:v>56.6</c:v>
                </c:pt>
                <c:pt idx="367">
                  <c:v>56.7</c:v>
                </c:pt>
                <c:pt idx="368">
                  <c:v>56.800000000000004</c:v>
                </c:pt>
                <c:pt idx="369">
                  <c:v>56.9</c:v>
                </c:pt>
                <c:pt idx="370">
                  <c:v>57</c:v>
                </c:pt>
                <c:pt idx="371">
                  <c:v>57.1</c:v>
                </c:pt>
                <c:pt idx="372">
                  <c:v>57.2</c:v>
                </c:pt>
                <c:pt idx="373">
                  <c:v>57.300000000000004</c:v>
                </c:pt>
                <c:pt idx="374">
                  <c:v>57.4</c:v>
                </c:pt>
                <c:pt idx="375">
                  <c:v>57.5</c:v>
                </c:pt>
                <c:pt idx="376">
                  <c:v>57.6</c:v>
                </c:pt>
                <c:pt idx="377">
                  <c:v>57.7</c:v>
                </c:pt>
                <c:pt idx="378">
                  <c:v>57.800000000000004</c:v>
                </c:pt>
                <c:pt idx="379">
                  <c:v>57.9</c:v>
                </c:pt>
                <c:pt idx="380">
                  <c:v>58</c:v>
                </c:pt>
                <c:pt idx="381">
                  <c:v>58.1</c:v>
                </c:pt>
                <c:pt idx="382">
                  <c:v>58.2</c:v>
                </c:pt>
                <c:pt idx="383">
                  <c:v>58.300000000000004</c:v>
                </c:pt>
                <c:pt idx="384">
                  <c:v>58.400000000000006</c:v>
                </c:pt>
                <c:pt idx="385">
                  <c:v>58.5</c:v>
                </c:pt>
                <c:pt idx="386">
                  <c:v>58.6</c:v>
                </c:pt>
                <c:pt idx="387">
                  <c:v>58.7</c:v>
                </c:pt>
                <c:pt idx="388">
                  <c:v>58.800000000000004</c:v>
                </c:pt>
                <c:pt idx="389">
                  <c:v>58.900000000000006</c:v>
                </c:pt>
                <c:pt idx="390">
                  <c:v>59</c:v>
                </c:pt>
                <c:pt idx="391">
                  <c:v>59.1</c:v>
                </c:pt>
                <c:pt idx="392">
                  <c:v>59.2</c:v>
                </c:pt>
                <c:pt idx="393">
                  <c:v>59.300000000000004</c:v>
                </c:pt>
                <c:pt idx="394">
                  <c:v>59.400000000000006</c:v>
                </c:pt>
                <c:pt idx="395">
                  <c:v>59.5</c:v>
                </c:pt>
                <c:pt idx="396">
                  <c:v>59.6</c:v>
                </c:pt>
                <c:pt idx="397">
                  <c:v>59.7</c:v>
                </c:pt>
                <c:pt idx="398">
                  <c:v>59.800000000000004</c:v>
                </c:pt>
                <c:pt idx="399">
                  <c:v>59.900000000000006</c:v>
                </c:pt>
                <c:pt idx="400">
                  <c:v>60</c:v>
                </c:pt>
                <c:pt idx="401">
                  <c:v>60.1</c:v>
                </c:pt>
                <c:pt idx="402">
                  <c:v>60.2</c:v>
                </c:pt>
                <c:pt idx="403">
                  <c:v>60.300000000000004</c:v>
                </c:pt>
                <c:pt idx="404">
                  <c:v>60.400000000000006</c:v>
                </c:pt>
                <c:pt idx="405">
                  <c:v>60.5</c:v>
                </c:pt>
                <c:pt idx="406">
                  <c:v>60.6</c:v>
                </c:pt>
                <c:pt idx="407">
                  <c:v>60.7</c:v>
                </c:pt>
                <c:pt idx="408">
                  <c:v>60.800000000000004</c:v>
                </c:pt>
                <c:pt idx="409">
                  <c:v>60.900000000000006</c:v>
                </c:pt>
                <c:pt idx="410">
                  <c:v>61</c:v>
                </c:pt>
                <c:pt idx="411">
                  <c:v>61.1</c:v>
                </c:pt>
                <c:pt idx="412">
                  <c:v>61.2</c:v>
                </c:pt>
                <c:pt idx="413">
                  <c:v>61.300000000000004</c:v>
                </c:pt>
                <c:pt idx="414">
                  <c:v>61.400000000000006</c:v>
                </c:pt>
                <c:pt idx="415">
                  <c:v>61.5</c:v>
                </c:pt>
                <c:pt idx="416">
                  <c:v>61.6</c:v>
                </c:pt>
                <c:pt idx="417">
                  <c:v>61.7</c:v>
                </c:pt>
                <c:pt idx="418">
                  <c:v>61.800000000000004</c:v>
                </c:pt>
                <c:pt idx="419">
                  <c:v>61.900000000000006</c:v>
                </c:pt>
                <c:pt idx="420">
                  <c:v>62</c:v>
                </c:pt>
                <c:pt idx="421">
                  <c:v>62.1</c:v>
                </c:pt>
                <c:pt idx="422">
                  <c:v>62.2</c:v>
                </c:pt>
                <c:pt idx="423">
                  <c:v>62.300000000000004</c:v>
                </c:pt>
                <c:pt idx="424">
                  <c:v>62.400000000000006</c:v>
                </c:pt>
                <c:pt idx="425">
                  <c:v>62.5</c:v>
                </c:pt>
                <c:pt idx="426">
                  <c:v>62.6</c:v>
                </c:pt>
                <c:pt idx="427">
                  <c:v>62.7</c:v>
                </c:pt>
                <c:pt idx="428">
                  <c:v>62.800000000000004</c:v>
                </c:pt>
                <c:pt idx="429">
                  <c:v>62.900000000000006</c:v>
                </c:pt>
                <c:pt idx="430">
                  <c:v>63</c:v>
                </c:pt>
                <c:pt idx="431">
                  <c:v>63.1</c:v>
                </c:pt>
                <c:pt idx="432">
                  <c:v>63.2</c:v>
                </c:pt>
                <c:pt idx="433">
                  <c:v>63.300000000000004</c:v>
                </c:pt>
                <c:pt idx="434">
                  <c:v>63.400000000000006</c:v>
                </c:pt>
                <c:pt idx="435">
                  <c:v>63.5</c:v>
                </c:pt>
                <c:pt idx="436">
                  <c:v>63.6</c:v>
                </c:pt>
                <c:pt idx="437">
                  <c:v>63.7</c:v>
                </c:pt>
                <c:pt idx="438">
                  <c:v>63.800000000000004</c:v>
                </c:pt>
                <c:pt idx="439">
                  <c:v>63.900000000000006</c:v>
                </c:pt>
                <c:pt idx="440">
                  <c:v>64</c:v>
                </c:pt>
                <c:pt idx="441">
                  <c:v>64.099999999999994</c:v>
                </c:pt>
                <c:pt idx="442">
                  <c:v>64.2</c:v>
                </c:pt>
                <c:pt idx="443">
                  <c:v>64.300000000000011</c:v>
                </c:pt>
                <c:pt idx="444">
                  <c:v>64.400000000000006</c:v>
                </c:pt>
                <c:pt idx="445">
                  <c:v>64.5</c:v>
                </c:pt>
                <c:pt idx="446">
                  <c:v>64.599999999999994</c:v>
                </c:pt>
                <c:pt idx="447">
                  <c:v>64.7</c:v>
                </c:pt>
                <c:pt idx="448">
                  <c:v>64.800000000000011</c:v>
                </c:pt>
                <c:pt idx="449">
                  <c:v>64.900000000000006</c:v>
                </c:pt>
                <c:pt idx="450">
                  <c:v>65</c:v>
                </c:pt>
                <c:pt idx="451">
                  <c:v>65.099999999999994</c:v>
                </c:pt>
                <c:pt idx="452">
                  <c:v>65.2</c:v>
                </c:pt>
                <c:pt idx="453">
                  <c:v>65.300000000000011</c:v>
                </c:pt>
                <c:pt idx="454">
                  <c:v>65.400000000000006</c:v>
                </c:pt>
                <c:pt idx="455">
                  <c:v>65.5</c:v>
                </c:pt>
                <c:pt idx="456">
                  <c:v>65.599999999999994</c:v>
                </c:pt>
                <c:pt idx="457">
                  <c:v>65.7</c:v>
                </c:pt>
                <c:pt idx="458">
                  <c:v>65.800000000000011</c:v>
                </c:pt>
                <c:pt idx="459">
                  <c:v>65.900000000000006</c:v>
                </c:pt>
                <c:pt idx="460">
                  <c:v>66</c:v>
                </c:pt>
                <c:pt idx="461">
                  <c:v>66.099999999999994</c:v>
                </c:pt>
                <c:pt idx="462">
                  <c:v>66.2</c:v>
                </c:pt>
                <c:pt idx="463">
                  <c:v>66.300000000000011</c:v>
                </c:pt>
                <c:pt idx="464">
                  <c:v>66.400000000000006</c:v>
                </c:pt>
                <c:pt idx="465">
                  <c:v>66.5</c:v>
                </c:pt>
                <c:pt idx="466">
                  <c:v>66.599999999999994</c:v>
                </c:pt>
                <c:pt idx="467">
                  <c:v>66.7</c:v>
                </c:pt>
                <c:pt idx="468">
                  <c:v>66.800000000000011</c:v>
                </c:pt>
                <c:pt idx="469">
                  <c:v>66.900000000000006</c:v>
                </c:pt>
                <c:pt idx="470">
                  <c:v>67</c:v>
                </c:pt>
                <c:pt idx="471">
                  <c:v>67.099999999999994</c:v>
                </c:pt>
                <c:pt idx="472">
                  <c:v>67.2</c:v>
                </c:pt>
                <c:pt idx="473">
                  <c:v>67.300000000000011</c:v>
                </c:pt>
                <c:pt idx="474">
                  <c:v>67.400000000000006</c:v>
                </c:pt>
                <c:pt idx="475">
                  <c:v>67.5</c:v>
                </c:pt>
                <c:pt idx="476">
                  <c:v>67.599999999999994</c:v>
                </c:pt>
                <c:pt idx="477">
                  <c:v>67.7</c:v>
                </c:pt>
                <c:pt idx="478">
                  <c:v>67.800000000000011</c:v>
                </c:pt>
                <c:pt idx="479">
                  <c:v>67.900000000000006</c:v>
                </c:pt>
                <c:pt idx="480">
                  <c:v>68</c:v>
                </c:pt>
                <c:pt idx="481">
                  <c:v>68.099999999999994</c:v>
                </c:pt>
                <c:pt idx="482">
                  <c:v>68.2</c:v>
                </c:pt>
                <c:pt idx="483">
                  <c:v>68.300000000000011</c:v>
                </c:pt>
                <c:pt idx="484">
                  <c:v>68.400000000000006</c:v>
                </c:pt>
                <c:pt idx="485">
                  <c:v>68.5</c:v>
                </c:pt>
                <c:pt idx="486">
                  <c:v>68.599999999999994</c:v>
                </c:pt>
                <c:pt idx="487">
                  <c:v>68.7</c:v>
                </c:pt>
                <c:pt idx="488">
                  <c:v>68.800000000000011</c:v>
                </c:pt>
                <c:pt idx="489">
                  <c:v>68.900000000000006</c:v>
                </c:pt>
                <c:pt idx="490">
                  <c:v>69</c:v>
                </c:pt>
                <c:pt idx="491">
                  <c:v>69.099999999999994</c:v>
                </c:pt>
                <c:pt idx="492">
                  <c:v>69.2</c:v>
                </c:pt>
                <c:pt idx="493">
                  <c:v>69.300000000000011</c:v>
                </c:pt>
                <c:pt idx="494">
                  <c:v>69.400000000000006</c:v>
                </c:pt>
                <c:pt idx="495">
                  <c:v>69.5</c:v>
                </c:pt>
                <c:pt idx="496">
                  <c:v>69.599999999999994</c:v>
                </c:pt>
                <c:pt idx="497">
                  <c:v>69.7</c:v>
                </c:pt>
                <c:pt idx="498">
                  <c:v>69.800000000000011</c:v>
                </c:pt>
                <c:pt idx="499">
                  <c:v>69.900000000000006</c:v>
                </c:pt>
                <c:pt idx="500">
                  <c:v>70</c:v>
                </c:pt>
                <c:pt idx="501">
                  <c:v>70.099999999999994</c:v>
                </c:pt>
                <c:pt idx="502">
                  <c:v>70.2</c:v>
                </c:pt>
                <c:pt idx="503">
                  <c:v>70.300000000000011</c:v>
                </c:pt>
                <c:pt idx="504">
                  <c:v>70.400000000000006</c:v>
                </c:pt>
                <c:pt idx="505">
                  <c:v>70.5</c:v>
                </c:pt>
                <c:pt idx="506">
                  <c:v>70.599999999999994</c:v>
                </c:pt>
                <c:pt idx="507">
                  <c:v>70.7</c:v>
                </c:pt>
                <c:pt idx="508">
                  <c:v>70.800000000000011</c:v>
                </c:pt>
                <c:pt idx="509">
                  <c:v>70.900000000000006</c:v>
                </c:pt>
                <c:pt idx="510">
                  <c:v>71</c:v>
                </c:pt>
                <c:pt idx="511">
                  <c:v>71.099999999999994</c:v>
                </c:pt>
                <c:pt idx="512">
                  <c:v>71.2</c:v>
                </c:pt>
                <c:pt idx="513">
                  <c:v>71.300000000000011</c:v>
                </c:pt>
                <c:pt idx="514">
                  <c:v>71.400000000000006</c:v>
                </c:pt>
                <c:pt idx="515">
                  <c:v>71.5</c:v>
                </c:pt>
                <c:pt idx="516">
                  <c:v>71.599999999999994</c:v>
                </c:pt>
                <c:pt idx="517">
                  <c:v>71.7</c:v>
                </c:pt>
                <c:pt idx="518">
                  <c:v>71.800000000000011</c:v>
                </c:pt>
                <c:pt idx="519">
                  <c:v>71.900000000000006</c:v>
                </c:pt>
                <c:pt idx="520">
                  <c:v>72</c:v>
                </c:pt>
                <c:pt idx="521">
                  <c:v>72.099999999999994</c:v>
                </c:pt>
                <c:pt idx="522">
                  <c:v>72.2</c:v>
                </c:pt>
                <c:pt idx="523">
                  <c:v>72.300000000000011</c:v>
                </c:pt>
                <c:pt idx="524">
                  <c:v>72.400000000000006</c:v>
                </c:pt>
                <c:pt idx="525">
                  <c:v>72.5</c:v>
                </c:pt>
                <c:pt idx="526">
                  <c:v>72.599999999999994</c:v>
                </c:pt>
                <c:pt idx="527">
                  <c:v>72.7</c:v>
                </c:pt>
                <c:pt idx="528">
                  <c:v>72.800000000000011</c:v>
                </c:pt>
                <c:pt idx="529">
                  <c:v>72.900000000000006</c:v>
                </c:pt>
                <c:pt idx="530">
                  <c:v>73</c:v>
                </c:pt>
                <c:pt idx="531">
                  <c:v>73.099999999999994</c:v>
                </c:pt>
                <c:pt idx="532">
                  <c:v>73.2</c:v>
                </c:pt>
                <c:pt idx="533">
                  <c:v>73.300000000000011</c:v>
                </c:pt>
                <c:pt idx="534">
                  <c:v>73.400000000000006</c:v>
                </c:pt>
                <c:pt idx="535">
                  <c:v>73.5</c:v>
                </c:pt>
                <c:pt idx="536">
                  <c:v>73.599999999999994</c:v>
                </c:pt>
                <c:pt idx="537">
                  <c:v>73.7</c:v>
                </c:pt>
                <c:pt idx="538">
                  <c:v>73.800000000000011</c:v>
                </c:pt>
                <c:pt idx="539">
                  <c:v>73.900000000000006</c:v>
                </c:pt>
                <c:pt idx="540">
                  <c:v>74</c:v>
                </c:pt>
                <c:pt idx="541">
                  <c:v>74.099999999999994</c:v>
                </c:pt>
                <c:pt idx="542">
                  <c:v>74.2</c:v>
                </c:pt>
                <c:pt idx="543">
                  <c:v>74.300000000000011</c:v>
                </c:pt>
                <c:pt idx="544">
                  <c:v>74.400000000000006</c:v>
                </c:pt>
                <c:pt idx="545">
                  <c:v>74.5</c:v>
                </c:pt>
                <c:pt idx="546">
                  <c:v>74.599999999999994</c:v>
                </c:pt>
                <c:pt idx="547">
                  <c:v>74.7</c:v>
                </c:pt>
                <c:pt idx="548">
                  <c:v>74.800000000000011</c:v>
                </c:pt>
                <c:pt idx="549">
                  <c:v>74.900000000000006</c:v>
                </c:pt>
                <c:pt idx="550">
                  <c:v>75</c:v>
                </c:pt>
                <c:pt idx="551">
                  <c:v>75.099999999999994</c:v>
                </c:pt>
                <c:pt idx="552">
                  <c:v>75.2</c:v>
                </c:pt>
                <c:pt idx="553">
                  <c:v>75.300000000000011</c:v>
                </c:pt>
                <c:pt idx="554">
                  <c:v>75.400000000000006</c:v>
                </c:pt>
                <c:pt idx="555">
                  <c:v>75.5</c:v>
                </c:pt>
                <c:pt idx="556">
                  <c:v>75.599999999999994</c:v>
                </c:pt>
                <c:pt idx="557">
                  <c:v>75.7</c:v>
                </c:pt>
                <c:pt idx="558">
                  <c:v>75.800000000000011</c:v>
                </c:pt>
                <c:pt idx="559">
                  <c:v>75.900000000000006</c:v>
                </c:pt>
                <c:pt idx="560">
                  <c:v>76</c:v>
                </c:pt>
                <c:pt idx="561">
                  <c:v>76.099999999999994</c:v>
                </c:pt>
                <c:pt idx="562">
                  <c:v>76.2</c:v>
                </c:pt>
                <c:pt idx="563">
                  <c:v>76.300000000000011</c:v>
                </c:pt>
                <c:pt idx="564">
                  <c:v>76.400000000000006</c:v>
                </c:pt>
                <c:pt idx="565">
                  <c:v>76.5</c:v>
                </c:pt>
                <c:pt idx="566">
                  <c:v>76.599999999999994</c:v>
                </c:pt>
                <c:pt idx="567">
                  <c:v>76.7</c:v>
                </c:pt>
                <c:pt idx="568">
                  <c:v>76.800000000000011</c:v>
                </c:pt>
                <c:pt idx="569">
                  <c:v>76.900000000000006</c:v>
                </c:pt>
                <c:pt idx="570">
                  <c:v>77</c:v>
                </c:pt>
                <c:pt idx="571">
                  <c:v>77.099999999999994</c:v>
                </c:pt>
                <c:pt idx="572">
                  <c:v>77.2</c:v>
                </c:pt>
                <c:pt idx="573">
                  <c:v>77.300000000000011</c:v>
                </c:pt>
                <c:pt idx="574">
                  <c:v>77.400000000000006</c:v>
                </c:pt>
                <c:pt idx="575">
                  <c:v>77.5</c:v>
                </c:pt>
                <c:pt idx="576">
                  <c:v>77.599999999999994</c:v>
                </c:pt>
                <c:pt idx="577">
                  <c:v>77.7</c:v>
                </c:pt>
                <c:pt idx="578">
                  <c:v>77.800000000000011</c:v>
                </c:pt>
                <c:pt idx="579">
                  <c:v>77.900000000000006</c:v>
                </c:pt>
                <c:pt idx="580">
                  <c:v>78</c:v>
                </c:pt>
                <c:pt idx="581">
                  <c:v>78.099999999999994</c:v>
                </c:pt>
                <c:pt idx="582">
                  <c:v>78.2</c:v>
                </c:pt>
                <c:pt idx="583">
                  <c:v>78.300000000000011</c:v>
                </c:pt>
                <c:pt idx="584">
                  <c:v>78.400000000000006</c:v>
                </c:pt>
                <c:pt idx="585">
                  <c:v>78.5</c:v>
                </c:pt>
                <c:pt idx="586">
                  <c:v>78.599999999999994</c:v>
                </c:pt>
                <c:pt idx="587">
                  <c:v>78.7</c:v>
                </c:pt>
                <c:pt idx="588">
                  <c:v>78.800000000000011</c:v>
                </c:pt>
                <c:pt idx="589">
                  <c:v>78.900000000000006</c:v>
                </c:pt>
                <c:pt idx="590">
                  <c:v>79</c:v>
                </c:pt>
                <c:pt idx="591">
                  <c:v>79.099999999999994</c:v>
                </c:pt>
                <c:pt idx="592">
                  <c:v>79.2</c:v>
                </c:pt>
                <c:pt idx="593">
                  <c:v>79.300000000000011</c:v>
                </c:pt>
                <c:pt idx="594">
                  <c:v>79.400000000000006</c:v>
                </c:pt>
                <c:pt idx="595">
                  <c:v>79.5</c:v>
                </c:pt>
                <c:pt idx="596">
                  <c:v>79.599999999999994</c:v>
                </c:pt>
                <c:pt idx="597">
                  <c:v>79.7</c:v>
                </c:pt>
                <c:pt idx="598">
                  <c:v>79.800000000000011</c:v>
                </c:pt>
                <c:pt idx="599">
                  <c:v>79.900000000000006</c:v>
                </c:pt>
                <c:pt idx="600">
                  <c:v>80</c:v>
                </c:pt>
              </c:numCache>
            </c:numRef>
          </c:xVal>
          <c:yVal>
            <c:numRef>
              <c:f>Cal_Error!$F$2:$F$602</c:f>
              <c:numCache>
                <c:formatCode>0.0000%</c:formatCode>
                <c:ptCount val="601"/>
                <c:pt idx="0">
                  <c:v>1.3794533298830203E-2</c:v>
                </c:pt>
                <c:pt idx="1">
                  <c:v>1.2707498382335583E-2</c:v>
                </c:pt>
                <c:pt idx="2">
                  <c:v>1.1069627126256918E-2</c:v>
                </c:pt>
                <c:pt idx="3">
                  <c:v>1.003877913695869E-2</c:v>
                </c:pt>
                <c:pt idx="4">
                  <c:v>8.4628762915115712E-3</c:v>
                </c:pt>
                <c:pt idx="5">
                  <c:v>7.4865308880300097E-3</c:v>
                </c:pt>
                <c:pt idx="6">
                  <c:v>6.535214056481671E-3</c:v>
                </c:pt>
                <c:pt idx="7">
                  <c:v>5.6085584633947727E-3</c:v>
                </c:pt>
                <c:pt idx="8">
                  <c:v>4.7062031827833813E-3</c:v>
                </c:pt>
                <c:pt idx="9">
                  <c:v>3.8277942583221218E-3</c:v>
                </c:pt>
                <c:pt idx="10">
                  <c:v>2.9729843634248099E-3</c:v>
                </c:pt>
                <c:pt idx="11">
                  <c:v>1.5927053699716809E-3</c:v>
                </c:pt>
                <c:pt idx="12">
                  <c:v>7.8712362354439605E-4</c:v>
                </c:pt>
                <c:pt idx="13">
                  <c:v>4.1076466659163664E-6</c:v>
                </c:pt>
                <c:pt idx="14">
                  <c:v>7.5666508766881362E-4</c:v>
                </c:pt>
                <c:pt idx="15">
                  <c:v>1.4955115944605606E-3</c:v>
                </c:pt>
                <c:pt idx="16">
                  <c:v>2.7465011639718584E-3</c:v>
                </c:pt>
                <c:pt idx="17">
                  <c:v>3.4395104965279704E-3</c:v>
                </c:pt>
                <c:pt idx="18">
                  <c:v>4.111537508737515E-3</c:v>
                </c:pt>
                <c:pt idx="19">
                  <c:v>4.7628770942707305E-3</c:v>
                </c:pt>
                <c:pt idx="20">
                  <c:v>5.9160739626231288E-3</c:v>
                </c:pt>
                <c:pt idx="21">
                  <c:v>6.5240907896945049E-3</c:v>
                </c:pt>
                <c:pt idx="22">
                  <c:v>7.1122994488697338E-3</c:v>
                </c:pt>
                <c:pt idx="23">
                  <c:v>8.1948629327482491E-3</c:v>
                </c:pt>
                <c:pt idx="24">
                  <c:v>8.7415351116853276E-3</c:v>
                </c:pt>
                <c:pt idx="25">
                  <c:v>9.2692335360279945E-3</c:v>
                </c:pt>
                <c:pt idx="26">
                  <c:v>1.0283954357274855E-2</c:v>
                </c:pt>
                <c:pt idx="27">
                  <c:v>1.0771812989414245E-2</c:v>
                </c:pt>
                <c:pt idx="28">
                  <c:v>1.1241490615171532E-2</c:v>
                </c:pt>
                <c:pt idx="29">
                  <c:v>1.2191022320371732E-2</c:v>
                </c:pt>
                <c:pt idx="30">
                  <c:v>1.2622473213347047E-2</c:v>
                </c:pt>
                <c:pt idx="31">
                  <c:v>1.3529094999378362E-2</c:v>
                </c:pt>
                <c:pt idx="32">
                  <c:v>1.3923364870750295E-2</c:v>
                </c:pt>
                <c:pt idx="33">
                  <c:v>1.4788191540434509E-2</c:v>
                </c:pt>
                <c:pt idx="34">
                  <c:v>1.5146292553121173E-2</c:v>
                </c:pt>
                <c:pt idx="35">
                  <c:v>1.5487927827441756E-2</c:v>
                </c:pt>
                <c:pt idx="36">
                  <c:v>1.6293314497710952E-2</c:v>
                </c:pt>
                <c:pt idx="37">
                  <c:v>1.6600217869672227E-2</c:v>
                </c:pt>
                <c:pt idx="38">
                  <c:v>1.7366424269290085E-2</c:v>
                </c:pt>
                <c:pt idx="39">
                  <c:v>1.7639529130794807E-2</c:v>
                </c:pt>
                <c:pt idx="40">
                  <c:v>1.8367552721466101E-2</c:v>
                </c:pt>
                <c:pt idx="41">
                  <c:v>1.9075658388052214E-2</c:v>
                </c:pt>
                <c:pt idx="42">
                  <c:v>1.9764102631195501E-2</c:v>
                </c:pt>
                <c:pt idx="43">
                  <c:v>2.0433138613177245E-2</c:v>
                </c:pt>
                <c:pt idx="44">
                  <c:v>2.0622154587670548E-2</c:v>
                </c:pt>
                <c:pt idx="45">
                  <c:v>2.1255425105248298E-2</c:v>
                </c:pt>
                <c:pt idx="46">
                  <c:v>2.1870004587151059E-2</c:v>
                </c:pt>
                <c:pt idx="47">
                  <c:v>2.2012140623861271E-2</c:v>
                </c:pt>
                <c:pt idx="48">
                  <c:v>2.2592303819086293E-2</c:v>
                </c:pt>
                <c:pt idx="49">
                  <c:v>2.3154462136016792E-2</c:v>
                </c:pt>
                <c:pt idx="50">
                  <c:v>2.3251564488106027E-2</c:v>
                </c:pt>
                <c:pt idx="51">
                  <c:v>2.3780595883103328E-2</c:v>
                </c:pt>
                <c:pt idx="52">
                  <c:v>2.4292278459650058E-2</c:v>
                </c:pt>
                <c:pt idx="53">
                  <c:v>2.4346111678542171E-2</c:v>
                </c:pt>
                <c:pt idx="54">
                  <c:v>2.4825900860662053E-2</c:v>
                </c:pt>
                <c:pt idx="55">
                  <c:v>2.5288969214503337E-2</c:v>
                </c:pt>
                <c:pt idx="56">
                  <c:v>2.5735525162358108E-2</c:v>
                </c:pt>
                <c:pt idx="57">
                  <c:v>2.5733576119472131E-2</c:v>
                </c:pt>
                <c:pt idx="58">
                  <c:v>2.6149812442478888E-2</c:v>
                </c:pt>
                <c:pt idx="59">
                  <c:v>2.6550129116442219E-2</c:v>
                </c:pt>
                <c:pt idx="60">
                  <c:v>2.6934723495925732E-2</c:v>
                </c:pt>
                <c:pt idx="61">
                  <c:v>2.7303789891245586E-2</c:v>
                </c:pt>
                <c:pt idx="62">
                  <c:v>2.7235622775416368E-2</c:v>
                </c:pt>
                <c:pt idx="63">
                  <c:v>2.7576221074595456E-2</c:v>
                </c:pt>
                <c:pt idx="64">
                  <c:v>2.7901843804338463E-2</c:v>
                </c:pt>
                <c:pt idx="65">
                  <c:v>2.8212674771421604E-2</c:v>
                </c:pt>
                <c:pt idx="66">
                  <c:v>2.8508895424455005E-2</c:v>
                </c:pt>
                <c:pt idx="67">
                  <c:v>2.8790684734639853E-2</c:v>
                </c:pt>
                <c:pt idx="68">
                  <c:v>2.9058219028040563E-2</c:v>
                </c:pt>
                <c:pt idx="69">
                  <c:v>2.9311672395463863E-2</c:v>
                </c:pt>
                <c:pt idx="70">
                  <c:v>2.9551216570979477E-2</c:v>
                </c:pt>
                <c:pt idx="71">
                  <c:v>2.9777020981271683E-2</c:v>
                </c:pt>
                <c:pt idx="72">
                  <c:v>2.9989252739266711E-2</c:v>
                </c:pt>
                <c:pt idx="73">
                  <c:v>3.0188076701976048E-2</c:v>
                </c:pt>
                <c:pt idx="74">
                  <c:v>3.077228897525652E-2</c:v>
                </c:pt>
                <c:pt idx="75">
                  <c:v>3.0942932074775213E-2</c:v>
                </c:pt>
                <c:pt idx="76">
                  <c:v>3.1100661999448664E-2</c:v>
                </c:pt>
                <c:pt idx="77">
                  <c:v>3.1245635039667392E-2</c:v>
                </c:pt>
                <c:pt idx="78">
                  <c:v>3.137800529862611E-2</c:v>
                </c:pt>
                <c:pt idx="79">
                  <c:v>3.1497925356813707E-2</c:v>
                </c:pt>
                <c:pt idx="80">
                  <c:v>3.1605545320613819E-2</c:v>
                </c:pt>
                <c:pt idx="81">
                  <c:v>3.1701013605445041E-2</c:v>
                </c:pt>
                <c:pt idx="82">
                  <c:v>3.2168646173633068E-2</c:v>
                </c:pt>
                <c:pt idx="83">
                  <c:v>3.2238495465663812E-2</c:v>
                </c:pt>
                <c:pt idx="84">
                  <c:v>3.2296638828634608E-2</c:v>
                </c:pt>
                <c:pt idx="85">
                  <c:v>3.2343217144938534E-2</c:v>
                </c:pt>
                <c:pt idx="86">
                  <c:v>3.2378369612495274E-2</c:v>
                </c:pt>
                <c:pt idx="87">
                  <c:v>3.2777751292231622E-2</c:v>
                </c:pt>
                <c:pt idx="88">
                  <c:v>3.2788766631490281E-2</c:v>
                </c:pt>
                <c:pt idx="89">
                  <c:v>3.2788774459721788E-2</c:v>
                </c:pt>
                <c:pt idx="90">
                  <c:v>3.2777907021280459E-2</c:v>
                </c:pt>
                <c:pt idx="91">
                  <c:v>3.3125094224313915E-2</c:v>
                </c:pt>
                <c:pt idx="92">
                  <c:v>3.309121484652186E-2</c:v>
                </c:pt>
                <c:pt idx="93">
                  <c:v>3.3046858434875259E-2</c:v>
                </c:pt>
                <c:pt idx="94">
                  <c:v>3.3356024166209669E-2</c:v>
                </c:pt>
                <c:pt idx="95">
                  <c:v>3.3289469340884129E-2</c:v>
                </c:pt>
                <c:pt idx="96">
                  <c:v>3.3212821138227981E-2</c:v>
                </c:pt>
                <c:pt idx="97">
                  <c:v>3.3485242881484696E-2</c:v>
                </c:pt>
                <c:pt idx="98">
                  <c:v>3.3387180985725504E-2</c:v>
                </c:pt>
                <c:pt idx="99">
                  <c:v>3.3635267310640052E-2</c:v>
                </c:pt>
                <c:pt idx="100">
                  <c:v>3.3516306065628262E-2</c:v>
                </c:pt>
                <c:pt idx="101">
                  <c:v>3.3740605170723692E-2</c:v>
                </c:pt>
                <c:pt idx="102">
                  <c:v>3.3952436784754195E-2</c:v>
                </c:pt>
                <c:pt idx="103">
                  <c:v>3.3802294286723995E-2</c:v>
                </c:pt>
                <c:pt idx="104">
                  <c:v>3.3991147188966044E-2</c:v>
                </c:pt>
                <c:pt idx="105">
                  <c:v>3.4167944178600571E-2</c:v>
                </c:pt>
                <c:pt idx="106">
                  <c:v>3.3987739860964358E-2</c:v>
                </c:pt>
                <c:pt idx="107">
                  <c:v>3.4142338639003171E-2</c:v>
                </c:pt>
                <c:pt idx="108">
                  <c:v>3.3943193708835438E-2</c:v>
                </c:pt>
                <c:pt idx="109">
                  <c:v>3.4076093898059441E-2</c:v>
                </c:pt>
                <c:pt idx="110">
                  <c:v>3.3858465488400331E-2</c:v>
                </c:pt>
                <c:pt idx="111">
                  <c:v>3.3970155516278425E-2</c:v>
                </c:pt>
                <c:pt idx="112">
                  <c:v>3.4070690984940949E-2</c:v>
                </c:pt>
                <c:pt idx="113">
                  <c:v>3.382544791314808E-2</c:v>
                </c:pt>
                <c:pt idx="114">
                  <c:v>3.3905494454780367E-2</c:v>
                </c:pt>
                <c:pt idx="115">
                  <c:v>3.3974754226395225E-2</c:v>
                </c:pt>
                <c:pt idx="116">
                  <c:v>3.3372438903381353E-2</c:v>
                </c:pt>
                <c:pt idx="117">
                  <c:v>3.3423322396214053E-2</c:v>
                </c:pt>
                <c:pt idx="118">
                  <c:v>3.3463766544906758E-2</c:v>
                </c:pt>
                <c:pt idx="119">
                  <c:v>3.3493890257069149E-2</c:v>
                </c:pt>
                <c:pt idx="120">
                  <c:v>3.3188964905707552E-2</c:v>
                </c:pt>
                <c:pt idx="121">
                  <c:v>3.3200181337945688E-2</c:v>
                </c:pt>
                <c:pt idx="122">
                  <c:v>3.3201418269801428E-2</c:v>
                </c:pt>
                <c:pt idx="123">
                  <c:v>3.3192789610608529E-2</c:v>
                </c:pt>
                <c:pt idx="124">
                  <c:v>3.3174408109955228E-2</c:v>
                </c:pt>
                <c:pt idx="125">
                  <c:v>3.28283679212963E-2</c:v>
                </c:pt>
                <c:pt idx="126">
                  <c:v>3.2792156098724282E-2</c:v>
                </c:pt>
                <c:pt idx="127">
                  <c:v>3.2746514619497645E-2</c:v>
                </c:pt>
                <c:pt idx="128">
                  <c:v>3.3005564773640368E-2</c:v>
                </c:pt>
                <c:pt idx="129">
                  <c:v>3.2940067592651327E-2</c:v>
                </c:pt>
                <c:pt idx="130">
                  <c:v>3.2865468909444022E-2</c:v>
                </c:pt>
                <c:pt idx="131">
                  <c:v>3.2781873591710878E-2</c:v>
                </c:pt>
                <c:pt idx="132">
                  <c:v>3.2689384961319914E-2</c:v>
                </c:pt>
                <c:pt idx="133">
                  <c:v>3.2588105749144579E-2</c:v>
                </c:pt>
                <c:pt idx="134">
                  <c:v>3.2478137128208871E-2</c:v>
                </c:pt>
                <c:pt idx="135">
                  <c:v>3.2359579715245501E-2</c:v>
                </c:pt>
                <c:pt idx="136">
                  <c:v>3.2232532828813845E-2</c:v>
                </c:pt>
                <c:pt idx="137">
                  <c:v>3.2097094817320634E-2</c:v>
                </c:pt>
                <c:pt idx="138">
                  <c:v>3.1953363006719859E-2</c:v>
                </c:pt>
                <c:pt idx="139">
                  <c:v>3.180143398294695E-2</c:v>
                </c:pt>
                <c:pt idx="140">
                  <c:v>3.1940067896454892E-2</c:v>
                </c:pt>
                <c:pt idx="141">
                  <c:v>3.177079646687346E-2</c:v>
                </c:pt>
                <c:pt idx="142">
                  <c:v>3.1593618000744263E-2</c:v>
                </c:pt>
                <c:pt idx="143">
                  <c:v>3.1408625030175143E-2</c:v>
                </c:pt>
                <c:pt idx="144">
                  <c:v>3.1215909174549233E-2</c:v>
                </c:pt>
                <c:pt idx="145">
                  <c:v>3.1015561123578509E-2</c:v>
                </c:pt>
                <c:pt idx="146">
                  <c:v>3.1099038166062905E-2</c:v>
                </c:pt>
                <c:pt idx="147">
                  <c:v>3.0882501614485258E-2</c:v>
                </c:pt>
                <c:pt idx="148">
                  <c:v>3.0658606476081908E-2</c:v>
                </c:pt>
                <c:pt idx="149">
                  <c:v>3.0715246611306868E-2</c:v>
                </c:pt>
                <c:pt idx="150">
                  <c:v>3.0475721214008086E-2</c:v>
                </c:pt>
                <c:pt idx="151">
                  <c:v>3.0514567221195353E-2</c:v>
                </c:pt>
                <c:pt idx="152">
                  <c:v>3.0544030277431897E-2</c:v>
                </c:pt>
                <c:pt idx="153">
                  <c:v>3.0281219546634701E-2</c:v>
                </c:pt>
                <c:pt idx="154">
                  <c:v>3.0011528682203071E-2</c:v>
                </c:pt>
                <c:pt idx="155">
                  <c:v>3.0015946127306448E-2</c:v>
                </c:pt>
                <c:pt idx="156">
                  <c:v>2.9731706014092363E-2</c:v>
                </c:pt>
                <c:pt idx="157">
                  <c:v>2.9719474278797741E-2</c:v>
                </c:pt>
                <c:pt idx="158">
                  <c:v>2.9421031586123345E-2</c:v>
                </c:pt>
                <c:pt idx="159">
                  <c:v>2.9392517983327621E-2</c:v>
                </c:pt>
                <c:pt idx="160">
                  <c:v>2.9080212839395731E-2</c:v>
                </c:pt>
                <c:pt idx="161">
                  <c:v>2.903577784427161E-2</c:v>
                </c:pt>
                <c:pt idx="162">
                  <c:v>2.8709943973274817E-2</c:v>
                </c:pt>
                <c:pt idx="163">
                  <c:v>2.8649941396436548E-2</c:v>
                </c:pt>
                <c:pt idx="164">
                  <c:v>2.8310906378575057E-2</c:v>
                </c:pt>
                <c:pt idx="165">
                  <c:v>2.823568344823664E-2</c:v>
                </c:pt>
                <c:pt idx="166">
                  <c:v>2.8152438969297196E-2</c:v>
                </c:pt>
                <c:pt idx="167">
                  <c:v>2.7793666582457757E-2</c:v>
                </c:pt>
                <c:pt idx="168">
                  <c:v>2.7695716491275824E-2</c:v>
                </c:pt>
                <c:pt idx="169">
                  <c:v>2.7590006950783768E-2</c:v>
                </c:pt>
                <c:pt idx="170">
                  <c:v>2.7212217116283993E-2</c:v>
                </c:pt>
                <c:pt idx="171">
                  <c:v>2.7092302779220905E-2</c:v>
                </c:pt>
                <c:pt idx="172">
                  <c:v>2.6964884170757923E-2</c:v>
                </c:pt>
                <c:pt idx="173">
                  <c:v>2.7091314915088479E-2</c:v>
                </c:pt>
                <c:pt idx="174">
                  <c:v>2.6687874151478126E-2</c:v>
                </c:pt>
                <c:pt idx="175">
                  <c:v>2.653845108140615E-2</c:v>
                </c:pt>
                <c:pt idx="176">
                  <c:v>2.6381860231883884E-2</c:v>
                </c:pt>
                <c:pt idx="177">
                  <c:v>2.6218183753153716E-2</c:v>
                </c:pt>
                <c:pt idx="178">
                  <c:v>2.5791362759229153E-2</c:v>
                </c:pt>
                <c:pt idx="179">
                  <c:v>2.5614769423201567E-2</c:v>
                </c:pt>
                <c:pt idx="180">
                  <c:v>2.5431327957036842E-2</c:v>
                </c:pt>
                <c:pt idx="181">
                  <c:v>2.498799232891407E-2</c:v>
                </c:pt>
                <c:pt idx="182">
                  <c:v>2.4792087399958376E-2</c:v>
                </c:pt>
                <c:pt idx="183">
                  <c:v>2.4589565459836527E-2</c:v>
                </c:pt>
                <c:pt idx="184">
                  <c:v>2.4380503942889594E-2</c:v>
                </c:pt>
                <c:pt idx="185">
                  <c:v>2.4164979515636256E-2</c:v>
                </c:pt>
                <c:pt idx="186">
                  <c:v>2.3943068323335433E-2</c:v>
                </c:pt>
                <c:pt idx="187">
                  <c:v>2.3962071979411727E-2</c:v>
                </c:pt>
                <c:pt idx="188">
                  <c:v>2.3726646218146987E-2</c:v>
                </c:pt>
                <c:pt idx="189">
                  <c:v>2.3485062540779245E-2</c:v>
                </c:pt>
                <c:pt idx="190">
                  <c:v>2.3237394339351462E-2</c:v>
                </c:pt>
                <c:pt idx="191">
                  <c:v>2.2983714392121258E-2</c:v>
                </c:pt>
                <c:pt idx="192">
                  <c:v>2.2724094851731227E-2</c:v>
                </c:pt>
                <c:pt idx="193">
                  <c:v>2.2700105011034321E-2</c:v>
                </c:pt>
                <c:pt idx="194">
                  <c:v>2.2668440338932311E-2</c:v>
                </c:pt>
                <c:pt idx="195">
                  <c:v>2.2389537632562365E-2</c:v>
                </c:pt>
                <c:pt idx="196">
                  <c:v>2.2105033379806623E-2</c:v>
                </c:pt>
                <c:pt idx="197">
                  <c:v>2.181492699974464E-2</c:v>
                </c:pt>
                <c:pt idx="198">
                  <c:v>2.175615881985497E-2</c:v>
                </c:pt>
                <c:pt idx="199">
                  <c:v>2.1454183349873826E-2</c:v>
                </c:pt>
                <c:pt idx="200">
                  <c:v>2.1146837113257887E-2</c:v>
                </c:pt>
                <c:pt idx="201">
                  <c:v>2.1068299244447496E-2</c:v>
                </c:pt>
                <c:pt idx="202">
                  <c:v>2.0749508127794792E-2</c:v>
                </c:pt>
                <c:pt idx="203">
                  <c:v>2.0425549246510927E-2</c:v>
                </c:pt>
                <c:pt idx="204">
                  <c:v>2.0327902451787998E-2</c:v>
                </c:pt>
                <c:pt idx="205">
                  <c:v>1.999291236908652E-2</c:v>
                </c:pt>
                <c:pt idx="206">
                  <c:v>1.9882589606318949E-2</c:v>
                </c:pt>
                <c:pt idx="207">
                  <c:v>1.9536841232833339E-2</c:v>
                </c:pt>
                <c:pt idx="208">
                  <c:v>1.9414129883546745E-2</c:v>
                </c:pt>
                <c:pt idx="209">
                  <c:v>1.9057891554029614E-2</c:v>
                </c:pt>
                <c:pt idx="210">
                  <c:v>1.8923074191294149E-2</c:v>
                </c:pt>
                <c:pt idx="211">
                  <c:v>1.8556609816779757E-2</c:v>
                </c:pt>
                <c:pt idx="212">
                  <c:v>1.8634367522157847E-2</c:v>
                </c:pt>
                <c:pt idx="213">
                  <c:v>1.8480623455252216E-2</c:v>
                </c:pt>
                <c:pt idx="214">
                  <c:v>1.8098024799565314E-2</c:v>
                </c:pt>
                <c:pt idx="215">
                  <c:v>1.7932873269376742E-2</c:v>
                </c:pt>
                <c:pt idx="216">
                  <c:v>1.7761695057882089E-2</c:v>
                </c:pt>
                <c:pt idx="217">
                  <c:v>1.7364409379632243E-2</c:v>
                </c:pt>
                <c:pt idx="218">
                  <c:v>1.7182226218442415E-2</c:v>
                </c:pt>
                <c:pt idx="219">
                  <c:v>1.6775743392838133E-2</c:v>
                </c:pt>
                <c:pt idx="220">
                  <c:v>1.6582815679715594E-2</c:v>
                </c:pt>
                <c:pt idx="221">
                  <c:v>1.638419835651761E-2</c:v>
                </c:pt>
                <c:pt idx="222">
                  <c:v>1.5963962758251012E-2</c:v>
                </c:pt>
                <c:pt idx="223">
                  <c:v>1.57549874589905E-2</c:v>
                </c:pt>
                <c:pt idx="224">
                  <c:v>1.5540519211906809E-2</c:v>
                </c:pt>
                <c:pt idx="225">
                  <c:v>1.5320623716068085E-2</c:v>
                </c:pt>
                <c:pt idx="226">
                  <c:v>1.5095366205914777E-2</c:v>
                </c:pt>
                <c:pt idx="227">
                  <c:v>1.4864811348710575E-2</c:v>
                </c:pt>
                <c:pt idx="228">
                  <c:v>1.4629023355257335E-2</c:v>
                </c:pt>
                <c:pt idx="229">
                  <c:v>1.4388065964699005E-2</c:v>
                </c:pt>
                <c:pt idx="230">
                  <c:v>1.4351541760344505E-2</c:v>
                </c:pt>
                <c:pt idx="231">
                  <c:v>1.409964364669292E-2</c:v>
                </c:pt>
                <c:pt idx="232">
                  <c:v>1.3842767613883526E-2</c:v>
                </c:pt>
                <c:pt idx="233">
                  <c:v>1.3580975359622174E-2</c:v>
                </c:pt>
                <c:pt idx="234">
                  <c:v>1.3314328146057892E-2</c:v>
                </c:pt>
                <c:pt idx="235">
                  <c:v>1.3042886504493367E-2</c:v>
                </c:pt>
                <c:pt idx="236">
                  <c:v>1.2971557603601549E-2</c:v>
                </c:pt>
                <c:pt idx="237">
                  <c:v>1.268993769375555E-2</c:v>
                </c:pt>
                <c:pt idx="238">
                  <c:v>1.2403706153553389E-2</c:v>
                </c:pt>
                <c:pt idx="239">
                  <c:v>1.2112921853906838E-2</c:v>
                </c:pt>
                <c:pt idx="240">
                  <c:v>1.2019429864046704E-2</c:v>
                </c:pt>
                <c:pt idx="241">
                  <c:v>1.1718958163436658E-2</c:v>
                </c:pt>
                <c:pt idx="242">
                  <c:v>1.1414110700495254E-2</c:v>
                </c:pt>
                <c:pt idx="243">
                  <c:v>1.1304471290312045E-2</c:v>
                </c:pt>
                <c:pt idx="244">
                  <c:v>1.0990296367937849E-2</c:v>
                </c:pt>
                <c:pt idx="245">
                  <c:v>1.0671918584514061E-2</c:v>
                </c:pt>
                <c:pt idx="246">
                  <c:v>1.0546690139611844E-2</c:v>
                </c:pt>
                <c:pt idx="247">
                  <c:v>1.0219336525916466E-2</c:v>
                </c:pt>
                <c:pt idx="248">
                  <c:v>1.0279599321294361E-2</c:v>
                </c:pt>
                <c:pt idx="249">
                  <c:v>9.9427715694166887E-3</c:v>
                </c:pt>
                <c:pt idx="250">
                  <c:v>9.7963911240637139E-3</c:v>
                </c:pt>
                <c:pt idx="251">
                  <c:v>9.2574119100390876E-3</c:v>
                </c:pt>
                <c:pt idx="252">
                  <c:v>9.1019081997626046E-3</c:v>
                </c:pt>
                <c:pt idx="253">
                  <c:v>8.7490051555505488E-3</c:v>
                </c:pt>
                <c:pt idx="254">
                  <c:v>8.5838859988660692E-3</c:v>
                </c:pt>
                <c:pt idx="255">
                  <c:v>8.4136902289728716E-3</c:v>
                </c:pt>
                <c:pt idx="256">
                  <c:v>8.0484117483770237E-3</c:v>
                </c:pt>
                <c:pt idx="257">
                  <c:v>7.8689505298460919E-3</c:v>
                </c:pt>
                <c:pt idx="258">
                  <c:v>7.6845903336577558E-3</c:v>
                </c:pt>
                <c:pt idx="259">
                  <c:v>7.3074324336245061E-3</c:v>
                </c:pt>
                <c:pt idx="260">
                  <c:v>7.114148866662463E-3</c:v>
                </c:pt>
                <c:pt idx="261">
                  <c:v>6.9161398897185236E-3</c:v>
                </c:pt>
                <c:pt idx="262">
                  <c:v>6.7134634644890369E-3</c:v>
                </c:pt>
                <c:pt idx="263">
                  <c:v>6.5061771836696361E-3</c:v>
                </c:pt>
                <c:pt idx="264">
                  <c:v>6.1098359289439618E-3</c:v>
                </c:pt>
                <c:pt idx="265">
                  <c:v>6.0780030279027975E-3</c:v>
                </c:pt>
                <c:pt idx="266">
                  <c:v>5.8572280321219057E-3</c:v>
                </c:pt>
                <c:pt idx="267">
                  <c:v>5.6320691012236882E-3</c:v>
                </c:pt>
                <c:pt idx="268">
                  <c:v>5.4025815941511407E-3</c:v>
                </c:pt>
                <c:pt idx="269">
                  <c:v>5.1688205085330284E-3</c:v>
                </c:pt>
                <c:pt idx="270">
                  <c:v>4.9308403874185405E-3</c:v>
                </c:pt>
                <c:pt idx="271">
                  <c:v>4.688695465339854E-3</c:v>
                </c:pt>
                <c:pt idx="272">
                  <c:v>4.4424394643594227E-3</c:v>
                </c:pt>
                <c:pt idx="273">
                  <c:v>4.3705877434000668E-3</c:v>
                </c:pt>
                <c:pt idx="274">
                  <c:v>4.1156122793385907E-3</c:v>
                </c:pt>
                <c:pt idx="275">
                  <c:v>3.8566873898063427E-3</c:v>
                </c:pt>
                <c:pt idx="276">
                  <c:v>3.5938652589136296E-3</c:v>
                </c:pt>
                <c:pt idx="277">
                  <c:v>3.1513476137567057E-3</c:v>
                </c:pt>
                <c:pt idx="278">
                  <c:v>3.0567360646524162E-3</c:v>
                </c:pt>
                <c:pt idx="279">
                  <c:v>2.782531374424396E-3</c:v>
                </c:pt>
                <c:pt idx="280">
                  <c:v>2.5046342320666306E-3</c:v>
                </c:pt>
                <c:pt idx="281">
                  <c:v>2.3963757086408583E-3</c:v>
                </c:pt>
                <c:pt idx="282">
                  <c:v>2.2832533656345594E-3</c:v>
                </c:pt>
                <c:pt idx="283">
                  <c:v>1.9933131469199433E-3</c:v>
                </c:pt>
                <c:pt idx="284">
                  <c:v>1.8712655540520005E-3</c:v>
                </c:pt>
                <c:pt idx="285">
                  <c:v>1.5737695602502607E-3</c:v>
                </c:pt>
                <c:pt idx="286">
                  <c:v>1.4430125842809451E-3</c:v>
                </c:pt>
                <c:pt idx="287">
                  <c:v>1.1381646524201521E-3</c:v>
                </c:pt>
                <c:pt idx="288">
                  <c:v>9.9891096145075017E-4</c:v>
                </c:pt>
                <c:pt idx="289">
                  <c:v>6.8691196221590842E-4</c:v>
                </c:pt>
                <c:pt idx="290">
                  <c:v>5.393710889800517E-4</c:v>
                </c:pt>
                <c:pt idx="291">
                  <c:v>2.2041888064496486E-4</c:v>
                </c:pt>
                <c:pt idx="292">
                  <c:v>6.479732991890827E-5</c:v>
                </c:pt>
                <c:pt idx="293">
                  <c:v>9.5092055381781562E-5</c:v>
                </c:pt>
                <c:pt idx="294">
                  <c:v>4.2441189490823289E-4</c:v>
                </c:pt>
                <c:pt idx="295">
                  <c:v>5.920753047853614E-4</c:v>
                </c:pt>
                <c:pt idx="296">
                  <c:v>7.6385129114055965E-4</c:v>
                </c:pt>
                <c:pt idx="297">
                  <c:v>7.7627382796537558E-4</c:v>
                </c:pt>
                <c:pt idx="298">
                  <c:v>1.1195336692697495E-3</c:v>
                </c:pt>
                <c:pt idx="299">
                  <c:v>1.4655632165740909E-3</c:v>
                </c:pt>
                <c:pt idx="300">
                  <c:v>1.652683705411988E-3</c:v>
                </c:pt>
                <c:pt idx="301">
                  <c:v>1.8436636694514083E-3</c:v>
                </c:pt>
                <c:pt idx="302">
                  <c:v>2.038453098615087E-3</c:v>
                </c:pt>
                <c:pt idx="303">
                  <c:v>2.237002473885385E-3</c:v>
                </c:pt>
                <c:pt idx="304">
                  <c:v>2.4392624348548407E-3</c:v>
                </c:pt>
                <c:pt idx="305">
                  <c:v>2.6451841977380148E-3</c:v>
                </c:pt>
                <c:pt idx="306">
                  <c:v>2.8547190875415581E-3</c:v>
                </c:pt>
                <c:pt idx="307">
                  <c:v>3.0678190592539627E-3</c:v>
                </c:pt>
                <c:pt idx="308">
                  <c:v>3.2844362475327998E-3</c:v>
                </c:pt>
                <c:pt idx="309">
                  <c:v>3.5045231974106758E-3</c:v>
                </c:pt>
                <c:pt idx="310">
                  <c:v>3.728032722165014E-3</c:v>
                </c:pt>
                <c:pt idx="311">
                  <c:v>3.9549180936116748E-3</c:v>
                </c:pt>
                <c:pt idx="312">
                  <c:v>4.0304050576378536E-3</c:v>
                </c:pt>
                <c:pt idx="313">
                  <c:v>4.1102972018117623E-3</c:v>
                </c:pt>
                <c:pt idx="314">
                  <c:v>4.3481496435270571E-3</c:v>
                </c:pt>
                <c:pt idx="315">
                  <c:v>4.5891897394189423E-3</c:v>
                </c:pt>
                <c:pt idx="316">
                  <c:v>4.6808749930035377E-3</c:v>
                </c:pt>
                <c:pt idx="317">
                  <c:v>4.9287071939021609E-3</c:v>
                </c:pt>
                <c:pt idx="318">
                  <c:v>5.1795906422041158E-3</c:v>
                </c:pt>
                <c:pt idx="319">
                  <c:v>5.4334811672751828E-3</c:v>
                </c:pt>
                <c:pt idx="320">
                  <c:v>5.6903349782873721E-3</c:v>
                </c:pt>
                <c:pt idx="321">
                  <c:v>5.800349023280158E-3</c:v>
                </c:pt>
                <c:pt idx="322">
                  <c:v>6.0635405015890204E-3</c:v>
                </c:pt>
                <c:pt idx="323">
                  <c:v>6.1808843277580639E-3</c:v>
                </c:pt>
                <c:pt idx="324">
                  <c:v>6.3020913914350113E-3</c:v>
                </c:pt>
                <c:pt idx="325">
                  <c:v>6.5747201731047276E-3</c:v>
                </c:pt>
                <c:pt idx="326">
                  <c:v>6.70297533528918E-3</c:v>
                </c:pt>
                <c:pt idx="327">
                  <c:v>6.834951216041588E-3</c:v>
                </c:pt>
                <c:pt idx="328">
                  <c:v>7.1166154320390753E-3</c:v>
                </c:pt>
                <c:pt idx="329">
                  <c:v>7.1098752950596728E-3</c:v>
                </c:pt>
                <c:pt idx="330">
                  <c:v>7.2527295997869496E-3</c:v>
                </c:pt>
                <c:pt idx="331">
                  <c:v>7.3991166220853579E-3</c:v>
                </c:pt>
                <c:pt idx="332">
                  <c:v>7.6929111686615858E-3</c:v>
                </c:pt>
                <c:pt idx="333">
                  <c:v>7.8457070975915429E-3</c:v>
                </c:pt>
                <c:pt idx="334">
                  <c:v>8.0019003260434918E-3</c:v>
                </c:pt>
                <c:pt idx="335">
                  <c:v>8.3038178858910443E-3</c:v>
                </c:pt>
                <c:pt idx="336">
                  <c:v>8.4661582132481827E-3</c:v>
                </c:pt>
                <c:pt idx="337">
                  <c:v>8.6317633643873768E-3</c:v>
                </c:pt>
                <c:pt idx="338">
                  <c:v>8.8005890408163218E-3</c:v>
                </c:pt>
                <c:pt idx="339">
                  <c:v>8.9725914841446309E-3</c:v>
                </c:pt>
                <c:pt idx="340">
                  <c:v>9.1477270405000335E-3</c:v>
                </c:pt>
                <c:pt idx="341">
                  <c:v>9.3259525017179001E-3</c:v>
                </c:pt>
                <c:pt idx="342">
                  <c:v>9.5072248939256851E-3</c:v>
                </c:pt>
                <c:pt idx="343">
                  <c:v>9.5531729556081399E-3</c:v>
                </c:pt>
                <c:pt idx="344">
                  <c:v>9.6030766533703078E-3</c:v>
                </c:pt>
                <c:pt idx="345">
                  <c:v>9.7942247760939745E-3</c:v>
                </c:pt>
                <c:pt idx="346">
                  <c:v>9.9882473790449903E-3</c:v>
                </c:pt>
                <c:pt idx="347">
                  <c:v>1.0048750138613775E-2</c:v>
                </c:pt>
                <c:pt idx="348">
                  <c:v>1.0248886726427953E-2</c:v>
                </c:pt>
                <c:pt idx="349">
                  <c:v>1.0451772663465251E-2</c:v>
                </c:pt>
                <c:pt idx="350">
                  <c:v>1.0657367387133056E-2</c:v>
                </c:pt>
                <c:pt idx="351">
                  <c:v>1.0865630773530418E-2</c:v>
                </c:pt>
                <c:pt idx="352">
                  <c:v>1.0942596407420874E-2</c:v>
                </c:pt>
                <c:pt idx="353">
                  <c:v>1.1156557254457581E-2</c:v>
                </c:pt>
                <c:pt idx="354">
                  <c:v>1.1240097318957601E-2</c:v>
                </c:pt>
                <c:pt idx="355">
                  <c:v>1.1459591056784355E-2</c:v>
                </c:pt>
                <c:pt idx="356">
                  <c:v>1.154953471958909E-2</c:v>
                </c:pt>
                <c:pt idx="357">
                  <c:v>1.1774399041660746E-2</c:v>
                </c:pt>
                <c:pt idx="358">
                  <c:v>1.1870577985193904E-2</c:v>
                </c:pt>
                <c:pt idx="359">
                  <c:v>1.183944080070292E-2</c:v>
                </c:pt>
                <c:pt idx="360">
                  <c:v>1.1942623422011118E-2</c:v>
                </c:pt>
                <c:pt idx="361">
                  <c:v>1.2178681591234211E-2</c:v>
                </c:pt>
                <c:pt idx="362">
                  <c:v>1.2287762775133477E-2</c:v>
                </c:pt>
                <c:pt idx="363">
                  <c:v>1.252871169323666E-2</c:v>
                </c:pt>
                <c:pt idx="364">
                  <c:v>1.2643530214519208E-2</c:v>
                </c:pt>
                <c:pt idx="365">
                  <c:v>1.2761386842306814E-2</c:v>
                </c:pt>
                <c:pt idx="366">
                  <c:v>1.2882240365596634E-2</c:v>
                </c:pt>
                <c:pt idx="367">
                  <c:v>1.3006049956438186E-2</c:v>
                </c:pt>
                <c:pt idx="368">
                  <c:v>1.3132774992492451E-2</c:v>
                </c:pt>
                <c:pt idx="369">
                  <c:v>1.3262375171644964E-2</c:v>
                </c:pt>
                <c:pt idx="370">
                  <c:v>1.33948105179067E-2</c:v>
                </c:pt>
                <c:pt idx="371">
                  <c:v>1.3530041294018072E-2</c:v>
                </c:pt>
                <c:pt idx="372">
                  <c:v>1.3668028017257991E-2</c:v>
                </c:pt>
                <c:pt idx="373">
                  <c:v>1.380873160990178E-2</c:v>
                </c:pt>
                <c:pt idx="374">
                  <c:v>1.3828330437364736E-2</c:v>
                </c:pt>
                <c:pt idx="375">
                  <c:v>1.3851451354520721E-2</c:v>
                </c:pt>
                <c:pt idx="376">
                  <c:v>1.4123854038551443E-2</c:v>
                </c:pt>
                <c:pt idx="377">
                  <c:v>1.4275476972896627E-2</c:v>
                </c:pt>
                <c:pt idx="378">
                  <c:v>1.430759572655055E-2</c:v>
                </c:pt>
                <c:pt idx="379">
                  <c:v>1.4464662983833188E-2</c:v>
                </c:pt>
                <c:pt idx="380">
                  <c:v>1.4624177586875122E-2</c:v>
                </c:pt>
                <c:pt idx="381">
                  <c:v>1.4665373684663592E-2</c:v>
                </c:pt>
                <c:pt idx="382">
                  <c:v>1.4830102069649718E-2</c:v>
                </c:pt>
                <c:pt idx="383">
                  <c:v>1.4877295142250339E-2</c:v>
                </c:pt>
                <c:pt idx="384">
                  <c:v>1.5047085319355594E-2</c:v>
                </c:pt>
                <c:pt idx="385">
                  <c:v>1.5100117994167706E-2</c:v>
                </c:pt>
                <c:pt idx="386">
                  <c:v>1.5156223912259912E-2</c:v>
                </c:pt>
                <c:pt idx="387">
                  <c:v>1.5451712047047967E-2</c:v>
                </c:pt>
                <c:pt idx="388">
                  <c:v>1.5513003799476982E-2</c:v>
                </c:pt>
                <c:pt idx="389">
                  <c:v>1.5459916622014881E-2</c:v>
                </c:pt>
                <c:pt idx="390">
                  <c:v>1.5527500003306435E-2</c:v>
                </c:pt>
                <c:pt idx="391">
                  <c:v>1.5714463690988202E-2</c:v>
                </c:pt>
                <c:pt idx="392">
                  <c:v>1.5787348596478488E-2</c:v>
                </c:pt>
                <c:pt idx="393">
                  <c:v>1.5863035059630378E-2</c:v>
                </c:pt>
                <c:pt idx="394">
                  <c:v>1.5941484885953264E-2</c:v>
                </c:pt>
                <c:pt idx="395">
                  <c:v>1.6022660204602024E-2</c:v>
                </c:pt>
                <c:pt idx="396">
                  <c:v>1.610652344587267E-2</c:v>
                </c:pt>
                <c:pt idx="397">
                  <c:v>1.6193037289115881E-2</c:v>
                </c:pt>
                <c:pt idx="398">
                  <c:v>1.6395803059730221E-2</c:v>
                </c:pt>
                <c:pt idx="399">
                  <c:v>1.6487103951548149E-2</c:v>
                </c:pt>
                <c:pt idx="400">
                  <c:v>1.6468112912216053E-2</c:v>
                </c:pt>
                <c:pt idx="401">
                  <c:v>1.6564861092223819E-2</c:v>
                </c:pt>
                <c:pt idx="402">
                  <c:v>1.6664077203806044E-2</c:v>
                </c:pt>
                <c:pt idx="403">
                  <c:v>1.6765725524772016E-2</c:v>
                </c:pt>
                <c:pt idx="404">
                  <c:v>1.6758528858998607E-2</c:v>
                </c:pt>
                <c:pt idx="405">
                  <c:v>1.6754482412949419E-2</c:v>
                </c:pt>
                <c:pt idx="406">
                  <c:v>1.686400092263873E-2</c:v>
                </c:pt>
                <c:pt idx="407">
                  <c:v>1.6865745404637478E-2</c:v>
                </c:pt>
                <c:pt idx="408">
                  <c:v>1.7089870199507144E-2</c:v>
                </c:pt>
                <c:pt idx="409">
                  <c:v>1.7096867448896737E-2</c:v>
                </c:pt>
                <c:pt idx="410">
                  <c:v>1.7215722812915474E-2</c:v>
                </c:pt>
                <c:pt idx="411">
                  <c:v>1.7228217068205536E-2</c:v>
                </c:pt>
                <c:pt idx="412">
                  <c:v>1.7351725388789707E-2</c:v>
                </c:pt>
                <c:pt idx="413">
                  <c:v>1.7369571325316604E-2</c:v>
                </c:pt>
                <c:pt idx="414">
                  <c:v>1.7390230039216102E-2</c:v>
                </c:pt>
                <c:pt idx="415">
                  <c:v>1.7520648578778216E-2</c:v>
                </c:pt>
                <c:pt idx="416">
                  <c:v>1.7546443568322131E-2</c:v>
                </c:pt>
                <c:pt idx="417">
                  <c:v>1.7681171273343763E-2</c:v>
                </c:pt>
                <c:pt idx="418">
                  <c:v>1.7606109522438691E-2</c:v>
                </c:pt>
                <c:pt idx="419">
                  <c:v>1.7639908439406785E-2</c:v>
                </c:pt>
                <c:pt idx="420">
                  <c:v>1.7676303618789267E-2</c:v>
                </c:pt>
                <c:pt idx="421">
                  <c:v>1.7819993686691887E-2</c:v>
                </c:pt>
                <c:pt idx="422">
                  <c:v>1.7861105354960969E-2</c:v>
                </c:pt>
                <c:pt idx="423">
                  <c:v>1.7904709256916153E-2</c:v>
                </c:pt>
                <c:pt idx="424">
                  <c:v>1.7847143233967772E-2</c:v>
                </c:pt>
                <c:pt idx="425">
                  <c:v>1.7895994007241484E-2</c:v>
                </c:pt>
                <c:pt idx="426">
                  <c:v>1.8050129260951786E-2</c:v>
                </c:pt>
                <c:pt idx="427">
                  <c:v>1.8103358227366327E-2</c:v>
                </c:pt>
                <c:pt idx="428">
                  <c:v>1.8158908702348788E-2</c:v>
                </c:pt>
                <c:pt idx="429">
                  <c:v>1.8114936541336921E-2</c:v>
                </c:pt>
                <c:pt idx="430">
                  <c:v>1.817538941332603E-2</c:v>
                </c:pt>
                <c:pt idx="431">
                  <c:v>1.8238063041534358E-2</c:v>
                </c:pt>
                <c:pt idx="432">
                  <c:v>1.8202188179328817E-2</c:v>
                </c:pt>
                <c:pt idx="433">
                  <c:v>1.8169179871861549E-2</c:v>
                </c:pt>
                <c:pt idx="434">
                  <c:v>1.8339055479486797E-2</c:v>
                </c:pt>
                <c:pt idx="435">
                  <c:v>1.8310966151222994E-2</c:v>
                </c:pt>
                <c:pt idx="436">
                  <c:v>1.828563836162864E-2</c:v>
                </c:pt>
                <c:pt idx="437">
                  <c:v>1.8362008809364842E-2</c:v>
                </c:pt>
                <c:pt idx="438">
                  <c:v>1.8341749103227539E-2</c:v>
                </c:pt>
                <c:pt idx="439">
                  <c:v>1.8422422286953864E-2</c:v>
                </c:pt>
                <c:pt idx="440">
                  <c:v>1.8407096215018015E-2</c:v>
                </c:pt>
                <c:pt idx="441">
                  <c:v>1.8394359806234013E-2</c:v>
                </c:pt>
                <c:pt idx="442">
                  <c:v>1.8481419095723109E-2</c:v>
                </c:pt>
                <c:pt idx="443">
                  <c:v>1.8473417153849432E-2</c:v>
                </c:pt>
                <c:pt idx="444">
                  <c:v>1.8564460846733903E-2</c:v>
                </c:pt>
                <c:pt idx="445">
                  <c:v>1.8561063811907648E-2</c:v>
                </c:pt>
                <c:pt idx="446">
                  <c:v>1.8560090674572222E-2</c:v>
                </c:pt>
                <c:pt idx="447">
                  <c:v>1.8561508491563995E-2</c:v>
                </c:pt>
                <c:pt idx="448">
                  <c:v>1.8470081163788284E-2</c:v>
                </c:pt>
                <c:pt idx="449">
                  <c:v>1.8476518142889888E-2</c:v>
                </c:pt>
                <c:pt idx="450">
                  <c:v>1.8485247456299283E-2</c:v>
                </c:pt>
                <c:pt idx="451">
                  <c:v>1.8496237117788545E-2</c:v>
                </c:pt>
                <c:pt idx="452">
                  <c:v>1.8509455357306102E-2</c:v>
                </c:pt>
                <c:pt idx="453">
                  <c:v>1.8524870674037439E-2</c:v>
                </c:pt>
                <c:pt idx="454">
                  <c:v>1.8449240939127785E-2</c:v>
                </c:pt>
                <c:pt idx="455">
                  <c:v>1.8469284484955766E-2</c:v>
                </c:pt>
                <c:pt idx="456">
                  <c:v>1.8491430727032462E-2</c:v>
                </c:pt>
                <c:pt idx="457">
                  <c:v>1.8515649025088881E-2</c:v>
                </c:pt>
                <c:pt idx="458">
                  <c:v>1.8541909029372972E-2</c:v>
                </c:pt>
                <c:pt idx="459">
                  <c:v>1.8478596877676379E-2</c:v>
                </c:pt>
                <c:pt idx="460">
                  <c:v>1.8509171789296265E-2</c:v>
                </c:pt>
                <c:pt idx="461">
                  <c:v>1.845075635571709E-2</c:v>
                </c:pt>
                <c:pt idx="462">
                  <c:v>1.848552267083349E-2</c:v>
                </c:pt>
                <c:pt idx="463">
                  <c:v>1.8341573686084731E-2</c:v>
                </c:pt>
                <c:pt idx="464">
                  <c:v>1.8380726648401458E-2</c:v>
                </c:pt>
                <c:pt idx="465">
                  <c:v>1.8332040527952103E-2</c:v>
                </c:pt>
                <c:pt idx="466">
                  <c:v>1.8375140827261976E-2</c:v>
                </c:pt>
                <c:pt idx="467">
                  <c:v>1.8330972419438388E-2</c:v>
                </c:pt>
                <c:pt idx="468">
                  <c:v>1.8289173409583626E-2</c:v>
                </c:pt>
                <c:pt idx="469">
                  <c:v>1.8249712377692313E-2</c:v>
                </c:pt>
                <c:pt idx="470">
                  <c:v>1.8300664681102339E-2</c:v>
                </c:pt>
                <c:pt idx="471">
                  <c:v>1.8265477032688573E-2</c:v>
                </c:pt>
                <c:pt idx="472">
                  <c:v>1.8232535619657656E-2</c:v>
                </c:pt>
                <c:pt idx="473">
                  <c:v>1.8201809920810687E-2</c:v>
                </c:pt>
                <c:pt idx="474">
                  <c:v>1.808639325974366E-2</c:v>
                </c:pt>
                <c:pt idx="475">
                  <c:v>1.8060313101756476E-2</c:v>
                </c:pt>
                <c:pt idx="476">
                  <c:v>1.8036357436779386E-2</c:v>
                </c:pt>
                <c:pt idx="477">
                  <c:v>1.8100462235203441E-2</c:v>
                </c:pt>
                <c:pt idx="478">
                  <c:v>1.7909036974175556E-2</c:v>
                </c:pt>
                <c:pt idx="479">
                  <c:v>1.7891577937856628E-2</c:v>
                </c:pt>
                <c:pt idx="480">
                  <c:v>1.7791060658592654E-2</c:v>
                </c:pt>
                <c:pt idx="481">
                  <c:v>1.7777883203874478E-2</c:v>
                </c:pt>
                <c:pt idx="482">
                  <c:v>1.7682184414275427E-2</c:v>
                </c:pt>
                <c:pt idx="483">
                  <c:v>1.7757343315880702E-2</c:v>
                </c:pt>
                <c:pt idx="484">
                  <c:v>1.7666045892538645E-2</c:v>
                </c:pt>
                <c:pt idx="485">
                  <c:v>1.7660784067616026E-2</c:v>
                </c:pt>
                <c:pt idx="486">
                  <c:v>1.7574064983603366E-2</c:v>
                </c:pt>
                <c:pt idx="487">
                  <c:v>1.7489736383864127E-2</c:v>
                </c:pt>
                <c:pt idx="488">
                  <c:v>1.7407767769087767E-2</c:v>
                </c:pt>
                <c:pt idx="489">
                  <c:v>1.7410548677493663E-2</c:v>
                </c:pt>
                <c:pt idx="490">
                  <c:v>1.7415052343187118E-2</c:v>
                </c:pt>
                <c:pt idx="491">
                  <c:v>1.7339407932331012E-2</c:v>
                </c:pt>
                <c:pt idx="492">
                  <c:v>1.7266005861810197E-2</c:v>
                </c:pt>
                <c:pt idx="493">
                  <c:v>1.7194816744592584E-2</c:v>
                </c:pt>
                <c:pt idx="494">
                  <c:v>1.7044823704280312E-2</c:v>
                </c:pt>
                <c:pt idx="495">
                  <c:v>1.6978256379492025E-2</c:v>
                </c:pt>
                <c:pt idx="496">
                  <c:v>1.6913814043469987E-2</c:v>
                </c:pt>
                <c:pt idx="497">
                  <c:v>1.6851468069463072E-2</c:v>
                </c:pt>
                <c:pt idx="498">
                  <c:v>1.6791190172527962E-2</c:v>
                </c:pt>
                <c:pt idx="499">
                  <c:v>1.6653371105318591E-2</c:v>
                </c:pt>
                <c:pt idx="500">
                  <c:v>1.667672618453752E-2</c:v>
                </c:pt>
                <c:pt idx="501">
                  <c:v>1.6622484464194582E-2</c:v>
                </c:pt>
                <c:pt idx="502">
                  <c:v>1.649144983151608E-2</c:v>
                </c:pt>
                <c:pt idx="503">
                  <c:v>1.6441369396914072E-2</c:v>
                </c:pt>
                <c:pt idx="504">
                  <c:v>1.6314990150757241E-2</c:v>
                </c:pt>
                <c:pt idx="505">
                  <c:v>1.6268958557791612E-2</c:v>
                </c:pt>
                <c:pt idx="506">
                  <c:v>1.6224773675302936E-2</c:v>
                </c:pt>
                <c:pt idx="507">
                  <c:v>1.6105025389445408E-2</c:v>
                </c:pt>
                <c:pt idx="508">
                  <c:v>1.598761149657638E-2</c:v>
                </c:pt>
                <c:pt idx="509">
                  <c:v>1.5872502893989851E-2</c:v>
                </c:pt>
                <c:pt idx="510">
                  <c:v>1.5836246156393979E-2</c:v>
                </c:pt>
                <c:pt idx="511">
                  <c:v>1.5725394358183906E-2</c:v>
                </c:pt>
                <c:pt idx="512">
                  <c:v>1.5616762808339709E-2</c:v>
                </c:pt>
                <c:pt idx="513">
                  <c:v>1.5510323342232143E-2</c:v>
                </c:pt>
                <c:pt idx="514">
                  <c:v>1.5406047851179713E-2</c:v>
                </c:pt>
                <c:pt idx="515">
                  <c:v>1.5379157029485072E-2</c:v>
                </c:pt>
                <c:pt idx="516">
                  <c:v>1.5278863687802107E-2</c:v>
                </c:pt>
                <c:pt idx="517">
                  <c:v>1.5180652422216211E-2</c:v>
                </c:pt>
                <c:pt idx="518">
                  <c:v>1.5010032245869494E-2</c:v>
                </c:pt>
                <c:pt idx="519">
                  <c:v>1.4916163258351491E-2</c:v>
                </c:pt>
                <c:pt idx="520">
                  <c:v>1.4898239629741758E-2</c:v>
                </c:pt>
                <c:pt idx="521">
                  <c:v>1.4734398665263515E-2</c:v>
                </c:pt>
                <c:pt idx="522">
                  <c:v>1.4646449980786734E-2</c:v>
                </c:pt>
                <c:pt idx="523">
                  <c:v>1.4487247320089011E-2</c:v>
                </c:pt>
                <c:pt idx="524">
                  <c:v>1.4476288684534681E-2</c:v>
                </c:pt>
                <c:pt idx="525">
                  <c:v>1.4248692888673397E-2</c:v>
                </c:pt>
                <c:pt idx="526">
                  <c:v>1.4168777605343531E-2</c:v>
                </c:pt>
                <c:pt idx="527">
                  <c:v>1.4018518128182731E-2</c:v>
                </c:pt>
                <c:pt idx="528">
                  <c:v>1.3870551830832117E-2</c:v>
                </c:pt>
                <c:pt idx="529">
                  <c:v>1.3796508970655917E-2</c:v>
                </c:pt>
                <c:pt idx="530">
                  <c:v>1.3724204821116359E-2</c:v>
                </c:pt>
                <c:pt idx="531">
                  <c:v>1.3582454517683943E-2</c:v>
                </c:pt>
                <c:pt idx="532">
                  <c:v>1.3442889035578876E-2</c:v>
                </c:pt>
                <c:pt idx="533">
                  <c:v>1.3376146899445274E-2</c:v>
                </c:pt>
                <c:pt idx="534">
                  <c:v>1.3240624228405598E-2</c:v>
                </c:pt>
                <c:pt idx="535">
                  <c:v>1.3107206739571976E-2</c:v>
                </c:pt>
                <c:pt idx="536">
                  <c:v>1.2975867975521214E-2</c:v>
                </c:pt>
                <c:pt idx="537">
                  <c:v>1.2776894694856364E-2</c:v>
                </c:pt>
                <c:pt idx="538">
                  <c:v>1.2719321705937474E-2</c:v>
                </c:pt>
                <c:pt idx="539">
                  <c:v>1.2594062213178636E-2</c:v>
                </c:pt>
                <c:pt idx="540">
                  <c:v>1.2401815090695021E-2</c:v>
                </c:pt>
                <c:pt idx="541">
                  <c:v>1.2211996981675908E-2</c:v>
                </c:pt>
                <c:pt idx="542">
                  <c:v>1.2161546795993475E-2</c:v>
                </c:pt>
                <c:pt idx="543">
                  <c:v>1.1976026522131738E-2</c:v>
                </c:pt>
                <c:pt idx="544">
                  <c:v>1.1860861924261211E-2</c:v>
                </c:pt>
                <c:pt idx="545">
                  <c:v>1.1679772757577134E-2</c:v>
                </c:pt>
                <c:pt idx="546">
                  <c:v>1.1568513710320747E-2</c:v>
                </c:pt>
                <c:pt idx="547">
                  <c:v>1.1459052183926847E-2</c:v>
                </c:pt>
                <c:pt idx="548">
                  <c:v>1.1284295836825952E-2</c:v>
                </c:pt>
                <c:pt idx="549">
                  <c:v>1.1111754663710477E-2</c:v>
                </c:pt>
                <c:pt idx="550">
                  <c:v>1.1008005159760236E-2</c:v>
                </c:pt>
                <c:pt idx="551">
                  <c:v>1.0839583932619674E-2</c:v>
                </c:pt>
                <c:pt idx="552">
                  <c:v>1.0673300097702862E-2</c:v>
                </c:pt>
                <c:pt idx="553">
                  <c:v>1.0509127759012186E-2</c:v>
                </c:pt>
                <c:pt idx="554">
                  <c:v>1.0412724190030014E-2</c:v>
                </c:pt>
                <c:pt idx="555">
                  <c:v>1.0252470228453004E-2</c:v>
                </c:pt>
                <c:pt idx="556">
                  <c:v>1.0094252252817269E-2</c:v>
                </c:pt>
                <c:pt idx="557">
                  <c:v>9.9380451658892498E-3</c:v>
                </c:pt>
                <c:pt idx="558">
                  <c:v>9.7190480644065314E-3</c:v>
                </c:pt>
                <c:pt idx="559">
                  <c:v>9.5670128856990087E-3</c:v>
                </c:pt>
                <c:pt idx="560">
                  <c:v>9.4169135989239146E-3</c:v>
                </c:pt>
                <c:pt idx="561">
                  <c:v>9.2687258521192938E-3</c:v>
                </c:pt>
                <c:pt idx="562">
                  <c:v>9.1224254771366461E-3</c:v>
                </c:pt>
                <c:pt idx="563">
                  <c:v>8.9143277329454141E-3</c:v>
                </c:pt>
                <c:pt idx="564">
                  <c:v>8.7085108612439694E-3</c:v>
                </c:pt>
                <c:pt idx="565">
                  <c:v>8.6313889681210437E-3</c:v>
                </c:pt>
                <c:pt idx="566">
                  <c:v>8.4296175213811469E-3</c:v>
                </c:pt>
                <c:pt idx="567">
                  <c:v>8.2300509266252254E-3</c:v>
                </c:pt>
                <c:pt idx="568">
                  <c:v>8.0952289392579209E-3</c:v>
                </c:pt>
                <c:pt idx="569">
                  <c:v>7.8997788983162093E-3</c:v>
                </c:pt>
                <c:pt idx="570">
                  <c:v>7.7064584960914824E-3</c:v>
                </c:pt>
                <c:pt idx="571">
                  <c:v>7.5152427634465058E-3</c:v>
                </c:pt>
                <c:pt idx="572">
                  <c:v>7.3878100983887961E-3</c:v>
                </c:pt>
                <c:pt idx="573">
                  <c:v>7.20051591997672E-3</c:v>
                </c:pt>
                <c:pt idx="574">
                  <c:v>7.0152534036999302E-3</c:v>
                </c:pt>
                <c:pt idx="575">
                  <c:v>6.8319982555283699E-3</c:v>
                </c:pt>
                <c:pt idx="576">
                  <c:v>6.6507264105966956E-3</c:v>
                </c:pt>
                <c:pt idx="577">
                  <c:v>6.4107711050374883E-3</c:v>
                </c:pt>
                <c:pt idx="578">
                  <c:v>6.233604094555493E-3</c:v>
                </c:pt>
                <c:pt idx="579">
                  <c:v>6.0583484548530952E-3</c:v>
                </c:pt>
                <c:pt idx="580">
                  <c:v>5.8849808288167303E-3</c:v>
                </c:pt>
                <c:pt idx="581">
                  <c:v>5.6536696416937112E-3</c:v>
                </c:pt>
                <c:pt idx="582">
                  <c:v>5.5438169240316481E-3</c:v>
                </c:pt>
                <c:pt idx="583">
                  <c:v>5.316579029190696E-3</c:v>
                </c:pt>
                <c:pt idx="584">
                  <c:v>5.0915478932283985E-3</c:v>
                </c:pt>
                <c:pt idx="585">
                  <c:v>4.9276844981393552E-3</c:v>
                </c:pt>
                <c:pt idx="586">
                  <c:v>4.7655709673365028E-3</c:v>
                </c:pt>
                <c:pt idx="587">
                  <c:v>4.5466059157630813E-3</c:v>
                </c:pt>
                <c:pt idx="588">
                  <c:v>4.3881278879667899E-3</c:v>
                </c:pt>
                <c:pt idx="589">
                  <c:v>4.1731575479155569E-3</c:v>
                </c:pt>
                <c:pt idx="590">
                  <c:v>3.9602501965856039E-3</c:v>
                </c:pt>
                <c:pt idx="591">
                  <c:v>3.7493821093691542E-3</c:v>
                </c:pt>
                <c:pt idx="592">
                  <c:v>3.4829550400976841E-3</c:v>
                </c:pt>
                <c:pt idx="593">
                  <c:v>3.2762936762813044E-3</c:v>
                </c:pt>
                <c:pt idx="594">
                  <c:v>3.1287786315755154E-3</c:v>
                </c:pt>
                <c:pt idx="595">
                  <c:v>2.8688529627592038E-3</c:v>
                </c:pt>
                <c:pt idx="596">
                  <c:v>2.6680277714390714E-3</c:v>
                </c:pt>
                <c:pt idx="597">
                  <c:v>2.4691022983523987E-3</c:v>
                </c:pt>
                <c:pt idx="598">
                  <c:v>2.2720540614973332E-3</c:v>
                </c:pt>
                <c:pt idx="599">
                  <c:v>2.0206619189818719E-3</c:v>
                </c:pt>
                <c:pt idx="600">
                  <c:v>1.82749480102391E-3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E5-4B19-A772-417024269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612128"/>
        <c:axId val="284613088"/>
      </c:scatterChart>
      <c:valAx>
        <c:axId val="28461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613088"/>
        <c:crosses val="autoZero"/>
        <c:crossBetween val="midCat"/>
      </c:valAx>
      <c:valAx>
        <c:axId val="28461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61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Cal_Error!$I$1</c:f>
              <c:strCache>
                <c:ptCount val="1"/>
                <c:pt idx="0">
                  <c:v>Error_Voltage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Cal_Error!$C$2:$C$602</c:f>
              <c:numCache>
                <c:formatCode>0.000000000</c:formatCode>
                <c:ptCount val="601"/>
                <c:pt idx="0">
                  <c:v>0</c:v>
                </c:pt>
                <c:pt idx="1">
                  <c:v>8.3330000000000001E-3</c:v>
                </c:pt>
                <c:pt idx="2">
                  <c:v>1.6667000000000001E-2</c:v>
                </c:pt>
                <c:pt idx="3">
                  <c:v>2.5000000000000001E-2</c:v>
                </c:pt>
                <c:pt idx="4">
                  <c:v>3.3333000000000002E-2</c:v>
                </c:pt>
                <c:pt idx="5">
                  <c:v>4.1667000000000003E-2</c:v>
                </c:pt>
                <c:pt idx="6">
                  <c:v>0.05</c:v>
                </c:pt>
                <c:pt idx="7">
                  <c:v>5.8333000000000003E-2</c:v>
                </c:pt>
                <c:pt idx="8">
                  <c:v>6.6667000000000004E-2</c:v>
                </c:pt>
                <c:pt idx="9">
                  <c:v>7.4999999999999997E-2</c:v>
                </c:pt>
                <c:pt idx="10">
                  <c:v>8.3333000000000004E-2</c:v>
                </c:pt>
                <c:pt idx="11">
                  <c:v>9.1666999999999998E-2</c:v>
                </c:pt>
                <c:pt idx="12">
                  <c:v>0.1</c:v>
                </c:pt>
                <c:pt idx="13">
                  <c:v>0.108333</c:v>
                </c:pt>
                <c:pt idx="14">
                  <c:v>0.11666700000000001</c:v>
                </c:pt>
                <c:pt idx="15">
                  <c:v>0.125</c:v>
                </c:pt>
                <c:pt idx="16">
                  <c:v>0.13333300000000001</c:v>
                </c:pt>
                <c:pt idx="17">
                  <c:v>0.14166699999999999</c:v>
                </c:pt>
                <c:pt idx="18">
                  <c:v>0.15</c:v>
                </c:pt>
                <c:pt idx="19">
                  <c:v>0.158333</c:v>
                </c:pt>
                <c:pt idx="20">
                  <c:v>0.16666700000000001</c:v>
                </c:pt>
                <c:pt idx="21">
                  <c:v>0.17499999999999999</c:v>
                </c:pt>
                <c:pt idx="22">
                  <c:v>0.183333</c:v>
                </c:pt>
                <c:pt idx="23">
                  <c:v>0.191667</c:v>
                </c:pt>
                <c:pt idx="24">
                  <c:v>0.2</c:v>
                </c:pt>
                <c:pt idx="25">
                  <c:v>0.20833299999999999</c:v>
                </c:pt>
                <c:pt idx="26">
                  <c:v>0.216667</c:v>
                </c:pt>
                <c:pt idx="27">
                  <c:v>0.22500000000000001</c:v>
                </c:pt>
                <c:pt idx="28">
                  <c:v>0.23333300000000001</c:v>
                </c:pt>
                <c:pt idx="29">
                  <c:v>0.24166699999999999</c:v>
                </c:pt>
                <c:pt idx="30">
                  <c:v>0.25</c:v>
                </c:pt>
                <c:pt idx="31">
                  <c:v>0.25833299999999998</c:v>
                </c:pt>
                <c:pt idx="32">
                  <c:v>0.26666699999999999</c:v>
                </c:pt>
                <c:pt idx="33">
                  <c:v>0.27500000000000002</c:v>
                </c:pt>
                <c:pt idx="34">
                  <c:v>0.283333</c:v>
                </c:pt>
                <c:pt idx="35">
                  <c:v>0.29166700000000001</c:v>
                </c:pt>
                <c:pt idx="36">
                  <c:v>0.3</c:v>
                </c:pt>
                <c:pt idx="37">
                  <c:v>0.30833300000000002</c:v>
                </c:pt>
                <c:pt idx="38">
                  <c:v>0.31666699999999998</c:v>
                </c:pt>
                <c:pt idx="39">
                  <c:v>0.32500000000000001</c:v>
                </c:pt>
                <c:pt idx="40">
                  <c:v>0.33333299999999999</c:v>
                </c:pt>
                <c:pt idx="41">
                  <c:v>0.341667</c:v>
                </c:pt>
                <c:pt idx="42">
                  <c:v>0.35</c:v>
                </c:pt>
                <c:pt idx="43">
                  <c:v>0.35833300000000001</c:v>
                </c:pt>
                <c:pt idx="44">
                  <c:v>0.36666700000000002</c:v>
                </c:pt>
                <c:pt idx="45">
                  <c:v>0.375</c:v>
                </c:pt>
                <c:pt idx="46">
                  <c:v>0.38333299999999998</c:v>
                </c:pt>
                <c:pt idx="47">
                  <c:v>0.39166699999999999</c:v>
                </c:pt>
                <c:pt idx="48">
                  <c:v>0.4</c:v>
                </c:pt>
                <c:pt idx="49">
                  <c:v>0.408333</c:v>
                </c:pt>
                <c:pt idx="50">
                  <c:v>0.41666700000000001</c:v>
                </c:pt>
                <c:pt idx="51">
                  <c:v>0.42499999999999999</c:v>
                </c:pt>
                <c:pt idx="52">
                  <c:v>0.43333300000000002</c:v>
                </c:pt>
                <c:pt idx="53">
                  <c:v>0.44166699999999998</c:v>
                </c:pt>
                <c:pt idx="54">
                  <c:v>0.45</c:v>
                </c:pt>
                <c:pt idx="55">
                  <c:v>0.45833299999999999</c:v>
                </c:pt>
                <c:pt idx="56">
                  <c:v>0.466667</c:v>
                </c:pt>
                <c:pt idx="57">
                  <c:v>0.47499999999999998</c:v>
                </c:pt>
                <c:pt idx="58">
                  <c:v>0.48333300000000001</c:v>
                </c:pt>
                <c:pt idx="59">
                  <c:v>0.49166700000000002</c:v>
                </c:pt>
                <c:pt idx="60">
                  <c:v>0.5</c:v>
                </c:pt>
                <c:pt idx="61">
                  <c:v>0.50833300000000003</c:v>
                </c:pt>
                <c:pt idx="62">
                  <c:v>0.51666699999999999</c:v>
                </c:pt>
                <c:pt idx="63">
                  <c:v>0.52500000000000002</c:v>
                </c:pt>
                <c:pt idx="64">
                  <c:v>0.53333299999999995</c:v>
                </c:pt>
                <c:pt idx="65">
                  <c:v>0.54166700000000001</c:v>
                </c:pt>
                <c:pt idx="66">
                  <c:v>0.55000000000000004</c:v>
                </c:pt>
                <c:pt idx="67">
                  <c:v>0.55833299999999997</c:v>
                </c:pt>
                <c:pt idx="68">
                  <c:v>0.56666700000000003</c:v>
                </c:pt>
                <c:pt idx="69">
                  <c:v>0.57499999999999996</c:v>
                </c:pt>
                <c:pt idx="70">
                  <c:v>0.58333299999999999</c:v>
                </c:pt>
                <c:pt idx="71">
                  <c:v>0.59166700000000005</c:v>
                </c:pt>
                <c:pt idx="72">
                  <c:v>0.6</c:v>
                </c:pt>
                <c:pt idx="73">
                  <c:v>0.60833300000000001</c:v>
                </c:pt>
                <c:pt idx="74">
                  <c:v>0.61666699999999997</c:v>
                </c:pt>
                <c:pt idx="75">
                  <c:v>0.625</c:v>
                </c:pt>
                <c:pt idx="76">
                  <c:v>0.63333300000000003</c:v>
                </c:pt>
                <c:pt idx="77">
                  <c:v>0.64166699999999999</c:v>
                </c:pt>
                <c:pt idx="78">
                  <c:v>0.65</c:v>
                </c:pt>
                <c:pt idx="79">
                  <c:v>0.65833299999999995</c:v>
                </c:pt>
                <c:pt idx="80">
                  <c:v>0.66666700000000001</c:v>
                </c:pt>
                <c:pt idx="81">
                  <c:v>0.67500000000000004</c:v>
                </c:pt>
                <c:pt idx="82">
                  <c:v>0.68333299999999997</c:v>
                </c:pt>
                <c:pt idx="83">
                  <c:v>0.69166700000000003</c:v>
                </c:pt>
                <c:pt idx="84">
                  <c:v>0.7</c:v>
                </c:pt>
                <c:pt idx="85">
                  <c:v>0.70833299999999999</c:v>
                </c:pt>
                <c:pt idx="86">
                  <c:v>0.71666700000000005</c:v>
                </c:pt>
                <c:pt idx="87">
                  <c:v>0.72499999999999998</c:v>
                </c:pt>
                <c:pt idx="88">
                  <c:v>0.73333300000000001</c:v>
                </c:pt>
                <c:pt idx="89">
                  <c:v>0.74166699999999997</c:v>
                </c:pt>
                <c:pt idx="90">
                  <c:v>0.75</c:v>
                </c:pt>
                <c:pt idx="91">
                  <c:v>0.75833300000000003</c:v>
                </c:pt>
                <c:pt idx="92">
                  <c:v>0.76666699999999999</c:v>
                </c:pt>
                <c:pt idx="93">
                  <c:v>0.77500000000000002</c:v>
                </c:pt>
                <c:pt idx="94">
                  <c:v>0.78333299999999995</c:v>
                </c:pt>
                <c:pt idx="95">
                  <c:v>0.79166700000000001</c:v>
                </c:pt>
                <c:pt idx="96">
                  <c:v>0.8</c:v>
                </c:pt>
                <c:pt idx="97">
                  <c:v>0.80833299999999997</c:v>
                </c:pt>
                <c:pt idx="98">
                  <c:v>0.81666700000000003</c:v>
                </c:pt>
                <c:pt idx="99">
                  <c:v>0.82499999999999996</c:v>
                </c:pt>
                <c:pt idx="100">
                  <c:v>0.83333299999999999</c:v>
                </c:pt>
                <c:pt idx="101">
                  <c:v>0.84166700000000005</c:v>
                </c:pt>
                <c:pt idx="102">
                  <c:v>0.85</c:v>
                </c:pt>
                <c:pt idx="103">
                  <c:v>0.85833300000000001</c:v>
                </c:pt>
                <c:pt idx="104">
                  <c:v>0.86666699999999997</c:v>
                </c:pt>
                <c:pt idx="105">
                  <c:v>0.875</c:v>
                </c:pt>
                <c:pt idx="106">
                  <c:v>0.88333300000000003</c:v>
                </c:pt>
                <c:pt idx="107">
                  <c:v>0.89166699999999999</c:v>
                </c:pt>
                <c:pt idx="108">
                  <c:v>0.9</c:v>
                </c:pt>
                <c:pt idx="109">
                  <c:v>0.90833299999999995</c:v>
                </c:pt>
                <c:pt idx="110">
                  <c:v>0.91666700000000001</c:v>
                </c:pt>
                <c:pt idx="111">
                  <c:v>0.92500000000000004</c:v>
                </c:pt>
                <c:pt idx="112">
                  <c:v>0.93333299999999997</c:v>
                </c:pt>
                <c:pt idx="113">
                  <c:v>0.94166700000000003</c:v>
                </c:pt>
                <c:pt idx="114">
                  <c:v>0.95</c:v>
                </c:pt>
                <c:pt idx="115">
                  <c:v>0.95833299999999999</c:v>
                </c:pt>
                <c:pt idx="116">
                  <c:v>0.96666700000000005</c:v>
                </c:pt>
                <c:pt idx="117">
                  <c:v>0.97499999999999998</c:v>
                </c:pt>
                <c:pt idx="118">
                  <c:v>0.98333300000000001</c:v>
                </c:pt>
                <c:pt idx="119">
                  <c:v>0.99166699999999997</c:v>
                </c:pt>
                <c:pt idx="120">
                  <c:v>1</c:v>
                </c:pt>
                <c:pt idx="121">
                  <c:v>1.0083329999999999</c:v>
                </c:pt>
                <c:pt idx="122">
                  <c:v>1.016667</c:v>
                </c:pt>
                <c:pt idx="123">
                  <c:v>1.0249999999999999</c:v>
                </c:pt>
                <c:pt idx="124">
                  <c:v>1.0333330000000001</c:v>
                </c:pt>
                <c:pt idx="125">
                  <c:v>1.0416669999999999</c:v>
                </c:pt>
                <c:pt idx="126">
                  <c:v>1.05</c:v>
                </c:pt>
                <c:pt idx="127">
                  <c:v>1.058333</c:v>
                </c:pt>
                <c:pt idx="128">
                  <c:v>1.066667</c:v>
                </c:pt>
                <c:pt idx="129">
                  <c:v>1.075</c:v>
                </c:pt>
                <c:pt idx="130">
                  <c:v>1.0833330000000001</c:v>
                </c:pt>
                <c:pt idx="131">
                  <c:v>1.0916669999999999</c:v>
                </c:pt>
                <c:pt idx="132">
                  <c:v>1.1000000000000001</c:v>
                </c:pt>
                <c:pt idx="133">
                  <c:v>1.108333</c:v>
                </c:pt>
                <c:pt idx="134">
                  <c:v>1.1166670000000001</c:v>
                </c:pt>
                <c:pt idx="135">
                  <c:v>1.125</c:v>
                </c:pt>
                <c:pt idx="136">
                  <c:v>1.1333329999999999</c:v>
                </c:pt>
                <c:pt idx="137">
                  <c:v>1.141667</c:v>
                </c:pt>
                <c:pt idx="138">
                  <c:v>1.1499999999999999</c:v>
                </c:pt>
                <c:pt idx="139">
                  <c:v>1.1583330000000001</c:v>
                </c:pt>
                <c:pt idx="140">
                  <c:v>1.1666669999999999</c:v>
                </c:pt>
                <c:pt idx="141">
                  <c:v>1.175</c:v>
                </c:pt>
                <c:pt idx="142">
                  <c:v>1.183333</c:v>
                </c:pt>
                <c:pt idx="143">
                  <c:v>1.191667</c:v>
                </c:pt>
                <c:pt idx="144">
                  <c:v>1.2</c:v>
                </c:pt>
                <c:pt idx="145">
                  <c:v>1.2083330000000001</c:v>
                </c:pt>
                <c:pt idx="146">
                  <c:v>1.2166669999999999</c:v>
                </c:pt>
                <c:pt idx="147">
                  <c:v>1.2250000000000001</c:v>
                </c:pt>
                <c:pt idx="148">
                  <c:v>1.233333</c:v>
                </c:pt>
                <c:pt idx="149">
                  <c:v>1.2416670000000001</c:v>
                </c:pt>
                <c:pt idx="150">
                  <c:v>1.25</c:v>
                </c:pt>
                <c:pt idx="151">
                  <c:v>1.2583329999999999</c:v>
                </c:pt>
                <c:pt idx="152">
                  <c:v>1.266667</c:v>
                </c:pt>
                <c:pt idx="153">
                  <c:v>1.2749999999999999</c:v>
                </c:pt>
                <c:pt idx="154">
                  <c:v>1.2833330000000001</c:v>
                </c:pt>
                <c:pt idx="155">
                  <c:v>1.2916669999999999</c:v>
                </c:pt>
                <c:pt idx="156">
                  <c:v>1.3</c:v>
                </c:pt>
                <c:pt idx="157">
                  <c:v>1.308333</c:v>
                </c:pt>
                <c:pt idx="158">
                  <c:v>1.316667</c:v>
                </c:pt>
                <c:pt idx="159">
                  <c:v>1.325</c:v>
                </c:pt>
                <c:pt idx="160">
                  <c:v>1.3333330000000001</c:v>
                </c:pt>
                <c:pt idx="161">
                  <c:v>1.3416669999999999</c:v>
                </c:pt>
                <c:pt idx="162">
                  <c:v>1.35</c:v>
                </c:pt>
                <c:pt idx="163">
                  <c:v>1.358333</c:v>
                </c:pt>
                <c:pt idx="164">
                  <c:v>1.3666670000000001</c:v>
                </c:pt>
                <c:pt idx="165">
                  <c:v>1.375</c:v>
                </c:pt>
                <c:pt idx="166">
                  <c:v>1.3833329999999999</c:v>
                </c:pt>
                <c:pt idx="167">
                  <c:v>1.391667</c:v>
                </c:pt>
                <c:pt idx="168">
                  <c:v>1.4</c:v>
                </c:pt>
                <c:pt idx="169">
                  <c:v>1.4083330000000001</c:v>
                </c:pt>
                <c:pt idx="170">
                  <c:v>1.4166669999999999</c:v>
                </c:pt>
                <c:pt idx="171">
                  <c:v>1.425</c:v>
                </c:pt>
                <c:pt idx="172">
                  <c:v>1.433333</c:v>
                </c:pt>
                <c:pt idx="173">
                  <c:v>1.441667</c:v>
                </c:pt>
                <c:pt idx="174">
                  <c:v>1.45</c:v>
                </c:pt>
                <c:pt idx="175">
                  <c:v>1.4583330000000001</c:v>
                </c:pt>
                <c:pt idx="176">
                  <c:v>1.4666669999999999</c:v>
                </c:pt>
                <c:pt idx="177">
                  <c:v>1.4750000000000001</c:v>
                </c:pt>
                <c:pt idx="178">
                  <c:v>1.483333</c:v>
                </c:pt>
                <c:pt idx="179">
                  <c:v>1.4916670000000001</c:v>
                </c:pt>
                <c:pt idx="180">
                  <c:v>1.5</c:v>
                </c:pt>
                <c:pt idx="181">
                  <c:v>1.5083329999999999</c:v>
                </c:pt>
                <c:pt idx="182">
                  <c:v>1.516667</c:v>
                </c:pt>
                <c:pt idx="183">
                  <c:v>1.5249999999999999</c:v>
                </c:pt>
                <c:pt idx="184">
                  <c:v>1.5333330000000001</c:v>
                </c:pt>
                <c:pt idx="185">
                  <c:v>1.5416669999999999</c:v>
                </c:pt>
                <c:pt idx="186">
                  <c:v>1.55</c:v>
                </c:pt>
                <c:pt idx="187">
                  <c:v>1.558333</c:v>
                </c:pt>
                <c:pt idx="188">
                  <c:v>1.566667</c:v>
                </c:pt>
                <c:pt idx="189">
                  <c:v>1.575</c:v>
                </c:pt>
                <c:pt idx="190">
                  <c:v>1.5833330000000001</c:v>
                </c:pt>
                <c:pt idx="191">
                  <c:v>1.5916669999999999</c:v>
                </c:pt>
                <c:pt idx="192">
                  <c:v>1.6</c:v>
                </c:pt>
                <c:pt idx="193">
                  <c:v>1.608333</c:v>
                </c:pt>
                <c:pt idx="194">
                  <c:v>1.6166670000000001</c:v>
                </c:pt>
                <c:pt idx="195">
                  <c:v>1.625</c:v>
                </c:pt>
                <c:pt idx="196">
                  <c:v>1.6333329999999999</c:v>
                </c:pt>
                <c:pt idx="197">
                  <c:v>1.641667</c:v>
                </c:pt>
                <c:pt idx="198">
                  <c:v>1.65</c:v>
                </c:pt>
                <c:pt idx="199">
                  <c:v>1.6583330000000001</c:v>
                </c:pt>
                <c:pt idx="200">
                  <c:v>1.6666669999999999</c:v>
                </c:pt>
                <c:pt idx="201">
                  <c:v>1.675</c:v>
                </c:pt>
                <c:pt idx="202">
                  <c:v>1.683333</c:v>
                </c:pt>
                <c:pt idx="203">
                  <c:v>1.691667</c:v>
                </c:pt>
                <c:pt idx="204">
                  <c:v>1.7</c:v>
                </c:pt>
                <c:pt idx="205">
                  <c:v>1.7083330000000001</c:v>
                </c:pt>
                <c:pt idx="206">
                  <c:v>1.7166669999999999</c:v>
                </c:pt>
                <c:pt idx="207">
                  <c:v>1.7250000000000001</c:v>
                </c:pt>
                <c:pt idx="208">
                  <c:v>1.733333</c:v>
                </c:pt>
                <c:pt idx="209">
                  <c:v>1.7416670000000001</c:v>
                </c:pt>
                <c:pt idx="210">
                  <c:v>1.75</c:v>
                </c:pt>
                <c:pt idx="211">
                  <c:v>1.7583329999999999</c:v>
                </c:pt>
                <c:pt idx="212">
                  <c:v>1.766667</c:v>
                </c:pt>
                <c:pt idx="213">
                  <c:v>1.7749999999999999</c:v>
                </c:pt>
                <c:pt idx="214">
                  <c:v>1.7833330000000001</c:v>
                </c:pt>
                <c:pt idx="215">
                  <c:v>1.7916669999999999</c:v>
                </c:pt>
                <c:pt idx="216">
                  <c:v>1.8</c:v>
                </c:pt>
                <c:pt idx="217">
                  <c:v>1.808333</c:v>
                </c:pt>
                <c:pt idx="218">
                  <c:v>1.816667</c:v>
                </c:pt>
                <c:pt idx="219">
                  <c:v>1.825</c:v>
                </c:pt>
                <c:pt idx="220">
                  <c:v>1.8333330000000001</c:v>
                </c:pt>
                <c:pt idx="221">
                  <c:v>1.8416669999999999</c:v>
                </c:pt>
                <c:pt idx="222">
                  <c:v>1.85</c:v>
                </c:pt>
                <c:pt idx="223">
                  <c:v>1.858333</c:v>
                </c:pt>
                <c:pt idx="224">
                  <c:v>1.8666670000000001</c:v>
                </c:pt>
                <c:pt idx="225">
                  <c:v>1.875</c:v>
                </c:pt>
                <c:pt idx="226">
                  <c:v>1.8833329999999999</c:v>
                </c:pt>
                <c:pt idx="227">
                  <c:v>1.891667</c:v>
                </c:pt>
                <c:pt idx="228">
                  <c:v>1.9</c:v>
                </c:pt>
                <c:pt idx="229">
                  <c:v>1.9083330000000001</c:v>
                </c:pt>
                <c:pt idx="230">
                  <c:v>1.9166669999999999</c:v>
                </c:pt>
                <c:pt idx="231">
                  <c:v>1.925</c:v>
                </c:pt>
                <c:pt idx="232">
                  <c:v>1.933333</c:v>
                </c:pt>
                <c:pt idx="233">
                  <c:v>1.941667</c:v>
                </c:pt>
                <c:pt idx="234">
                  <c:v>1.95</c:v>
                </c:pt>
                <c:pt idx="235">
                  <c:v>1.9583330000000001</c:v>
                </c:pt>
                <c:pt idx="236">
                  <c:v>1.9666669999999999</c:v>
                </c:pt>
                <c:pt idx="237">
                  <c:v>1.9750000000000001</c:v>
                </c:pt>
                <c:pt idx="238">
                  <c:v>1.983333</c:v>
                </c:pt>
                <c:pt idx="239">
                  <c:v>1.9916670000000001</c:v>
                </c:pt>
                <c:pt idx="240">
                  <c:v>2</c:v>
                </c:pt>
                <c:pt idx="241">
                  <c:v>2.0083329999999999</c:v>
                </c:pt>
                <c:pt idx="242">
                  <c:v>2.016667</c:v>
                </c:pt>
                <c:pt idx="243">
                  <c:v>2.0249999999999999</c:v>
                </c:pt>
                <c:pt idx="244">
                  <c:v>2.0333329999999998</c:v>
                </c:pt>
                <c:pt idx="245">
                  <c:v>2.0416669999999999</c:v>
                </c:pt>
                <c:pt idx="246">
                  <c:v>2.0499999999999998</c:v>
                </c:pt>
                <c:pt idx="247">
                  <c:v>2.0583330000000002</c:v>
                </c:pt>
                <c:pt idx="248">
                  <c:v>2.0666669999999998</c:v>
                </c:pt>
                <c:pt idx="249">
                  <c:v>2.0750000000000002</c:v>
                </c:pt>
                <c:pt idx="250">
                  <c:v>2.0833330000000001</c:v>
                </c:pt>
                <c:pt idx="251">
                  <c:v>2.0916670000000002</c:v>
                </c:pt>
                <c:pt idx="252">
                  <c:v>2.1</c:v>
                </c:pt>
                <c:pt idx="253">
                  <c:v>2.108333</c:v>
                </c:pt>
                <c:pt idx="254">
                  <c:v>2.1166670000000001</c:v>
                </c:pt>
                <c:pt idx="255">
                  <c:v>2.125</c:v>
                </c:pt>
                <c:pt idx="256">
                  <c:v>2.1333329999999999</c:v>
                </c:pt>
                <c:pt idx="257">
                  <c:v>2.141667</c:v>
                </c:pt>
                <c:pt idx="258">
                  <c:v>2.15</c:v>
                </c:pt>
                <c:pt idx="259">
                  <c:v>2.1583329999999998</c:v>
                </c:pt>
                <c:pt idx="260">
                  <c:v>2.1666669999999999</c:v>
                </c:pt>
                <c:pt idx="261">
                  <c:v>2.1749999999999998</c:v>
                </c:pt>
                <c:pt idx="262">
                  <c:v>2.1833330000000002</c:v>
                </c:pt>
                <c:pt idx="263">
                  <c:v>2.1916669999999998</c:v>
                </c:pt>
                <c:pt idx="264">
                  <c:v>2.2000000000000002</c:v>
                </c:pt>
                <c:pt idx="265">
                  <c:v>2.2083330000000001</c:v>
                </c:pt>
                <c:pt idx="266">
                  <c:v>2.2166670000000002</c:v>
                </c:pt>
                <c:pt idx="267">
                  <c:v>2.2250000000000001</c:v>
                </c:pt>
                <c:pt idx="268">
                  <c:v>2.233333</c:v>
                </c:pt>
                <c:pt idx="269">
                  <c:v>2.2416670000000001</c:v>
                </c:pt>
                <c:pt idx="270">
                  <c:v>2.25</c:v>
                </c:pt>
                <c:pt idx="271">
                  <c:v>2.2583329999999999</c:v>
                </c:pt>
                <c:pt idx="272">
                  <c:v>2.266667</c:v>
                </c:pt>
                <c:pt idx="273">
                  <c:v>2.2749999999999999</c:v>
                </c:pt>
                <c:pt idx="274">
                  <c:v>2.2833329999999998</c:v>
                </c:pt>
                <c:pt idx="275">
                  <c:v>2.2916669999999999</c:v>
                </c:pt>
                <c:pt idx="276">
                  <c:v>2.2999999999999998</c:v>
                </c:pt>
                <c:pt idx="277">
                  <c:v>2.3083330000000002</c:v>
                </c:pt>
                <c:pt idx="278">
                  <c:v>2.3166669999999998</c:v>
                </c:pt>
                <c:pt idx="279">
                  <c:v>2.3250000000000002</c:v>
                </c:pt>
                <c:pt idx="280">
                  <c:v>2.3333330000000001</c:v>
                </c:pt>
                <c:pt idx="281">
                  <c:v>2.3416670000000002</c:v>
                </c:pt>
                <c:pt idx="282">
                  <c:v>2.35</c:v>
                </c:pt>
                <c:pt idx="283">
                  <c:v>2.358333</c:v>
                </c:pt>
                <c:pt idx="284">
                  <c:v>2.3666670000000001</c:v>
                </c:pt>
                <c:pt idx="285">
                  <c:v>2.375</c:v>
                </c:pt>
                <c:pt idx="286">
                  <c:v>2.3833329999999999</c:v>
                </c:pt>
                <c:pt idx="287">
                  <c:v>2.391667</c:v>
                </c:pt>
                <c:pt idx="288">
                  <c:v>2.4</c:v>
                </c:pt>
                <c:pt idx="289">
                  <c:v>2.4083329999999998</c:v>
                </c:pt>
                <c:pt idx="290">
                  <c:v>2.4166669999999999</c:v>
                </c:pt>
                <c:pt idx="291">
                  <c:v>2.4249999999999998</c:v>
                </c:pt>
                <c:pt idx="292">
                  <c:v>2.4333330000000002</c:v>
                </c:pt>
                <c:pt idx="293">
                  <c:v>2.4416669999999998</c:v>
                </c:pt>
                <c:pt idx="294">
                  <c:v>2.4500000000000002</c:v>
                </c:pt>
                <c:pt idx="295">
                  <c:v>2.4583330000000001</c:v>
                </c:pt>
                <c:pt idx="296">
                  <c:v>2.4666670000000002</c:v>
                </c:pt>
                <c:pt idx="297">
                  <c:v>2.4750000000000001</c:v>
                </c:pt>
                <c:pt idx="298">
                  <c:v>2.483333</c:v>
                </c:pt>
                <c:pt idx="299">
                  <c:v>2.4916670000000001</c:v>
                </c:pt>
                <c:pt idx="300">
                  <c:v>2.5</c:v>
                </c:pt>
                <c:pt idx="301">
                  <c:v>2.5083329999999999</c:v>
                </c:pt>
                <c:pt idx="302">
                  <c:v>2.516667</c:v>
                </c:pt>
                <c:pt idx="303">
                  <c:v>2.5249999999999999</c:v>
                </c:pt>
                <c:pt idx="304">
                  <c:v>2.5333329999999998</c:v>
                </c:pt>
                <c:pt idx="305">
                  <c:v>2.5416669999999999</c:v>
                </c:pt>
                <c:pt idx="306">
                  <c:v>2.5499999999999998</c:v>
                </c:pt>
                <c:pt idx="307">
                  <c:v>2.5583330000000002</c:v>
                </c:pt>
                <c:pt idx="308">
                  <c:v>2.5666669999999998</c:v>
                </c:pt>
                <c:pt idx="309">
                  <c:v>2.5750000000000002</c:v>
                </c:pt>
                <c:pt idx="310">
                  <c:v>2.5833330000000001</c:v>
                </c:pt>
                <c:pt idx="311">
                  <c:v>2.5916670000000002</c:v>
                </c:pt>
                <c:pt idx="312">
                  <c:v>2.6</c:v>
                </c:pt>
                <c:pt idx="313">
                  <c:v>2.608333</c:v>
                </c:pt>
                <c:pt idx="314">
                  <c:v>2.6166670000000001</c:v>
                </c:pt>
                <c:pt idx="315">
                  <c:v>2.625</c:v>
                </c:pt>
                <c:pt idx="316">
                  <c:v>2.6333329999999999</c:v>
                </c:pt>
                <c:pt idx="317">
                  <c:v>2.641667</c:v>
                </c:pt>
                <c:pt idx="318">
                  <c:v>2.65</c:v>
                </c:pt>
                <c:pt idx="319">
                  <c:v>2.6583329999999998</c:v>
                </c:pt>
                <c:pt idx="320">
                  <c:v>2.6666669999999999</c:v>
                </c:pt>
                <c:pt idx="321">
                  <c:v>2.6749999999999998</c:v>
                </c:pt>
                <c:pt idx="322">
                  <c:v>2.6833330000000002</c:v>
                </c:pt>
                <c:pt idx="323">
                  <c:v>2.6916669999999998</c:v>
                </c:pt>
                <c:pt idx="324">
                  <c:v>2.7</c:v>
                </c:pt>
                <c:pt idx="325">
                  <c:v>2.7083330000000001</c:v>
                </c:pt>
                <c:pt idx="326">
                  <c:v>2.7166670000000002</c:v>
                </c:pt>
                <c:pt idx="327">
                  <c:v>2.7250000000000001</c:v>
                </c:pt>
                <c:pt idx="328">
                  <c:v>2.733333</c:v>
                </c:pt>
                <c:pt idx="329">
                  <c:v>2.7416670000000001</c:v>
                </c:pt>
                <c:pt idx="330">
                  <c:v>2.75</c:v>
                </c:pt>
                <c:pt idx="331">
                  <c:v>2.7583329999999999</c:v>
                </c:pt>
                <c:pt idx="332">
                  <c:v>2.766667</c:v>
                </c:pt>
                <c:pt idx="333">
                  <c:v>2.7749999999999999</c:v>
                </c:pt>
                <c:pt idx="334">
                  <c:v>2.7833329999999998</c:v>
                </c:pt>
                <c:pt idx="335">
                  <c:v>2.7916669999999999</c:v>
                </c:pt>
                <c:pt idx="336">
                  <c:v>2.8</c:v>
                </c:pt>
                <c:pt idx="337">
                  <c:v>2.8083330000000002</c:v>
                </c:pt>
                <c:pt idx="338">
                  <c:v>2.8166669999999998</c:v>
                </c:pt>
                <c:pt idx="339">
                  <c:v>2.8250000000000002</c:v>
                </c:pt>
                <c:pt idx="340">
                  <c:v>2.8333330000000001</c:v>
                </c:pt>
                <c:pt idx="341">
                  <c:v>2.8416670000000002</c:v>
                </c:pt>
                <c:pt idx="342">
                  <c:v>2.85</c:v>
                </c:pt>
                <c:pt idx="343">
                  <c:v>2.858333</c:v>
                </c:pt>
                <c:pt idx="344">
                  <c:v>2.8666670000000001</c:v>
                </c:pt>
                <c:pt idx="345">
                  <c:v>2.875</c:v>
                </c:pt>
                <c:pt idx="346">
                  <c:v>2.8833329999999999</c:v>
                </c:pt>
                <c:pt idx="347">
                  <c:v>2.891667</c:v>
                </c:pt>
                <c:pt idx="348">
                  <c:v>2.9</c:v>
                </c:pt>
                <c:pt idx="349">
                  <c:v>2.9083329999999998</c:v>
                </c:pt>
                <c:pt idx="350">
                  <c:v>2.9166669999999999</c:v>
                </c:pt>
                <c:pt idx="351">
                  <c:v>2.9249999999999998</c:v>
                </c:pt>
                <c:pt idx="352">
                  <c:v>2.9333330000000002</c:v>
                </c:pt>
                <c:pt idx="353">
                  <c:v>2.9416669999999998</c:v>
                </c:pt>
                <c:pt idx="354">
                  <c:v>2.95</c:v>
                </c:pt>
                <c:pt idx="355">
                  <c:v>2.9583330000000001</c:v>
                </c:pt>
                <c:pt idx="356">
                  <c:v>2.9666670000000002</c:v>
                </c:pt>
                <c:pt idx="357">
                  <c:v>2.9750000000000001</c:v>
                </c:pt>
                <c:pt idx="358">
                  <c:v>2.983333</c:v>
                </c:pt>
                <c:pt idx="359">
                  <c:v>2.9916670000000001</c:v>
                </c:pt>
                <c:pt idx="360">
                  <c:v>3</c:v>
                </c:pt>
                <c:pt idx="361">
                  <c:v>3.0083329999999999</c:v>
                </c:pt>
                <c:pt idx="362">
                  <c:v>3.016667</c:v>
                </c:pt>
                <c:pt idx="363">
                  <c:v>3.0249999999999999</c:v>
                </c:pt>
                <c:pt idx="364">
                  <c:v>3.0333329999999998</c:v>
                </c:pt>
                <c:pt idx="365">
                  <c:v>3.0416669999999999</c:v>
                </c:pt>
                <c:pt idx="366">
                  <c:v>3.05</c:v>
                </c:pt>
                <c:pt idx="367">
                  <c:v>3.0583330000000002</c:v>
                </c:pt>
                <c:pt idx="368">
                  <c:v>3.0666669999999998</c:v>
                </c:pt>
                <c:pt idx="369">
                  <c:v>3.0750000000000002</c:v>
                </c:pt>
                <c:pt idx="370">
                  <c:v>3.0833330000000001</c:v>
                </c:pt>
                <c:pt idx="371">
                  <c:v>3.0916670000000002</c:v>
                </c:pt>
                <c:pt idx="372">
                  <c:v>3.1</c:v>
                </c:pt>
                <c:pt idx="373">
                  <c:v>3.108333</c:v>
                </c:pt>
                <c:pt idx="374">
                  <c:v>3.1166670000000001</c:v>
                </c:pt>
                <c:pt idx="375">
                  <c:v>3.125</c:v>
                </c:pt>
                <c:pt idx="376">
                  <c:v>3.1333329999999999</c:v>
                </c:pt>
                <c:pt idx="377">
                  <c:v>3.141667</c:v>
                </c:pt>
                <c:pt idx="378">
                  <c:v>3.15</c:v>
                </c:pt>
                <c:pt idx="379">
                  <c:v>3.1583329999999998</c:v>
                </c:pt>
                <c:pt idx="380">
                  <c:v>3.1666669999999999</c:v>
                </c:pt>
                <c:pt idx="381">
                  <c:v>3.1749999999999998</c:v>
                </c:pt>
                <c:pt idx="382">
                  <c:v>3.1833330000000002</c:v>
                </c:pt>
                <c:pt idx="383">
                  <c:v>3.1916669999999998</c:v>
                </c:pt>
                <c:pt idx="384">
                  <c:v>3.2</c:v>
                </c:pt>
                <c:pt idx="385">
                  <c:v>3.2083330000000001</c:v>
                </c:pt>
                <c:pt idx="386">
                  <c:v>3.2166670000000002</c:v>
                </c:pt>
                <c:pt idx="387">
                  <c:v>3.2250000000000001</c:v>
                </c:pt>
                <c:pt idx="388">
                  <c:v>3.233333</c:v>
                </c:pt>
                <c:pt idx="389">
                  <c:v>3.2416670000000001</c:v>
                </c:pt>
                <c:pt idx="390">
                  <c:v>3.25</c:v>
                </c:pt>
                <c:pt idx="391">
                  <c:v>3.2583329999999999</c:v>
                </c:pt>
                <c:pt idx="392">
                  <c:v>3.266667</c:v>
                </c:pt>
                <c:pt idx="393">
                  <c:v>3.2749999999999999</c:v>
                </c:pt>
                <c:pt idx="394">
                  <c:v>3.2833329999999998</c:v>
                </c:pt>
                <c:pt idx="395">
                  <c:v>3.2916669999999999</c:v>
                </c:pt>
                <c:pt idx="396">
                  <c:v>3.3</c:v>
                </c:pt>
                <c:pt idx="397">
                  <c:v>3.3083330000000002</c:v>
                </c:pt>
                <c:pt idx="398">
                  <c:v>3.3166669999999998</c:v>
                </c:pt>
                <c:pt idx="399">
                  <c:v>3.3250000000000002</c:v>
                </c:pt>
                <c:pt idx="400">
                  <c:v>3.3333330000000001</c:v>
                </c:pt>
                <c:pt idx="401">
                  <c:v>3.3416670000000002</c:v>
                </c:pt>
                <c:pt idx="402">
                  <c:v>3.35</c:v>
                </c:pt>
                <c:pt idx="403">
                  <c:v>3.358333</c:v>
                </c:pt>
                <c:pt idx="404">
                  <c:v>3.3666670000000001</c:v>
                </c:pt>
                <c:pt idx="405">
                  <c:v>3.375</c:v>
                </c:pt>
                <c:pt idx="406">
                  <c:v>3.3833329999999999</c:v>
                </c:pt>
                <c:pt idx="407">
                  <c:v>3.391667</c:v>
                </c:pt>
                <c:pt idx="408">
                  <c:v>3.4</c:v>
                </c:pt>
                <c:pt idx="409">
                  <c:v>3.4083329999999998</c:v>
                </c:pt>
                <c:pt idx="410">
                  <c:v>3.4166669999999999</c:v>
                </c:pt>
                <c:pt idx="411">
                  <c:v>3.4249999999999998</c:v>
                </c:pt>
                <c:pt idx="412">
                  <c:v>3.4333330000000002</c:v>
                </c:pt>
                <c:pt idx="413">
                  <c:v>3.4416669999999998</c:v>
                </c:pt>
                <c:pt idx="414">
                  <c:v>3.45</c:v>
                </c:pt>
                <c:pt idx="415">
                  <c:v>3.4583330000000001</c:v>
                </c:pt>
                <c:pt idx="416">
                  <c:v>3.4666670000000002</c:v>
                </c:pt>
                <c:pt idx="417">
                  <c:v>3.4750000000000001</c:v>
                </c:pt>
                <c:pt idx="418">
                  <c:v>3.483333</c:v>
                </c:pt>
                <c:pt idx="419">
                  <c:v>3.4916670000000001</c:v>
                </c:pt>
                <c:pt idx="420">
                  <c:v>3.5</c:v>
                </c:pt>
                <c:pt idx="421">
                  <c:v>3.5083329999999999</c:v>
                </c:pt>
                <c:pt idx="422">
                  <c:v>3.516667</c:v>
                </c:pt>
                <c:pt idx="423">
                  <c:v>3.5249999999999999</c:v>
                </c:pt>
                <c:pt idx="424">
                  <c:v>3.5333329999999998</c:v>
                </c:pt>
                <c:pt idx="425">
                  <c:v>3.5416669999999999</c:v>
                </c:pt>
                <c:pt idx="426">
                  <c:v>3.55</c:v>
                </c:pt>
                <c:pt idx="427">
                  <c:v>3.5583330000000002</c:v>
                </c:pt>
                <c:pt idx="428">
                  <c:v>3.5666669999999998</c:v>
                </c:pt>
                <c:pt idx="429">
                  <c:v>3.5750000000000002</c:v>
                </c:pt>
                <c:pt idx="430">
                  <c:v>3.5833330000000001</c:v>
                </c:pt>
                <c:pt idx="431">
                  <c:v>3.5916670000000002</c:v>
                </c:pt>
                <c:pt idx="432">
                  <c:v>3.6</c:v>
                </c:pt>
                <c:pt idx="433">
                  <c:v>3.608333</c:v>
                </c:pt>
                <c:pt idx="434">
                  <c:v>3.6166670000000001</c:v>
                </c:pt>
                <c:pt idx="435">
                  <c:v>3.625</c:v>
                </c:pt>
                <c:pt idx="436">
                  <c:v>3.6333329999999999</c:v>
                </c:pt>
                <c:pt idx="437">
                  <c:v>3.641667</c:v>
                </c:pt>
                <c:pt idx="438">
                  <c:v>3.65</c:v>
                </c:pt>
                <c:pt idx="439">
                  <c:v>3.6583329999999998</c:v>
                </c:pt>
                <c:pt idx="440">
                  <c:v>3.6666669999999999</c:v>
                </c:pt>
                <c:pt idx="441">
                  <c:v>3.6749999999999998</c:v>
                </c:pt>
                <c:pt idx="442">
                  <c:v>3.6833330000000002</c:v>
                </c:pt>
                <c:pt idx="443">
                  <c:v>3.6916669999999998</c:v>
                </c:pt>
                <c:pt idx="444">
                  <c:v>3.7</c:v>
                </c:pt>
                <c:pt idx="445">
                  <c:v>3.7083330000000001</c:v>
                </c:pt>
                <c:pt idx="446">
                  <c:v>3.7166670000000002</c:v>
                </c:pt>
                <c:pt idx="447">
                  <c:v>3.7250000000000001</c:v>
                </c:pt>
                <c:pt idx="448">
                  <c:v>3.733333</c:v>
                </c:pt>
                <c:pt idx="449">
                  <c:v>3.7416670000000001</c:v>
                </c:pt>
                <c:pt idx="450">
                  <c:v>3.75</c:v>
                </c:pt>
                <c:pt idx="451">
                  <c:v>3.7583329999999999</c:v>
                </c:pt>
                <c:pt idx="452">
                  <c:v>3.766667</c:v>
                </c:pt>
                <c:pt idx="453">
                  <c:v>3.7749999999999999</c:v>
                </c:pt>
                <c:pt idx="454">
                  <c:v>3.7833329999999998</c:v>
                </c:pt>
                <c:pt idx="455">
                  <c:v>3.7916669999999999</c:v>
                </c:pt>
                <c:pt idx="456">
                  <c:v>3.8</c:v>
                </c:pt>
                <c:pt idx="457">
                  <c:v>3.8083330000000002</c:v>
                </c:pt>
                <c:pt idx="458">
                  <c:v>3.8166669999999998</c:v>
                </c:pt>
                <c:pt idx="459">
                  <c:v>3.8250000000000002</c:v>
                </c:pt>
                <c:pt idx="460">
                  <c:v>3.8333330000000001</c:v>
                </c:pt>
                <c:pt idx="461">
                  <c:v>3.8416670000000002</c:v>
                </c:pt>
                <c:pt idx="462">
                  <c:v>3.85</c:v>
                </c:pt>
                <c:pt idx="463">
                  <c:v>3.858333</c:v>
                </c:pt>
                <c:pt idx="464">
                  <c:v>3.8666670000000001</c:v>
                </c:pt>
                <c:pt idx="465">
                  <c:v>3.875</c:v>
                </c:pt>
                <c:pt idx="466">
                  <c:v>3.8833329999999999</c:v>
                </c:pt>
                <c:pt idx="467">
                  <c:v>3.891667</c:v>
                </c:pt>
                <c:pt idx="468">
                  <c:v>3.9</c:v>
                </c:pt>
                <c:pt idx="469">
                  <c:v>3.9083329999999998</c:v>
                </c:pt>
                <c:pt idx="470">
                  <c:v>3.9166669999999999</c:v>
                </c:pt>
                <c:pt idx="471">
                  <c:v>3.9249999999999998</c:v>
                </c:pt>
                <c:pt idx="472">
                  <c:v>3.9333330000000002</c:v>
                </c:pt>
                <c:pt idx="473">
                  <c:v>3.9416669999999998</c:v>
                </c:pt>
                <c:pt idx="474">
                  <c:v>3.95</c:v>
                </c:pt>
                <c:pt idx="475">
                  <c:v>3.9583330000000001</c:v>
                </c:pt>
                <c:pt idx="476">
                  <c:v>3.9666670000000002</c:v>
                </c:pt>
                <c:pt idx="477">
                  <c:v>3.9750000000000001</c:v>
                </c:pt>
                <c:pt idx="478">
                  <c:v>3.983333</c:v>
                </c:pt>
                <c:pt idx="479">
                  <c:v>3.9916670000000001</c:v>
                </c:pt>
                <c:pt idx="480">
                  <c:v>4</c:v>
                </c:pt>
                <c:pt idx="481">
                  <c:v>4.0083330000000004</c:v>
                </c:pt>
                <c:pt idx="482">
                  <c:v>4.016667</c:v>
                </c:pt>
                <c:pt idx="483">
                  <c:v>4.0250000000000004</c:v>
                </c:pt>
                <c:pt idx="484">
                  <c:v>4.0333329999999998</c:v>
                </c:pt>
                <c:pt idx="485">
                  <c:v>4.0416670000000003</c:v>
                </c:pt>
                <c:pt idx="486">
                  <c:v>4.05</c:v>
                </c:pt>
                <c:pt idx="487">
                  <c:v>4.0583330000000002</c:v>
                </c:pt>
                <c:pt idx="488">
                  <c:v>4.0666669999999998</c:v>
                </c:pt>
                <c:pt idx="489">
                  <c:v>4.0750000000000002</c:v>
                </c:pt>
                <c:pt idx="490">
                  <c:v>4.0833329999999997</c:v>
                </c:pt>
                <c:pt idx="491">
                  <c:v>4.0916670000000002</c:v>
                </c:pt>
                <c:pt idx="492">
                  <c:v>4.0999999999999996</c:v>
                </c:pt>
                <c:pt idx="493">
                  <c:v>4.108333</c:v>
                </c:pt>
                <c:pt idx="494">
                  <c:v>4.1166669999999996</c:v>
                </c:pt>
                <c:pt idx="495">
                  <c:v>4.125</c:v>
                </c:pt>
                <c:pt idx="496">
                  <c:v>4.1333330000000004</c:v>
                </c:pt>
                <c:pt idx="497">
                  <c:v>4.141667</c:v>
                </c:pt>
                <c:pt idx="498">
                  <c:v>4.1500000000000004</c:v>
                </c:pt>
                <c:pt idx="499">
                  <c:v>4.1583329999999998</c:v>
                </c:pt>
                <c:pt idx="500">
                  <c:v>4.1666670000000003</c:v>
                </c:pt>
                <c:pt idx="501">
                  <c:v>4.1749999999999998</c:v>
                </c:pt>
                <c:pt idx="502">
                  <c:v>4.1833330000000002</c:v>
                </c:pt>
                <c:pt idx="503">
                  <c:v>4.1916669999999998</c:v>
                </c:pt>
                <c:pt idx="504">
                  <c:v>4.2</c:v>
                </c:pt>
                <c:pt idx="505">
                  <c:v>4.2083329999999997</c:v>
                </c:pt>
                <c:pt idx="506">
                  <c:v>4.2166670000000002</c:v>
                </c:pt>
                <c:pt idx="507">
                  <c:v>4.2249999999999996</c:v>
                </c:pt>
                <c:pt idx="508">
                  <c:v>4.233333</c:v>
                </c:pt>
                <c:pt idx="509">
                  <c:v>4.2416669999999996</c:v>
                </c:pt>
                <c:pt idx="510">
                  <c:v>4.25</c:v>
                </c:pt>
                <c:pt idx="511">
                  <c:v>4.2583330000000004</c:v>
                </c:pt>
                <c:pt idx="512">
                  <c:v>4.266667</c:v>
                </c:pt>
                <c:pt idx="513">
                  <c:v>4.2750000000000004</c:v>
                </c:pt>
                <c:pt idx="514">
                  <c:v>4.2833329999999998</c:v>
                </c:pt>
                <c:pt idx="515">
                  <c:v>4.2916670000000003</c:v>
                </c:pt>
                <c:pt idx="516">
                  <c:v>4.3</c:v>
                </c:pt>
                <c:pt idx="517">
                  <c:v>4.3083330000000002</c:v>
                </c:pt>
                <c:pt idx="518">
                  <c:v>4.3166669999999998</c:v>
                </c:pt>
                <c:pt idx="519">
                  <c:v>4.3250000000000002</c:v>
                </c:pt>
                <c:pt idx="520">
                  <c:v>4.3333329999999997</c:v>
                </c:pt>
                <c:pt idx="521">
                  <c:v>4.3416670000000002</c:v>
                </c:pt>
                <c:pt idx="522">
                  <c:v>4.3499999999999996</c:v>
                </c:pt>
                <c:pt idx="523">
                  <c:v>4.358333</c:v>
                </c:pt>
                <c:pt idx="524">
                  <c:v>4.3666669999999996</c:v>
                </c:pt>
                <c:pt idx="525">
                  <c:v>4.375</c:v>
                </c:pt>
                <c:pt idx="526">
                  <c:v>4.3833330000000004</c:v>
                </c:pt>
                <c:pt idx="527">
                  <c:v>4.391667</c:v>
                </c:pt>
                <c:pt idx="528">
                  <c:v>4.4000000000000004</c:v>
                </c:pt>
                <c:pt idx="529">
                  <c:v>4.4083329999999998</c:v>
                </c:pt>
                <c:pt idx="530">
                  <c:v>4.4166670000000003</c:v>
                </c:pt>
                <c:pt idx="531">
                  <c:v>4.4249999999999998</c:v>
                </c:pt>
                <c:pt idx="532">
                  <c:v>4.4333330000000002</c:v>
                </c:pt>
                <c:pt idx="533">
                  <c:v>4.4416669999999998</c:v>
                </c:pt>
                <c:pt idx="534">
                  <c:v>4.45</c:v>
                </c:pt>
                <c:pt idx="535">
                  <c:v>4.4583329999999997</c:v>
                </c:pt>
                <c:pt idx="536">
                  <c:v>4.4666670000000002</c:v>
                </c:pt>
                <c:pt idx="537">
                  <c:v>4.4749999999999996</c:v>
                </c:pt>
                <c:pt idx="538">
                  <c:v>4.483333</c:v>
                </c:pt>
                <c:pt idx="539">
                  <c:v>4.4916669999999996</c:v>
                </c:pt>
                <c:pt idx="540">
                  <c:v>4.5</c:v>
                </c:pt>
                <c:pt idx="541">
                  <c:v>4.5083330000000004</c:v>
                </c:pt>
                <c:pt idx="542">
                  <c:v>4.516667</c:v>
                </c:pt>
                <c:pt idx="543">
                  <c:v>4.5250000000000004</c:v>
                </c:pt>
                <c:pt idx="544">
                  <c:v>4.5333329999999998</c:v>
                </c:pt>
                <c:pt idx="545">
                  <c:v>4.5416670000000003</c:v>
                </c:pt>
                <c:pt idx="546">
                  <c:v>4.55</c:v>
                </c:pt>
                <c:pt idx="547">
                  <c:v>4.5583330000000002</c:v>
                </c:pt>
                <c:pt idx="548">
                  <c:v>4.5666669999999998</c:v>
                </c:pt>
                <c:pt idx="549">
                  <c:v>4.5750000000000002</c:v>
                </c:pt>
                <c:pt idx="550">
                  <c:v>4.5833329999999997</c:v>
                </c:pt>
                <c:pt idx="551">
                  <c:v>4.5916670000000002</c:v>
                </c:pt>
                <c:pt idx="552">
                  <c:v>4.5999999999999996</c:v>
                </c:pt>
                <c:pt idx="553">
                  <c:v>4.608333</c:v>
                </c:pt>
                <c:pt idx="554">
                  <c:v>4.6166669999999996</c:v>
                </c:pt>
                <c:pt idx="555">
                  <c:v>4.625</c:v>
                </c:pt>
                <c:pt idx="556">
                  <c:v>4.6333330000000004</c:v>
                </c:pt>
                <c:pt idx="557">
                  <c:v>4.641667</c:v>
                </c:pt>
                <c:pt idx="558">
                  <c:v>4.6500000000000004</c:v>
                </c:pt>
                <c:pt idx="559">
                  <c:v>4.6583329999999998</c:v>
                </c:pt>
                <c:pt idx="560">
                  <c:v>4.6666670000000003</c:v>
                </c:pt>
                <c:pt idx="561">
                  <c:v>4.6749999999999998</c:v>
                </c:pt>
                <c:pt idx="562">
                  <c:v>4.6833330000000002</c:v>
                </c:pt>
                <c:pt idx="563">
                  <c:v>4.6916669999999998</c:v>
                </c:pt>
                <c:pt idx="564">
                  <c:v>4.7</c:v>
                </c:pt>
                <c:pt idx="565">
                  <c:v>4.7083329999999997</c:v>
                </c:pt>
                <c:pt idx="566">
                  <c:v>4.7166670000000002</c:v>
                </c:pt>
                <c:pt idx="567">
                  <c:v>4.7249999999999996</c:v>
                </c:pt>
                <c:pt idx="568">
                  <c:v>4.733333</c:v>
                </c:pt>
                <c:pt idx="569">
                  <c:v>4.7416669999999996</c:v>
                </c:pt>
                <c:pt idx="570">
                  <c:v>4.75</c:v>
                </c:pt>
                <c:pt idx="571">
                  <c:v>4.7583330000000004</c:v>
                </c:pt>
                <c:pt idx="572">
                  <c:v>4.766667</c:v>
                </c:pt>
                <c:pt idx="573">
                  <c:v>4.7750000000000004</c:v>
                </c:pt>
                <c:pt idx="574">
                  <c:v>4.7833329999999998</c:v>
                </c:pt>
                <c:pt idx="575">
                  <c:v>4.7916670000000003</c:v>
                </c:pt>
                <c:pt idx="576">
                  <c:v>4.8</c:v>
                </c:pt>
                <c:pt idx="577">
                  <c:v>4.8083330000000002</c:v>
                </c:pt>
                <c:pt idx="578">
                  <c:v>4.8166669999999998</c:v>
                </c:pt>
                <c:pt idx="579">
                  <c:v>4.8250000000000002</c:v>
                </c:pt>
                <c:pt idx="580">
                  <c:v>4.8333329999999997</c:v>
                </c:pt>
                <c:pt idx="581">
                  <c:v>4.8416670000000002</c:v>
                </c:pt>
                <c:pt idx="582">
                  <c:v>4.8499999999999996</c:v>
                </c:pt>
                <c:pt idx="583">
                  <c:v>4.858333</c:v>
                </c:pt>
                <c:pt idx="584">
                  <c:v>4.8666669999999996</c:v>
                </c:pt>
                <c:pt idx="585">
                  <c:v>4.875</c:v>
                </c:pt>
                <c:pt idx="586">
                  <c:v>4.8833330000000004</c:v>
                </c:pt>
                <c:pt idx="587">
                  <c:v>4.891667</c:v>
                </c:pt>
                <c:pt idx="588">
                  <c:v>4.9000000000000004</c:v>
                </c:pt>
                <c:pt idx="589">
                  <c:v>4.9083329999999998</c:v>
                </c:pt>
                <c:pt idx="590">
                  <c:v>4.9166670000000003</c:v>
                </c:pt>
                <c:pt idx="591">
                  <c:v>4.9249999999999998</c:v>
                </c:pt>
                <c:pt idx="592">
                  <c:v>4.9333330000000002</c:v>
                </c:pt>
                <c:pt idx="593">
                  <c:v>4.9416669999999998</c:v>
                </c:pt>
                <c:pt idx="594">
                  <c:v>4.95</c:v>
                </c:pt>
                <c:pt idx="595">
                  <c:v>4.9583329999999997</c:v>
                </c:pt>
                <c:pt idx="596">
                  <c:v>4.9666670000000002</c:v>
                </c:pt>
                <c:pt idx="597">
                  <c:v>4.9749999999999996</c:v>
                </c:pt>
                <c:pt idx="598">
                  <c:v>4.983333</c:v>
                </c:pt>
                <c:pt idx="599">
                  <c:v>4.9916669999999996</c:v>
                </c:pt>
                <c:pt idx="600">
                  <c:v>5</c:v>
                </c:pt>
              </c:numCache>
            </c:numRef>
          </c:xVal>
          <c:yVal>
            <c:numRef>
              <c:f>Cal_Error!$I$2:$I$602</c:f>
              <c:numCache>
                <c:formatCode>General</c:formatCode>
                <c:ptCount val="601"/>
                <c:pt idx="0">
                  <c:v>2.2990888831383356E-2</c:v>
                </c:pt>
                <c:pt idx="1">
                  <c:v>2.1285393123745323E-2</c:v>
                </c:pt>
                <c:pt idx="2">
                  <c:v>1.8633538995865624E-2</c:v>
                </c:pt>
                <c:pt idx="3">
                  <c:v>1.6982268040021668E-2</c:v>
                </c:pt>
                <c:pt idx="4">
                  <c:v>1.438722302890267E-2</c:v>
                </c:pt>
                <c:pt idx="5">
                  <c:v>1.2789156933717828E-2</c:v>
                </c:pt>
                <c:pt idx="6">
                  <c:v>1.1218784130293431E-2</c:v>
                </c:pt>
                <c:pt idx="7">
                  <c:v>9.6750966826890036E-3</c:v>
                </c:pt>
                <c:pt idx="8">
                  <c:v>8.1570855168243556E-3</c:v>
                </c:pt>
                <c:pt idx="9">
                  <c:v>6.6667416665772972E-3</c:v>
                </c:pt>
                <c:pt idx="10">
                  <c:v>5.2030559693267003E-3</c:v>
                </c:pt>
                <c:pt idx="11">
                  <c:v>2.8001736088667101E-3</c:v>
                </c:pt>
                <c:pt idx="12">
                  <c:v>1.3905850682615351E-3</c:v>
                </c:pt>
                <c:pt idx="13">
                  <c:v>7.6244061651686845E-6</c:v>
                </c:pt>
                <c:pt idx="14">
                  <c:v>1.3497194063430973E-3</c:v>
                </c:pt>
                <c:pt idx="15">
                  <c:v>2.6794582734086109E-3</c:v>
                </c:pt>
                <c:pt idx="16">
                  <c:v>4.9433687618161692E-3</c:v>
                </c:pt>
                <c:pt idx="17">
                  <c:v>6.2201148145548391E-3</c:v>
                </c:pt>
                <c:pt idx="18">
                  <c:v>7.469293140873412E-3</c:v>
                </c:pt>
                <c:pt idx="19">
                  <c:v>8.6919173637111102E-3</c:v>
                </c:pt>
                <c:pt idx="20">
                  <c:v>1.0846468931475811E-2</c:v>
                </c:pt>
                <c:pt idx="21">
                  <c:v>1.2015200537687343E-2</c:v>
                </c:pt>
                <c:pt idx="22">
                  <c:v>1.3157420647076007E-2</c:v>
                </c:pt>
                <c:pt idx="23">
                  <c:v>1.5229120283357239E-2</c:v>
                </c:pt>
                <c:pt idx="24">
                  <c:v>1.6317532208479757E-2</c:v>
                </c:pt>
                <c:pt idx="25">
                  <c:v>1.7379479546719256E-2</c:v>
                </c:pt>
                <c:pt idx="26">
                  <c:v>1.9368447372867692E-2</c:v>
                </c:pt>
                <c:pt idx="27">
                  <c:v>2.0376679571642214E-2</c:v>
                </c:pt>
                <c:pt idx="28">
                  <c:v>2.1358498835492623E-2</c:v>
                </c:pt>
                <c:pt idx="29">
                  <c:v>2.3264867594709721E-2</c:v>
                </c:pt>
                <c:pt idx="30">
                  <c:v>2.4193073658915237E-2</c:v>
                </c:pt>
                <c:pt idx="31">
                  <c:v>2.6043174540469893E-2</c:v>
                </c:pt>
                <c:pt idx="32">
                  <c:v>2.691883875011758E-2</c:v>
                </c:pt>
                <c:pt idx="33">
                  <c:v>2.8713738574343756E-2</c:v>
                </c:pt>
                <c:pt idx="34">
                  <c:v>2.9534937145253348E-2</c:v>
                </c:pt>
                <c:pt idx="35">
                  <c:v>3.0330858662073412E-2</c:v>
                </c:pt>
                <c:pt idx="36">
                  <c:v>3.2043518512165081E-2</c:v>
                </c:pt>
                <c:pt idx="37">
                  <c:v>3.2785096959269677E-2</c:v>
                </c:pt>
                <c:pt idx="38">
                  <c:v>3.4443741467425348E-2</c:v>
                </c:pt>
                <c:pt idx="39">
                  <c:v>3.5132062185499913E-2</c:v>
                </c:pt>
                <c:pt idx="40">
                  <c:v>3.6734772109599134E-2</c:v>
                </c:pt>
                <c:pt idx="41">
                  <c:v>3.8310613929338266E-2</c:v>
                </c:pt>
                <c:pt idx="42">
                  <c:v>3.985760697291113E-2</c:v>
                </c:pt>
                <c:pt idx="43">
                  <c:v>4.1376772358350744E-2</c:v>
                </c:pt>
                <c:pt idx="44">
                  <c:v>4.1932047661597249E-2</c:v>
                </c:pt>
                <c:pt idx="45">
                  <c:v>4.3396492923215402E-2</c:v>
                </c:pt>
                <c:pt idx="46">
                  <c:v>4.4833176070326108E-2</c:v>
                </c:pt>
                <c:pt idx="47">
                  <c:v>4.5308656117447943E-2</c:v>
                </c:pt>
                <c:pt idx="48">
                  <c:v>4.669076122611171E-2</c:v>
                </c:pt>
                <c:pt idx="49">
                  <c:v>4.8045175598901813E-2</c:v>
                </c:pt>
                <c:pt idx="50">
                  <c:v>4.8441092683554399E-2</c:v>
                </c:pt>
                <c:pt idx="51">
                  <c:v>4.9741079722157522E-2</c:v>
                </c:pt>
                <c:pt idx="52">
                  <c:v>5.1013451431932144E-2</c:v>
                </c:pt>
                <c:pt idx="53">
                  <c:v>5.1330052122259773E-2</c:v>
                </c:pt>
                <c:pt idx="54">
                  <c:v>5.2548156821735026E-2</c:v>
                </c:pt>
                <c:pt idx="55">
                  <c:v>5.3738726247486435E-2</c:v>
                </c:pt>
                <c:pt idx="56">
                  <c:v>5.4902787013030585E-2</c:v>
                </c:pt>
                <c:pt idx="57">
                  <c:v>5.5112742189202923E-2</c:v>
                </c:pt>
                <c:pt idx="58">
                  <c:v>5.622176341799634E-2</c:v>
                </c:pt>
                <c:pt idx="59">
                  <c:v>5.730436200965483E-2</c:v>
                </c:pt>
                <c:pt idx="60">
                  <c:v>5.8358567574506137E-2</c:v>
                </c:pt>
                <c:pt idx="61">
                  <c:v>5.9385409680125845E-2</c:v>
                </c:pt>
                <c:pt idx="62">
                  <c:v>5.946477639299258E-2</c:v>
                </c:pt>
                <c:pt idx="63">
                  <c:v>6.0437884521821583E-2</c:v>
                </c:pt>
                <c:pt idx="64">
                  <c:v>6.1383723036211424E-2</c:v>
                </c:pt>
                <c:pt idx="65">
                  <c:v>6.2303323453556325E-2</c:v>
                </c:pt>
                <c:pt idx="66">
                  <c:v>6.3194718190875576E-2</c:v>
                </c:pt>
                <c:pt idx="67">
                  <c:v>6.4058940201240699E-2</c:v>
                </c:pt>
                <c:pt idx="68">
                  <c:v>6.489702249595708E-2</c:v>
                </c:pt>
                <c:pt idx="69">
                  <c:v>6.5706998953165008E-2</c:v>
                </c:pt>
                <c:pt idx="70">
                  <c:v>6.6489903951370555E-2</c:v>
                </c:pt>
                <c:pt idx="71">
                  <c:v>6.7246772382705267E-2</c:v>
                </c:pt>
                <c:pt idx="72">
                  <c:v>6.7975639542337762E-2</c:v>
                </c:pt>
                <c:pt idx="73">
                  <c:v>6.8677541163662426E-2</c:v>
                </c:pt>
                <c:pt idx="74">
                  <c:v>7.0263726493502654E-2</c:v>
                </c:pt>
                <c:pt idx="75">
                  <c:v>7.0910886004693419E-2</c:v>
                </c:pt>
                <c:pt idx="76">
                  <c:v>7.1531189265398809E-2</c:v>
                </c:pt>
                <c:pt idx="77">
                  <c:v>7.2125674216565683E-2</c:v>
                </c:pt>
                <c:pt idx="78">
                  <c:v>7.2692378941817459E-2</c:v>
                </c:pt>
                <c:pt idx="79">
                  <c:v>7.3232343121258925E-2</c:v>
                </c:pt>
                <c:pt idx="80">
                  <c:v>7.3746605748099214E-2</c:v>
                </c:pt>
                <c:pt idx="81">
                  <c:v>7.4233206859417256E-2</c:v>
                </c:pt>
                <c:pt idx="82">
                  <c:v>7.5595985174704339E-2</c:v>
                </c:pt>
                <c:pt idx="83">
                  <c:v>7.6029451806523762E-2</c:v>
                </c:pt>
                <c:pt idx="84">
                  <c:v>7.6435378561102052E-2</c:v>
                </c:pt>
                <c:pt idx="85">
                  <c:v>7.6814807385895967E-2</c:v>
                </c:pt>
                <c:pt idx="86">
                  <c:v>7.7168780909780188E-2</c:v>
                </c:pt>
                <c:pt idx="87">
                  <c:v>7.8393455173920712E-2</c:v>
                </c:pt>
                <c:pt idx="88">
                  <c:v>7.8692706582243366E-2</c:v>
                </c:pt>
                <c:pt idx="89">
                  <c:v>7.8966631823830236E-2</c:v>
                </c:pt>
                <c:pt idx="90">
                  <c:v>7.9213275301427966E-2</c:v>
                </c:pt>
                <c:pt idx="91">
                  <c:v>8.0328020160628122E-2</c:v>
                </c:pt>
                <c:pt idx="92">
                  <c:v>8.0522289459869723E-2</c:v>
                </c:pt>
                <c:pt idx="93">
                  <c:v>8.0689412678487282E-2</c:v>
                </c:pt>
                <c:pt idx="94">
                  <c:v>8.1721925873880275E-2</c:v>
                </c:pt>
                <c:pt idx="95">
                  <c:v>8.1836945463007127E-2</c:v>
                </c:pt>
                <c:pt idx="96">
                  <c:v>8.1924958807629067E-2</c:v>
                </c:pt>
                <c:pt idx="97">
                  <c:v>8.2875642798341143E-2</c:v>
                </c:pt>
                <c:pt idx="98">
                  <c:v>8.2911832781218497E-2</c:v>
                </c:pt>
                <c:pt idx="99">
                  <c:v>8.380787438234516E-2</c:v>
                </c:pt>
                <c:pt idx="100">
                  <c:v>8.3790431830737644E-2</c:v>
                </c:pt>
                <c:pt idx="101">
                  <c:v>8.463301796989886E-2</c:v>
                </c:pt>
                <c:pt idx="102">
                  <c:v>8.5446965908298145E-2</c:v>
                </c:pt>
                <c:pt idx="103">
                  <c:v>8.5350459740644813E-2</c:v>
                </c:pt>
                <c:pt idx="104">
                  <c:v>8.6111239545381024E-2</c:v>
                </c:pt>
                <c:pt idx="105">
                  <c:v>8.6843524787276749E-2</c:v>
                </c:pt>
                <c:pt idx="106">
                  <c:v>8.6668403312125553E-2</c:v>
                </c:pt>
                <c:pt idx="107">
                  <c:v>8.7347816351449836E-2</c:v>
                </c:pt>
                <c:pt idx="108">
                  <c:v>8.7120863852677699E-2</c:v>
                </c:pt>
                <c:pt idx="109">
                  <c:v>8.7745608454169899E-2</c:v>
                </c:pt>
                <c:pt idx="110">
                  <c:v>8.7468035845034153E-2</c:v>
                </c:pt>
                <c:pt idx="111">
                  <c:v>8.803931971302148E-2</c:v>
                </c:pt>
                <c:pt idx="112">
                  <c:v>8.8583463227513093E-2</c:v>
                </c:pt>
                <c:pt idx="113">
                  <c:v>8.8228376640127837E-2</c:v>
                </c:pt>
                <c:pt idx="114">
                  <c:v>8.8719377156675439E-2</c:v>
                </c:pt>
                <c:pt idx="115">
                  <c:v>8.9183396510954194E-2</c:v>
                </c:pt>
                <c:pt idx="116">
                  <c:v>8.7881089112237576E-2</c:v>
                </c:pt>
                <c:pt idx="117">
                  <c:v>8.8293276663332088E-2</c:v>
                </c:pt>
                <c:pt idx="118">
                  <c:v>8.8678648010669381E-2</c:v>
                </c:pt>
                <c:pt idx="119">
                  <c:v>8.9038258266709192E-2</c:v>
                </c:pt>
                <c:pt idx="120">
                  <c:v>8.8503906415220102E-2</c:v>
                </c:pt>
                <c:pt idx="121">
                  <c:v>8.8810151745671417E-2</c:v>
                </c:pt>
                <c:pt idx="122">
                  <c:v>8.9090805690633768E-2</c:v>
                </c:pt>
                <c:pt idx="123">
                  <c:v>8.9343925368555066E-2</c:v>
                </c:pt>
                <c:pt idx="124">
                  <c:v>8.9570568563546282E-2</c:v>
                </c:pt>
                <c:pt idx="125">
                  <c:v>8.891049645351079E-2</c:v>
                </c:pt>
                <c:pt idx="126">
                  <c:v>8.908535740153456E-2</c:v>
                </c:pt>
                <c:pt idx="127">
                  <c:v>8.9233919004797602E-2</c:v>
                </c:pt>
                <c:pt idx="128">
                  <c:v>9.0215543714617374E-2</c:v>
                </c:pt>
                <c:pt idx="129">
                  <c:v>9.031068531651909E-2</c:v>
                </c:pt>
                <c:pt idx="130">
                  <c:v>9.037970616763813E-2</c:v>
                </c:pt>
                <c:pt idx="131">
                  <c:v>9.0423667990469081E-2</c:v>
                </c:pt>
                <c:pt idx="132">
                  <c:v>9.0440631726318887E-2</c:v>
                </c:pt>
                <c:pt idx="133">
                  <c:v>9.0431660120543267E-2</c:v>
                </c:pt>
                <c:pt idx="134">
                  <c:v>9.0397815006848736E-2</c:v>
                </c:pt>
                <c:pt idx="135">
                  <c:v>9.0337160038393982E-2</c:v>
                </c:pt>
                <c:pt idx="136">
                  <c:v>9.0250758587345103E-2</c:v>
                </c:pt>
                <c:pt idx="137">
                  <c:v>9.0139674611975806E-2</c:v>
                </c:pt>
                <c:pt idx="138">
                  <c:v>9.0001972468928271E-2</c:v>
                </c:pt>
                <c:pt idx="139">
                  <c:v>8.9838717668492274E-2</c:v>
                </c:pt>
                <c:pt idx="140">
                  <c:v>9.0497192373289348E-2</c:v>
                </c:pt>
                <c:pt idx="141">
                  <c:v>9.0282013293365493E-2</c:v>
                </c:pt>
                <c:pt idx="142">
                  <c:v>9.004147796878792E-2</c:v>
                </c:pt>
                <c:pt idx="143">
                  <c:v>8.9776653211251389E-2</c:v>
                </c:pt>
                <c:pt idx="144">
                  <c:v>8.9485606300374831E-2</c:v>
                </c:pt>
                <c:pt idx="145">
                  <c:v>8.9169404896955573E-2</c:v>
                </c:pt>
                <c:pt idx="146">
                  <c:v>8.966922671214772E-2</c:v>
                </c:pt>
                <c:pt idx="147">
                  <c:v>8.9301900501886911E-2</c:v>
                </c:pt>
                <c:pt idx="148">
                  <c:v>8.8909625447304741E-2</c:v>
                </c:pt>
                <c:pt idx="149">
                  <c:v>8.9330508894550853E-2</c:v>
                </c:pt>
                <c:pt idx="150">
                  <c:v>8.8887520207524107E-2</c:v>
                </c:pt>
                <c:pt idx="151">
                  <c:v>8.9254775788663032E-2</c:v>
                </c:pt>
                <c:pt idx="152">
                  <c:v>8.9596155480466955E-2</c:v>
                </c:pt>
                <c:pt idx="153">
                  <c:v>8.9077254166350706E-2</c:v>
                </c:pt>
                <c:pt idx="154">
                  <c:v>8.8533676279165752E-2</c:v>
                </c:pt>
                <c:pt idx="155">
                  <c:v>8.8797507293282063E-2</c:v>
                </c:pt>
                <c:pt idx="156">
                  <c:v>8.8204061175140902E-2</c:v>
                </c:pt>
                <c:pt idx="157">
                  <c:v>8.841510264608976E-2</c:v>
                </c:pt>
                <c:pt idx="158">
                  <c:v>8.7773077565268309E-2</c:v>
                </c:pt>
                <c:pt idx="159">
                  <c:v>8.793261630012239E-2</c:v>
                </c:pt>
                <c:pt idx="160">
                  <c:v>8.7240305184853817E-2</c:v>
                </c:pt>
                <c:pt idx="161">
                  <c:v>8.7349631681517215E-2</c:v>
                </c:pt>
                <c:pt idx="162">
                  <c:v>8.6608330986045701E-2</c:v>
                </c:pt>
                <c:pt idx="163">
                  <c:v>8.6665739390888064E-2</c:v>
                </c:pt>
                <c:pt idx="164">
                  <c:v>8.5876749348344328E-2</c:v>
                </c:pt>
                <c:pt idx="165">
                  <c:v>8.5883537155053702E-2</c:v>
                </c:pt>
                <c:pt idx="166">
                  <c:v>8.5864605523022774E-2</c:v>
                </c:pt>
                <c:pt idx="167">
                  <c:v>8.500263029801669E-2</c:v>
                </c:pt>
                <c:pt idx="168">
                  <c:v>8.4933530573246152E-2</c:v>
                </c:pt>
                <c:pt idx="169">
                  <c:v>8.4838938040326495E-2</c:v>
                </c:pt>
                <c:pt idx="170">
                  <c:v>8.3904669441876134E-2</c:v>
                </c:pt>
                <c:pt idx="171">
                  <c:v>8.3760369425758263E-2</c:v>
                </c:pt>
                <c:pt idx="172">
                  <c:v>8.3590807596016337E-2</c:v>
                </c:pt>
                <c:pt idx="173">
                  <c:v>8.420917052773369E-2</c:v>
                </c:pt>
                <c:pt idx="174">
                  <c:v>8.3177207772106465E-2</c:v>
                </c:pt>
                <c:pt idx="175">
                  <c:v>8.2932326296061287E-2</c:v>
                </c:pt>
                <c:pt idx="176">
                  <c:v>8.2663495393236586E-2</c:v>
                </c:pt>
                <c:pt idx="177">
                  <c:v>8.2368793957824815E-2</c:v>
                </c:pt>
                <c:pt idx="178">
                  <c:v>8.1242459358239039E-2</c:v>
                </c:pt>
                <c:pt idx="179">
                  <c:v>8.0900313428277748E-2</c:v>
                </c:pt>
                <c:pt idx="180">
                  <c:v>8.0532538530616815E-2</c:v>
                </c:pt>
                <c:pt idx="181">
                  <c:v>7.9336542310968872E-2</c:v>
                </c:pt>
                <c:pt idx="182">
                  <c:v>7.8921811556534216E-2</c:v>
                </c:pt>
                <c:pt idx="183">
                  <c:v>7.8481696425978464E-2</c:v>
                </c:pt>
                <c:pt idx="184">
                  <c:v>7.8017279283913332E-2</c:v>
                </c:pt>
                <c:pt idx="185">
                  <c:v>7.7529642612666816E-2</c:v>
                </c:pt>
                <c:pt idx="186">
                  <c:v>7.7016869773395724E-2</c:v>
                </c:pt>
                <c:pt idx="187">
                  <c:v>7.7277348800269818E-2</c:v>
                </c:pt>
                <c:pt idx="188">
                  <c:v>7.6716489438675817E-2</c:v>
                </c:pt>
                <c:pt idx="189">
                  <c:v>7.6130744403025918E-2</c:v>
                </c:pt>
                <c:pt idx="190">
                  <c:v>7.5521198269559164E-2</c:v>
                </c:pt>
                <c:pt idx="191">
                  <c:v>7.4888936060994782E-2</c:v>
                </c:pt>
                <c:pt idx="192">
                  <c:v>7.423204318232246E-2</c:v>
                </c:pt>
                <c:pt idx="193">
                  <c:v>7.434251057780461E-2</c:v>
                </c:pt>
                <c:pt idx="194">
                  <c:v>7.4428379112827736E-2</c:v>
                </c:pt>
                <c:pt idx="195">
                  <c:v>7.3698894707185048E-2</c:v>
                </c:pt>
                <c:pt idx="196">
                  <c:v>7.2946276820028189E-2</c:v>
                </c:pt>
                <c:pt idx="197">
                  <c:v>7.2171383490822194E-2</c:v>
                </c:pt>
                <c:pt idx="198">
                  <c:v>7.2157926752519641E-2</c:v>
                </c:pt>
                <c:pt idx="199">
                  <c:v>7.1334826304997101E-2</c:v>
                </c:pt>
                <c:pt idx="200">
                  <c:v>7.048979037752634E-2</c:v>
                </c:pt>
                <c:pt idx="201">
                  <c:v>7.0403233308528934E-2</c:v>
                </c:pt>
                <c:pt idx="202">
                  <c:v>6.9510518894779327E-2</c:v>
                </c:pt>
                <c:pt idx="203">
                  <c:v>6.8596136219532866E-2</c:v>
                </c:pt>
                <c:pt idx="204">
                  <c:v>6.8437271587685977E-2</c:v>
                </c:pt>
                <c:pt idx="205">
                  <c:v>6.7475745912333629E-2</c:v>
                </c:pt>
                <c:pt idx="206">
                  <c:v>6.7269761501379088E-2</c:v>
                </c:pt>
                <c:pt idx="207">
                  <c:v>6.6262453181359815E-2</c:v>
                </c:pt>
                <c:pt idx="208">
                  <c:v>6.600770827072644E-2</c:v>
                </c:pt>
                <c:pt idx="209">
                  <c:v>6.495598037998418E-2</c:v>
                </c:pt>
                <c:pt idx="210">
                  <c:v>6.4653836820255606E-2</c:v>
                </c:pt>
                <c:pt idx="211">
                  <c:v>6.3556055289136992E-2</c:v>
                </c:pt>
                <c:pt idx="212">
                  <c:v>6.3978328492741987E-2</c:v>
                </c:pt>
                <c:pt idx="213">
                  <c:v>6.3604145725159933E-2</c:v>
                </c:pt>
                <c:pt idx="214">
                  <c:v>6.2437852225167179E-2</c:v>
                </c:pt>
                <c:pt idx="215">
                  <c:v>6.2018186723261204E-2</c:v>
                </c:pt>
                <c:pt idx="216">
                  <c:v>6.1573876200657685E-2</c:v>
                </c:pt>
                <c:pt idx="217">
                  <c:v>6.03409892608886E-2</c:v>
                </c:pt>
                <c:pt idx="218">
                  <c:v>5.9851754660908529E-2</c:v>
                </c:pt>
                <c:pt idx="219">
                  <c:v>5.8575304013326557E-2</c:v>
                </c:pt>
                <c:pt idx="220">
                  <c:v>5.8039521545671713E-2</c:v>
                </c:pt>
                <c:pt idx="221">
                  <c:v>5.7481562567449407E-2</c:v>
                </c:pt>
                <c:pt idx="222">
                  <c:v>5.6139935699849097E-2</c:v>
                </c:pt>
                <c:pt idx="223">
                  <c:v>5.5535997459608577E-2</c:v>
                </c:pt>
                <c:pt idx="224">
                  <c:v>5.4910167882070482E-2</c:v>
                </c:pt>
                <c:pt idx="225">
                  <c:v>5.4260542327741357E-2</c:v>
                </c:pt>
                <c:pt idx="226">
                  <c:v>5.3588216697664004E-2</c:v>
                </c:pt>
                <c:pt idx="227">
                  <c:v>5.289428704916177E-2</c:v>
                </c:pt>
                <c:pt idx="228">
                  <c:v>5.2176849967085159E-2</c:v>
                </c:pt>
                <c:pt idx="229">
                  <c:v>5.1437002490465789E-2</c:v>
                </c:pt>
                <c:pt idx="230">
                  <c:v>5.1426691307901118E-2</c:v>
                </c:pt>
                <c:pt idx="231">
                  <c:v>5.0641220097705553E-2</c:v>
                </c:pt>
                <c:pt idx="232">
                  <c:v>4.9833630076647317E-2</c:v>
                </c:pt>
                <c:pt idx="233">
                  <c:v>4.9005019422637242E-2</c:v>
                </c:pt>
                <c:pt idx="234">
                  <c:v>4.8153486794908718E-2</c:v>
                </c:pt>
                <c:pt idx="235">
                  <c:v>4.7280130245455743E-2</c:v>
                </c:pt>
                <c:pt idx="236">
                  <c:v>4.7130325959752195E-2</c:v>
                </c:pt>
                <c:pt idx="237">
                  <c:v>4.6212523101426539E-2</c:v>
                </c:pt>
                <c:pt idx="238">
                  <c:v>4.5273194127137373E-2</c:v>
                </c:pt>
                <c:pt idx="239">
                  <c:v>4.4313439115542641E-2</c:v>
                </c:pt>
                <c:pt idx="240">
                  <c:v>4.4071242834838209E-2</c:v>
                </c:pt>
                <c:pt idx="241">
                  <c:v>4.3066837917296041E-2</c:v>
                </c:pt>
                <c:pt idx="242">
                  <c:v>4.2042307746824159E-2</c:v>
                </c:pt>
                <c:pt idx="243">
                  <c:v>4.17323398467353E-2</c:v>
                </c:pt>
                <c:pt idx="244">
                  <c:v>4.0663763228036665E-2</c:v>
                </c:pt>
                <c:pt idx="245">
                  <c:v>3.9575364750906505E-2</c:v>
                </c:pt>
                <c:pt idx="246">
                  <c:v>3.9198531685557203E-2</c:v>
                </c:pt>
                <c:pt idx="247">
                  <c:v>3.8066695225705605E-2</c:v>
                </c:pt>
                <c:pt idx="248">
                  <c:v>3.8377504132832918E-2</c:v>
                </c:pt>
                <c:pt idx="249">
                  <c:v>3.7202536955567744E-2</c:v>
                </c:pt>
                <c:pt idx="250">
                  <c:v>3.6736133381905844E-2</c:v>
                </c:pt>
                <c:pt idx="251">
                  <c:v>3.4792773095230878E-2</c:v>
                </c:pt>
                <c:pt idx="252">
                  <c:v>3.4283854219105958E-2</c:v>
                </c:pt>
                <c:pt idx="253">
                  <c:v>3.302716112887083E-2</c:v>
                </c:pt>
                <c:pt idx="254">
                  <c:v>3.2476035362376088E-2</c:v>
                </c:pt>
                <c:pt idx="255">
                  <c:v>3.1901908784855326E-2</c:v>
                </c:pt>
                <c:pt idx="256">
                  <c:v>3.0583631310499459E-2</c:v>
                </c:pt>
                <c:pt idx="257">
                  <c:v>2.9967919934497544E-2</c:v>
                </c:pt>
                <c:pt idx="258">
                  <c:v>2.9329519773460877E-2</c:v>
                </c:pt>
                <c:pt idx="259">
                  <c:v>2.7950595725279914E-2</c:v>
                </c:pt>
                <c:pt idx="260">
                  <c:v>2.7271237322206598E-2</c:v>
                </c:pt>
                <c:pt idx="261">
                  <c:v>2.6569504076335182E-2</c:v>
                </c:pt>
                <c:pt idx="262">
                  <c:v>2.5846501004950007E-2</c:v>
                </c:pt>
                <c:pt idx="263">
                  <c:v>2.5103333633658576E-2</c:v>
                </c:pt>
                <c:pt idx="264">
                  <c:v>2.3624698925249987E-2</c:v>
                </c:pt>
                <c:pt idx="265">
                  <c:v>2.35519283997907E-2</c:v>
                </c:pt>
                <c:pt idx="266">
                  <c:v>2.2745902191407374E-2</c:v>
                </c:pt>
                <c:pt idx="267">
                  <c:v>2.1918135585595966E-2</c:v>
                </c:pt>
                <c:pt idx="268">
                  <c:v>2.1069734883856661E-2</c:v>
                </c:pt>
                <c:pt idx="269">
                  <c:v>2.0201806820849377E-2</c:v>
                </c:pt>
                <c:pt idx="270">
                  <c:v>1.9312458184055803E-2</c:v>
                </c:pt>
                <c:pt idx="271">
                  <c:v>1.8402796368125696E-2</c:v>
                </c:pt>
                <c:pt idx="272">
                  <c:v>1.7473928559813334E-2</c:v>
                </c:pt>
                <c:pt idx="273">
                  <c:v>1.7227400021902373E-2</c:v>
                </c:pt>
                <c:pt idx="274">
                  <c:v>1.6256335170053315E-2</c:v>
                </c:pt>
                <c:pt idx="275">
                  <c:v>1.5266387584650154E-2</c:v>
                </c:pt>
                <c:pt idx="276">
                  <c:v>1.4255665527024064E-2</c:v>
                </c:pt>
                <c:pt idx="277">
                  <c:v>1.2526273431349821E-2</c:v>
                </c:pt>
                <c:pt idx="278">
                  <c:v>1.2176331990866096E-2</c:v>
                </c:pt>
                <c:pt idx="279">
                  <c:v>1.1106937736244049E-2</c:v>
                </c:pt>
                <c:pt idx="280">
                  <c:v>1.0018203594933883E-2</c:v>
                </c:pt>
                <c:pt idx="281">
                  <c:v>9.6058059654686723E-3</c:v>
                </c:pt>
                <c:pt idx="282">
                  <c:v>9.1710676852985173E-3</c:v>
                </c:pt>
                <c:pt idx="283">
                  <c:v>8.0227520830198351E-3</c:v>
                </c:pt>
                <c:pt idx="284">
                  <c:v>7.5477710680096344E-3</c:v>
                </c:pt>
                <c:pt idx="285">
                  <c:v>6.3606519726779887E-3</c:v>
                </c:pt>
                <c:pt idx="286">
                  <c:v>5.8438676330041517E-3</c:v>
                </c:pt>
                <c:pt idx="287">
                  <c:v>4.6193848810713867E-3</c:v>
                </c:pt>
                <c:pt idx="288">
                  <c:v>4.0622379099004569E-3</c:v>
                </c:pt>
                <c:pt idx="289">
                  <c:v>2.7988329126964473E-3</c:v>
                </c:pt>
                <c:pt idx="290">
                  <c:v>2.2027652800020725E-3</c:v>
                </c:pt>
                <c:pt idx="291">
                  <c:v>9.018805866385371E-4</c:v>
                </c:pt>
                <c:pt idx="292">
                  <c:v>2.6533571933429201E-4</c:v>
                </c:pt>
                <c:pt idx="293">
                  <c:v>3.9033652752662462E-4</c:v>
                </c:pt>
                <c:pt idx="294">
                  <c:v>1.7471623007057069E-3</c:v>
                </c:pt>
                <c:pt idx="295">
                  <c:v>2.4426439655726995E-3</c:v>
                </c:pt>
                <c:pt idx="296">
                  <c:v>3.1569186700477481E-3</c:v>
                </c:pt>
                <c:pt idx="297">
                  <c:v>3.2150674374902266E-3</c:v>
                </c:pt>
                <c:pt idx="298">
                  <c:v>4.6463980608026922E-3</c:v>
                </c:pt>
                <c:pt idx="299">
                  <c:v>6.0939670422541781E-3</c:v>
                </c:pt>
                <c:pt idx="300">
                  <c:v>6.8861821058829875E-3</c:v>
                </c:pt>
                <c:pt idx="301">
                  <c:v>7.697629153292862E-3</c:v>
                </c:pt>
                <c:pt idx="302">
                  <c:v>8.5271954625394386E-3</c:v>
                </c:pt>
                <c:pt idx="303">
                  <c:v>9.3767687030359426E-3</c:v>
                </c:pt>
                <c:pt idx="304">
                  <c:v>1.0245235559724453E-2</c:v>
                </c:pt>
                <c:pt idx="305">
                  <c:v>1.1131483498813655E-2</c:v>
                </c:pt>
                <c:pt idx="306">
                  <c:v>1.2037398819133571E-2</c:v>
                </c:pt>
                <c:pt idx="307">
                  <c:v>1.2961868858680781E-2</c:v>
                </c:pt>
                <c:pt idx="308">
                  <c:v>1.3903780114555175E-2</c:v>
                </c:pt>
                <c:pt idx="309">
                  <c:v>1.4865019229017395E-2</c:v>
                </c:pt>
                <c:pt idx="310">
                  <c:v>1.5844472402533949E-2</c:v>
                </c:pt>
                <c:pt idx="311">
                  <c:v>1.6841026215296484E-2</c:v>
                </c:pt>
                <c:pt idx="312">
                  <c:v>1.7196394912587731E-2</c:v>
                </c:pt>
                <c:pt idx="313">
                  <c:v>1.7571853871078513E-2</c:v>
                </c:pt>
                <c:pt idx="314">
                  <c:v>1.8624240973108108E-2</c:v>
                </c:pt>
                <c:pt idx="315">
                  <c:v>1.9695272631672811E-2</c:v>
                </c:pt>
                <c:pt idx="316">
                  <c:v>2.0128095803248591E-2</c:v>
                </c:pt>
                <c:pt idx="317">
                  <c:v>2.12341801603948E-2</c:v>
                </c:pt>
                <c:pt idx="318">
                  <c:v>2.2358566272180358E-2</c:v>
                </c:pt>
                <c:pt idx="319">
                  <c:v>2.350013938179929E-2</c:v>
                </c:pt>
                <c:pt idx="320">
                  <c:v>2.465778490591175E-2</c:v>
                </c:pt>
                <c:pt idx="321">
                  <c:v>2.5183182009407723E-2</c:v>
                </c:pt>
                <c:pt idx="322">
                  <c:v>2.6376734515245026E-2</c:v>
                </c:pt>
                <c:pt idx="323">
                  <c:v>2.6938020861812628E-2</c:v>
                </c:pt>
                <c:pt idx="324">
                  <c:v>2.7519132409266067E-2</c:v>
                </c:pt>
                <c:pt idx="325">
                  <c:v>2.8764734090666266E-2</c:v>
                </c:pt>
                <c:pt idx="326">
                  <c:v>2.9381041886350712E-2</c:v>
                </c:pt>
                <c:pt idx="327">
                  <c:v>3.0016827423782644E-2</c:v>
                </c:pt>
                <c:pt idx="328">
                  <c:v>3.1313441234305017E-2</c:v>
                </c:pt>
                <c:pt idx="329">
                  <c:v>3.1342366925721343E-2</c:v>
                </c:pt>
                <c:pt idx="330">
                  <c:v>3.2032889065725545E-2</c:v>
                </c:pt>
                <c:pt idx="331">
                  <c:v>3.2741424386060647E-2</c:v>
                </c:pt>
                <c:pt idx="332">
                  <c:v>3.4104906181066763E-2</c:v>
                </c:pt>
                <c:pt idx="333">
                  <c:v>3.4848015691802292E-2</c:v>
                </c:pt>
                <c:pt idx="334">
                  <c:v>3.5608789784226325E-2</c:v>
                </c:pt>
                <c:pt idx="335">
                  <c:v>3.7020854741264042E-2</c:v>
                </c:pt>
                <c:pt idx="336">
                  <c:v>3.7815506685841882E-2</c:v>
                </c:pt>
                <c:pt idx="337">
                  <c:v>3.8627474388966743E-2</c:v>
                </c:pt>
                <c:pt idx="338">
                  <c:v>3.9455640866326469E-2</c:v>
                </c:pt>
                <c:pt idx="339">
                  <c:v>4.0301890082949043E-2</c:v>
                </c:pt>
                <c:pt idx="340">
                  <c:v>4.1165105015582792E-2</c:v>
                </c:pt>
                <c:pt idx="341">
                  <c:v>4.204416919524423E-2</c:v>
                </c:pt>
                <c:pt idx="342">
                  <c:v>4.2940965770897233E-2</c:v>
                </c:pt>
                <c:pt idx="343">
                  <c:v>4.3228440957460368E-2</c:v>
                </c:pt>
                <c:pt idx="344">
                  <c:v>4.3533614161945344E-2</c:v>
                </c:pt>
                <c:pt idx="345">
                  <c:v>4.4482104191426952E-2</c:v>
                </c:pt>
                <c:pt idx="346">
                  <c:v>4.5446858907988386E-2</c:v>
                </c:pt>
                <c:pt idx="347">
                  <c:v>4.5805219381847895E-2</c:v>
                </c:pt>
                <c:pt idx="348">
                  <c:v>4.6803249384021584E-2</c:v>
                </c:pt>
                <c:pt idx="349">
                  <c:v>4.7817193268687053E-2</c:v>
                </c:pt>
                <c:pt idx="350">
                  <c:v>4.8845933857693424E-2</c:v>
                </c:pt>
                <c:pt idx="351">
                  <c:v>4.9891354635127172E-2</c:v>
                </c:pt>
                <c:pt idx="352">
                  <c:v>5.0336276807469105E-2</c:v>
                </c:pt>
                <c:pt idx="353">
                  <c:v>5.1412801347625603E-2</c:v>
                </c:pt>
                <c:pt idx="354">
                  <c:v>5.1891782622520477E-2</c:v>
                </c:pt>
                <c:pt idx="355">
                  <c:v>5.3000941970960724E-2</c:v>
                </c:pt>
                <c:pt idx="356">
                  <c:v>5.3512510867428809E-2</c:v>
                </c:pt>
                <c:pt idx="357">
                  <c:v>5.4652835551708634E-2</c:v>
                </c:pt>
                <c:pt idx="358">
                  <c:v>5.5198520964485187E-2</c:v>
                </c:pt>
                <c:pt idx="359">
                  <c:v>5.515172839660698E-2</c:v>
                </c:pt>
                <c:pt idx="360">
                  <c:v>5.5732242636051588E-2</c:v>
                </c:pt>
                <c:pt idx="361">
                  <c:v>5.6935669772353314E-2</c:v>
                </c:pt>
                <c:pt idx="362">
                  <c:v>5.7547355663541744E-2</c:v>
                </c:pt>
                <c:pt idx="363">
                  <c:v>5.878053902743563E-2</c:v>
                </c:pt>
                <c:pt idx="364">
                  <c:v>5.9424925341573065E-2</c:v>
                </c:pt>
                <c:pt idx="365">
                  <c:v>6.0084529715860757E-2</c:v>
                </c:pt>
                <c:pt idx="366">
                  <c:v>6.0761233724397901E-2</c:v>
                </c:pt>
                <c:pt idx="367">
                  <c:v>6.1453919377503663E-2</c:v>
                </c:pt>
                <c:pt idx="368">
                  <c:v>6.2161468297798006E-2</c:v>
                </c:pt>
                <c:pt idx="369">
                  <c:v>6.2885762272215651E-2</c:v>
                </c:pt>
                <c:pt idx="370">
                  <c:v>6.3625683293389912E-2</c:v>
                </c:pt>
                <c:pt idx="371">
                  <c:v>6.4380113157369134E-2</c:v>
                </c:pt>
                <c:pt idx="372">
                  <c:v>6.5150933548929757E-2</c:v>
                </c:pt>
                <c:pt idx="373">
                  <c:v>6.5937026770614082E-2</c:v>
                </c:pt>
                <c:pt idx="374">
                  <c:v>6.6145180592060537E-2</c:v>
                </c:pt>
                <c:pt idx="375">
                  <c:v>6.6371537740411934E-2</c:v>
                </c:pt>
                <c:pt idx="376">
                  <c:v>6.779483271838016E-2</c:v>
                </c:pt>
                <c:pt idx="377">
                  <c:v>6.8640918444677901E-2</c:v>
                </c:pt>
                <c:pt idx="378">
                  <c:v>6.8914919416218634E-2</c:v>
                </c:pt>
                <c:pt idx="379">
                  <c:v>6.9792332230328213E-2</c:v>
                </c:pt>
                <c:pt idx="380">
                  <c:v>7.0683191669896672E-2</c:v>
                </c:pt>
                <c:pt idx="381">
                  <c:v>7.1004850923245932E-2</c:v>
                </c:pt>
                <c:pt idx="382">
                  <c:v>7.1926328371134218E-2</c:v>
                </c:pt>
                <c:pt idx="383">
                  <c:v>7.227852556610026E-2</c:v>
                </c:pt>
                <c:pt idx="384">
                  <c:v>7.3229148554197376E-2</c:v>
                </c:pt>
                <c:pt idx="385">
                  <c:v>7.3613408554900506E-2</c:v>
                </c:pt>
                <c:pt idx="386">
                  <c:v>7.4012560104868896E-2</c:v>
                </c:pt>
                <c:pt idx="387">
                  <c:v>7.558462476347616E-2</c:v>
                </c:pt>
                <c:pt idx="388">
                  <c:v>7.6014051950771044E-2</c:v>
                </c:pt>
                <c:pt idx="389">
                  <c:v>7.588209075305663E-2</c:v>
                </c:pt>
                <c:pt idx="390">
                  <c:v>7.6343541682923455E-2</c:v>
                </c:pt>
                <c:pt idx="391">
                  <c:v>7.7394067011450574E-2</c:v>
                </c:pt>
                <c:pt idx="392">
                  <c:v>7.7883919742626873E-2</c:v>
                </c:pt>
                <c:pt idx="393">
                  <c:v>7.8389831586340719E-2</c:v>
                </c:pt>
                <c:pt idx="394">
                  <c:v>7.8910683518802482E-2</c:v>
                </c:pt>
                <c:pt idx="395">
                  <c:v>7.9445356847818172E-2</c:v>
                </c:pt>
                <c:pt idx="396">
                  <c:v>7.9995733114501366E-2</c:v>
                </c:pt>
                <c:pt idx="397">
                  <c:v>8.0560693846684739E-2</c:v>
                </c:pt>
                <c:pt idx="398">
                  <c:v>8.1705418580988898E-2</c:v>
                </c:pt>
                <c:pt idx="399">
                  <c:v>8.2298127224811335E-2</c:v>
                </c:pt>
                <c:pt idx="400">
                  <c:v>8.2340897894413345E-2</c:v>
                </c:pt>
                <c:pt idx="401">
                  <c:v>8.2962012636887295E-2</c:v>
                </c:pt>
                <c:pt idx="402">
                  <c:v>8.3598120639093665E-2</c:v>
                </c:pt>
                <c:pt idx="403">
                  <c:v>8.424810409531247E-2</c:v>
                </c:pt>
                <c:pt idx="404">
                  <c:v>8.435092859029325E-2</c:v>
                </c:pt>
                <c:pt idx="405">
                  <c:v>8.4470515498619836E-2</c:v>
                </c:pt>
                <c:pt idx="406">
                  <c:v>8.5163537992658522E-2</c:v>
                </c:pt>
                <c:pt idx="407">
                  <c:v>8.5312228838457571E-2</c:v>
                </c:pt>
                <c:pt idx="408">
                  <c:v>8.6588675677503169E-2</c:v>
                </c:pt>
                <c:pt idx="409">
                  <c:v>8.6766935636485076E-2</c:v>
                </c:pt>
                <c:pt idx="410">
                  <c:v>8.7512924298986938E-2</c:v>
                </c:pt>
                <c:pt idx="411">
                  <c:v>8.772033857228001E-2</c:v>
                </c:pt>
                <c:pt idx="412">
                  <c:v>8.8494132816161031E-2</c:v>
                </c:pt>
                <c:pt idx="413">
                  <c:v>8.8729226853492715E-2</c:v>
                </c:pt>
                <c:pt idx="414">
                  <c:v>8.8980010367322393E-2</c:v>
                </c:pt>
                <c:pt idx="415">
                  <c:v>8.979365729957145E-2</c:v>
                </c:pt>
                <c:pt idx="416">
                  <c:v>9.0071410317386746E-2</c:v>
                </c:pt>
                <c:pt idx="417">
                  <c:v>9.091068896377541E-2</c:v>
                </c:pt>
                <c:pt idx="418">
                  <c:v>9.0671797373893082E-2</c:v>
                </c:pt>
                <c:pt idx="419">
                  <c:v>9.0992194366607215E-2</c:v>
                </c:pt>
                <c:pt idx="420">
                  <c:v>9.1327568697077588E-2</c:v>
                </c:pt>
                <c:pt idx="421">
                  <c:v>9.2218800661964195E-2</c:v>
                </c:pt>
                <c:pt idx="422">
                  <c:v>9.2579729423214019E-2</c:v>
                </c:pt>
                <c:pt idx="423">
                  <c:v>9.2955282225489544E-2</c:v>
                </c:pt>
                <c:pt idx="424">
                  <c:v>9.2805478149966536E-2</c:v>
                </c:pt>
                <c:pt idx="425">
                  <c:v>9.3207968787716311E-2</c:v>
                </c:pt>
                <c:pt idx="426">
                  <c:v>9.416150764463227E-2</c:v>
                </c:pt>
                <c:pt idx="427">
                  <c:v>9.4590380071322588E-2</c:v>
                </c:pt>
                <c:pt idx="428">
                  <c:v>9.503128887562573E-2</c:v>
                </c:pt>
                <c:pt idx="429">
                  <c:v>9.4952459037508152E-2</c:v>
                </c:pt>
                <c:pt idx="430">
                  <c:v>9.54211277532937E-2</c:v>
                </c:pt>
                <c:pt idx="431">
                  <c:v>9.5901481493400276E-2</c:v>
                </c:pt>
                <c:pt idx="432">
                  <c:v>9.586485774446496E-2</c:v>
                </c:pt>
                <c:pt idx="433">
                  <c:v>9.5842757157402758E-2</c:v>
                </c:pt>
                <c:pt idx="434">
                  <c:v>9.6891009783288684E-2</c:v>
                </c:pt>
                <c:pt idx="435">
                  <c:v>9.6895529216888487E-2</c:v>
                </c:pt>
                <c:pt idx="436">
                  <c:v>9.6914216649964136E-2</c:v>
                </c:pt>
                <c:pt idx="437">
                  <c:v>9.7471330096377429E-2</c:v>
                </c:pt>
                <c:pt idx="438">
                  <c:v>9.7516966065493094E-2</c:v>
                </c:pt>
                <c:pt idx="439">
                  <c:v>9.8099732011362129E-2</c:v>
                </c:pt>
                <c:pt idx="440">
                  <c:v>9.8170846480095442E-2</c:v>
                </c:pt>
                <c:pt idx="441">
                  <c:v>9.825653863163275E-2</c:v>
                </c:pt>
                <c:pt idx="442">
                  <c:v>9.8875925495451877E-2</c:v>
                </c:pt>
                <c:pt idx="443">
                  <c:v>9.8986393582710885E-2</c:v>
                </c:pt>
                <c:pt idx="444">
                  <c:v>9.9629273210805724E-2</c:v>
                </c:pt>
                <c:pt idx="445">
                  <c:v>9.9766051322335958E-2</c:v>
                </c:pt>
                <c:pt idx="446">
                  <c:v>9.9914821464778925E-2</c:v>
                </c:pt>
                <c:pt idx="447">
                  <c:v>0.10007746661701544</c:v>
                </c:pt>
                <c:pt idx="448">
                  <c:v>9.9738771617790434E-2</c:v>
                </c:pt>
                <c:pt idx="449">
                  <c:v>9.9926835622796695E-2</c:v>
                </c:pt>
                <c:pt idx="450">
                  <c:v>0.10012842372162067</c:v>
                </c:pt>
                <c:pt idx="451">
                  <c:v>0.10034241969733548</c:v>
                </c:pt>
                <c:pt idx="452">
                  <c:v>0.10056770744136356</c:v>
                </c:pt>
                <c:pt idx="453">
                  <c:v>0.1008061712512216</c:v>
                </c:pt>
                <c:pt idx="454">
                  <c:v>0.10054869645157982</c:v>
                </c:pt>
                <c:pt idx="455">
                  <c:v>0.10081117781371685</c:v>
                </c:pt>
                <c:pt idx="456">
                  <c:v>0.10108648797444264</c:v>
                </c:pt>
                <c:pt idx="457">
                  <c:v>0.10137351174569442</c:v>
                </c:pt>
                <c:pt idx="458">
                  <c:v>0.1016711345110628</c:v>
                </c:pt>
                <c:pt idx="459">
                  <c:v>0.10147829451990553</c:v>
                </c:pt>
                <c:pt idx="460">
                  <c:v>0.10180077817446209</c:v>
                </c:pt>
                <c:pt idx="461">
                  <c:v>0.10163258292607447</c:v>
                </c:pt>
                <c:pt idx="462">
                  <c:v>0.10197846673409705</c:v>
                </c:pt>
                <c:pt idx="463">
                  <c:v>0.10133752794895123</c:v>
                </c:pt>
                <c:pt idx="464">
                  <c:v>0.1017063541211547</c:v>
                </c:pt>
                <c:pt idx="465">
                  <c:v>0.10159005792573339</c:v>
                </c:pt>
                <c:pt idx="466">
                  <c:v>0.10198236492463675</c:v>
                </c:pt>
                <c:pt idx="467">
                  <c:v>0.1018893216980441</c:v>
                </c:pt>
                <c:pt idx="468">
                  <c:v>0.10180973198001597</c:v>
                </c:pt>
                <c:pt idx="469">
                  <c:v>0.10174247983896834</c:v>
                </c:pt>
                <c:pt idx="470">
                  <c:v>0.10217837780282091</c:v>
                </c:pt>
                <c:pt idx="471">
                  <c:v>0.10213445907444907</c:v>
                </c:pt>
                <c:pt idx="472">
                  <c:v>0.10210253280341597</c:v>
                </c:pt>
                <c:pt idx="473">
                  <c:v>0.10208148397254746</c:v>
                </c:pt>
                <c:pt idx="474">
                  <c:v>0.10158524214222631</c:v>
                </c:pt>
                <c:pt idx="475">
                  <c:v>0.10158959453071281</c:v>
                </c:pt>
                <c:pt idx="476">
                  <c:v>0.10160448022718871</c:v>
                </c:pt>
                <c:pt idx="477">
                  <c:v>0.10211677444360534</c:v>
                </c:pt>
                <c:pt idx="478">
                  <c:v>0.10118639223742498</c:v>
                </c:pt>
                <c:pt idx="479">
                  <c:v>0.1012361784983713</c:v>
                </c:pt>
                <c:pt idx="480">
                  <c:v>0.10081601039869081</c:v>
                </c:pt>
                <c:pt idx="481">
                  <c:v>0.10088982051531925</c:v>
                </c:pt>
                <c:pt idx="482">
                  <c:v>0.10049341475446472</c:v>
                </c:pt>
                <c:pt idx="483">
                  <c:v>0.10106887903955464</c:v>
                </c:pt>
                <c:pt idx="484">
                  <c:v>0.10069679492080308</c:v>
                </c:pt>
                <c:pt idx="485">
                  <c:v>0.10081330905264085</c:v>
                </c:pt>
                <c:pt idx="486">
                  <c:v>0.10046507148959805</c:v>
                </c:pt>
                <c:pt idx="487">
                  <c:v>0.10012907413095462</c:v>
                </c:pt>
                <c:pt idx="488">
                  <c:v>9.9804201876103171E-2</c:v>
                </c:pt>
                <c:pt idx="489">
                  <c:v>9.9965566989942189E-2</c:v>
                </c:pt>
                <c:pt idx="490">
                  <c:v>0.10013688430665901</c:v>
                </c:pt>
                <c:pt idx="491">
                  <c:v>9.9845757343671515E-2</c:v>
                </c:pt>
                <c:pt idx="492">
                  <c:v>9.9567300469772135E-2</c:v>
                </c:pt>
                <c:pt idx="493">
                  <c:v>9.9300400033355274E-2</c:v>
                </c:pt>
                <c:pt idx="494">
                  <c:v>9.8575563756421403E-2</c:v>
                </c:pt>
                <c:pt idx="495">
                  <c:v>9.8332401531223468E-2</c:v>
                </c:pt>
                <c:pt idx="496">
                  <c:v>9.8100454785457814E-2</c:v>
                </c:pt>
                <c:pt idx="497">
                  <c:v>9.7878610370131014E-2</c:v>
                </c:pt>
                <c:pt idx="498">
                  <c:v>9.7668756170204318E-2</c:v>
                </c:pt>
                <c:pt idx="499">
                  <c:v>9.7006220021814471E-2</c:v>
                </c:pt>
                <c:pt idx="500">
                  <c:v>9.7280569409800677E-2</c:v>
                </c:pt>
                <c:pt idx="501">
                  <c:v>9.7103013411668826E-2</c:v>
                </c:pt>
                <c:pt idx="502">
                  <c:v>9.6475314847701554E-2</c:v>
                </c:pt>
                <c:pt idx="503">
                  <c:v>9.6318689050255202E-2</c:v>
                </c:pt>
                <c:pt idx="504">
                  <c:v>9.571460888444161E-2</c:v>
                </c:pt>
                <c:pt idx="505">
                  <c:v>9.5580464860359093E-2</c:v>
                </c:pt>
                <c:pt idx="506">
                  <c:v>9.5455418456364072E-2</c:v>
                </c:pt>
                <c:pt idx="507">
                  <c:v>9.4885441252815284E-2</c:v>
                </c:pt>
                <c:pt idx="508">
                  <c:v>9.4327241163133735E-2</c:v>
                </c:pt>
                <c:pt idx="509">
                  <c:v>9.3779704598656366E-2</c:v>
                </c:pt>
                <c:pt idx="510">
                  <c:v>9.3697789758663497E-2</c:v>
                </c:pt>
                <c:pt idx="511">
                  <c:v>9.3173294905571247E-2</c:v>
                </c:pt>
                <c:pt idx="512">
                  <c:v>9.2659125996148006E-2</c:v>
                </c:pt>
                <c:pt idx="513">
                  <c:v>9.2157171191762366E-2</c:v>
                </c:pt>
                <c:pt idx="514">
                  <c:v>9.166631804785208E-2</c:v>
                </c:pt>
                <c:pt idx="515">
                  <c:v>9.163381063401399E-2</c:v>
                </c:pt>
                <c:pt idx="516">
                  <c:v>9.1163886670551086E-2</c:v>
                </c:pt>
                <c:pt idx="517">
                  <c:v>9.0704731556074947E-2</c:v>
                </c:pt>
                <c:pt idx="518">
                  <c:v>8.9809692937786068E-2</c:v>
                </c:pt>
                <c:pt idx="519">
                  <c:v>8.9372678189621801E-2</c:v>
                </c:pt>
                <c:pt idx="520">
                  <c:v>8.9389771111783922E-2</c:v>
                </c:pt>
                <c:pt idx="521">
                  <c:v>8.8528845313789795E-2</c:v>
                </c:pt>
                <c:pt idx="522">
                  <c:v>8.8122807384400481E-2</c:v>
                </c:pt>
                <c:pt idx="523">
                  <c:v>8.7285998436869683E-2</c:v>
                </c:pt>
                <c:pt idx="524">
                  <c:v>8.7339941730025572E-2</c:v>
                </c:pt>
                <c:pt idx="525">
                  <c:v>8.6085852869067558E-2</c:v>
                </c:pt>
                <c:pt idx="526">
                  <c:v>8.5721437845660553E-2</c:v>
                </c:pt>
                <c:pt idx="527">
                  <c:v>8.4928522326573663E-2</c:v>
                </c:pt>
                <c:pt idx="528">
                  <c:v>8.4148014440381225E-2</c:v>
                </c:pt>
                <c:pt idx="529">
                  <c:v>8.3814125330068379E-2</c:v>
                </c:pt>
                <c:pt idx="530">
                  <c:v>8.3488579328457213E-2</c:v>
                </c:pt>
                <c:pt idx="531">
                  <c:v>8.2739785436889868E-2</c:v>
                </c:pt>
                <c:pt idx="532">
                  <c:v>8.2001956450364233E-2</c:v>
                </c:pt>
                <c:pt idx="533">
                  <c:v>8.1705630644112404E-2</c:v>
                </c:pt>
                <c:pt idx="534">
                  <c:v>8.098848486374699E-2</c:v>
                </c:pt>
                <c:pt idx="535">
                  <c:v>8.0281974613210849E-2</c:v>
                </c:pt>
                <c:pt idx="536">
                  <c:v>7.9584990249862209E-2</c:v>
                </c:pt>
                <c:pt idx="537">
                  <c:v>7.8471428250909803E-2</c:v>
                </c:pt>
                <c:pt idx="538">
                  <c:v>7.8224161824849148E-2</c:v>
                </c:pt>
                <c:pt idx="539">
                  <c:v>7.7558099796158686E-2</c:v>
                </c:pt>
                <c:pt idx="540">
                  <c:v>7.6477859725952335E-2</c:v>
                </c:pt>
                <c:pt idx="541">
                  <c:v>7.5409414695180921E-2</c:v>
                </c:pt>
                <c:pt idx="542">
                  <c:v>7.5198564355225983E-2</c:v>
                </c:pt>
                <c:pt idx="543">
                  <c:v>7.4151564216198729E-2</c:v>
                </c:pt>
                <c:pt idx="544">
                  <c:v>7.3537677263752599E-2</c:v>
                </c:pt>
                <c:pt idx="545">
                  <c:v>7.251158920329015E-2</c:v>
                </c:pt>
                <c:pt idx="546">
                  <c:v>7.1917593565826721E-2</c:v>
                </c:pt>
                <c:pt idx="547">
                  <c:v>7.1332933178276825E-2</c:v>
                </c:pt>
                <c:pt idx="548">
                  <c:v>7.0338444049548698E-2</c:v>
                </c:pt>
                <c:pt idx="549">
                  <c:v>6.9355868692658973E-2</c:v>
                </c:pt>
                <c:pt idx="550">
                  <c:v>6.8800365581834555E-2</c:v>
                </c:pt>
                <c:pt idx="551">
                  <c:v>6.7837396111643855E-2</c:v>
                </c:pt>
                <c:pt idx="552">
                  <c:v>6.6886013945604006E-2</c:v>
                </c:pt>
                <c:pt idx="553">
                  <c:v>6.5945110021135456E-2</c:v>
                </c:pt>
                <c:pt idx="554">
                  <c:v>6.5426283660689144E-2</c:v>
                </c:pt>
                <c:pt idx="555">
                  <c:v>6.4505125187349854E-2</c:v>
                </c:pt>
                <c:pt idx="556">
                  <c:v>6.3594122526080987E-2</c:v>
                </c:pt>
                <c:pt idx="557">
                  <c:v>6.2692168254817382E-2</c:v>
                </c:pt>
                <c:pt idx="558">
                  <c:v>6.1391986940168231E-2</c:v>
                </c:pt>
                <c:pt idx="559">
                  <c:v>6.0511689835379912E-2</c:v>
                </c:pt>
                <c:pt idx="560">
                  <c:v>5.9640119459849927E-2</c:v>
                </c:pt>
                <c:pt idx="561">
                  <c:v>5.8779169778855334E-2</c:v>
                </c:pt>
                <c:pt idx="562">
                  <c:v>5.7927735113150192E-2</c:v>
                </c:pt>
                <c:pt idx="563">
                  <c:v>5.6679933835312113E-2</c:v>
                </c:pt>
                <c:pt idx="564">
                  <c:v>5.5444185816586611E-2</c:v>
                </c:pt>
                <c:pt idx="565">
                  <c:v>5.5025438005104732E-2</c:v>
                </c:pt>
                <c:pt idx="566">
                  <c:v>5.380872517814872E-2</c:v>
                </c:pt>
                <c:pt idx="567">
                  <c:v>5.2603742172679269E-2</c:v>
                </c:pt>
                <c:pt idx="568">
                  <c:v>5.1809798544583785E-2</c:v>
                </c:pt>
                <c:pt idx="569">
                  <c:v>5.0624083106709961E-2</c:v>
                </c:pt>
                <c:pt idx="570">
                  <c:v>4.9449775349919456E-2</c:v>
                </c:pt>
                <c:pt idx="571">
                  <c:v>4.82857680884754E-2</c:v>
                </c:pt>
                <c:pt idx="572">
                  <c:v>4.752791163296699E-2</c:v>
                </c:pt>
                <c:pt idx="573">
                  <c:v>4.6383323384517006E-2</c:v>
                </c:pt>
                <c:pt idx="574">
                  <c:v>4.5248717787197634E-2</c:v>
                </c:pt>
                <c:pt idx="575">
                  <c:v>4.4122988733620083E-2</c:v>
                </c:pt>
                <c:pt idx="576">
                  <c:v>4.300803078852411E-2</c:v>
                </c:pt>
                <c:pt idx="577">
                  <c:v>4.1510076238450822E-2</c:v>
                </c:pt>
                <c:pt idx="578">
                  <c:v>4.0414199879702295E-2</c:v>
                </c:pt>
                <c:pt idx="579">
                  <c:v>3.9328778719420754E-2</c:v>
                </c:pt>
                <c:pt idx="580">
                  <c:v>3.8252708720641238E-2</c:v>
                </c:pt>
                <c:pt idx="581">
                  <c:v>3.6795633251355042E-2</c:v>
                </c:pt>
                <c:pt idx="582">
                  <c:v>3.6127206954939872E-2</c:v>
                </c:pt>
                <c:pt idx="583">
                  <c:v>3.4691011498802382E-2</c:v>
                </c:pt>
                <c:pt idx="584">
                  <c:v>3.3264446235758527E-2</c:v>
                </c:pt>
                <c:pt idx="585">
                  <c:v>3.2235269425327395E-2</c:v>
                </c:pt>
                <c:pt idx="586">
                  <c:v>3.1214823169386285E-2</c:v>
                </c:pt>
                <c:pt idx="587">
                  <c:v>2.9817823797545273E-2</c:v>
                </c:pt>
                <c:pt idx="588">
                  <c:v>2.8815373130981925E-2</c:v>
                </c:pt>
                <c:pt idx="589">
                  <c:v>2.7438844210878166E-2</c:v>
                </c:pt>
                <c:pt idx="590">
                  <c:v>2.6071313794187034E-2</c:v>
                </c:pt>
                <c:pt idx="591">
                  <c:v>2.4714677070924118E-2</c:v>
                </c:pt>
                <c:pt idx="592">
                  <c:v>2.2987836597977207E-2</c:v>
                </c:pt>
                <c:pt idx="593">
                  <c:v>2.1650507377425576E-2</c:v>
                </c:pt>
                <c:pt idx="594">
                  <c:v>2.0702085278924365E-2</c:v>
                </c:pt>
                <c:pt idx="595">
                  <c:v>1.9006484211612218E-2</c:v>
                </c:pt>
                <c:pt idx="596">
                  <c:v>1.769758421721157E-2</c:v>
                </c:pt>
                <c:pt idx="597">
                  <c:v>1.6398954431556589E-2</c:v>
                </c:pt>
                <c:pt idx="598">
                  <c:v>1.5109492842290351E-2</c:v>
                </c:pt>
                <c:pt idx="599">
                  <c:v>1.3453907277220623E-2</c:v>
                </c:pt>
                <c:pt idx="600">
                  <c:v>1.2183298673491549E-2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94-4BD7-A0B3-B59481ABF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3806112"/>
        <c:axId val="2063805632"/>
      </c:scatterChart>
      <c:valAx>
        <c:axId val="206380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805632"/>
        <c:crosses val="autoZero"/>
        <c:crossBetween val="midCat"/>
      </c:valAx>
      <c:valAx>
        <c:axId val="206380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80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Cal_Error!#REF!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Cal_Error!#REF!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667-4728-AFF2-45B39A3C8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3808032"/>
        <c:axId val="2063807552"/>
      </c:lineChart>
      <c:catAx>
        <c:axId val="2063808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807552"/>
        <c:crosses val="autoZero"/>
        <c:auto val="1"/>
        <c:lblAlgn val="ctr"/>
        <c:lblOffset val="100"/>
        <c:noMultiLvlLbl val="0"/>
      </c:catAx>
      <c:valAx>
        <c:axId val="206380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80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23812</xdr:colOff>
      <xdr:row>1</xdr:row>
      <xdr:rowOff>14287</xdr:rowOff>
    </xdr:from>
    <xdr:to>
      <xdr:col>19</xdr:col>
      <xdr:colOff>328612</xdr:colOff>
      <xdr:row>14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7B5BF-FF63-F3AC-BFFB-6E7BC4D07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</xdr:colOff>
      <xdr:row>14</xdr:row>
      <xdr:rowOff>61912</xdr:rowOff>
    </xdr:from>
    <xdr:to>
      <xdr:col>19</xdr:col>
      <xdr:colOff>333375</xdr:colOff>
      <xdr:row>27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6B6A5D-B0CF-8194-2515-6ADB0F532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38100</xdr:colOff>
      <xdr:row>28</xdr:row>
      <xdr:rowOff>23812</xdr:rowOff>
    </xdr:from>
    <xdr:to>
      <xdr:col>19</xdr:col>
      <xdr:colOff>342900</xdr:colOff>
      <xdr:row>41</xdr:row>
      <xdr:rowOff>42862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FA0159-7B79-4646-F474-F06CC91B6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A209-6DDA-49B8-A91D-5A3A97DFF25C}">
  <sheetPr>
    <pageSetUpPr fitToPage="1"/>
  </sheetPr>
  <dimension ref="A1:AF602"/>
  <sheetViews>
    <sheetView zoomScale="85" zoomScaleNormal="85" workbookViewId="0">
      <pane ySplit="1" topLeftCell="A2" activePane="bottomLeft" state="frozen"/>
      <selection pane="bottomLeft" activeCell="O30" sqref="O30:O31"/>
    </sheetView>
  </sheetViews>
  <sheetFormatPr defaultRowHeight="15" x14ac:dyDescent="0.25"/>
  <cols>
    <col min="1" max="1" width="36.28515625" customWidth="1"/>
    <col min="2" max="2" width="15.28515625" customWidth="1"/>
    <col min="3" max="4" width="16.5703125" customWidth="1"/>
    <col min="5" max="5" width="12" style="4" customWidth="1"/>
    <col min="7" max="7" width="19.85546875" customWidth="1"/>
    <col min="8" max="8" width="14.7109375" customWidth="1"/>
    <col min="9" max="9" width="17.140625" customWidth="1"/>
    <col min="10" max="10" width="17" customWidth="1"/>
    <col min="11" max="11" width="29.140625" customWidth="1"/>
    <col min="12" max="12" width="14.42578125" customWidth="1"/>
    <col min="13" max="13" width="17.85546875" customWidth="1"/>
    <col min="14" max="14" width="26.140625" customWidth="1"/>
    <col min="15" max="15" width="20.7109375" customWidth="1"/>
    <col min="16" max="17" width="29.85546875" customWidth="1"/>
    <col min="18" max="21" width="21.7109375" customWidth="1"/>
    <col min="22" max="23" width="16.85546875" customWidth="1"/>
    <col min="24" max="24" width="21.140625" customWidth="1"/>
    <col min="25" max="25" width="20.28515625" customWidth="1"/>
    <col min="26" max="26" width="21" customWidth="1"/>
    <col min="27" max="27" width="17.5703125" customWidth="1"/>
    <col min="28" max="28" width="20.85546875" customWidth="1"/>
    <col min="29" max="29" width="28.5703125" customWidth="1"/>
    <col min="30" max="30" width="27.5703125" customWidth="1"/>
    <col min="31" max="31" width="26.7109375" customWidth="1"/>
    <col min="32" max="32" width="27.5703125" customWidth="1"/>
  </cols>
  <sheetData>
    <row r="1" spans="1:32" ht="16.5" thickTop="1" thickBot="1" x14ac:dyDescent="0.3">
      <c r="A1" s="30" t="s">
        <v>88</v>
      </c>
      <c r="B1" s="30"/>
      <c r="C1" s="30"/>
      <c r="F1" s="26" t="s">
        <v>0</v>
      </c>
      <c r="G1" s="26" t="s">
        <v>89</v>
      </c>
      <c r="H1" s="26" t="s">
        <v>87</v>
      </c>
      <c r="I1" s="26" t="s">
        <v>111</v>
      </c>
      <c r="J1" s="26" t="s">
        <v>112</v>
      </c>
      <c r="K1" s="26" t="s">
        <v>113</v>
      </c>
      <c r="L1" s="26" t="s">
        <v>114</v>
      </c>
      <c r="M1" s="26" t="s">
        <v>154</v>
      </c>
      <c r="N1" s="26" t="s">
        <v>115</v>
      </c>
      <c r="O1" s="26" t="s">
        <v>116</v>
      </c>
      <c r="P1" s="26" t="s">
        <v>139</v>
      </c>
      <c r="Q1" s="26" t="s">
        <v>142</v>
      </c>
      <c r="R1" s="26" t="s">
        <v>117</v>
      </c>
      <c r="S1" s="26" t="s">
        <v>118</v>
      </c>
      <c r="T1" s="26" t="s">
        <v>119</v>
      </c>
      <c r="U1" s="26" t="s">
        <v>120</v>
      </c>
      <c r="V1" s="26" t="s">
        <v>131</v>
      </c>
      <c r="W1" s="26" t="s">
        <v>134</v>
      </c>
      <c r="X1" s="26" t="s">
        <v>135</v>
      </c>
      <c r="Y1" s="26" t="s">
        <v>136</v>
      </c>
      <c r="Z1" s="26" t="s">
        <v>73</v>
      </c>
      <c r="AA1" s="26" t="s">
        <v>145</v>
      </c>
      <c r="AB1" s="6" t="s">
        <v>149</v>
      </c>
      <c r="AC1" s="6" t="s">
        <v>148</v>
      </c>
      <c r="AD1" s="6" t="s">
        <v>150</v>
      </c>
      <c r="AE1" s="6" t="s">
        <v>151</v>
      </c>
      <c r="AF1" s="6" t="s">
        <v>152</v>
      </c>
    </row>
    <row r="2" spans="1:32" ht="15.75" thickTop="1" x14ac:dyDescent="0.25">
      <c r="A2" s="13" t="s">
        <v>101</v>
      </c>
      <c r="B2" s="13" t="s">
        <v>100</v>
      </c>
      <c r="C2" s="13" t="s">
        <v>35</v>
      </c>
      <c r="F2" s="13" cm="1">
        <f t="array" ref="F2:F602">_xlfn.SEQUENCE(601,1,0,1)</f>
        <v>0</v>
      </c>
      <c r="G2" s="13">
        <f>F2*0.1+20</f>
        <v>20</v>
      </c>
      <c r="H2" s="13">
        <f>G2+273.15</f>
        <v>293.14999999999998</v>
      </c>
      <c r="I2" s="14">
        <f>ROUND(1/12*G2-5/3,6)</f>
        <v>0</v>
      </c>
      <c r="J2" s="14">
        <f>ROUND(10000*EXP(($B$3)+($B$4/H2)+($B$5/(H2^2))+($B$6/(H2^3))),6)</f>
        <v>12487.988665000001</v>
      </c>
      <c r="K2" s="14">
        <f>$B$9*(2*$B$8+J2)-$B$9*$B$10</f>
        <v>11.507988665000001</v>
      </c>
      <c r="L2" s="14">
        <f>ROUND(1/(1/(J2+2*$B$8)+1/($B$7)),6)</f>
        <v>2220.646671</v>
      </c>
      <c r="M2" s="14">
        <v>2218.6499999999996</v>
      </c>
      <c r="N2" s="13">
        <f>$B$9*(L2+$B$10)*(L2/(L2+$B$10))</f>
        <v>2.2206466709999999</v>
      </c>
      <c r="O2" s="13">
        <f>$B$11*G2+$B$12</f>
        <v>2.2319999999999998</v>
      </c>
      <c r="P2" s="13">
        <f>ABS(N2-O2)</f>
        <v>1.1353328999999857E-2</v>
      </c>
      <c r="Q2" s="16">
        <f>ABS(O2-N2)/O2</f>
        <v>5.0866169354838071E-3</v>
      </c>
      <c r="R2" s="14">
        <f ca="1">ROUND(N2*$B$29,6)+RANDBETWEEN(-1,1)*$B$24+RANDBETWEEN(-1,1)*$B$25</f>
        <v>8.0999647725947526</v>
      </c>
      <c r="S2" s="14">
        <f>O2*$B$23</f>
        <v>8.2319999999999993</v>
      </c>
      <c r="T2" s="14">
        <f ca="1">ABS(R2-S2)</f>
        <v>0.13203522740524676</v>
      </c>
      <c r="U2" s="16">
        <f ca="1">ABS(S2-R2)/S2</f>
        <v>1.6039264747964865E-2</v>
      </c>
      <c r="V2" s="14">
        <f>$B$44*S2+$B$45</f>
        <v>0</v>
      </c>
      <c r="W2" s="14">
        <f ca="1">$B$46*R2+$B$47</f>
        <v>-9.996477259475256E-2</v>
      </c>
      <c r="X2" s="14">
        <f ca="1">ABS(V2-W2)</f>
        <v>9.996477259475256E-2</v>
      </c>
      <c r="Y2" s="28">
        <f ca="1">IF(V2 = 0, ABS(V2-W2)/(V2+0.0001), ABS(V2-W2)/V2)</f>
        <v>999.6477259475256</v>
      </c>
      <c r="Z2" s="29">
        <f ca="1">ROUND((W2+5/3)/(1/12),6)</f>
        <v>18.800422999999999</v>
      </c>
      <c r="AA2" s="16">
        <f ca="1">ABS(G2-Z2)/G2</f>
        <v>5.997885000000007E-2</v>
      </c>
      <c r="AB2" s="2"/>
    </row>
    <row r="3" spans="1:32" x14ac:dyDescent="0.25">
      <c r="A3" s="13" t="s">
        <v>83</v>
      </c>
      <c r="B3" s="13">
        <v>-14.633699999999999</v>
      </c>
      <c r="C3" s="13">
        <f>SLOPE(N:N,G:G)</f>
        <v>-2.3478388228943454E-2</v>
      </c>
      <c r="F3" s="13">
        <v>1</v>
      </c>
      <c r="G3" s="13">
        <f t="shared" ref="G3:G66" si="0">F3*0.1+20</f>
        <v>20.100000000000001</v>
      </c>
      <c r="H3" s="13">
        <f t="shared" ref="H3:H66" si="1">G3+273.15</f>
        <v>293.25</v>
      </c>
      <c r="I3" s="14">
        <f t="shared" ref="I3:I66" si="2">ROUND(1/12*G3-5/3,6)</f>
        <v>8.3330000000000001E-3</v>
      </c>
      <c r="J3" s="14">
        <f t="shared" ref="J3:J66" si="3">ROUND(10000*EXP(($B$3)+($B$4/H3)+($B$5/(H3^2))+($B$6/(H3^3))),6)</f>
        <v>12431.825699999999</v>
      </c>
      <c r="K3" s="14">
        <f t="shared" ref="K3:K66" si="4">$B$9*(2*$B$8+J3)-$B$9*$B$10</f>
        <v>11.451825700000001</v>
      </c>
      <c r="L3" s="14">
        <f t="shared" ref="L3:L66" si="5">ROUND(1/(1/(J3+2*$B$8)+1/($B$7)),6)</f>
        <v>2218.8698610000001</v>
      </c>
      <c r="M3" s="14">
        <v>2217.1099999999997</v>
      </c>
      <c r="N3" s="13">
        <f t="shared" ref="N3:N66" si="6">$B$9*(L3+$B$10)*(L3/(L3+$B$10))</f>
        <v>2.2188698610000004</v>
      </c>
      <c r="O3" s="13">
        <f t="shared" ref="O3:O66" si="7">$B$11*G3+$B$12</f>
        <v>2.2297099999999999</v>
      </c>
      <c r="P3" s="13">
        <f t="shared" ref="P3:P66" si="8">ABS(N3-O3)</f>
        <v>1.0840138999999471E-2</v>
      </c>
      <c r="Q3" s="16">
        <f t="shared" ref="Q3:Q66" si="9">ABS(O3-N3)/O3</f>
        <v>4.8616811154811486E-3</v>
      </c>
      <c r="R3" s="14">
        <f t="shared" ref="R3:R66" ca="1" si="10">ROUND(N3*$B$29,6)+RANDBETWEEN(-1,1)*$B$24+RANDBETWEEN(-1,1)*$B$25</f>
        <v>8.0942545014577263</v>
      </c>
      <c r="S3" s="14">
        <f t="shared" ref="S3:S66" si="11">O3*$B$23</f>
        <v>8.2235540860215046</v>
      </c>
      <c r="T3" s="14">
        <f t="shared" ref="T3:T66" ca="1" si="12">ABS(R3-S3)</f>
        <v>0.12929958456377832</v>
      </c>
      <c r="U3" s="16">
        <f t="shared" ref="U3:U66" ca="1" si="13">ABS(S3-R3)/S3</f>
        <v>1.5723078271420783E-2</v>
      </c>
      <c r="V3" s="14">
        <f t="shared" ref="V3:V66" si="14">$B$44*S3+$B$45</f>
        <v>8.333333333334636E-3</v>
      </c>
      <c r="W3" s="14">
        <f t="shared" ref="W3:W66" ca="1" si="15">$B$46*R3+$B$47</f>
        <v>-9.4254501457726292E-2</v>
      </c>
      <c r="X3" s="14">
        <f t="shared" ref="X3:X66" ca="1" si="16">ABS(V3-W3)</f>
        <v>0.10258783479106093</v>
      </c>
      <c r="Y3" s="28">
        <f t="shared" ref="Y3:Y66" ca="1" si="17">IF(V3 = 0, ABS(V3-W3)/(V3+0.0001), ABS(V3-W3)/V3)</f>
        <v>12.310540174925388</v>
      </c>
      <c r="Z3" s="29">
        <f t="shared" ref="Z3:Z66" ca="1" si="18">ROUND((W3+5/3)/(1/12),6)</f>
        <v>18.868946000000001</v>
      </c>
      <c r="AA3" s="16">
        <f t="shared" ref="AA3:AA66" ca="1" si="19">ABS(G3-Z3)/G3</f>
        <v>6.1246467661691555E-2</v>
      </c>
      <c r="AB3" s="2"/>
    </row>
    <row r="4" spans="1:32" x14ac:dyDescent="0.25">
      <c r="A4" s="13" t="s">
        <v>84</v>
      </c>
      <c r="B4" s="13">
        <v>4791.8419999999996</v>
      </c>
      <c r="C4" s="13">
        <f>INTERCEPT(N:N,G:G)</f>
        <v>2.7207744948964239</v>
      </c>
      <c r="F4" s="13">
        <v>2</v>
      </c>
      <c r="G4" s="13">
        <f t="shared" si="0"/>
        <v>20.2</v>
      </c>
      <c r="H4" s="13">
        <f t="shared" si="1"/>
        <v>293.34999999999997</v>
      </c>
      <c r="I4" s="14">
        <f t="shared" si="2"/>
        <v>1.6667000000000001E-2</v>
      </c>
      <c r="J4" s="14">
        <f t="shared" si="3"/>
        <v>12375.948216999999</v>
      </c>
      <c r="K4" s="14">
        <f t="shared" si="4"/>
        <v>11.395948216999999</v>
      </c>
      <c r="L4" s="14">
        <f t="shared" si="5"/>
        <v>2217.088964</v>
      </c>
      <c r="M4" s="14">
        <v>2215.56</v>
      </c>
      <c r="N4" s="13">
        <f t="shared" si="6"/>
        <v>2.2170889640000002</v>
      </c>
      <c r="O4" s="13">
        <f t="shared" si="7"/>
        <v>2.22742</v>
      </c>
      <c r="P4" s="13">
        <f t="shared" si="8"/>
        <v>1.0331035999999738E-2</v>
      </c>
      <c r="Q4" s="16">
        <f t="shared" si="9"/>
        <v>4.638117642833295E-3</v>
      </c>
      <c r="R4" s="14">
        <f t="shared" ca="1" si="10"/>
        <v>8.0873731370262387</v>
      </c>
      <c r="S4" s="14">
        <f t="shared" si="11"/>
        <v>8.2151081720430099</v>
      </c>
      <c r="T4" s="14">
        <f t="shared" ca="1" si="12"/>
        <v>0.12773503501677119</v>
      </c>
      <c r="U4" s="16">
        <f t="shared" ca="1" si="13"/>
        <v>1.554879526132945E-2</v>
      </c>
      <c r="V4" s="14">
        <f t="shared" si="14"/>
        <v>1.6666666666667496E-2</v>
      </c>
      <c r="W4" s="14">
        <f t="shared" ca="1" si="15"/>
        <v>-8.7373137026238723E-2</v>
      </c>
      <c r="X4" s="14">
        <f t="shared" ca="1" si="16"/>
        <v>0.10403980369290622</v>
      </c>
      <c r="Y4" s="28">
        <f t="shared" ca="1" si="17"/>
        <v>6.2423882215740623</v>
      </c>
      <c r="Z4" s="29">
        <f t="shared" ca="1" si="18"/>
        <v>18.951522000000001</v>
      </c>
      <c r="AA4" s="16">
        <f t="shared" ca="1" si="19"/>
        <v>6.1805841584158354E-2</v>
      </c>
      <c r="AB4" s="2"/>
    </row>
    <row r="5" spans="1:32" x14ac:dyDescent="0.25">
      <c r="A5" s="13" t="s">
        <v>85</v>
      </c>
      <c r="B5" s="13">
        <v>-115334</v>
      </c>
      <c r="C5" s="13"/>
      <c r="F5" s="13">
        <v>3</v>
      </c>
      <c r="G5" s="13">
        <f t="shared" si="0"/>
        <v>20.3</v>
      </c>
      <c r="H5" s="13">
        <f t="shared" si="1"/>
        <v>293.45</v>
      </c>
      <c r="I5" s="14">
        <f t="shared" si="2"/>
        <v>2.5000000000000001E-2</v>
      </c>
      <c r="J5" s="14">
        <f t="shared" si="3"/>
        <v>12320.354608</v>
      </c>
      <c r="K5" s="14">
        <f t="shared" si="4"/>
        <v>11.340354608</v>
      </c>
      <c r="L5" s="14">
        <f t="shared" si="5"/>
        <v>2215.303981</v>
      </c>
      <c r="M5" s="14">
        <v>2214</v>
      </c>
      <c r="N5" s="13">
        <f t="shared" si="6"/>
        <v>2.2153039809999999</v>
      </c>
      <c r="O5" s="13">
        <f t="shared" si="7"/>
        <v>2.2251300000000001</v>
      </c>
      <c r="P5" s="13">
        <f t="shared" si="8"/>
        <v>9.8260190000001302E-3</v>
      </c>
      <c r="Q5" s="16">
        <f t="shared" si="9"/>
        <v>4.4159303051957101E-3</v>
      </c>
      <c r="R5" s="14">
        <f t="shared" ca="1" si="10"/>
        <v>8.0804767725947517</v>
      </c>
      <c r="S5" s="14">
        <f t="shared" si="11"/>
        <v>8.2066622580645152</v>
      </c>
      <c r="T5" s="14">
        <f t="shared" ca="1" si="12"/>
        <v>0.12618548546976349</v>
      </c>
      <c r="U5" s="16">
        <f t="shared" ca="1" si="13"/>
        <v>1.5375981306622391E-2</v>
      </c>
      <c r="V5" s="14">
        <f t="shared" si="14"/>
        <v>2.5000000000000355E-2</v>
      </c>
      <c r="W5" s="14">
        <f t="shared" ca="1" si="15"/>
        <v>-8.0476772594751722E-2</v>
      </c>
      <c r="X5" s="14">
        <f t="shared" ca="1" si="16"/>
        <v>0.10547677259475208</v>
      </c>
      <c r="Y5" s="28">
        <f t="shared" ca="1" si="17"/>
        <v>4.2190709037900227</v>
      </c>
      <c r="Z5" s="29">
        <f t="shared" ca="1" si="18"/>
        <v>19.034279000000002</v>
      </c>
      <c r="AA5" s="16">
        <f t="shared" ca="1" si="19"/>
        <v>6.2350788177339862E-2</v>
      </c>
      <c r="AB5" s="2"/>
    </row>
    <row r="6" spans="1:32" x14ac:dyDescent="0.25">
      <c r="A6" s="13" t="s">
        <v>86</v>
      </c>
      <c r="B6" s="13">
        <v>-3730535</v>
      </c>
      <c r="C6" s="13"/>
      <c r="F6" s="13">
        <v>4</v>
      </c>
      <c r="G6" s="13">
        <f t="shared" si="0"/>
        <v>20.399999999999999</v>
      </c>
      <c r="H6" s="13">
        <f t="shared" si="1"/>
        <v>293.54999999999995</v>
      </c>
      <c r="I6" s="14">
        <f t="shared" si="2"/>
        <v>3.3333000000000002E-2</v>
      </c>
      <c r="J6" s="14">
        <f t="shared" si="3"/>
        <v>12265.043276</v>
      </c>
      <c r="K6" s="14">
        <f t="shared" si="4"/>
        <v>11.285043276000001</v>
      </c>
      <c r="L6" s="14">
        <f t="shared" si="5"/>
        <v>2213.5149179999999</v>
      </c>
      <c r="M6" s="14">
        <v>2211.91</v>
      </c>
      <c r="N6" s="13">
        <f t="shared" si="6"/>
        <v>2.213514918</v>
      </c>
      <c r="O6" s="13">
        <f t="shared" si="7"/>
        <v>2.2228400000000001</v>
      </c>
      <c r="P6" s="13">
        <f t="shared" si="8"/>
        <v>9.3250820000001511E-3</v>
      </c>
      <c r="Q6" s="16">
        <f t="shared" si="9"/>
        <v>4.1951206564575724E-3</v>
      </c>
      <c r="R6" s="14">
        <f t="shared" ca="1" si="10"/>
        <v>8.0743361370262399</v>
      </c>
      <c r="S6" s="14">
        <f t="shared" si="11"/>
        <v>8.1982163440860223</v>
      </c>
      <c r="T6" s="14">
        <f t="shared" ca="1" si="12"/>
        <v>0.12388020705978242</v>
      </c>
      <c r="U6" s="16">
        <f t="shared" ca="1" si="13"/>
        <v>1.5110629173520939E-2</v>
      </c>
      <c r="V6" s="14">
        <f t="shared" si="14"/>
        <v>3.3333333333331439E-2</v>
      </c>
      <c r="W6" s="14">
        <f t="shared" ca="1" si="15"/>
        <v>-7.4336137026239868E-2</v>
      </c>
      <c r="X6" s="14">
        <f t="shared" ca="1" si="16"/>
        <v>0.10766947035957131</v>
      </c>
      <c r="Y6" s="28">
        <f t="shared" ca="1" si="17"/>
        <v>3.2300841107873226</v>
      </c>
      <c r="Z6" s="29">
        <f t="shared" ca="1" si="18"/>
        <v>19.107966000000001</v>
      </c>
      <c r="AA6" s="16">
        <f t="shared" ca="1" si="19"/>
        <v>6.3334999999999878E-2</v>
      </c>
      <c r="AB6" s="2"/>
    </row>
    <row r="7" spans="1:32" x14ac:dyDescent="0.25">
      <c r="A7" s="13" t="s">
        <v>90</v>
      </c>
      <c r="B7" s="13">
        <f>2700</f>
        <v>2700</v>
      </c>
      <c r="C7" s="13" t="s">
        <v>37</v>
      </c>
      <c r="F7" s="13">
        <v>5</v>
      </c>
      <c r="G7" s="13">
        <f t="shared" si="0"/>
        <v>20.5</v>
      </c>
      <c r="H7" s="13">
        <f t="shared" si="1"/>
        <v>293.64999999999998</v>
      </c>
      <c r="I7" s="14">
        <f t="shared" si="2"/>
        <v>4.1667000000000003E-2</v>
      </c>
      <c r="J7" s="14">
        <f t="shared" si="3"/>
        <v>12210.012634000001</v>
      </c>
      <c r="K7" s="14">
        <f t="shared" si="4"/>
        <v>11.230012634000001</v>
      </c>
      <c r="L7" s="14">
        <f t="shared" si="5"/>
        <v>2211.7217799999999</v>
      </c>
      <c r="M7" s="14">
        <v>2210.34</v>
      </c>
      <c r="N7" s="13">
        <f t="shared" si="6"/>
        <v>2.21172178</v>
      </c>
      <c r="O7" s="13">
        <f t="shared" si="7"/>
        <v>2.2205499999999998</v>
      </c>
      <c r="P7" s="13">
        <f t="shared" si="8"/>
        <v>8.8282199999998312E-3</v>
      </c>
      <c r="Q7" s="16">
        <f t="shared" si="9"/>
        <v>3.9756907072571353E-3</v>
      </c>
      <c r="R7" s="14">
        <f t="shared" ca="1" si="10"/>
        <v>8.0681815014577261</v>
      </c>
      <c r="S7" s="14">
        <f t="shared" si="11"/>
        <v>8.1897704301075258</v>
      </c>
      <c r="T7" s="14">
        <f t="shared" ca="1" si="12"/>
        <v>0.12158892864979975</v>
      </c>
      <c r="U7" s="16">
        <f t="shared" ca="1" si="13"/>
        <v>1.4846439187453925E-2</v>
      </c>
      <c r="V7" s="14">
        <f t="shared" si="14"/>
        <v>4.1666666666667851E-2</v>
      </c>
      <c r="W7" s="14">
        <f t="shared" ca="1" si="15"/>
        <v>-6.8181501457726057E-2</v>
      </c>
      <c r="X7" s="14">
        <f t="shared" ca="1" si="16"/>
        <v>0.10984816812439391</v>
      </c>
      <c r="Y7" s="28">
        <f t="shared" ca="1" si="17"/>
        <v>2.6363560349853787</v>
      </c>
      <c r="Z7" s="29">
        <f t="shared" ca="1" si="18"/>
        <v>19.181822</v>
      </c>
      <c r="AA7" s="16">
        <f t="shared" ca="1" si="19"/>
        <v>6.4301365853658518E-2</v>
      </c>
      <c r="AB7" s="2"/>
    </row>
    <row r="8" spans="1:32" x14ac:dyDescent="0.25">
      <c r="A8" s="13" t="s">
        <v>91</v>
      </c>
      <c r="B8" s="13">
        <v>10</v>
      </c>
      <c r="C8" s="13" t="s">
        <v>37</v>
      </c>
      <c r="F8" s="13">
        <v>6</v>
      </c>
      <c r="G8" s="13">
        <f t="shared" si="0"/>
        <v>20.6</v>
      </c>
      <c r="H8" s="13">
        <f t="shared" si="1"/>
        <v>293.75</v>
      </c>
      <c r="I8" s="14">
        <f t="shared" si="2"/>
        <v>0.05</v>
      </c>
      <c r="J8" s="14">
        <f t="shared" si="3"/>
        <v>12155.261103000001</v>
      </c>
      <c r="K8" s="14">
        <f t="shared" si="4"/>
        <v>11.175261103</v>
      </c>
      <c r="L8" s="14">
        <f t="shared" si="5"/>
        <v>2209.9245689999998</v>
      </c>
      <c r="M8" s="14">
        <v>2208.5</v>
      </c>
      <c r="N8" s="13">
        <f t="shared" si="6"/>
        <v>2.209924569</v>
      </c>
      <c r="O8" s="13">
        <f t="shared" si="7"/>
        <v>2.2182599999999999</v>
      </c>
      <c r="P8" s="13">
        <f t="shared" si="8"/>
        <v>8.3354309999998932E-3</v>
      </c>
      <c r="Q8" s="16">
        <f t="shared" si="9"/>
        <v>3.7576438289469646E-3</v>
      </c>
      <c r="R8" s="14">
        <f t="shared" ca="1" si="10"/>
        <v>8.0604586355685122</v>
      </c>
      <c r="S8" s="14">
        <f t="shared" si="11"/>
        <v>8.1813245161290311</v>
      </c>
      <c r="T8" s="14">
        <f t="shared" ca="1" si="12"/>
        <v>0.12086588056051895</v>
      </c>
      <c r="U8" s="16">
        <f t="shared" ca="1" si="13"/>
        <v>1.4773387893639779E-2</v>
      </c>
      <c r="V8" s="14">
        <f t="shared" si="14"/>
        <v>5.0000000000000711E-2</v>
      </c>
      <c r="W8" s="14">
        <f t="shared" ca="1" si="15"/>
        <v>-6.0458635568512165E-2</v>
      </c>
      <c r="X8" s="14">
        <f t="shared" ca="1" si="16"/>
        <v>0.11045863556851288</v>
      </c>
      <c r="Y8" s="28">
        <f t="shared" ca="1" si="17"/>
        <v>2.209172711370226</v>
      </c>
      <c r="Z8" s="29">
        <f t="shared" ca="1" si="18"/>
        <v>19.274495999999999</v>
      </c>
      <c r="AA8" s="16">
        <f t="shared" ca="1" si="19"/>
        <v>6.4344854368932142E-2</v>
      </c>
      <c r="AB8" s="2"/>
    </row>
    <row r="9" spans="1:32" x14ac:dyDescent="0.25">
      <c r="A9" s="13" t="s">
        <v>92</v>
      </c>
      <c r="B9" s="13">
        <f>0.001</f>
        <v>1E-3</v>
      </c>
      <c r="C9" s="13" t="s">
        <v>83</v>
      </c>
      <c r="F9" s="13">
        <v>7</v>
      </c>
      <c r="G9" s="13">
        <f t="shared" si="0"/>
        <v>20.7</v>
      </c>
      <c r="H9" s="13">
        <f t="shared" si="1"/>
        <v>293.84999999999997</v>
      </c>
      <c r="I9" s="14">
        <f t="shared" si="2"/>
        <v>5.8333000000000003E-2</v>
      </c>
      <c r="J9" s="14">
        <f t="shared" si="3"/>
        <v>12100.787114999999</v>
      </c>
      <c r="K9" s="14">
        <f t="shared" si="4"/>
        <v>11.120787114999999</v>
      </c>
      <c r="L9" s="14">
        <f t="shared" si="5"/>
        <v>2208.12329</v>
      </c>
      <c r="M9" s="14">
        <v>2206.65</v>
      </c>
      <c r="N9" s="13">
        <f t="shared" si="6"/>
        <v>2.2081232900000001</v>
      </c>
      <c r="O9" s="13">
        <f t="shared" si="7"/>
        <v>2.21597</v>
      </c>
      <c r="P9" s="13">
        <f t="shared" si="8"/>
        <v>7.8467099999999235E-3</v>
      </c>
      <c r="Q9" s="16">
        <f t="shared" si="9"/>
        <v>3.540982053006098E-3</v>
      </c>
      <c r="R9" s="14">
        <f t="shared" ca="1" si="10"/>
        <v>8.05387786297376</v>
      </c>
      <c r="S9" s="14">
        <f t="shared" si="11"/>
        <v>8.1728786021505364</v>
      </c>
      <c r="T9" s="14">
        <f t="shared" ca="1" si="12"/>
        <v>0.11900073917677645</v>
      </c>
      <c r="U9" s="16">
        <f t="shared" ca="1" si="13"/>
        <v>1.4560443751784552E-2</v>
      </c>
      <c r="V9" s="14">
        <f t="shared" si="14"/>
        <v>5.833333333333357E-2</v>
      </c>
      <c r="W9" s="14">
        <f t="shared" ca="1" si="15"/>
        <v>-5.387786297375996E-2</v>
      </c>
      <c r="X9" s="14">
        <f t="shared" ca="1" si="16"/>
        <v>0.11221119630709353</v>
      </c>
      <c r="Y9" s="28">
        <f t="shared" ca="1" si="17"/>
        <v>1.9236205081215956</v>
      </c>
      <c r="Z9" s="29">
        <f t="shared" ca="1" si="18"/>
        <v>19.353466000000001</v>
      </c>
      <c r="AA9" s="16">
        <f t="shared" ca="1" si="19"/>
        <v>6.5049951690821173E-2</v>
      </c>
      <c r="AB9" s="2"/>
    </row>
    <row r="10" spans="1:32" x14ac:dyDescent="0.25">
      <c r="A10" s="13" t="s">
        <v>153</v>
      </c>
      <c r="B10" s="13">
        <v>1000</v>
      </c>
      <c r="C10" s="13" t="s">
        <v>37</v>
      </c>
      <c r="F10" s="13">
        <v>8</v>
      </c>
      <c r="G10" s="13">
        <f t="shared" si="0"/>
        <v>20.8</v>
      </c>
      <c r="H10" s="13">
        <f t="shared" si="1"/>
        <v>293.95</v>
      </c>
      <c r="I10" s="14">
        <f t="shared" si="2"/>
        <v>6.6667000000000004E-2</v>
      </c>
      <c r="J10" s="14">
        <f t="shared" si="3"/>
        <v>12046.589112</v>
      </c>
      <c r="K10" s="14">
        <f t="shared" si="4"/>
        <v>11.066589111999999</v>
      </c>
      <c r="L10" s="14">
        <f t="shared" si="5"/>
        <v>2206.3179490000002</v>
      </c>
      <c r="M10" s="14">
        <v>2204.5300000000002</v>
      </c>
      <c r="N10" s="13">
        <f t="shared" si="6"/>
        <v>2.2063179490000002</v>
      </c>
      <c r="O10" s="13">
        <f t="shared" si="7"/>
        <v>2.2136800000000001</v>
      </c>
      <c r="P10" s="13">
        <f t="shared" si="8"/>
        <v>7.3620509999998696E-3</v>
      </c>
      <c r="Q10" s="16">
        <f t="shared" si="9"/>
        <v>3.3257069675833315E-3</v>
      </c>
      <c r="R10" s="14">
        <f t="shared" ca="1" si="10"/>
        <v>8.0473036355685128</v>
      </c>
      <c r="S10" s="14">
        <f t="shared" si="11"/>
        <v>8.1644326881720435</v>
      </c>
      <c r="T10" s="14">
        <f t="shared" ca="1" si="12"/>
        <v>0.11712905260353068</v>
      </c>
      <c r="U10" s="16">
        <f t="shared" ca="1" si="13"/>
        <v>1.4346257367424634E-2</v>
      </c>
      <c r="V10" s="14">
        <f t="shared" si="14"/>
        <v>6.666666666666643E-2</v>
      </c>
      <c r="W10" s="14">
        <f t="shared" ca="1" si="15"/>
        <v>-4.7303635568512803E-2</v>
      </c>
      <c r="X10" s="14">
        <f t="shared" ca="1" si="16"/>
        <v>0.11397030223517923</v>
      </c>
      <c r="Y10" s="28">
        <f t="shared" ca="1" si="17"/>
        <v>1.7095545335276945</v>
      </c>
      <c r="Z10" s="29">
        <f t="shared" ca="1" si="18"/>
        <v>19.432355999999999</v>
      </c>
      <c r="AA10" s="16">
        <f t="shared" ca="1" si="19"/>
        <v>6.5752115384615478E-2</v>
      </c>
      <c r="AB10" s="2"/>
    </row>
    <row r="11" spans="1:32" x14ac:dyDescent="0.25">
      <c r="A11" s="13" t="s">
        <v>97</v>
      </c>
      <c r="B11" s="13">
        <v>-2.29E-2</v>
      </c>
      <c r="C11" s="13" t="s">
        <v>99</v>
      </c>
      <c r="F11" s="13">
        <v>9</v>
      </c>
      <c r="G11" s="13">
        <f t="shared" si="0"/>
        <v>20.9</v>
      </c>
      <c r="H11" s="13">
        <f t="shared" si="1"/>
        <v>294.04999999999995</v>
      </c>
      <c r="I11" s="14">
        <f t="shared" si="2"/>
        <v>7.4999999999999997E-2</v>
      </c>
      <c r="J11" s="14">
        <f t="shared" si="3"/>
        <v>11992.665545</v>
      </c>
      <c r="K11" s="14">
        <f t="shared" si="4"/>
        <v>11.012665545000001</v>
      </c>
      <c r="L11" s="14">
        <f t="shared" si="5"/>
        <v>2204.5085490000001</v>
      </c>
      <c r="M11" s="14">
        <v>2202.9299999999998</v>
      </c>
      <c r="N11" s="13">
        <f t="shared" si="6"/>
        <v>2.2045085490000003</v>
      </c>
      <c r="O11" s="13">
        <f t="shared" si="7"/>
        <v>2.2113899999999997</v>
      </c>
      <c r="P11" s="13">
        <f t="shared" si="8"/>
        <v>6.8814509999994833E-3</v>
      </c>
      <c r="Q11" s="16">
        <f t="shared" si="9"/>
        <v>3.1118215240185966E-3</v>
      </c>
      <c r="R11" s="14">
        <f t="shared" ca="1" si="10"/>
        <v>8.0418705014577263</v>
      </c>
      <c r="S11" s="14">
        <f t="shared" si="11"/>
        <v>8.155986774193547</v>
      </c>
      <c r="T11" s="14">
        <f t="shared" ca="1" si="12"/>
        <v>0.1141162727358207</v>
      </c>
      <c r="U11" s="16">
        <f t="shared" ca="1" si="13"/>
        <v>1.3991718708629756E-2</v>
      </c>
      <c r="V11" s="14">
        <f t="shared" si="14"/>
        <v>7.5000000000001066E-2</v>
      </c>
      <c r="W11" s="14">
        <f t="shared" ca="1" si="15"/>
        <v>-4.1870501457726306E-2</v>
      </c>
      <c r="X11" s="14">
        <f t="shared" ca="1" si="16"/>
        <v>0.11687050145772737</v>
      </c>
      <c r="Y11" s="28">
        <f t="shared" ca="1" si="17"/>
        <v>1.5582733527696762</v>
      </c>
      <c r="Z11" s="29">
        <f t="shared" ca="1" si="18"/>
        <v>19.497554000000001</v>
      </c>
      <c r="AA11" s="16">
        <f t="shared" ca="1" si="19"/>
        <v>6.7102679425837211E-2</v>
      </c>
      <c r="AB11" s="2"/>
    </row>
    <row r="12" spans="1:32" x14ac:dyDescent="0.25">
      <c r="A12" s="13" t="s">
        <v>98</v>
      </c>
      <c r="B12" s="13">
        <v>2.69</v>
      </c>
      <c r="C12" s="13" t="s">
        <v>99</v>
      </c>
      <c r="F12" s="13">
        <v>10</v>
      </c>
      <c r="G12" s="13">
        <f t="shared" si="0"/>
        <v>21</v>
      </c>
      <c r="H12" s="13">
        <f t="shared" si="1"/>
        <v>294.14999999999998</v>
      </c>
      <c r="I12" s="14">
        <f t="shared" si="2"/>
        <v>8.3333000000000004E-2</v>
      </c>
      <c r="J12" s="14">
        <f t="shared" si="3"/>
        <v>11939.014874</v>
      </c>
      <c r="K12" s="14">
        <f t="shared" si="4"/>
        <v>10.959014874000001</v>
      </c>
      <c r="L12" s="14">
        <f t="shared" si="5"/>
        <v>2202.695095</v>
      </c>
      <c r="M12" s="14">
        <v>2201.06</v>
      </c>
      <c r="N12" s="13">
        <f t="shared" si="6"/>
        <v>2.2026950950000002</v>
      </c>
      <c r="O12" s="13">
        <f t="shared" si="7"/>
        <v>2.2090999999999998</v>
      </c>
      <c r="P12" s="13">
        <f t="shared" si="8"/>
        <v>6.4049049999996832E-3</v>
      </c>
      <c r="Q12" s="16">
        <f t="shared" si="9"/>
        <v>2.8993277805439699E-3</v>
      </c>
      <c r="R12" s="14">
        <f t="shared" ca="1" si="10"/>
        <v>8.0336924985422726</v>
      </c>
      <c r="S12" s="14">
        <f t="shared" si="11"/>
        <v>8.1475408602150523</v>
      </c>
      <c r="T12" s="14">
        <f t="shared" ca="1" si="12"/>
        <v>0.11384836167277967</v>
      </c>
      <c r="U12" s="16">
        <f t="shared" ca="1" si="13"/>
        <v>1.3973340376690627E-2</v>
      </c>
      <c r="V12" s="14">
        <f t="shared" si="14"/>
        <v>8.3333333333333925E-2</v>
      </c>
      <c r="W12" s="14">
        <f t="shared" ca="1" si="15"/>
        <v>-3.3692498542272631E-2</v>
      </c>
      <c r="X12" s="14">
        <f t="shared" ca="1" si="16"/>
        <v>0.11702583187560656</v>
      </c>
      <c r="Y12" s="28">
        <f t="shared" ca="1" si="17"/>
        <v>1.4043099825072687</v>
      </c>
      <c r="Z12" s="29">
        <f t="shared" ca="1" si="18"/>
        <v>19.595690000000001</v>
      </c>
      <c r="AA12" s="16">
        <f t="shared" ca="1" si="19"/>
        <v>6.6871904761904702E-2</v>
      </c>
      <c r="AB12" s="2"/>
    </row>
    <row r="13" spans="1:32" x14ac:dyDescent="0.25">
      <c r="A13" s="13" t="s">
        <v>109</v>
      </c>
      <c r="B13" s="13">
        <f>MAX(O:O)</f>
        <v>2.2319999999999998</v>
      </c>
      <c r="C13" s="13" t="s">
        <v>22</v>
      </c>
      <c r="F13" s="13">
        <v>11</v>
      </c>
      <c r="G13" s="13">
        <f t="shared" si="0"/>
        <v>21.1</v>
      </c>
      <c r="H13" s="13">
        <f t="shared" si="1"/>
        <v>294.25</v>
      </c>
      <c r="I13" s="14">
        <f t="shared" si="2"/>
        <v>9.1666999999999998E-2</v>
      </c>
      <c r="J13" s="14">
        <f t="shared" si="3"/>
        <v>11885.635569</v>
      </c>
      <c r="K13" s="14">
        <f t="shared" si="4"/>
        <v>10.905635569000001</v>
      </c>
      <c r="L13" s="14">
        <f t="shared" si="5"/>
        <v>2200.8775919999998</v>
      </c>
      <c r="M13" s="14">
        <v>2199.44</v>
      </c>
      <c r="N13" s="13">
        <f t="shared" si="6"/>
        <v>2.2008775919999999</v>
      </c>
      <c r="O13" s="13">
        <f t="shared" si="7"/>
        <v>2.2068099999999999</v>
      </c>
      <c r="P13" s="13">
        <f t="shared" si="8"/>
        <v>5.9324080000000556E-3</v>
      </c>
      <c r="Q13" s="16">
        <f t="shared" si="9"/>
        <v>2.6882278039342109E-3</v>
      </c>
      <c r="R13" s="14">
        <f t="shared" ca="1" si="10"/>
        <v>8.0282303644314865</v>
      </c>
      <c r="S13" s="14">
        <f t="shared" si="11"/>
        <v>8.1390949462365594</v>
      </c>
      <c r="T13" s="14">
        <f t="shared" ca="1" si="12"/>
        <v>0.11086458180507286</v>
      </c>
      <c r="U13" s="16">
        <f t="shared" ca="1" si="13"/>
        <v>1.36212419854293E-2</v>
      </c>
      <c r="V13" s="14">
        <f t="shared" si="14"/>
        <v>9.1666666666666785E-2</v>
      </c>
      <c r="W13" s="14">
        <f t="shared" ca="1" si="15"/>
        <v>-2.8230364431486521E-2</v>
      </c>
      <c r="X13" s="14">
        <f t="shared" ca="1" si="16"/>
        <v>0.11989703109815331</v>
      </c>
      <c r="Y13" s="28">
        <f t="shared" ca="1" si="17"/>
        <v>1.3079676119798525</v>
      </c>
      <c r="Z13" s="29">
        <f t="shared" ca="1" si="18"/>
        <v>19.661235999999999</v>
      </c>
      <c r="AA13" s="16">
        <f t="shared" ca="1" si="19"/>
        <v>6.8187867298578314E-2</v>
      </c>
      <c r="AB13" s="2"/>
    </row>
    <row r="14" spans="1:32" x14ac:dyDescent="0.25">
      <c r="A14" s="13" t="s">
        <v>110</v>
      </c>
      <c r="B14" s="13">
        <f>MIN(O:O)</f>
        <v>0.85799999999999987</v>
      </c>
      <c r="C14" s="13" t="s">
        <v>22</v>
      </c>
      <c r="F14" s="13">
        <v>12</v>
      </c>
      <c r="G14" s="13">
        <f t="shared" si="0"/>
        <v>21.2</v>
      </c>
      <c r="H14" s="13">
        <f t="shared" si="1"/>
        <v>294.34999999999997</v>
      </c>
      <c r="I14" s="14">
        <f t="shared" si="2"/>
        <v>0.1</v>
      </c>
      <c r="J14" s="14">
        <f t="shared" si="3"/>
        <v>11832.526109</v>
      </c>
      <c r="K14" s="14">
        <f t="shared" si="4"/>
        <v>10.852526109000001</v>
      </c>
      <c r="L14" s="14">
        <f t="shared" si="5"/>
        <v>2199.0560439999999</v>
      </c>
      <c r="M14" s="14">
        <v>2197.56</v>
      </c>
      <c r="N14" s="13">
        <f t="shared" si="6"/>
        <v>2.1990560440000002</v>
      </c>
      <c r="O14" s="13">
        <f t="shared" si="7"/>
        <v>2.20452</v>
      </c>
      <c r="P14" s="13">
        <f t="shared" si="8"/>
        <v>5.4639559999998255E-3</v>
      </c>
      <c r="Q14" s="16">
        <f t="shared" si="9"/>
        <v>2.4785241231650543E-3</v>
      </c>
      <c r="R14" s="14">
        <f t="shared" ca="1" si="10"/>
        <v>8.0215853644314876</v>
      </c>
      <c r="S14" s="14">
        <f t="shared" si="11"/>
        <v>8.1306490322580647</v>
      </c>
      <c r="T14" s="14">
        <f t="shared" ca="1" si="12"/>
        <v>0.10906366782657706</v>
      </c>
      <c r="U14" s="16">
        <f t="shared" ca="1" si="13"/>
        <v>1.3413894437439223E-2</v>
      </c>
      <c r="V14" s="14">
        <f t="shared" si="14"/>
        <v>9.9999999999999645E-2</v>
      </c>
      <c r="W14" s="14">
        <f t="shared" ca="1" si="15"/>
        <v>-2.1585364431487619E-2</v>
      </c>
      <c r="X14" s="14">
        <f t="shared" ca="1" si="16"/>
        <v>0.12158536443148726</v>
      </c>
      <c r="Y14" s="28">
        <f t="shared" ca="1" si="17"/>
        <v>1.2158536443148769</v>
      </c>
      <c r="Z14" s="29">
        <f t="shared" ca="1" si="18"/>
        <v>19.740976</v>
      </c>
      <c r="AA14" s="16">
        <f t="shared" ca="1" si="19"/>
        <v>6.882188679245281E-2</v>
      </c>
      <c r="AB14" s="2"/>
    </row>
    <row r="15" spans="1:32" x14ac:dyDescent="0.25">
      <c r="A15" s="13" t="s">
        <v>140</v>
      </c>
      <c r="B15" s="14">
        <f>MAX(P:P)</f>
        <v>2.3820459000000183E-2</v>
      </c>
      <c r="C15" s="13" t="s">
        <v>22</v>
      </c>
      <c r="F15" s="13">
        <v>13</v>
      </c>
      <c r="G15" s="13">
        <f t="shared" si="0"/>
        <v>21.3</v>
      </c>
      <c r="H15" s="13">
        <f t="shared" si="1"/>
        <v>294.45</v>
      </c>
      <c r="I15" s="14">
        <f t="shared" si="2"/>
        <v>0.108333</v>
      </c>
      <c r="J15" s="14">
        <f t="shared" si="3"/>
        <v>11779.684982000001</v>
      </c>
      <c r="K15" s="14">
        <f t="shared" si="4"/>
        <v>10.799684982</v>
      </c>
      <c r="L15" s="14">
        <f t="shared" si="5"/>
        <v>2197.2304559999998</v>
      </c>
      <c r="M15" s="14">
        <v>2195.9299999999998</v>
      </c>
      <c r="N15" s="13">
        <f t="shared" si="6"/>
        <v>2.1972304559999998</v>
      </c>
      <c r="O15" s="13">
        <f t="shared" si="7"/>
        <v>2.2022300000000001</v>
      </c>
      <c r="P15" s="13">
        <f t="shared" si="8"/>
        <v>4.9995440000003555E-3</v>
      </c>
      <c r="Q15" s="16">
        <f t="shared" si="9"/>
        <v>2.2702188236471011E-3</v>
      </c>
      <c r="R15" s="14">
        <f t="shared" ca="1" si="10"/>
        <v>8.0149263644314868</v>
      </c>
      <c r="S15" s="14">
        <f t="shared" si="11"/>
        <v>8.12220311827957</v>
      </c>
      <c r="T15" s="14">
        <f t="shared" ca="1" si="12"/>
        <v>0.10727675384808322</v>
      </c>
      <c r="U15" s="16">
        <f t="shared" ca="1" si="13"/>
        <v>1.3207839336921974E-2</v>
      </c>
      <c r="V15" s="14">
        <f t="shared" si="14"/>
        <v>0.1083333333333325</v>
      </c>
      <c r="W15" s="14">
        <f t="shared" ca="1" si="15"/>
        <v>-1.4926364431486761E-2</v>
      </c>
      <c r="X15" s="14">
        <f t="shared" ca="1" si="16"/>
        <v>0.12325969776481926</v>
      </c>
      <c r="Y15" s="28">
        <f t="shared" ca="1" si="17"/>
        <v>1.1377818255214174</v>
      </c>
      <c r="Z15" s="29">
        <f t="shared" ca="1" si="18"/>
        <v>19.820884</v>
      </c>
      <c r="AA15" s="16">
        <f t="shared" ca="1" si="19"/>
        <v>6.9442065727699578E-2</v>
      </c>
      <c r="AB15" s="2"/>
    </row>
    <row r="16" spans="1:32" x14ac:dyDescent="0.25">
      <c r="A16" s="13" t="s">
        <v>141</v>
      </c>
      <c r="B16" s="14">
        <f>MIN(P:P)</f>
        <v>4.8100000000772525E-6</v>
      </c>
      <c r="C16" s="13" t="s">
        <v>22</v>
      </c>
      <c r="F16" s="13">
        <v>14</v>
      </c>
      <c r="G16" s="13">
        <f t="shared" si="0"/>
        <v>21.4</v>
      </c>
      <c r="H16" s="13">
        <f t="shared" si="1"/>
        <v>294.54999999999995</v>
      </c>
      <c r="I16" s="14">
        <f t="shared" si="2"/>
        <v>0.11666700000000001</v>
      </c>
      <c r="J16" s="14">
        <f t="shared" si="3"/>
        <v>11727.110688000001</v>
      </c>
      <c r="K16" s="14">
        <f t="shared" si="4"/>
        <v>10.747110688000001</v>
      </c>
      <c r="L16" s="14">
        <f t="shared" si="5"/>
        <v>2195.400834</v>
      </c>
      <c r="M16" s="14">
        <v>2193.7600000000002</v>
      </c>
      <c r="N16" s="13">
        <f t="shared" si="6"/>
        <v>2.195400834</v>
      </c>
      <c r="O16" s="13">
        <f t="shared" si="7"/>
        <v>2.1999399999999998</v>
      </c>
      <c r="P16" s="13">
        <f t="shared" si="8"/>
        <v>4.5391659999998168E-3</v>
      </c>
      <c r="Q16" s="16">
        <f t="shared" si="9"/>
        <v>2.0633135449147784E-3</v>
      </c>
      <c r="R16" s="14">
        <f t="shared" ca="1" si="10"/>
        <v>8.0078680000000002</v>
      </c>
      <c r="S16" s="14">
        <f t="shared" si="11"/>
        <v>8.1137572043010735</v>
      </c>
      <c r="T16" s="14">
        <f t="shared" ca="1" si="12"/>
        <v>0.10588920430107329</v>
      </c>
      <c r="U16" s="16">
        <f t="shared" ca="1" si="13"/>
        <v>1.305057590889481E-2</v>
      </c>
      <c r="V16" s="14">
        <f t="shared" si="14"/>
        <v>0.11666666666666892</v>
      </c>
      <c r="W16" s="14">
        <f t="shared" ca="1" si="15"/>
        <v>-7.8680000000002082E-3</v>
      </c>
      <c r="X16" s="14">
        <f t="shared" ca="1" si="16"/>
        <v>0.12453466666666912</v>
      </c>
      <c r="Y16" s="28">
        <f t="shared" ca="1" si="17"/>
        <v>1.0674400000000004</v>
      </c>
      <c r="Z16" s="29">
        <f t="shared" ca="1" si="18"/>
        <v>19.905584000000001</v>
      </c>
      <c r="AA16" s="16">
        <f t="shared" ca="1" si="19"/>
        <v>6.9832523364485866E-2</v>
      </c>
      <c r="AB16" s="2"/>
    </row>
    <row r="17" spans="1:28" x14ac:dyDescent="0.25">
      <c r="A17" s="13" t="s">
        <v>143</v>
      </c>
      <c r="B17" s="16">
        <f>MAX(Q:Q)</f>
        <v>1.6244587192771144E-2</v>
      </c>
      <c r="C17" s="13" t="s">
        <v>23</v>
      </c>
      <c r="F17" s="13">
        <v>15</v>
      </c>
      <c r="G17" s="13">
        <f t="shared" si="0"/>
        <v>21.5</v>
      </c>
      <c r="H17" s="13">
        <f t="shared" si="1"/>
        <v>294.64999999999998</v>
      </c>
      <c r="I17" s="14">
        <f t="shared" si="2"/>
        <v>0.125</v>
      </c>
      <c r="J17" s="14">
        <f t="shared" si="3"/>
        <v>11674.801732</v>
      </c>
      <c r="K17" s="14">
        <f t="shared" si="4"/>
        <v>10.694801732</v>
      </c>
      <c r="L17" s="14">
        <f t="shared" si="5"/>
        <v>2193.5671819999998</v>
      </c>
      <c r="M17" s="14">
        <v>2191.86</v>
      </c>
      <c r="N17" s="13">
        <f t="shared" si="6"/>
        <v>2.1935671819999998</v>
      </c>
      <c r="O17" s="13">
        <f t="shared" si="7"/>
        <v>2.1976499999999999</v>
      </c>
      <c r="P17" s="13">
        <f t="shared" si="8"/>
        <v>4.0828180000000991E-3</v>
      </c>
      <c r="Q17" s="16">
        <f t="shared" si="9"/>
        <v>1.8578108434009507E-3</v>
      </c>
      <c r="R17" s="14">
        <f t="shared" ca="1" si="10"/>
        <v>8.000782862973761</v>
      </c>
      <c r="S17" s="14">
        <f t="shared" si="11"/>
        <v>8.1053112903225806</v>
      </c>
      <c r="T17" s="14">
        <f t="shared" ca="1" si="12"/>
        <v>0.10452842734881962</v>
      </c>
      <c r="U17" s="16">
        <f t="shared" ca="1" si="13"/>
        <v>1.2896287829638623E-2</v>
      </c>
      <c r="V17" s="14">
        <f t="shared" si="14"/>
        <v>0.125</v>
      </c>
      <c r="W17" s="14">
        <f t="shared" ca="1" si="15"/>
        <v>-7.8286297376095604E-4</v>
      </c>
      <c r="X17" s="14">
        <f t="shared" ca="1" si="16"/>
        <v>0.12578286297376096</v>
      </c>
      <c r="Y17" s="28">
        <f t="shared" ca="1" si="17"/>
        <v>1.0062629037900876</v>
      </c>
      <c r="Z17" s="29">
        <f t="shared" ca="1" si="18"/>
        <v>19.990606</v>
      </c>
      <c r="AA17" s="16">
        <f t="shared" ca="1" si="19"/>
        <v>7.0204372093023271E-2</v>
      </c>
      <c r="AB17" s="2"/>
    </row>
    <row r="18" spans="1:28" x14ac:dyDescent="0.25">
      <c r="A18" s="13" t="s">
        <v>144</v>
      </c>
      <c r="B18" s="16">
        <f>MIN(Q:Q)</f>
        <v>3.1696452106576868E-6</v>
      </c>
      <c r="C18" s="13" t="s">
        <v>23</v>
      </c>
      <c r="F18" s="13">
        <v>16</v>
      </c>
      <c r="G18" s="13">
        <f t="shared" si="0"/>
        <v>21.6</v>
      </c>
      <c r="H18" s="13">
        <f t="shared" si="1"/>
        <v>294.75</v>
      </c>
      <c r="I18" s="14">
        <f t="shared" si="2"/>
        <v>0.13333300000000001</v>
      </c>
      <c r="J18" s="14">
        <f t="shared" si="3"/>
        <v>11622.756631</v>
      </c>
      <c r="K18" s="14">
        <f t="shared" si="4"/>
        <v>10.642756631000001</v>
      </c>
      <c r="L18" s="14">
        <f t="shared" si="5"/>
        <v>2191.7295060000001</v>
      </c>
      <c r="M18" s="14">
        <v>2189.94</v>
      </c>
      <c r="N18" s="13">
        <f t="shared" si="6"/>
        <v>2.1917295060000002</v>
      </c>
      <c r="O18" s="13">
        <f t="shared" si="7"/>
        <v>2.19536</v>
      </c>
      <c r="P18" s="13">
        <f t="shared" si="8"/>
        <v>3.6304939999998176E-3</v>
      </c>
      <c r="Q18" s="16">
        <f t="shared" si="9"/>
        <v>1.6537123751912295E-3</v>
      </c>
      <c r="R18" s="14">
        <f t="shared" ca="1" si="10"/>
        <v>7.9944652274052483</v>
      </c>
      <c r="S18" s="14">
        <f t="shared" si="11"/>
        <v>8.0968653763440859</v>
      </c>
      <c r="T18" s="14">
        <f t="shared" ca="1" si="12"/>
        <v>0.10240014893883753</v>
      </c>
      <c r="U18" s="16">
        <f t="shared" ca="1" si="13"/>
        <v>1.2646887922579425E-2</v>
      </c>
      <c r="V18" s="14">
        <f t="shared" si="14"/>
        <v>0.13333333333333286</v>
      </c>
      <c r="W18" s="14">
        <f t="shared" ca="1" si="15"/>
        <v>5.5347725947516579E-3</v>
      </c>
      <c r="X18" s="14">
        <f t="shared" ca="1" si="16"/>
        <v>0.1277985607385812</v>
      </c>
      <c r="Y18" s="28">
        <f t="shared" ca="1" si="17"/>
        <v>0.95848920553936245</v>
      </c>
      <c r="Z18" s="29">
        <f t="shared" ca="1" si="18"/>
        <v>20.066417000000001</v>
      </c>
      <c r="AA18" s="16">
        <f t="shared" ca="1" si="19"/>
        <v>7.0999212962962965E-2</v>
      </c>
      <c r="AB18" s="2"/>
    </row>
    <row r="19" spans="1:28" x14ac:dyDescent="0.25">
      <c r="F19" s="13">
        <v>17</v>
      </c>
      <c r="G19" s="13">
        <f t="shared" si="0"/>
        <v>21.7</v>
      </c>
      <c r="H19" s="13">
        <f t="shared" si="1"/>
        <v>294.84999999999997</v>
      </c>
      <c r="I19" s="14">
        <f t="shared" si="2"/>
        <v>0.14166699999999999</v>
      </c>
      <c r="J19" s="14">
        <f t="shared" si="3"/>
        <v>11570.973910000001</v>
      </c>
      <c r="K19" s="14">
        <f t="shared" si="4"/>
        <v>10.590973910000001</v>
      </c>
      <c r="L19" s="14">
        <f t="shared" si="5"/>
        <v>2189.8878100000002</v>
      </c>
      <c r="M19" s="14">
        <v>2188.2800000000002</v>
      </c>
      <c r="N19" s="13">
        <f t="shared" si="6"/>
        <v>2.1898878100000001</v>
      </c>
      <c r="O19" s="13">
        <f t="shared" si="7"/>
        <v>2.1930700000000001</v>
      </c>
      <c r="P19" s="13">
        <f t="shared" si="8"/>
        <v>3.1821899999999737E-3</v>
      </c>
      <c r="Q19" s="16">
        <f t="shared" si="9"/>
        <v>1.4510207152530351E-3</v>
      </c>
      <c r="R19" s="14">
        <f t="shared" ca="1" si="10"/>
        <v>7.987362862973761</v>
      </c>
      <c r="S19" s="14">
        <f t="shared" si="11"/>
        <v>8.0884194623655912</v>
      </c>
      <c r="T19" s="14">
        <f t="shared" ca="1" si="12"/>
        <v>0.1010565993918302</v>
      </c>
      <c r="U19" s="16">
        <f t="shared" ca="1" si="13"/>
        <v>1.2493985983545237E-2</v>
      </c>
      <c r="V19" s="14">
        <f t="shared" si="14"/>
        <v>0.14166666666666661</v>
      </c>
      <c r="W19" s="14">
        <f t="shared" ca="1" si="15"/>
        <v>1.2637137026239031E-2</v>
      </c>
      <c r="X19" s="14">
        <f t="shared" ca="1" si="16"/>
        <v>0.12902952964042758</v>
      </c>
      <c r="Y19" s="28">
        <f t="shared" ca="1" si="17"/>
        <v>0.91079667981478329</v>
      </c>
      <c r="Z19" s="29">
        <f t="shared" ca="1" si="18"/>
        <v>20.151646</v>
      </c>
      <c r="AA19" s="16">
        <f t="shared" ca="1" si="19"/>
        <v>7.1352718894009209E-2</v>
      </c>
      <c r="AB19" s="2"/>
    </row>
    <row r="20" spans="1:28" x14ac:dyDescent="0.25">
      <c r="A20" s="30" t="s">
        <v>128</v>
      </c>
      <c r="B20" s="30"/>
      <c r="C20" s="30"/>
      <c r="F20" s="13">
        <v>18</v>
      </c>
      <c r="G20" s="13">
        <f t="shared" si="0"/>
        <v>21.8</v>
      </c>
      <c r="H20" s="13">
        <f t="shared" si="1"/>
        <v>294.95</v>
      </c>
      <c r="I20" s="14">
        <f t="shared" si="2"/>
        <v>0.15</v>
      </c>
      <c r="J20" s="14">
        <f t="shared" si="3"/>
        <v>11519.452103</v>
      </c>
      <c r="K20" s="14">
        <f t="shared" si="4"/>
        <v>10.539452103</v>
      </c>
      <c r="L20" s="14">
        <f t="shared" si="5"/>
        <v>2188.0421000000001</v>
      </c>
      <c r="M20" s="14">
        <v>2186.35</v>
      </c>
      <c r="N20" s="13">
        <f t="shared" si="6"/>
        <v>2.1880421000000001</v>
      </c>
      <c r="O20" s="13">
        <f t="shared" si="7"/>
        <v>2.1907800000000002</v>
      </c>
      <c r="P20" s="13">
        <f t="shared" si="8"/>
        <v>2.7379000000000708E-3</v>
      </c>
      <c r="Q20" s="16">
        <f t="shared" si="9"/>
        <v>1.2497375364025919E-3</v>
      </c>
      <c r="R20" s="14">
        <f t="shared" ca="1" si="10"/>
        <v>7.9814113644314872</v>
      </c>
      <c r="S20" s="14">
        <f t="shared" si="11"/>
        <v>8.0799735483870965</v>
      </c>
      <c r="T20" s="14">
        <f t="shared" ca="1" si="12"/>
        <v>9.8562183955609228E-2</v>
      </c>
      <c r="U20" s="16">
        <f t="shared" ca="1" si="13"/>
        <v>1.2198330027365492E-2</v>
      </c>
      <c r="V20" s="14">
        <f t="shared" si="14"/>
        <v>0.15000000000000036</v>
      </c>
      <c r="W20" s="14">
        <f t="shared" ca="1" si="15"/>
        <v>1.8588635568512757E-2</v>
      </c>
      <c r="X20" s="14">
        <f t="shared" ca="1" si="16"/>
        <v>0.1314113644314876</v>
      </c>
      <c r="Y20" s="28">
        <f t="shared" ca="1" si="17"/>
        <v>0.87607576287658195</v>
      </c>
      <c r="Z20" s="29">
        <f t="shared" ca="1" si="18"/>
        <v>20.223064000000001</v>
      </c>
      <c r="AA20" s="16">
        <f t="shared" ca="1" si="19"/>
        <v>7.233651376146788E-2</v>
      </c>
      <c r="AB20" s="2"/>
    </row>
    <row r="21" spans="1:28" x14ac:dyDescent="0.25">
      <c r="A21" s="13" t="s">
        <v>101</v>
      </c>
      <c r="B21" s="13" t="s">
        <v>100</v>
      </c>
      <c r="C21" s="13" t="s">
        <v>35</v>
      </c>
      <c r="F21" s="13">
        <v>19</v>
      </c>
      <c r="G21" s="13">
        <f t="shared" si="0"/>
        <v>21.9</v>
      </c>
      <c r="H21" s="13">
        <f t="shared" si="1"/>
        <v>295.04999999999995</v>
      </c>
      <c r="I21" s="14">
        <f t="shared" si="2"/>
        <v>0.158333</v>
      </c>
      <c r="J21" s="14">
        <f t="shared" si="3"/>
        <v>11468.189754000001</v>
      </c>
      <c r="K21" s="14">
        <f t="shared" si="4"/>
        <v>10.488189754</v>
      </c>
      <c r="L21" s="14">
        <f t="shared" si="5"/>
        <v>2186.1923809999998</v>
      </c>
      <c r="M21" s="14">
        <v>2184.67</v>
      </c>
      <c r="N21" s="13">
        <f t="shared" si="6"/>
        <v>2.1861923810000001</v>
      </c>
      <c r="O21" s="13">
        <f t="shared" si="7"/>
        <v>2.1884899999999998</v>
      </c>
      <c r="P21" s="13">
        <f t="shared" si="8"/>
        <v>2.2976189999996954E-3</v>
      </c>
      <c r="Q21" s="16">
        <f t="shared" si="9"/>
        <v>1.049864975393854E-3</v>
      </c>
      <c r="R21" s="14">
        <f t="shared" ca="1" si="10"/>
        <v>7.9746643644314874</v>
      </c>
      <c r="S21" s="14">
        <f t="shared" si="11"/>
        <v>8.0715276344086018</v>
      </c>
      <c r="T21" s="14">
        <f t="shared" ca="1" si="12"/>
        <v>9.6863269977114363E-2</v>
      </c>
      <c r="U21" s="16">
        <f t="shared" ca="1" si="13"/>
        <v>1.2000611825225016E-2</v>
      </c>
      <c r="V21" s="14">
        <f t="shared" si="14"/>
        <v>0.15833333333333321</v>
      </c>
      <c r="W21" s="14">
        <f t="shared" ca="1" si="15"/>
        <v>2.5335635568512593E-2</v>
      </c>
      <c r="X21" s="14">
        <f t="shared" ca="1" si="16"/>
        <v>0.13299769776482062</v>
      </c>
      <c r="Y21" s="28">
        <f t="shared" ca="1" si="17"/>
        <v>0.83998545956728876</v>
      </c>
      <c r="Z21" s="29">
        <f t="shared" ca="1" si="18"/>
        <v>20.304027999999999</v>
      </c>
      <c r="AA21" s="16">
        <f t="shared" ca="1" si="19"/>
        <v>7.2875433789954328E-2</v>
      </c>
      <c r="AB21" s="2"/>
    </row>
    <row r="22" spans="1:28" x14ac:dyDescent="0.25">
      <c r="A22" s="13" t="s">
        <v>103</v>
      </c>
      <c r="B22" s="13">
        <f>18600</f>
        <v>18600</v>
      </c>
      <c r="C22" s="13" t="s">
        <v>37</v>
      </c>
      <c r="F22" s="13">
        <v>20</v>
      </c>
      <c r="G22" s="13">
        <f t="shared" si="0"/>
        <v>22</v>
      </c>
      <c r="H22" s="13">
        <f t="shared" si="1"/>
        <v>295.14999999999998</v>
      </c>
      <c r="I22" s="14">
        <f t="shared" si="2"/>
        <v>0.16666700000000001</v>
      </c>
      <c r="J22" s="14">
        <f t="shared" si="3"/>
        <v>11417.185414</v>
      </c>
      <c r="K22" s="14">
        <f t="shared" si="4"/>
        <v>10.437185414</v>
      </c>
      <c r="L22" s="14">
        <f t="shared" si="5"/>
        <v>2184.3386580000001</v>
      </c>
      <c r="M22" s="14">
        <v>2182.73</v>
      </c>
      <c r="N22" s="13">
        <f t="shared" si="6"/>
        <v>2.1843386580000002</v>
      </c>
      <c r="O22" s="13">
        <f t="shared" si="7"/>
        <v>2.1861999999999999</v>
      </c>
      <c r="P22" s="13">
        <f t="shared" si="8"/>
        <v>1.861341999999766E-3</v>
      </c>
      <c r="Q22" s="16">
        <f t="shared" si="9"/>
        <v>8.5140517793420823E-4</v>
      </c>
      <c r="R22" s="14">
        <f t="shared" ca="1" si="10"/>
        <v>7.9675072274052487</v>
      </c>
      <c r="S22" s="14">
        <f t="shared" si="11"/>
        <v>8.0630817204301071</v>
      </c>
      <c r="T22" s="14">
        <f t="shared" ca="1" si="12"/>
        <v>9.557449302485832E-2</v>
      </c>
      <c r="U22" s="16">
        <f t="shared" ca="1" si="13"/>
        <v>1.1853345450126495E-2</v>
      </c>
      <c r="V22" s="14">
        <f t="shared" si="14"/>
        <v>0.16666666666666696</v>
      </c>
      <c r="W22" s="14">
        <f t="shared" ca="1" si="15"/>
        <v>3.2492772594751251E-2</v>
      </c>
      <c r="X22" s="14">
        <f t="shared" ca="1" si="16"/>
        <v>0.13417389407191571</v>
      </c>
      <c r="Y22" s="28">
        <f t="shared" ca="1" si="17"/>
        <v>0.80504336443149282</v>
      </c>
      <c r="Z22" s="29">
        <f t="shared" ca="1" si="18"/>
        <v>20.389913</v>
      </c>
      <c r="AA22" s="16">
        <f t="shared" ca="1" si="19"/>
        <v>7.3185772727272724E-2</v>
      </c>
      <c r="AB22" s="2"/>
    </row>
    <row r="23" spans="1:28" x14ac:dyDescent="0.25">
      <c r="A23" s="13" t="s">
        <v>102</v>
      </c>
      <c r="B23" s="13">
        <f>1+(50000/$B$22)</f>
        <v>3.6881720430107525</v>
      </c>
      <c r="C23" s="13" t="s">
        <v>104</v>
      </c>
      <c r="F23" s="13">
        <v>21</v>
      </c>
      <c r="G23" s="13">
        <f t="shared" si="0"/>
        <v>22.1</v>
      </c>
      <c r="H23" s="13">
        <f t="shared" si="1"/>
        <v>295.25</v>
      </c>
      <c r="I23" s="14">
        <f t="shared" si="2"/>
        <v>0.17499999999999999</v>
      </c>
      <c r="J23" s="14">
        <f t="shared" si="3"/>
        <v>11366.437644</v>
      </c>
      <c r="K23" s="14">
        <f t="shared" si="4"/>
        <v>10.386437643999999</v>
      </c>
      <c r="L23" s="14">
        <f t="shared" si="5"/>
        <v>2182.4809380000002</v>
      </c>
      <c r="M23" s="14">
        <v>2181.04</v>
      </c>
      <c r="N23" s="13">
        <f t="shared" si="6"/>
        <v>2.1824809380000003</v>
      </c>
      <c r="O23" s="13">
        <f t="shared" si="7"/>
        <v>2.18391</v>
      </c>
      <c r="P23" s="13">
        <f t="shared" si="8"/>
        <v>1.4290619999997034E-3</v>
      </c>
      <c r="Q23" s="16">
        <f t="shared" si="9"/>
        <v>6.5435938294146887E-4</v>
      </c>
      <c r="R23" s="14">
        <f t="shared" ca="1" si="10"/>
        <v>7.9603458629737611</v>
      </c>
      <c r="S23" s="14">
        <f t="shared" si="11"/>
        <v>8.0546358064516124</v>
      </c>
      <c r="T23" s="14">
        <f t="shared" ca="1" si="12"/>
        <v>9.4289943477851246E-2</v>
      </c>
      <c r="U23" s="16">
        <f t="shared" ca="1" si="13"/>
        <v>1.1706295075728535E-2</v>
      </c>
      <c r="V23" s="14">
        <f t="shared" si="14"/>
        <v>0.17499999999999982</v>
      </c>
      <c r="W23" s="14">
        <f t="shared" ca="1" si="15"/>
        <v>3.9654137026238878E-2</v>
      </c>
      <c r="X23" s="14">
        <f t="shared" ca="1" si="16"/>
        <v>0.13534586297376094</v>
      </c>
      <c r="Y23" s="28">
        <f t="shared" ca="1" si="17"/>
        <v>0.77340493127863474</v>
      </c>
      <c r="Z23" s="29">
        <f t="shared" ca="1" si="18"/>
        <v>20.475850000000001</v>
      </c>
      <c r="AA23" s="16">
        <f t="shared" ca="1" si="19"/>
        <v>7.3490950226244342E-2</v>
      </c>
      <c r="AB23" s="2"/>
    </row>
    <row r="24" spans="1:28" x14ac:dyDescent="0.25">
      <c r="A24" s="13" t="s">
        <v>51</v>
      </c>
      <c r="B24" s="13">
        <f>(125+1000/$B$23)*10^-6</f>
        <v>3.9613702623906704E-4</v>
      </c>
      <c r="C24" s="13" t="s">
        <v>22</v>
      </c>
      <c r="F24" s="13">
        <v>22</v>
      </c>
      <c r="G24" s="13">
        <f t="shared" si="0"/>
        <v>22.2</v>
      </c>
      <c r="H24" s="13">
        <f t="shared" si="1"/>
        <v>295.34999999999997</v>
      </c>
      <c r="I24" s="14">
        <f t="shared" si="2"/>
        <v>0.183333</v>
      </c>
      <c r="J24" s="14">
        <f t="shared" si="3"/>
        <v>11315.945014999999</v>
      </c>
      <c r="K24" s="14">
        <f t="shared" si="4"/>
        <v>10.335945015</v>
      </c>
      <c r="L24" s="14">
        <f t="shared" si="5"/>
        <v>2180.6192249999999</v>
      </c>
      <c r="M24" s="14">
        <v>2178.56</v>
      </c>
      <c r="N24" s="13">
        <f t="shared" si="6"/>
        <v>2.180619225</v>
      </c>
      <c r="O24" s="13">
        <f t="shared" si="7"/>
        <v>2.1816200000000001</v>
      </c>
      <c r="P24" s="13">
        <f t="shared" si="8"/>
        <v>1.0007750000000648E-3</v>
      </c>
      <c r="Q24" s="16">
        <f t="shared" si="9"/>
        <v>4.587302096607405E-4</v>
      </c>
      <c r="R24" s="14">
        <f t="shared" ca="1" si="10"/>
        <v>7.9535548629737614</v>
      </c>
      <c r="S24" s="14">
        <f t="shared" si="11"/>
        <v>8.0461898924731177</v>
      </c>
      <c r="T24" s="14">
        <f t="shared" ca="1" si="12"/>
        <v>9.2635029499356314E-2</v>
      </c>
      <c r="U24" s="16">
        <f t="shared" ca="1" si="13"/>
        <v>1.1512906199990706E-2</v>
      </c>
      <c r="V24" s="14">
        <f t="shared" si="14"/>
        <v>0.18333333333333357</v>
      </c>
      <c r="W24" s="14">
        <f t="shared" ca="1" si="15"/>
        <v>4.6445137026238648E-2</v>
      </c>
      <c r="X24" s="14">
        <f t="shared" ca="1" si="16"/>
        <v>0.13688819630709492</v>
      </c>
      <c r="Y24" s="28">
        <f t="shared" ca="1" si="17"/>
        <v>0.74666288894778954</v>
      </c>
      <c r="Z24" s="29">
        <f t="shared" ca="1" si="18"/>
        <v>20.557341999999998</v>
      </c>
      <c r="AA24" s="16">
        <f t="shared" ca="1" si="19"/>
        <v>7.3993603603603644E-2</v>
      </c>
      <c r="AB24" s="2"/>
    </row>
    <row r="25" spans="1:28" x14ac:dyDescent="0.25">
      <c r="A25" s="13" t="s">
        <v>106</v>
      </c>
      <c r="B25" s="13">
        <f>(1+20/$B$23)*10^-6 * (MAX(G:G)-MIN(G:G))</f>
        <v>3.8536443148688042E-4</v>
      </c>
      <c r="C25" s="13" t="s">
        <v>22</v>
      </c>
      <c r="F25" s="13">
        <v>23</v>
      </c>
      <c r="G25" s="13">
        <f t="shared" si="0"/>
        <v>22.3</v>
      </c>
      <c r="H25" s="13">
        <f t="shared" si="1"/>
        <v>295.45</v>
      </c>
      <c r="I25" s="14">
        <f t="shared" si="2"/>
        <v>0.191667</v>
      </c>
      <c r="J25" s="14">
        <f t="shared" si="3"/>
        <v>11265.706103</v>
      </c>
      <c r="K25" s="14">
        <f t="shared" si="4"/>
        <v>10.285706103000001</v>
      </c>
      <c r="L25" s="14">
        <f t="shared" si="5"/>
        <v>2178.7535250000001</v>
      </c>
      <c r="M25" s="14">
        <v>2177.37</v>
      </c>
      <c r="N25" s="13">
        <f t="shared" si="6"/>
        <v>2.1787535249999999</v>
      </c>
      <c r="O25" s="13">
        <f t="shared" si="7"/>
        <v>2.1793299999999998</v>
      </c>
      <c r="P25" s="13">
        <f t="shared" si="8"/>
        <v>5.764749999999097E-4</v>
      </c>
      <c r="Q25" s="16">
        <f t="shared" si="9"/>
        <v>2.6451937063221714E-4</v>
      </c>
      <c r="R25" s="14">
        <f t="shared" ca="1" si="10"/>
        <v>7.9471567725947514</v>
      </c>
      <c r="S25" s="14">
        <f t="shared" si="11"/>
        <v>8.037743978494623</v>
      </c>
      <c r="T25" s="14">
        <f t="shared" ca="1" si="12"/>
        <v>9.058720589987157E-2</v>
      </c>
      <c r="U25" s="16">
        <f t="shared" ca="1" si="13"/>
        <v>1.1270227832864802E-2</v>
      </c>
      <c r="V25" s="14">
        <f t="shared" si="14"/>
        <v>0.19166666666666732</v>
      </c>
      <c r="W25" s="14">
        <f t="shared" ca="1" si="15"/>
        <v>5.2843227405248605E-2</v>
      </c>
      <c r="X25" s="14">
        <f t="shared" ca="1" si="16"/>
        <v>0.13882343926141871</v>
      </c>
      <c r="Y25" s="28">
        <f t="shared" ca="1" si="17"/>
        <v>0.72429620484218216</v>
      </c>
      <c r="Z25" s="29">
        <f t="shared" ca="1" si="18"/>
        <v>20.634118999999998</v>
      </c>
      <c r="AA25" s="16">
        <f t="shared" ca="1" si="19"/>
        <v>7.4703183856502348E-2</v>
      </c>
      <c r="AB25" s="2"/>
    </row>
    <row r="26" spans="1:28" x14ac:dyDescent="0.25">
      <c r="A26" s="13" t="s">
        <v>52</v>
      </c>
      <c r="B26" s="13">
        <f>0.5%</f>
        <v>5.0000000000000001E-3</v>
      </c>
      <c r="C26" s="31">
        <f>SUM(B26:B28)</f>
        <v>1.1009999999999999E-2</v>
      </c>
      <c r="F26" s="13">
        <v>24</v>
      </c>
      <c r="G26" s="13">
        <f t="shared" si="0"/>
        <v>22.4</v>
      </c>
      <c r="H26" s="13">
        <f t="shared" si="1"/>
        <v>295.54999999999995</v>
      </c>
      <c r="I26" s="14">
        <f t="shared" si="2"/>
        <v>0.2</v>
      </c>
      <c r="J26" s="14">
        <f t="shared" si="3"/>
        <v>11215.719497</v>
      </c>
      <c r="K26" s="14">
        <f t="shared" si="4"/>
        <v>10.235719497</v>
      </c>
      <c r="L26" s="14">
        <f t="shared" si="5"/>
        <v>2176.8838449999998</v>
      </c>
      <c r="M26" s="14">
        <v>2174.88</v>
      </c>
      <c r="N26" s="13">
        <f t="shared" si="6"/>
        <v>2.1768838449999999</v>
      </c>
      <c r="O26" s="13">
        <f t="shared" si="7"/>
        <v>2.1770399999999999</v>
      </c>
      <c r="P26" s="13">
        <f t="shared" si="8"/>
        <v>1.5615499999999116E-4</v>
      </c>
      <c r="Q26" s="16">
        <f t="shared" si="9"/>
        <v>7.1728126263178978E-5</v>
      </c>
      <c r="R26" s="14">
        <f t="shared" ca="1" si="10"/>
        <v>7.9403152274052484</v>
      </c>
      <c r="S26" s="14">
        <f t="shared" si="11"/>
        <v>8.0292980645161283</v>
      </c>
      <c r="T26" s="14">
        <f t="shared" ca="1" si="12"/>
        <v>8.8982837110879842E-2</v>
      </c>
      <c r="U26" s="16">
        <f t="shared" ca="1" si="13"/>
        <v>1.108226851163013E-2</v>
      </c>
      <c r="V26" s="14">
        <f t="shared" si="14"/>
        <v>0.20000000000000018</v>
      </c>
      <c r="W26" s="14">
        <f t="shared" ca="1" si="15"/>
        <v>5.9684772594751578E-2</v>
      </c>
      <c r="X26" s="14">
        <f t="shared" ca="1" si="16"/>
        <v>0.1403152274052486</v>
      </c>
      <c r="Y26" s="28">
        <f t="shared" ca="1" si="17"/>
        <v>0.70157613702624233</v>
      </c>
      <c r="Z26" s="29">
        <f t="shared" ca="1" si="18"/>
        <v>20.716217</v>
      </c>
      <c r="AA26" s="16">
        <f t="shared" ca="1" si="19"/>
        <v>7.5168883928571351E-2</v>
      </c>
      <c r="AB26" s="2"/>
    </row>
    <row r="27" spans="1:28" x14ac:dyDescent="0.25">
      <c r="A27" s="13" t="s">
        <v>107</v>
      </c>
      <c r="B27" s="13">
        <f>(100/10000)% * (MAX(G:G)-MIN(G:G))</f>
        <v>6.0000000000000001E-3</v>
      </c>
      <c r="C27" s="32"/>
      <c r="F27" s="13">
        <v>25</v>
      </c>
      <c r="G27" s="13">
        <f t="shared" si="0"/>
        <v>22.5</v>
      </c>
      <c r="H27" s="13">
        <f t="shared" si="1"/>
        <v>295.64999999999998</v>
      </c>
      <c r="I27" s="14">
        <f t="shared" si="2"/>
        <v>0.20833299999999999</v>
      </c>
      <c r="J27" s="14">
        <f t="shared" si="3"/>
        <v>11165.983792000001</v>
      </c>
      <c r="K27" s="14">
        <f t="shared" si="4"/>
        <v>10.185983792000002</v>
      </c>
      <c r="L27" s="14">
        <f t="shared" si="5"/>
        <v>2175.0101890000001</v>
      </c>
      <c r="M27" s="14">
        <v>2173.16</v>
      </c>
      <c r="N27" s="13">
        <f t="shared" si="6"/>
        <v>2.175010189</v>
      </c>
      <c r="O27" s="13">
        <f t="shared" si="7"/>
        <v>2.17475</v>
      </c>
      <c r="P27" s="13">
        <f t="shared" si="8"/>
        <v>2.6018900000002176E-4</v>
      </c>
      <c r="Q27" s="16">
        <f t="shared" si="9"/>
        <v>1.1964087826187918E-4</v>
      </c>
      <c r="R27" s="14">
        <f t="shared" ca="1" si="10"/>
        <v>7.9334812274052489</v>
      </c>
      <c r="S27" s="14">
        <f t="shared" si="11"/>
        <v>8.0208521505376336</v>
      </c>
      <c r="T27" s="14">
        <f t="shared" ca="1" si="12"/>
        <v>8.7370923132384704E-2</v>
      </c>
      <c r="U27" s="16">
        <f t="shared" ca="1" si="13"/>
        <v>1.0892972653351835E-2</v>
      </c>
      <c r="V27" s="14">
        <f t="shared" si="14"/>
        <v>0.20833333333333393</v>
      </c>
      <c r="W27" s="14">
        <f t="shared" ca="1" si="15"/>
        <v>6.6518772594751141E-2</v>
      </c>
      <c r="X27" s="14">
        <f t="shared" ca="1" si="16"/>
        <v>0.14181456073858278</v>
      </c>
      <c r="Y27" s="28">
        <f t="shared" ca="1" si="17"/>
        <v>0.68070989154519546</v>
      </c>
      <c r="Z27" s="29">
        <f t="shared" ca="1" si="18"/>
        <v>20.798224999999999</v>
      </c>
      <c r="AA27" s="16">
        <f t="shared" ca="1" si="19"/>
        <v>7.5634444444444504E-2</v>
      </c>
      <c r="AB27" s="2"/>
    </row>
    <row r="28" spans="1:28" x14ac:dyDescent="0.25">
      <c r="A28" s="13" t="s">
        <v>108</v>
      </c>
      <c r="B28" s="13">
        <v>1.0000000000000001E-5</v>
      </c>
      <c r="C28" s="33"/>
      <c r="F28" s="13">
        <v>26</v>
      </c>
      <c r="G28" s="13">
        <f t="shared" si="0"/>
        <v>22.6</v>
      </c>
      <c r="H28" s="13">
        <f t="shared" si="1"/>
        <v>295.75</v>
      </c>
      <c r="I28" s="14">
        <f t="shared" si="2"/>
        <v>0.216667</v>
      </c>
      <c r="J28" s="14">
        <f t="shared" si="3"/>
        <v>11116.497593</v>
      </c>
      <c r="K28" s="14">
        <f t="shared" si="4"/>
        <v>10.136497593</v>
      </c>
      <c r="L28" s="14">
        <f t="shared" si="5"/>
        <v>2173.1325649999999</v>
      </c>
      <c r="M28" s="14">
        <v>2171.17</v>
      </c>
      <c r="N28" s="13">
        <f t="shared" si="6"/>
        <v>2.173132565</v>
      </c>
      <c r="O28" s="13">
        <f t="shared" si="7"/>
        <v>2.1724600000000001</v>
      </c>
      <c r="P28" s="13">
        <f t="shared" si="8"/>
        <v>6.7256499999990282E-4</v>
      </c>
      <c r="Q28" s="16">
        <f t="shared" si="9"/>
        <v>3.0958682783568063E-4</v>
      </c>
      <c r="R28" s="14">
        <f t="shared" ca="1" si="10"/>
        <v>7.9274245014577263</v>
      </c>
      <c r="S28" s="14">
        <f t="shared" si="11"/>
        <v>8.0124062365591389</v>
      </c>
      <c r="T28" s="14">
        <f t="shared" ca="1" si="12"/>
        <v>8.4981735101412603E-2</v>
      </c>
      <c r="U28" s="16">
        <f t="shared" ca="1" si="13"/>
        <v>1.0606268902549716E-2</v>
      </c>
      <c r="V28" s="14">
        <f t="shared" si="14"/>
        <v>0.21666666666666767</v>
      </c>
      <c r="W28" s="14">
        <f t="shared" ca="1" si="15"/>
        <v>7.2575498542273742E-2</v>
      </c>
      <c r="X28" s="14">
        <f t="shared" ca="1" si="16"/>
        <v>0.14409116812439393</v>
      </c>
      <c r="Y28" s="28">
        <f t="shared" ca="1" si="17"/>
        <v>0.66503616057412274</v>
      </c>
      <c r="Z28" s="29">
        <f t="shared" ca="1" si="18"/>
        <v>20.870906000000002</v>
      </c>
      <c r="AA28" s="16">
        <f t="shared" ca="1" si="19"/>
        <v>7.6508584070796457E-2</v>
      </c>
      <c r="AB28" s="2"/>
    </row>
    <row r="29" spans="1:28" x14ac:dyDescent="0.25">
      <c r="A29" s="13" t="s">
        <v>105</v>
      </c>
      <c r="B29" s="13">
        <f>$B$23-$B$23*$C$26</f>
        <v>3.6475652688172042</v>
      </c>
      <c r="C29" s="13"/>
      <c r="F29" s="13">
        <v>27</v>
      </c>
      <c r="G29" s="13">
        <f t="shared" si="0"/>
        <v>22.7</v>
      </c>
      <c r="H29" s="13">
        <f t="shared" si="1"/>
        <v>295.84999999999997</v>
      </c>
      <c r="I29" s="14">
        <f t="shared" si="2"/>
        <v>0.22500000000000001</v>
      </c>
      <c r="J29" s="14">
        <f t="shared" si="3"/>
        <v>11067.259511</v>
      </c>
      <c r="K29" s="14">
        <f t="shared" si="4"/>
        <v>10.087259511000001</v>
      </c>
      <c r="L29" s="14">
        <f t="shared" si="5"/>
        <v>2171.2509770000001</v>
      </c>
      <c r="M29" s="14">
        <v>2169.4299999999998</v>
      </c>
      <c r="N29" s="13">
        <f t="shared" si="6"/>
        <v>2.1712509770000001</v>
      </c>
      <c r="O29" s="13">
        <f t="shared" si="7"/>
        <v>2.1701699999999997</v>
      </c>
      <c r="P29" s="13">
        <f t="shared" si="8"/>
        <v>1.0809770000004271E-3</v>
      </c>
      <c r="Q29" s="16">
        <f t="shared" si="9"/>
        <v>4.9810706073737413E-4</v>
      </c>
      <c r="R29" s="14">
        <f t="shared" ca="1" si="10"/>
        <v>7.9193838629737616</v>
      </c>
      <c r="S29" s="14">
        <f t="shared" si="11"/>
        <v>8.0039603225806442</v>
      </c>
      <c r="T29" s="14">
        <f t="shared" ca="1" si="12"/>
        <v>8.4576459606882537E-2</v>
      </c>
      <c r="U29" s="16">
        <f t="shared" ca="1" si="13"/>
        <v>1.0566826445687991E-2</v>
      </c>
      <c r="V29" s="14">
        <f t="shared" si="14"/>
        <v>0.22500000000000053</v>
      </c>
      <c r="W29" s="14">
        <f t="shared" ca="1" si="15"/>
        <v>8.0616137026238377E-2</v>
      </c>
      <c r="X29" s="14">
        <f t="shared" ca="1" si="16"/>
        <v>0.14438386297376216</v>
      </c>
      <c r="Y29" s="28">
        <f t="shared" ca="1" si="17"/>
        <v>0.64170605766116362</v>
      </c>
      <c r="Z29" s="29">
        <f t="shared" ca="1" si="18"/>
        <v>20.967393999999999</v>
      </c>
      <c r="AA29" s="16">
        <f t="shared" ca="1" si="19"/>
        <v>7.632625550660796E-2</v>
      </c>
      <c r="AB29" s="2"/>
    </row>
    <row r="30" spans="1:28" x14ac:dyDescent="0.25">
      <c r="A30" s="13"/>
      <c r="B30" s="13"/>
      <c r="C30" s="13"/>
      <c r="F30" s="13">
        <v>28</v>
      </c>
      <c r="G30" s="13">
        <f t="shared" si="0"/>
        <v>22.8</v>
      </c>
      <c r="H30" s="13">
        <f t="shared" si="1"/>
        <v>295.95</v>
      </c>
      <c r="I30" s="14">
        <f t="shared" si="2"/>
        <v>0.23333300000000001</v>
      </c>
      <c r="J30" s="14">
        <f t="shared" si="3"/>
        <v>11018.268167</v>
      </c>
      <c r="K30" s="14">
        <f t="shared" si="4"/>
        <v>10.038268167</v>
      </c>
      <c r="L30" s="14">
        <f t="shared" si="5"/>
        <v>2169.3654320000001</v>
      </c>
      <c r="M30" s="14">
        <v>2167.4299999999998</v>
      </c>
      <c r="N30" s="13">
        <f t="shared" si="6"/>
        <v>2.1693654320000002</v>
      </c>
      <c r="O30" s="13">
        <f t="shared" si="7"/>
        <v>2.1678799999999998</v>
      </c>
      <c r="P30" s="13">
        <f t="shared" si="8"/>
        <v>1.4854320000003973E-3</v>
      </c>
      <c r="Q30" s="16">
        <f t="shared" si="9"/>
        <v>6.8520028783899359E-4</v>
      </c>
      <c r="R30" s="14">
        <f t="shared" ca="1" si="10"/>
        <v>7.9128912274052485</v>
      </c>
      <c r="S30" s="14">
        <f t="shared" si="11"/>
        <v>7.9955144086021495</v>
      </c>
      <c r="T30" s="14">
        <f t="shared" ca="1" si="12"/>
        <v>8.262318119690093E-2</v>
      </c>
      <c r="U30" s="16">
        <f t="shared" ca="1" si="13"/>
        <v>1.0333691739459435E-2</v>
      </c>
      <c r="V30" s="14">
        <f t="shared" si="14"/>
        <v>0.23333333333333428</v>
      </c>
      <c r="W30" s="14">
        <f t="shared" ca="1" si="15"/>
        <v>8.7108772594751471E-2</v>
      </c>
      <c r="X30" s="14">
        <f t="shared" ca="1" si="16"/>
        <v>0.14622456073858281</v>
      </c>
      <c r="Y30" s="28">
        <f t="shared" ca="1" si="17"/>
        <v>0.62667668887963812</v>
      </c>
      <c r="Z30" s="29">
        <f t="shared" ca="1" si="18"/>
        <v>21.045304999999999</v>
      </c>
      <c r="AA30" s="16">
        <f t="shared" ca="1" si="19"/>
        <v>7.696030701754393E-2</v>
      </c>
      <c r="AB30" s="2"/>
    </row>
    <row r="31" spans="1:28" x14ac:dyDescent="0.25">
      <c r="A31" s="13" t="s">
        <v>121</v>
      </c>
      <c r="B31" s="13">
        <f ca="1">MAX(R:R)</f>
        <v>8.0999647725947526</v>
      </c>
      <c r="C31" s="13" t="s">
        <v>22</v>
      </c>
      <c r="F31" s="13">
        <v>29</v>
      </c>
      <c r="G31" s="13">
        <f t="shared" si="0"/>
        <v>22.9</v>
      </c>
      <c r="H31" s="13">
        <f t="shared" si="1"/>
        <v>296.04999999999995</v>
      </c>
      <c r="I31" s="14">
        <f t="shared" si="2"/>
        <v>0.24166699999999999</v>
      </c>
      <c r="J31" s="14">
        <f t="shared" si="3"/>
        <v>10969.522193000001</v>
      </c>
      <c r="K31" s="14">
        <f t="shared" si="4"/>
        <v>9.9895221930000009</v>
      </c>
      <c r="L31" s="14">
        <f t="shared" si="5"/>
        <v>2167.4759349999999</v>
      </c>
      <c r="M31" s="14">
        <v>2165.6799999999998</v>
      </c>
      <c r="N31" s="13">
        <f t="shared" si="6"/>
        <v>2.1674759350000001</v>
      </c>
      <c r="O31" s="13">
        <f t="shared" si="7"/>
        <v>2.1655899999999999</v>
      </c>
      <c r="P31" s="13">
        <f t="shared" si="8"/>
        <v>1.8859350000002273E-3</v>
      </c>
      <c r="Q31" s="16">
        <f t="shared" si="9"/>
        <v>8.7086429102472185E-4</v>
      </c>
      <c r="R31" s="14">
        <f t="shared" ca="1" si="10"/>
        <v>7.9067915014577261</v>
      </c>
      <c r="S31" s="14">
        <f t="shared" si="11"/>
        <v>7.9870684946236548</v>
      </c>
      <c r="T31" s="14">
        <f t="shared" ca="1" si="12"/>
        <v>8.0276993165928623E-2</v>
      </c>
      <c r="U31" s="16">
        <f t="shared" ca="1" si="13"/>
        <v>1.0050870756894795E-2</v>
      </c>
      <c r="V31" s="14">
        <f t="shared" si="14"/>
        <v>0.24166666666666714</v>
      </c>
      <c r="W31" s="14">
        <f t="shared" ca="1" si="15"/>
        <v>9.3208498542273865E-2</v>
      </c>
      <c r="X31" s="14">
        <f t="shared" ca="1" si="16"/>
        <v>0.14845816812439327</v>
      </c>
      <c r="Y31" s="28">
        <f t="shared" ca="1" si="17"/>
        <v>0.61430966120438479</v>
      </c>
      <c r="Z31" s="29">
        <f t="shared" ca="1" si="18"/>
        <v>21.118501999999999</v>
      </c>
      <c r="AA31" s="16">
        <f t="shared" ca="1" si="19"/>
        <v>7.7794672489082936E-2</v>
      </c>
      <c r="AB31" s="2"/>
    </row>
    <row r="32" spans="1:28" x14ac:dyDescent="0.25">
      <c r="A32" s="13" t="s">
        <v>122</v>
      </c>
      <c r="B32" s="13">
        <f ca="1">MIN(R:R)</f>
        <v>3.1616991370262393</v>
      </c>
      <c r="C32" s="13" t="s">
        <v>22</v>
      </c>
      <c r="F32" s="13">
        <v>30</v>
      </c>
      <c r="G32" s="13">
        <f t="shared" si="0"/>
        <v>23</v>
      </c>
      <c r="H32" s="13">
        <f t="shared" si="1"/>
        <v>296.14999999999998</v>
      </c>
      <c r="I32" s="14">
        <f t="shared" si="2"/>
        <v>0.25</v>
      </c>
      <c r="J32" s="14">
        <f t="shared" si="3"/>
        <v>10921.020224</v>
      </c>
      <c r="K32" s="14">
        <f t="shared" si="4"/>
        <v>9.9410202240000007</v>
      </c>
      <c r="L32" s="14">
        <f t="shared" si="5"/>
        <v>2165.5824950000001</v>
      </c>
      <c r="M32" s="14">
        <v>2163.66</v>
      </c>
      <c r="N32" s="13">
        <f t="shared" si="6"/>
        <v>2.1655824950000002</v>
      </c>
      <c r="O32" s="13">
        <f t="shared" si="7"/>
        <v>2.1633</v>
      </c>
      <c r="P32" s="13">
        <f t="shared" si="8"/>
        <v>2.2824950000002175E-3</v>
      </c>
      <c r="Q32" s="16">
        <f t="shared" si="9"/>
        <v>1.0550986918135337E-3</v>
      </c>
      <c r="R32" s="14">
        <f t="shared" ca="1" si="10"/>
        <v>7.8994883644314875</v>
      </c>
      <c r="S32" s="14">
        <f t="shared" si="11"/>
        <v>7.9786225806451609</v>
      </c>
      <c r="T32" s="14">
        <f t="shared" ca="1" si="12"/>
        <v>7.9134216213673447E-2</v>
      </c>
      <c r="U32" s="16">
        <f t="shared" ca="1" si="13"/>
        <v>9.9182804317176458E-3</v>
      </c>
      <c r="V32" s="14">
        <f t="shared" si="14"/>
        <v>0.25</v>
      </c>
      <c r="W32" s="14">
        <f t="shared" ca="1" si="15"/>
        <v>0.1005116355685125</v>
      </c>
      <c r="X32" s="14">
        <f t="shared" ca="1" si="16"/>
        <v>0.1494883644314875</v>
      </c>
      <c r="Y32" s="28">
        <f t="shared" ca="1" si="17"/>
        <v>0.59795345772594999</v>
      </c>
      <c r="Z32" s="29">
        <f t="shared" ca="1" si="18"/>
        <v>21.206140000000001</v>
      </c>
      <c r="AA32" s="16">
        <f t="shared" ca="1" si="19"/>
        <v>7.7993913043478205E-2</v>
      </c>
      <c r="AB32" s="2"/>
    </row>
    <row r="33" spans="1:28" x14ac:dyDescent="0.25">
      <c r="A33" s="13" t="s">
        <v>129</v>
      </c>
      <c r="B33" s="13">
        <f>MAX(S:S)</f>
        <v>8.2319999999999993</v>
      </c>
      <c r="C33" s="13" t="s">
        <v>22</v>
      </c>
      <c r="F33" s="13">
        <v>31</v>
      </c>
      <c r="G33" s="13">
        <f t="shared" si="0"/>
        <v>23.1</v>
      </c>
      <c r="H33" s="13">
        <f t="shared" si="1"/>
        <v>296.25</v>
      </c>
      <c r="I33" s="14">
        <f t="shared" si="2"/>
        <v>0.25833299999999998</v>
      </c>
      <c r="J33" s="14">
        <f t="shared" si="3"/>
        <v>10872.760908</v>
      </c>
      <c r="K33" s="14">
        <f t="shared" si="4"/>
        <v>9.8927609079999996</v>
      </c>
      <c r="L33" s="14">
        <f t="shared" si="5"/>
        <v>2163.6851150000002</v>
      </c>
      <c r="M33" s="14">
        <v>2161.89</v>
      </c>
      <c r="N33" s="13">
        <f t="shared" si="6"/>
        <v>2.1636851150000003</v>
      </c>
      <c r="O33" s="13">
        <f t="shared" si="7"/>
        <v>2.1610100000000001</v>
      </c>
      <c r="P33" s="13">
        <f t="shared" si="8"/>
        <v>2.6751150000001722E-3</v>
      </c>
      <c r="Q33" s="16">
        <f t="shared" si="9"/>
        <v>1.2379003336403683E-3</v>
      </c>
      <c r="R33" s="14">
        <f t="shared" ca="1" si="10"/>
        <v>7.8917868629737615</v>
      </c>
      <c r="S33" s="14">
        <f t="shared" si="11"/>
        <v>7.9701766666666662</v>
      </c>
      <c r="T33" s="14">
        <f t="shared" ca="1" si="12"/>
        <v>7.8389803692904714E-2</v>
      </c>
      <c r="U33" s="16">
        <f t="shared" ca="1" si="13"/>
        <v>9.8353909795690087E-3</v>
      </c>
      <c r="V33" s="14">
        <f t="shared" si="14"/>
        <v>0.25833333333333375</v>
      </c>
      <c r="W33" s="14">
        <f t="shared" ca="1" si="15"/>
        <v>0.10821313702623847</v>
      </c>
      <c r="X33" s="14">
        <f t="shared" ca="1" si="16"/>
        <v>0.15012019630709528</v>
      </c>
      <c r="Y33" s="28">
        <f t="shared" ca="1" si="17"/>
        <v>0.58111043731778722</v>
      </c>
      <c r="Z33" s="29">
        <f t="shared" ca="1" si="18"/>
        <v>21.298558</v>
      </c>
      <c r="AA33" s="16">
        <f t="shared" ca="1" si="19"/>
        <v>7.7984502164502228E-2</v>
      </c>
      <c r="AB33" s="2"/>
    </row>
    <row r="34" spans="1:28" x14ac:dyDescent="0.25">
      <c r="A34" s="13" t="s">
        <v>130</v>
      </c>
      <c r="B34" s="13">
        <f>MIN(S:S)</f>
        <v>3.1644516129032252</v>
      </c>
      <c r="C34" s="13" t="s">
        <v>22</v>
      </c>
      <c r="F34" s="13">
        <v>32</v>
      </c>
      <c r="G34" s="13">
        <f t="shared" si="0"/>
        <v>23.2</v>
      </c>
      <c r="H34" s="13">
        <f t="shared" si="1"/>
        <v>296.34999999999997</v>
      </c>
      <c r="I34" s="14">
        <f t="shared" si="2"/>
        <v>0.26666699999999999</v>
      </c>
      <c r="J34" s="14">
        <f t="shared" si="3"/>
        <v>10824.742897</v>
      </c>
      <c r="K34" s="14">
        <f t="shared" si="4"/>
        <v>9.8447428969999997</v>
      </c>
      <c r="L34" s="14">
        <f t="shared" si="5"/>
        <v>2161.7838040000001</v>
      </c>
      <c r="M34" s="14">
        <v>2159.86</v>
      </c>
      <c r="N34" s="13">
        <f t="shared" si="6"/>
        <v>2.1617838040000001</v>
      </c>
      <c r="O34" s="13">
        <f t="shared" si="7"/>
        <v>2.1587199999999998</v>
      </c>
      <c r="P34" s="13">
        <f t="shared" si="8"/>
        <v>3.0638040000003919E-3</v>
      </c>
      <c r="Q34" s="16">
        <f t="shared" si="9"/>
        <v>1.4192688259711274E-3</v>
      </c>
      <c r="R34" s="14">
        <f t="shared" ca="1" si="10"/>
        <v>7.8848626355685125</v>
      </c>
      <c r="S34" s="14">
        <f t="shared" si="11"/>
        <v>7.9617307526881707</v>
      </c>
      <c r="T34" s="14">
        <f t="shared" ca="1" si="12"/>
        <v>7.686811711965813E-2</v>
      </c>
      <c r="U34" s="16">
        <f t="shared" ca="1" si="13"/>
        <v>9.6546993998389927E-3</v>
      </c>
      <c r="V34" s="14">
        <f t="shared" si="14"/>
        <v>0.2666666666666675</v>
      </c>
      <c r="W34" s="14">
        <f t="shared" ca="1" si="15"/>
        <v>0.11513736443148748</v>
      </c>
      <c r="X34" s="14">
        <f t="shared" ca="1" si="16"/>
        <v>0.15152930223518002</v>
      </c>
      <c r="Y34" s="28">
        <f t="shared" ca="1" si="17"/>
        <v>0.56823488338192329</v>
      </c>
      <c r="Z34" s="29">
        <f t="shared" ca="1" si="18"/>
        <v>21.381647999999998</v>
      </c>
      <c r="AA34" s="16">
        <f t="shared" ca="1" si="19"/>
        <v>7.8377241379310389E-2</v>
      </c>
      <c r="AB34" s="2"/>
    </row>
    <row r="35" spans="1:28" x14ac:dyDescent="0.25">
      <c r="A35" s="13" t="s">
        <v>123</v>
      </c>
      <c r="B35" s="13">
        <f ca="1">MAX(T:T)</f>
        <v>0.13203522740524676</v>
      </c>
      <c r="C35" s="13" t="s">
        <v>22</v>
      </c>
      <c r="F35" s="13">
        <v>33</v>
      </c>
      <c r="G35" s="13">
        <f t="shared" si="0"/>
        <v>23.3</v>
      </c>
      <c r="H35" s="13">
        <f t="shared" si="1"/>
        <v>296.45</v>
      </c>
      <c r="I35" s="14">
        <f t="shared" si="2"/>
        <v>0.27500000000000002</v>
      </c>
      <c r="J35" s="14">
        <f t="shared" si="3"/>
        <v>10776.964856000001</v>
      </c>
      <c r="K35" s="14">
        <f t="shared" si="4"/>
        <v>9.7969648560000007</v>
      </c>
      <c r="L35" s="14">
        <f t="shared" si="5"/>
        <v>2159.8785670000002</v>
      </c>
      <c r="M35" s="14">
        <v>2157.8200000000002</v>
      </c>
      <c r="N35" s="13">
        <f t="shared" si="6"/>
        <v>2.1598785670000002</v>
      </c>
      <c r="O35" s="13">
        <f t="shared" si="7"/>
        <v>2.1564299999999998</v>
      </c>
      <c r="P35" s="13">
        <f t="shared" si="8"/>
        <v>3.4485670000004021E-3</v>
      </c>
      <c r="Q35" s="16">
        <f t="shared" si="9"/>
        <v>1.5992019216948393E-3</v>
      </c>
      <c r="R35" s="14">
        <f t="shared" ca="1" si="10"/>
        <v>7.8782872274052487</v>
      </c>
      <c r="S35" s="14">
        <f t="shared" si="11"/>
        <v>7.9532848387096768</v>
      </c>
      <c r="T35" s="14">
        <f t="shared" ca="1" si="12"/>
        <v>7.4997611304428169E-2</v>
      </c>
      <c r="U35" s="16">
        <f t="shared" ca="1" si="13"/>
        <v>9.4297655403217783E-3</v>
      </c>
      <c r="V35" s="14">
        <f t="shared" si="14"/>
        <v>0.27500000000000036</v>
      </c>
      <c r="W35" s="14">
        <f t="shared" ca="1" si="15"/>
        <v>0.12171277259475133</v>
      </c>
      <c r="X35" s="14">
        <f t="shared" ca="1" si="16"/>
        <v>0.15328722740524903</v>
      </c>
      <c r="Y35" s="28">
        <f t="shared" ca="1" si="17"/>
        <v>0.55740809965545024</v>
      </c>
      <c r="Z35" s="29">
        <f t="shared" ca="1" si="18"/>
        <v>21.460553000000001</v>
      </c>
      <c r="AA35" s="16">
        <f t="shared" ca="1" si="19"/>
        <v>7.8946223175965655E-2</v>
      </c>
      <c r="AB35" s="2"/>
    </row>
    <row r="36" spans="1:28" x14ac:dyDescent="0.25">
      <c r="A36" s="13" t="s">
        <v>124</v>
      </c>
      <c r="B36" s="13">
        <f ca="1">MIN(T:T)</f>
        <v>5.6451612904240278E-5</v>
      </c>
      <c r="C36" s="13" t="s">
        <v>22</v>
      </c>
      <c r="F36" s="13">
        <v>34</v>
      </c>
      <c r="G36" s="13">
        <f t="shared" si="0"/>
        <v>23.4</v>
      </c>
      <c r="H36" s="13">
        <f t="shared" si="1"/>
        <v>296.54999999999995</v>
      </c>
      <c r="I36" s="14">
        <f t="shared" si="2"/>
        <v>0.283333</v>
      </c>
      <c r="J36" s="14">
        <f t="shared" si="3"/>
        <v>10729.425454</v>
      </c>
      <c r="K36" s="14">
        <f t="shared" si="4"/>
        <v>9.7494254540000007</v>
      </c>
      <c r="L36" s="14">
        <f t="shared" si="5"/>
        <v>2157.969411</v>
      </c>
      <c r="M36" s="14">
        <v>2156.0300000000002</v>
      </c>
      <c r="N36" s="13">
        <f t="shared" si="6"/>
        <v>2.1579694110000003</v>
      </c>
      <c r="O36" s="13">
        <f t="shared" si="7"/>
        <v>2.1541399999999999</v>
      </c>
      <c r="P36" s="13">
        <f t="shared" si="8"/>
        <v>3.8294110000003379E-3</v>
      </c>
      <c r="Q36" s="16">
        <f t="shared" si="9"/>
        <v>1.7776982925902392E-3</v>
      </c>
      <c r="R36" s="14">
        <f t="shared" ca="1" si="10"/>
        <v>7.872115501457726</v>
      </c>
      <c r="S36" s="14">
        <f t="shared" si="11"/>
        <v>7.9448389247311821</v>
      </c>
      <c r="T36" s="14">
        <f t="shared" ca="1" si="12"/>
        <v>7.2723423273456156E-2</v>
      </c>
      <c r="U36" s="16">
        <f t="shared" ca="1" si="13"/>
        <v>9.153542817221659E-3</v>
      </c>
      <c r="V36" s="14">
        <f t="shared" si="14"/>
        <v>0.2833333333333341</v>
      </c>
      <c r="W36" s="14">
        <f t="shared" ca="1" si="15"/>
        <v>0.12788449854227402</v>
      </c>
      <c r="X36" s="14">
        <f t="shared" ca="1" si="16"/>
        <v>0.15544883479106009</v>
      </c>
      <c r="Y36" s="28">
        <f t="shared" ca="1" si="17"/>
        <v>0.5486429463213871</v>
      </c>
      <c r="Z36" s="29">
        <f t="shared" ca="1" si="18"/>
        <v>21.534614000000001</v>
      </c>
      <c r="AA36" s="16">
        <f t="shared" ca="1" si="19"/>
        <v>7.9717350427350314E-2</v>
      </c>
      <c r="AB36" s="2"/>
    </row>
    <row r="37" spans="1:28" x14ac:dyDescent="0.25">
      <c r="A37" s="13" t="s">
        <v>125</v>
      </c>
      <c r="B37" s="16">
        <f ca="1">MAX(U:U)</f>
        <v>2.7211579762471197E-2</v>
      </c>
      <c r="C37" s="13" t="s">
        <v>23</v>
      </c>
      <c r="F37" s="13">
        <v>35</v>
      </c>
      <c r="G37" s="13">
        <f t="shared" si="0"/>
        <v>23.5</v>
      </c>
      <c r="H37" s="13">
        <f t="shared" si="1"/>
        <v>296.64999999999998</v>
      </c>
      <c r="I37" s="14">
        <f t="shared" si="2"/>
        <v>0.29166700000000001</v>
      </c>
      <c r="J37" s="14">
        <f t="shared" si="3"/>
        <v>10682.123369999999</v>
      </c>
      <c r="K37" s="14">
        <f t="shared" si="4"/>
        <v>9.7021233699999989</v>
      </c>
      <c r="L37" s="14">
        <f t="shared" si="5"/>
        <v>2156.0563430000002</v>
      </c>
      <c r="M37" s="14">
        <v>2154.2399999999998</v>
      </c>
      <c r="N37" s="13">
        <f t="shared" si="6"/>
        <v>2.1560563430000004</v>
      </c>
      <c r="O37" s="13">
        <f t="shared" si="7"/>
        <v>2.15185</v>
      </c>
      <c r="P37" s="13">
        <f t="shared" si="8"/>
        <v>4.2063430000003343E-3</v>
      </c>
      <c r="Q37" s="16">
        <f t="shared" si="9"/>
        <v>1.954756604782087E-3</v>
      </c>
      <c r="R37" s="14">
        <f t="shared" ca="1" si="10"/>
        <v>7.863574498542274</v>
      </c>
      <c r="S37" s="14">
        <f t="shared" si="11"/>
        <v>7.9363930107526883</v>
      </c>
      <c r="T37" s="14">
        <f t="shared" ca="1" si="12"/>
        <v>7.2818512210414355E-2</v>
      </c>
      <c r="U37" s="16">
        <f t="shared" ca="1" si="13"/>
        <v>9.1752654022747588E-3</v>
      </c>
      <c r="V37" s="14">
        <f t="shared" si="14"/>
        <v>0.29166666666666607</v>
      </c>
      <c r="W37" s="14">
        <f t="shared" ca="1" si="15"/>
        <v>0.13642550145772603</v>
      </c>
      <c r="X37" s="14">
        <f t="shared" ca="1" si="16"/>
        <v>0.15524116520894005</v>
      </c>
      <c r="Y37" s="28">
        <f t="shared" ca="1" si="17"/>
        <v>0.53225542357350986</v>
      </c>
      <c r="Z37" s="29">
        <f t="shared" ca="1" si="18"/>
        <v>21.637105999999999</v>
      </c>
      <c r="AA37" s="16">
        <f t="shared" ca="1" si="19"/>
        <v>7.9272085106383006E-2</v>
      </c>
      <c r="AB37" s="2"/>
    </row>
    <row r="38" spans="1:28" x14ac:dyDescent="0.25">
      <c r="A38" s="13" t="s">
        <v>126</v>
      </c>
      <c r="B38" s="16">
        <f ca="1">MIN(U:U)</f>
        <v>7.738924592986513E-6</v>
      </c>
      <c r="C38" s="13" t="s">
        <v>23</v>
      </c>
      <c r="F38" s="13">
        <v>36</v>
      </c>
      <c r="G38" s="13">
        <f t="shared" si="0"/>
        <v>23.6</v>
      </c>
      <c r="H38" s="13">
        <f t="shared" si="1"/>
        <v>296.75</v>
      </c>
      <c r="I38" s="14">
        <f t="shared" si="2"/>
        <v>0.3</v>
      </c>
      <c r="J38" s="14">
        <f t="shared" si="3"/>
        <v>10635.057290999999</v>
      </c>
      <c r="K38" s="14">
        <f t="shared" si="4"/>
        <v>9.6550572909999985</v>
      </c>
      <c r="L38" s="14">
        <f t="shared" si="5"/>
        <v>2154.139369</v>
      </c>
      <c r="M38" s="14">
        <v>2152.17</v>
      </c>
      <c r="N38" s="13">
        <f t="shared" si="6"/>
        <v>2.1541393690000001</v>
      </c>
      <c r="O38" s="13">
        <f t="shared" si="7"/>
        <v>2.1495600000000001</v>
      </c>
      <c r="P38" s="13">
        <f t="shared" si="8"/>
        <v>4.5793689999999998E-3</v>
      </c>
      <c r="Q38" s="16">
        <f t="shared" si="9"/>
        <v>2.1303750534993207E-3</v>
      </c>
      <c r="R38" s="14">
        <f t="shared" ca="1" si="10"/>
        <v>7.8569678629737609</v>
      </c>
      <c r="S38" s="14">
        <f t="shared" si="11"/>
        <v>7.9279470967741936</v>
      </c>
      <c r="T38" s="14">
        <f t="shared" ca="1" si="12"/>
        <v>7.0979233800432695E-2</v>
      </c>
      <c r="U38" s="16">
        <f t="shared" ca="1" si="13"/>
        <v>8.9530407978269024E-3</v>
      </c>
      <c r="V38" s="14">
        <f t="shared" si="14"/>
        <v>0.29999999999999982</v>
      </c>
      <c r="W38" s="14">
        <f t="shared" ca="1" si="15"/>
        <v>0.14303213702623907</v>
      </c>
      <c r="X38" s="14">
        <f t="shared" ca="1" si="16"/>
        <v>0.15696786297376075</v>
      </c>
      <c r="Y38" s="28">
        <f t="shared" ca="1" si="17"/>
        <v>0.5232262099125361</v>
      </c>
      <c r="Z38" s="29">
        <f t="shared" ca="1" si="18"/>
        <v>21.716386</v>
      </c>
      <c r="AA38" s="16">
        <f t="shared" ca="1" si="19"/>
        <v>7.9814152542372938E-2</v>
      </c>
      <c r="AB38" s="2"/>
    </row>
    <row r="39" spans="1:28" x14ac:dyDescent="0.25">
      <c r="F39" s="13">
        <v>37</v>
      </c>
      <c r="G39" s="13">
        <f t="shared" si="0"/>
        <v>23.7</v>
      </c>
      <c r="H39" s="13">
        <f t="shared" si="1"/>
        <v>296.84999999999997</v>
      </c>
      <c r="I39" s="14">
        <f t="shared" si="2"/>
        <v>0.30833300000000002</v>
      </c>
      <c r="J39" s="14">
        <f t="shared" si="3"/>
        <v>10588.225909999999</v>
      </c>
      <c r="K39" s="14">
        <f t="shared" si="4"/>
        <v>9.6082259099999998</v>
      </c>
      <c r="L39" s="14">
        <f t="shared" si="5"/>
        <v>2152.218496</v>
      </c>
      <c r="M39" s="14">
        <v>2150.11</v>
      </c>
      <c r="N39" s="13">
        <f t="shared" si="6"/>
        <v>2.1522184960000001</v>
      </c>
      <c r="O39" s="13">
        <f t="shared" si="7"/>
        <v>2.1472699999999998</v>
      </c>
      <c r="P39" s="13">
        <f t="shared" si="8"/>
        <v>4.9484960000003575E-3</v>
      </c>
      <c r="Q39" s="16">
        <f t="shared" si="9"/>
        <v>2.3045522919802157E-3</v>
      </c>
      <c r="R39" s="14">
        <f t="shared" ca="1" si="10"/>
        <v>7.8507531370262384</v>
      </c>
      <c r="S39" s="14">
        <f t="shared" si="11"/>
        <v>7.919501182795698</v>
      </c>
      <c r="T39" s="14">
        <f t="shared" ca="1" si="12"/>
        <v>6.8748045769459587E-2</v>
      </c>
      <c r="U39" s="16">
        <f t="shared" ca="1" si="13"/>
        <v>8.6808555466609E-3</v>
      </c>
      <c r="V39" s="14">
        <f t="shared" si="14"/>
        <v>0.30833333333333357</v>
      </c>
      <c r="W39" s="14">
        <f t="shared" ca="1" si="15"/>
        <v>0.14924686297376155</v>
      </c>
      <c r="X39" s="14">
        <f t="shared" ca="1" si="16"/>
        <v>0.15908647035957202</v>
      </c>
      <c r="Y39" s="28">
        <f t="shared" ca="1" si="17"/>
        <v>0.51595612008509806</v>
      </c>
      <c r="Z39" s="29">
        <f t="shared" ca="1" si="18"/>
        <v>21.790962</v>
      </c>
      <c r="AA39" s="16">
        <f t="shared" ca="1" si="19"/>
        <v>8.0550126582278433E-2</v>
      </c>
      <c r="AB39" s="2"/>
    </row>
    <row r="40" spans="1:28" x14ac:dyDescent="0.25">
      <c r="A40" s="30" t="s">
        <v>127</v>
      </c>
      <c r="B40" s="30"/>
      <c r="C40" s="30"/>
      <c r="F40" s="13">
        <v>38</v>
      </c>
      <c r="G40" s="13">
        <f t="shared" si="0"/>
        <v>23.8</v>
      </c>
      <c r="H40" s="13">
        <f t="shared" si="1"/>
        <v>296.95</v>
      </c>
      <c r="I40" s="14">
        <f t="shared" si="2"/>
        <v>0.31666699999999998</v>
      </c>
      <c r="J40" s="14">
        <f t="shared" si="3"/>
        <v>10541.627931000001</v>
      </c>
      <c r="K40" s="14">
        <f t="shared" si="4"/>
        <v>9.5616279310000003</v>
      </c>
      <c r="L40" s="14">
        <f t="shared" si="5"/>
        <v>2150.2937320000001</v>
      </c>
      <c r="M40" s="14">
        <v>2148.29</v>
      </c>
      <c r="N40" s="13">
        <f t="shared" si="6"/>
        <v>2.1502937320000002</v>
      </c>
      <c r="O40" s="13">
        <f t="shared" si="7"/>
        <v>2.1449799999999999</v>
      </c>
      <c r="P40" s="13">
        <f t="shared" si="8"/>
        <v>5.313732000000293E-3</v>
      </c>
      <c r="Q40" s="16">
        <f t="shared" si="9"/>
        <v>2.4772874339156043E-3</v>
      </c>
      <c r="R40" s="14">
        <f t="shared" ca="1" si="10"/>
        <v>7.8429408629737614</v>
      </c>
      <c r="S40" s="14">
        <f t="shared" si="11"/>
        <v>7.9110552688172033</v>
      </c>
      <c r="T40" s="14">
        <f t="shared" ca="1" si="12"/>
        <v>6.8114405843441972E-2</v>
      </c>
      <c r="U40" s="16">
        <f t="shared" ca="1" si="13"/>
        <v>8.6100278065211755E-3</v>
      </c>
      <c r="V40" s="14">
        <f t="shared" si="14"/>
        <v>0.31666666666666732</v>
      </c>
      <c r="W40" s="14">
        <f t="shared" ca="1" si="15"/>
        <v>0.15705913702623864</v>
      </c>
      <c r="X40" s="14">
        <f t="shared" ca="1" si="16"/>
        <v>0.15960752964042868</v>
      </c>
      <c r="Y40" s="28">
        <f t="shared" ca="1" si="17"/>
        <v>0.50402377781187901</v>
      </c>
      <c r="Z40" s="29">
        <f t="shared" ca="1" si="18"/>
        <v>21.884709999999998</v>
      </c>
      <c r="AA40" s="16">
        <f t="shared" ca="1" si="19"/>
        <v>8.047436974789926E-2</v>
      </c>
      <c r="AB40" s="2"/>
    </row>
    <row r="41" spans="1:28" x14ac:dyDescent="0.25">
      <c r="A41" s="13" t="s">
        <v>101</v>
      </c>
      <c r="B41" s="13" t="s">
        <v>100</v>
      </c>
      <c r="C41" s="13" t="s">
        <v>35</v>
      </c>
      <c r="F41" s="13">
        <v>39</v>
      </c>
      <c r="G41" s="13">
        <f t="shared" si="0"/>
        <v>23.9</v>
      </c>
      <c r="H41" s="13">
        <f t="shared" si="1"/>
        <v>297.04999999999995</v>
      </c>
      <c r="I41" s="14">
        <f t="shared" si="2"/>
        <v>0.32500000000000001</v>
      </c>
      <c r="J41" s="14">
        <f t="shared" si="3"/>
        <v>10495.262063</v>
      </c>
      <c r="K41" s="14">
        <f t="shared" si="4"/>
        <v>9.5152620629999998</v>
      </c>
      <c r="L41" s="14">
        <f t="shared" si="5"/>
        <v>2148.3650819999998</v>
      </c>
      <c r="M41" s="14">
        <v>2146.46</v>
      </c>
      <c r="N41" s="13">
        <f t="shared" si="6"/>
        <v>2.1483650819999998</v>
      </c>
      <c r="O41" s="13">
        <f t="shared" si="7"/>
        <v>2.14269</v>
      </c>
      <c r="P41" s="13">
        <f t="shared" si="8"/>
        <v>5.6750819999997759E-3</v>
      </c>
      <c r="Q41" s="16">
        <f t="shared" si="9"/>
        <v>2.6485781890986451E-3</v>
      </c>
      <c r="R41" s="14">
        <f t="shared" ca="1" si="10"/>
        <v>7.8362912274052485</v>
      </c>
      <c r="S41" s="14">
        <f t="shared" si="11"/>
        <v>7.9026093548387095</v>
      </c>
      <c r="T41" s="14">
        <f t="shared" ca="1" si="12"/>
        <v>6.6318127433460994E-2</v>
      </c>
      <c r="U41" s="16">
        <f t="shared" ca="1" si="13"/>
        <v>8.3919278374623048E-3</v>
      </c>
      <c r="V41" s="14">
        <f t="shared" si="14"/>
        <v>0.32500000000000018</v>
      </c>
      <c r="W41" s="14">
        <f t="shared" ca="1" si="15"/>
        <v>0.16370877259475147</v>
      </c>
      <c r="X41" s="14">
        <f t="shared" ca="1" si="16"/>
        <v>0.1612912274052487</v>
      </c>
      <c r="Y41" s="28">
        <f t="shared" ca="1" si="17"/>
        <v>0.49628069970845728</v>
      </c>
      <c r="Z41" s="29">
        <f t="shared" ca="1" si="18"/>
        <v>21.964504999999999</v>
      </c>
      <c r="AA41" s="16">
        <f t="shared" ca="1" si="19"/>
        <v>8.0983054393305429E-2</v>
      </c>
      <c r="AB41" s="2"/>
    </row>
    <row r="42" spans="1:28" x14ac:dyDescent="0.25">
      <c r="A42" s="13" t="s">
        <v>93</v>
      </c>
      <c r="B42" s="13">
        <v>0</v>
      </c>
      <c r="C42" s="13" t="s">
        <v>22</v>
      </c>
      <c r="F42" s="13">
        <v>40</v>
      </c>
      <c r="G42" s="13">
        <f t="shared" si="0"/>
        <v>24</v>
      </c>
      <c r="H42" s="13">
        <f t="shared" si="1"/>
        <v>297.14999999999998</v>
      </c>
      <c r="I42" s="14">
        <f t="shared" si="2"/>
        <v>0.33333299999999999</v>
      </c>
      <c r="J42" s="14">
        <f t="shared" si="3"/>
        <v>10449.127026</v>
      </c>
      <c r="K42" s="14">
        <f t="shared" si="4"/>
        <v>9.4691270260000007</v>
      </c>
      <c r="L42" s="14">
        <f t="shared" si="5"/>
        <v>2146.4325549999999</v>
      </c>
      <c r="M42" s="14">
        <v>2144.37</v>
      </c>
      <c r="N42" s="13">
        <f t="shared" si="6"/>
        <v>2.1464325550000001</v>
      </c>
      <c r="O42" s="13">
        <f t="shared" si="7"/>
        <v>2.1404000000000001</v>
      </c>
      <c r="P42" s="13">
        <f t="shared" si="8"/>
        <v>6.032554999999995E-3</v>
      </c>
      <c r="Q42" s="16">
        <f t="shared" si="9"/>
        <v>2.8184241263315242E-3</v>
      </c>
      <c r="R42" s="14">
        <f t="shared" ca="1" si="10"/>
        <v>7.8292637725947509</v>
      </c>
      <c r="S42" s="14">
        <f t="shared" si="11"/>
        <v>7.8941634408602148</v>
      </c>
      <c r="T42" s="14">
        <f t="shared" ca="1" si="12"/>
        <v>6.4899668265463895E-2</v>
      </c>
      <c r="U42" s="16">
        <f t="shared" ca="1" si="13"/>
        <v>8.2212217610726189E-3</v>
      </c>
      <c r="V42" s="14">
        <f t="shared" si="14"/>
        <v>0.33333333333333304</v>
      </c>
      <c r="W42" s="14">
        <f t="shared" ca="1" si="15"/>
        <v>0.17073622740524907</v>
      </c>
      <c r="X42" s="14">
        <f t="shared" ca="1" si="16"/>
        <v>0.16259710592808396</v>
      </c>
      <c r="Y42" s="28">
        <f t="shared" ca="1" si="17"/>
        <v>0.48779131778425233</v>
      </c>
      <c r="Z42" s="29">
        <f t="shared" ca="1" si="18"/>
        <v>22.048835</v>
      </c>
      <c r="AA42" s="16">
        <f t="shared" ca="1" si="19"/>
        <v>8.1298541666666654E-2</v>
      </c>
      <c r="AB42" s="2"/>
    </row>
    <row r="43" spans="1:28" x14ac:dyDescent="0.25">
      <c r="A43" s="13" t="s">
        <v>94</v>
      </c>
      <c r="B43" s="13">
        <v>5</v>
      </c>
      <c r="C43" s="13" t="s">
        <v>22</v>
      </c>
      <c r="F43" s="13">
        <v>41</v>
      </c>
      <c r="G43" s="13">
        <f t="shared" si="0"/>
        <v>24.1</v>
      </c>
      <c r="H43" s="13">
        <f t="shared" si="1"/>
        <v>297.25</v>
      </c>
      <c r="I43" s="14">
        <f t="shared" si="2"/>
        <v>0.341667</v>
      </c>
      <c r="J43" s="14">
        <f t="shared" si="3"/>
        <v>10403.221543</v>
      </c>
      <c r="K43" s="14">
        <f t="shared" si="4"/>
        <v>9.4232215430000004</v>
      </c>
      <c r="L43" s="14">
        <f t="shared" si="5"/>
        <v>2144.496157</v>
      </c>
      <c r="M43" s="14">
        <v>2142.7800000000002</v>
      </c>
      <c r="N43" s="13">
        <f t="shared" si="6"/>
        <v>2.1444961570000003</v>
      </c>
      <c r="O43" s="13">
        <f t="shared" si="7"/>
        <v>2.1381100000000002</v>
      </c>
      <c r="P43" s="13">
        <f t="shared" si="8"/>
        <v>6.3861570000001144E-3</v>
      </c>
      <c r="Q43" s="16">
        <f t="shared" si="9"/>
        <v>2.9868234094598098E-3</v>
      </c>
      <c r="R43" s="14">
        <f t="shared" ca="1" si="10"/>
        <v>7.8222007725947513</v>
      </c>
      <c r="S43" s="14">
        <f t="shared" si="11"/>
        <v>7.885717526881721</v>
      </c>
      <c r="T43" s="14">
        <f t="shared" ca="1" si="12"/>
        <v>6.3516754286969679E-2</v>
      </c>
      <c r="U43" s="16">
        <f t="shared" ca="1" si="13"/>
        <v>8.0546575591183209E-3</v>
      </c>
      <c r="V43" s="14">
        <f t="shared" si="14"/>
        <v>0.3416666666666659</v>
      </c>
      <c r="W43" s="14">
        <f t="shared" ca="1" si="15"/>
        <v>0.17779922740524867</v>
      </c>
      <c r="X43" s="14">
        <f t="shared" ca="1" si="16"/>
        <v>0.16386743926141722</v>
      </c>
      <c r="Y43" s="28">
        <f t="shared" ca="1" si="17"/>
        <v>0.47961201735049053</v>
      </c>
      <c r="Z43" s="29">
        <f t="shared" ca="1" si="18"/>
        <v>22.133590999999999</v>
      </c>
      <c r="AA43" s="16">
        <f t="shared" ca="1" si="19"/>
        <v>8.1593734439834115E-2</v>
      </c>
      <c r="AB43" s="2"/>
    </row>
    <row r="44" spans="1:28" x14ac:dyDescent="0.25">
      <c r="A44" s="13" t="s">
        <v>95</v>
      </c>
      <c r="B44" s="13">
        <f>($B$43-B42)/($B$34-$B$33)</f>
        <v>-0.98667040116108817</v>
      </c>
      <c r="C44" s="13" t="s">
        <v>99</v>
      </c>
      <c r="F44" s="13">
        <v>42</v>
      </c>
      <c r="G44" s="13">
        <f t="shared" si="0"/>
        <v>24.2</v>
      </c>
      <c r="H44" s="13">
        <f t="shared" si="1"/>
        <v>297.34999999999997</v>
      </c>
      <c r="I44" s="14">
        <f t="shared" si="2"/>
        <v>0.35</v>
      </c>
      <c r="J44" s="14">
        <f t="shared" si="3"/>
        <v>10357.544349</v>
      </c>
      <c r="K44" s="14">
        <f t="shared" si="4"/>
        <v>9.3775443490000008</v>
      </c>
      <c r="L44" s="14">
        <f t="shared" si="5"/>
        <v>2142.555895</v>
      </c>
      <c r="M44" s="14">
        <v>2140.9299999999998</v>
      </c>
      <c r="N44" s="13">
        <f t="shared" si="6"/>
        <v>2.1425558950000001</v>
      </c>
      <c r="O44" s="13">
        <f t="shared" si="7"/>
        <v>2.1358199999999998</v>
      </c>
      <c r="P44" s="13">
        <f t="shared" si="8"/>
        <v>6.7358950000002693E-3</v>
      </c>
      <c r="Q44" s="16">
        <f t="shared" si="9"/>
        <v>3.1537746626589648E-3</v>
      </c>
      <c r="R44" s="14">
        <f t="shared" ca="1" si="10"/>
        <v>7.8151120000000001</v>
      </c>
      <c r="S44" s="14">
        <f t="shared" si="11"/>
        <v>7.8772716129032245</v>
      </c>
      <c r="T44" s="14">
        <f t="shared" ca="1" si="12"/>
        <v>6.215961290322447E-2</v>
      </c>
      <c r="U44" s="16">
        <f t="shared" ca="1" si="13"/>
        <v>7.8910079476509389E-3</v>
      </c>
      <c r="V44" s="14">
        <f t="shared" si="14"/>
        <v>0.35000000000000053</v>
      </c>
      <c r="W44" s="14">
        <f t="shared" ca="1" si="15"/>
        <v>0.18488799999999994</v>
      </c>
      <c r="X44" s="14">
        <f t="shared" ca="1" si="16"/>
        <v>0.16511200000000059</v>
      </c>
      <c r="Y44" s="28">
        <f t="shared" ca="1" si="17"/>
        <v>0.47174857142857241</v>
      </c>
      <c r="Z44" s="29">
        <f t="shared" ca="1" si="18"/>
        <v>22.218655999999999</v>
      </c>
      <c r="AA44" s="16">
        <f t="shared" ca="1" si="19"/>
        <v>8.187371900826447E-2</v>
      </c>
      <c r="AB44" s="2"/>
    </row>
    <row r="45" spans="1:28" x14ac:dyDescent="0.25">
      <c r="A45" s="13" t="s">
        <v>96</v>
      </c>
      <c r="B45" s="13">
        <f>$B$42-$B$33*$B$44</f>
        <v>8.1222707423580776</v>
      </c>
      <c r="C45" s="13" t="s">
        <v>99</v>
      </c>
      <c r="F45" s="13">
        <v>43</v>
      </c>
      <c r="G45" s="13">
        <f t="shared" si="0"/>
        <v>24.3</v>
      </c>
      <c r="H45" s="13">
        <f t="shared" si="1"/>
        <v>297.45</v>
      </c>
      <c r="I45" s="14">
        <f t="shared" si="2"/>
        <v>0.35833300000000001</v>
      </c>
      <c r="J45" s="14">
        <f t="shared" si="3"/>
        <v>10312.094186</v>
      </c>
      <c r="K45" s="14">
        <f t="shared" si="4"/>
        <v>9.3320941860000008</v>
      </c>
      <c r="L45" s="14">
        <f t="shared" si="5"/>
        <v>2140.611778</v>
      </c>
      <c r="M45" s="14">
        <v>2138.8200000000002</v>
      </c>
      <c r="N45" s="13">
        <f t="shared" si="6"/>
        <v>2.1406117780000002</v>
      </c>
      <c r="O45" s="13">
        <f t="shared" si="7"/>
        <v>2.1335299999999999</v>
      </c>
      <c r="P45" s="13">
        <f t="shared" si="8"/>
        <v>7.0817780000003161E-3</v>
      </c>
      <c r="Q45" s="16">
        <f t="shared" si="9"/>
        <v>3.3192774416109998E-3</v>
      </c>
      <c r="R45" s="14">
        <f t="shared" ca="1" si="10"/>
        <v>7.8080102274052487</v>
      </c>
      <c r="S45" s="14">
        <f t="shared" si="11"/>
        <v>7.8688256989247307</v>
      </c>
      <c r="T45" s="14">
        <f t="shared" ca="1" si="12"/>
        <v>6.0815471519481967E-2</v>
      </c>
      <c r="U45" s="16">
        <f t="shared" ca="1" si="13"/>
        <v>7.7286591222617065E-3</v>
      </c>
      <c r="V45" s="14">
        <f t="shared" si="14"/>
        <v>0.35833333333333339</v>
      </c>
      <c r="W45" s="14">
        <f t="shared" ca="1" si="15"/>
        <v>0.19198977259475125</v>
      </c>
      <c r="X45" s="14">
        <f t="shared" ca="1" si="16"/>
        <v>0.16634356073858214</v>
      </c>
      <c r="Y45" s="28">
        <f t="shared" ca="1" si="17"/>
        <v>0.46421458810767102</v>
      </c>
      <c r="Z45" s="29">
        <f t="shared" ca="1" si="18"/>
        <v>22.303877</v>
      </c>
      <c r="AA45" s="16">
        <f t="shared" ca="1" si="19"/>
        <v>8.2144979423868336E-2</v>
      </c>
      <c r="AB45" s="2"/>
    </row>
    <row r="46" spans="1:28" x14ac:dyDescent="0.25">
      <c r="A46" s="13" t="s">
        <v>132</v>
      </c>
      <c r="B46" s="13">
        <v>-1</v>
      </c>
      <c r="C46" s="13" t="s">
        <v>99</v>
      </c>
      <c r="F46" s="13">
        <v>44</v>
      </c>
      <c r="G46" s="13">
        <f t="shared" si="0"/>
        <v>24.4</v>
      </c>
      <c r="H46" s="13">
        <f t="shared" si="1"/>
        <v>297.54999999999995</v>
      </c>
      <c r="I46" s="14">
        <f t="shared" si="2"/>
        <v>0.36666700000000002</v>
      </c>
      <c r="J46" s="14">
        <f t="shared" si="3"/>
        <v>10266.869801000001</v>
      </c>
      <c r="K46" s="14">
        <f t="shared" si="4"/>
        <v>9.2868698010000017</v>
      </c>
      <c r="L46" s="14">
        <f t="shared" si="5"/>
        <v>2138.6638109999999</v>
      </c>
      <c r="M46" s="14">
        <v>2136.6999999999998</v>
      </c>
      <c r="N46" s="13">
        <f t="shared" si="6"/>
        <v>2.1386638109999998</v>
      </c>
      <c r="O46" s="13">
        <f t="shared" si="7"/>
        <v>2.13124</v>
      </c>
      <c r="P46" s="13">
        <f t="shared" si="8"/>
        <v>7.4238109999997803E-3</v>
      </c>
      <c r="Q46" s="16">
        <f t="shared" si="9"/>
        <v>3.4833294232464577E-3</v>
      </c>
      <c r="R46" s="14">
        <f t="shared" ca="1" si="10"/>
        <v>7.8009267725947513</v>
      </c>
      <c r="S46" s="14">
        <f t="shared" si="11"/>
        <v>7.860379784946236</v>
      </c>
      <c r="T46" s="14">
        <f t="shared" ca="1" si="12"/>
        <v>5.9453012351484702E-2</v>
      </c>
      <c r="U46" s="16">
        <f t="shared" ca="1" si="13"/>
        <v>7.5636310175935546E-3</v>
      </c>
      <c r="V46" s="14">
        <f t="shared" si="14"/>
        <v>0.36666666666666714</v>
      </c>
      <c r="W46" s="14">
        <f t="shared" ca="1" si="15"/>
        <v>0.19907322740524869</v>
      </c>
      <c r="X46" s="14">
        <f t="shared" ca="1" si="16"/>
        <v>0.16759343926141845</v>
      </c>
      <c r="Y46" s="28">
        <f t="shared" ca="1" si="17"/>
        <v>0.45707301616750429</v>
      </c>
      <c r="Z46" s="29">
        <f t="shared" ca="1" si="18"/>
        <v>22.388878999999999</v>
      </c>
      <c r="AA46" s="16">
        <f t="shared" ca="1" si="19"/>
        <v>8.2422991803278667E-2</v>
      </c>
      <c r="AB46" s="2"/>
    </row>
    <row r="47" spans="1:28" x14ac:dyDescent="0.25">
      <c r="A47" s="13" t="s">
        <v>133</v>
      </c>
      <c r="B47" s="13">
        <v>8</v>
      </c>
      <c r="C47" s="13" t="s">
        <v>99</v>
      </c>
      <c r="F47" s="13">
        <v>45</v>
      </c>
      <c r="G47" s="13">
        <f t="shared" si="0"/>
        <v>24.5</v>
      </c>
      <c r="H47" s="13">
        <f t="shared" si="1"/>
        <v>297.64999999999998</v>
      </c>
      <c r="I47" s="14">
        <f t="shared" si="2"/>
        <v>0.375</v>
      </c>
      <c r="J47" s="14">
        <f t="shared" si="3"/>
        <v>10221.869951000001</v>
      </c>
      <c r="K47" s="14">
        <f t="shared" si="4"/>
        <v>9.241869951</v>
      </c>
      <c r="L47" s="14">
        <f t="shared" si="5"/>
        <v>2136.7120030000001</v>
      </c>
      <c r="M47" s="14">
        <v>2134.83</v>
      </c>
      <c r="N47" s="13">
        <f t="shared" si="6"/>
        <v>2.136712003</v>
      </c>
      <c r="O47" s="13">
        <f t="shared" si="7"/>
        <v>2.1289499999999997</v>
      </c>
      <c r="P47" s="13">
        <f t="shared" si="8"/>
        <v>7.7620030000002949E-3</v>
      </c>
      <c r="Q47" s="16">
        <f t="shared" si="9"/>
        <v>3.645930153362125E-3</v>
      </c>
      <c r="R47" s="14">
        <f t="shared" ca="1" si="10"/>
        <v>7.7938067725947517</v>
      </c>
      <c r="S47" s="14">
        <f t="shared" si="11"/>
        <v>7.8519338709677404</v>
      </c>
      <c r="T47" s="14">
        <f t="shared" ca="1" si="12"/>
        <v>5.8127098372988684E-2</v>
      </c>
      <c r="U47" s="16">
        <f t="shared" ca="1" si="13"/>
        <v>7.4029021803038433E-3</v>
      </c>
      <c r="V47" s="14">
        <f t="shared" si="14"/>
        <v>0.37500000000000089</v>
      </c>
      <c r="W47" s="14">
        <f t="shared" ca="1" si="15"/>
        <v>0.20619322740524826</v>
      </c>
      <c r="X47" s="14">
        <f t="shared" ca="1" si="16"/>
        <v>0.16880677259475263</v>
      </c>
      <c r="Y47" s="28">
        <f t="shared" ca="1" si="17"/>
        <v>0.45015139358600592</v>
      </c>
      <c r="Z47" s="29">
        <f t="shared" ca="1" si="18"/>
        <v>22.474319000000001</v>
      </c>
      <c r="AA47" s="16">
        <f t="shared" ca="1" si="19"/>
        <v>8.2680857142857098E-2</v>
      </c>
      <c r="AB47" s="2"/>
    </row>
    <row r="48" spans="1:28" x14ac:dyDescent="0.25">
      <c r="A48" s="13" t="s">
        <v>137</v>
      </c>
      <c r="B48" s="16">
        <f ca="1">MAX(Y:Y)</f>
        <v>999.6477259475256</v>
      </c>
      <c r="C48" s="13" t="s">
        <v>23</v>
      </c>
      <c r="F48" s="13">
        <v>46</v>
      </c>
      <c r="G48" s="13">
        <f t="shared" si="0"/>
        <v>24.6</v>
      </c>
      <c r="H48" s="13">
        <f t="shared" si="1"/>
        <v>297.75</v>
      </c>
      <c r="I48" s="14">
        <f t="shared" si="2"/>
        <v>0.38333299999999998</v>
      </c>
      <c r="J48" s="14">
        <f t="shared" si="3"/>
        <v>10177.0934</v>
      </c>
      <c r="K48" s="14">
        <f t="shared" si="4"/>
        <v>9.1970934</v>
      </c>
      <c r="L48" s="14">
        <f t="shared" si="5"/>
        <v>2134.7563610000002</v>
      </c>
      <c r="M48" s="14">
        <v>2132.9499999999998</v>
      </c>
      <c r="N48" s="13">
        <f t="shared" si="6"/>
        <v>2.1347563610000004</v>
      </c>
      <c r="O48" s="13">
        <f t="shared" si="7"/>
        <v>2.1266599999999998</v>
      </c>
      <c r="P48" s="13">
        <f t="shared" si="8"/>
        <v>8.0963610000006625E-3</v>
      </c>
      <c r="Q48" s="16">
        <f t="shared" si="9"/>
        <v>3.8070782353552819E-3</v>
      </c>
      <c r="R48" s="14">
        <f t="shared" ca="1" si="10"/>
        <v>7.7862668629737612</v>
      </c>
      <c r="S48" s="14">
        <f t="shared" si="11"/>
        <v>7.8434879569892457</v>
      </c>
      <c r="T48" s="14">
        <f t="shared" ca="1" si="12"/>
        <v>5.7221094015484475E-2</v>
      </c>
      <c r="U48" s="16">
        <f t="shared" ca="1" si="13"/>
        <v>7.2953632783352958E-3</v>
      </c>
      <c r="V48" s="14">
        <f t="shared" si="14"/>
        <v>0.38333333333333464</v>
      </c>
      <c r="W48" s="14">
        <f t="shared" ca="1" si="15"/>
        <v>0.21373313702623875</v>
      </c>
      <c r="X48" s="14">
        <f t="shared" ca="1" si="16"/>
        <v>0.16960019630709589</v>
      </c>
      <c r="Y48" s="28">
        <f t="shared" ca="1" si="17"/>
        <v>0.44243529471416165</v>
      </c>
      <c r="Z48" s="29">
        <f t="shared" ca="1" si="18"/>
        <v>22.564798</v>
      </c>
      <c r="AA48" s="16">
        <f t="shared" ca="1" si="19"/>
        <v>8.2731788617886243E-2</v>
      </c>
      <c r="AB48" s="2"/>
    </row>
    <row r="49" spans="1:28" x14ac:dyDescent="0.25">
      <c r="A49" s="13" t="s">
        <v>138</v>
      </c>
      <c r="B49" s="16">
        <f ca="1">MIN(Y:Y)</f>
        <v>1.6103726345906972E-2</v>
      </c>
      <c r="C49" s="13" t="s">
        <v>23</v>
      </c>
      <c r="F49" s="13">
        <v>47</v>
      </c>
      <c r="G49" s="13">
        <f t="shared" si="0"/>
        <v>24.7</v>
      </c>
      <c r="H49" s="13">
        <f t="shared" si="1"/>
        <v>297.84999999999997</v>
      </c>
      <c r="I49" s="14">
        <f t="shared" si="2"/>
        <v>0.39166699999999999</v>
      </c>
      <c r="J49" s="14">
        <f t="shared" si="3"/>
        <v>10132.538918</v>
      </c>
      <c r="K49" s="14">
        <f t="shared" si="4"/>
        <v>9.1525389180000012</v>
      </c>
      <c r="L49" s="14">
        <f t="shared" si="5"/>
        <v>2132.7968940000001</v>
      </c>
      <c r="M49" s="14">
        <v>2130.5500000000002</v>
      </c>
      <c r="N49" s="13">
        <f t="shared" si="6"/>
        <v>2.1327968940000002</v>
      </c>
      <c r="O49" s="13">
        <f t="shared" si="7"/>
        <v>2.1243699999999999</v>
      </c>
      <c r="P49" s="13">
        <f t="shared" si="8"/>
        <v>8.4268940000002956E-3</v>
      </c>
      <c r="Q49" s="16">
        <f t="shared" si="9"/>
        <v>3.9667732080571165E-3</v>
      </c>
      <c r="R49" s="14">
        <f t="shared" ca="1" si="10"/>
        <v>7.7791306355685128</v>
      </c>
      <c r="S49" s="14">
        <f t="shared" si="11"/>
        <v>7.8350420430107519</v>
      </c>
      <c r="T49" s="14">
        <f t="shared" ca="1" si="12"/>
        <v>5.5911407442239103E-2</v>
      </c>
      <c r="U49" s="16">
        <f t="shared" ca="1" si="13"/>
        <v>7.1360698685867122E-3</v>
      </c>
      <c r="V49" s="14">
        <f t="shared" si="14"/>
        <v>0.3916666666666675</v>
      </c>
      <c r="W49" s="14">
        <f t="shared" ca="1" si="15"/>
        <v>0.22086936443148719</v>
      </c>
      <c r="X49" s="14">
        <f t="shared" ca="1" si="16"/>
        <v>0.1707973022351803</v>
      </c>
      <c r="Y49" s="28">
        <f t="shared" ca="1" si="17"/>
        <v>0.43607821847279987</v>
      </c>
      <c r="Z49" s="29">
        <f t="shared" ca="1" si="18"/>
        <v>22.650431999999999</v>
      </c>
      <c r="AA49" s="16">
        <f t="shared" ca="1" si="19"/>
        <v>8.297846153846157E-2</v>
      </c>
      <c r="AB49" s="2"/>
    </row>
    <row r="50" spans="1:28" x14ac:dyDescent="0.25">
      <c r="A50" s="13" t="s">
        <v>146</v>
      </c>
      <c r="B50" s="16">
        <f ca="1">MAX(AA:AA)</f>
        <v>8.7038071428571478E-2</v>
      </c>
      <c r="C50" s="13" t="s">
        <v>23</v>
      </c>
      <c r="F50" s="13">
        <v>48</v>
      </c>
      <c r="G50" s="13">
        <f t="shared" si="0"/>
        <v>24.8</v>
      </c>
      <c r="H50" s="13">
        <f t="shared" si="1"/>
        <v>297.95</v>
      </c>
      <c r="I50" s="14">
        <f t="shared" si="2"/>
        <v>0.4</v>
      </c>
      <c r="J50" s="14">
        <f t="shared" si="3"/>
        <v>10088.205285</v>
      </c>
      <c r="K50" s="14">
        <f t="shared" si="4"/>
        <v>9.1082052850000004</v>
      </c>
      <c r="L50" s="14">
        <f t="shared" si="5"/>
        <v>2130.833607</v>
      </c>
      <c r="M50" s="14">
        <v>2128.66</v>
      </c>
      <c r="N50" s="13">
        <f t="shared" si="6"/>
        <v>2.130833607</v>
      </c>
      <c r="O50" s="13">
        <f t="shared" si="7"/>
        <v>2.12208</v>
      </c>
      <c r="P50" s="13">
        <f t="shared" si="8"/>
        <v>8.7536070000000521E-3</v>
      </c>
      <c r="Q50" s="16">
        <f t="shared" si="9"/>
        <v>4.1250127233657787E-3</v>
      </c>
      <c r="R50" s="14">
        <f t="shared" ca="1" si="10"/>
        <v>7.7723657725947515</v>
      </c>
      <c r="S50" s="14">
        <f t="shared" si="11"/>
        <v>7.8265961290322572</v>
      </c>
      <c r="T50" s="14">
        <f t="shared" ca="1" si="12"/>
        <v>5.4230356437505733E-2</v>
      </c>
      <c r="U50" s="16">
        <f t="shared" ca="1" si="13"/>
        <v>6.9289836275493628E-3</v>
      </c>
      <c r="V50" s="14">
        <f t="shared" si="14"/>
        <v>0.40000000000000036</v>
      </c>
      <c r="W50" s="14">
        <f t="shared" ca="1" si="15"/>
        <v>0.22763422740524852</v>
      </c>
      <c r="X50" s="14">
        <f t="shared" ca="1" si="16"/>
        <v>0.17236577259475183</v>
      </c>
      <c r="Y50" s="28">
        <f t="shared" ca="1" si="17"/>
        <v>0.43091443148687919</v>
      </c>
      <c r="Z50" s="29">
        <f t="shared" ca="1" si="18"/>
        <v>22.731611000000001</v>
      </c>
      <c r="AA50" s="16">
        <f t="shared" ca="1" si="19"/>
        <v>8.3402782258064509E-2</v>
      </c>
      <c r="AB50" s="2"/>
    </row>
    <row r="51" spans="1:28" x14ac:dyDescent="0.25">
      <c r="A51" s="13" t="s">
        <v>147</v>
      </c>
      <c r="B51" s="16">
        <f ca="1">MIN(AA:AA)</f>
        <v>1.1289025487256353E-2</v>
      </c>
      <c r="C51" s="13" t="s">
        <v>23</v>
      </c>
      <c r="F51" s="13">
        <v>49</v>
      </c>
      <c r="G51" s="13">
        <f t="shared" si="0"/>
        <v>24.9</v>
      </c>
      <c r="H51" s="13">
        <f t="shared" si="1"/>
        <v>298.04999999999995</v>
      </c>
      <c r="I51" s="14">
        <f t="shared" si="2"/>
        <v>0.408333</v>
      </c>
      <c r="J51" s="14">
        <f t="shared" si="3"/>
        <v>10044.091286000001</v>
      </c>
      <c r="K51" s="14">
        <f t="shared" si="4"/>
        <v>9.0640912860000018</v>
      </c>
      <c r="L51" s="14">
        <f t="shared" si="5"/>
        <v>2128.8665099999998</v>
      </c>
      <c r="M51" s="14">
        <v>2127.2600000000002</v>
      </c>
      <c r="N51" s="13">
        <f t="shared" si="6"/>
        <v>2.1288665099999999</v>
      </c>
      <c r="O51" s="13">
        <f t="shared" si="7"/>
        <v>2.1197900000000001</v>
      </c>
      <c r="P51" s="13">
        <f t="shared" si="8"/>
        <v>9.0765099999998711E-3</v>
      </c>
      <c r="Q51" s="16">
        <f t="shared" si="9"/>
        <v>4.2817967817566222E-3</v>
      </c>
      <c r="R51" s="14">
        <f t="shared" ca="1" si="10"/>
        <v>7.7647838629737613</v>
      </c>
      <c r="S51" s="14">
        <f t="shared" si="11"/>
        <v>7.8181502150537634</v>
      </c>
      <c r="T51" s="14">
        <f t="shared" ca="1" si="12"/>
        <v>5.3366352080002066E-2</v>
      </c>
      <c r="U51" s="16">
        <f t="shared" ca="1" si="13"/>
        <v>6.8259563467130283E-3</v>
      </c>
      <c r="V51" s="14">
        <f t="shared" si="14"/>
        <v>0.40833333333333321</v>
      </c>
      <c r="W51" s="14">
        <f t="shared" ca="1" si="15"/>
        <v>0.23521613702623867</v>
      </c>
      <c r="X51" s="14">
        <f t="shared" ca="1" si="16"/>
        <v>0.17311719630709455</v>
      </c>
      <c r="Y51" s="28">
        <f t="shared" ca="1" si="17"/>
        <v>0.42396048075206838</v>
      </c>
      <c r="Z51" s="29">
        <f t="shared" ca="1" si="18"/>
        <v>22.822593999999999</v>
      </c>
      <c r="AA51" s="16">
        <f t="shared" ca="1" si="19"/>
        <v>8.3429959839357429E-2</v>
      </c>
      <c r="AB51" s="2"/>
    </row>
    <row r="52" spans="1:28" x14ac:dyDescent="0.25">
      <c r="F52" s="13">
        <v>50</v>
      </c>
      <c r="G52" s="13">
        <f t="shared" si="0"/>
        <v>25</v>
      </c>
      <c r="H52" s="13">
        <f t="shared" si="1"/>
        <v>298.14999999999998</v>
      </c>
      <c r="I52" s="14">
        <f t="shared" si="2"/>
        <v>0.41666700000000001</v>
      </c>
      <c r="J52" s="14">
        <f t="shared" si="3"/>
        <v>10000.195715</v>
      </c>
      <c r="K52" s="14">
        <f t="shared" si="4"/>
        <v>9.0201957149999998</v>
      </c>
      <c r="L52" s="14">
        <f t="shared" si="5"/>
        <v>2126.89561</v>
      </c>
      <c r="M52" s="14">
        <v>2124.85</v>
      </c>
      <c r="N52" s="13">
        <f t="shared" si="6"/>
        <v>2.12689561</v>
      </c>
      <c r="O52" s="13">
        <f t="shared" si="7"/>
        <v>2.1174999999999997</v>
      </c>
      <c r="P52" s="13">
        <f t="shared" si="8"/>
        <v>9.3956100000003318E-3</v>
      </c>
      <c r="Q52" s="16">
        <f t="shared" si="9"/>
        <v>4.437123966942306E-3</v>
      </c>
      <c r="R52" s="14">
        <f t="shared" ca="1" si="10"/>
        <v>7.7579909999999996</v>
      </c>
      <c r="S52" s="14">
        <f t="shared" si="11"/>
        <v>7.8097043010752678</v>
      </c>
      <c r="T52" s="14">
        <f t="shared" ca="1" si="12"/>
        <v>5.171330107526817E-2</v>
      </c>
      <c r="U52" s="16">
        <f t="shared" ca="1" si="13"/>
        <v>6.6216720994350707E-3</v>
      </c>
      <c r="V52" s="14">
        <f t="shared" si="14"/>
        <v>0.41666666666666696</v>
      </c>
      <c r="W52" s="14">
        <f t="shared" ca="1" si="15"/>
        <v>0.24200900000000036</v>
      </c>
      <c r="X52" s="14">
        <f t="shared" ca="1" si="16"/>
        <v>0.1746576666666666</v>
      </c>
      <c r="Y52" s="28">
        <f t="shared" ca="1" si="17"/>
        <v>0.41917839999999956</v>
      </c>
      <c r="Z52" s="29">
        <f t="shared" ca="1" si="18"/>
        <v>22.904108000000001</v>
      </c>
      <c r="AA52" s="16">
        <f t="shared" ca="1" si="19"/>
        <v>8.3835679999999968E-2</v>
      </c>
      <c r="AB52" s="2"/>
    </row>
    <row r="53" spans="1:28" x14ac:dyDescent="0.25">
      <c r="F53" s="13">
        <v>51</v>
      </c>
      <c r="G53" s="13">
        <f t="shared" si="0"/>
        <v>25.1</v>
      </c>
      <c r="H53" s="13">
        <f t="shared" si="1"/>
        <v>298.25</v>
      </c>
      <c r="I53" s="14">
        <f t="shared" si="2"/>
        <v>0.42499999999999999</v>
      </c>
      <c r="J53" s="14">
        <f t="shared" si="3"/>
        <v>9956.5173720000003</v>
      </c>
      <c r="K53" s="14">
        <f t="shared" si="4"/>
        <v>8.976517372</v>
      </c>
      <c r="L53" s="14">
        <f t="shared" si="5"/>
        <v>2124.920916</v>
      </c>
      <c r="M53" s="14">
        <v>2122.9299999999998</v>
      </c>
      <c r="N53" s="13">
        <f t="shared" si="6"/>
        <v>2.1249209160000002</v>
      </c>
      <c r="O53" s="13">
        <f t="shared" si="7"/>
        <v>2.1152099999999998</v>
      </c>
      <c r="P53" s="13">
        <f t="shared" si="8"/>
        <v>9.7109160000004024E-3</v>
      </c>
      <c r="Q53" s="16">
        <f t="shared" si="9"/>
        <v>4.590993802034031E-3</v>
      </c>
      <c r="R53" s="14">
        <f t="shared" ca="1" si="10"/>
        <v>7.7500064985422741</v>
      </c>
      <c r="S53" s="14">
        <f t="shared" si="11"/>
        <v>7.8012583870967731</v>
      </c>
      <c r="T53" s="14">
        <f t="shared" ca="1" si="12"/>
        <v>5.1251888554499025E-2</v>
      </c>
      <c r="U53" s="16">
        <f t="shared" ca="1" si="13"/>
        <v>6.5696950429522099E-3</v>
      </c>
      <c r="V53" s="14">
        <f t="shared" si="14"/>
        <v>0.42500000000000071</v>
      </c>
      <c r="W53" s="14">
        <f t="shared" ca="1" si="15"/>
        <v>0.24999350145772592</v>
      </c>
      <c r="X53" s="14">
        <f t="shared" ca="1" si="16"/>
        <v>0.17500649854227479</v>
      </c>
      <c r="Y53" s="28">
        <f t="shared" ca="1" si="17"/>
        <v>0.41177999657005765</v>
      </c>
      <c r="Z53" s="29">
        <f t="shared" ca="1" si="18"/>
        <v>22.999922000000002</v>
      </c>
      <c r="AA53" s="16">
        <f t="shared" ca="1" si="19"/>
        <v>8.3668446215139428E-2</v>
      </c>
      <c r="AB53" s="2"/>
    </row>
    <row r="54" spans="1:28" x14ac:dyDescent="0.25">
      <c r="F54" s="13">
        <v>52</v>
      </c>
      <c r="G54" s="13">
        <f t="shared" si="0"/>
        <v>25.2</v>
      </c>
      <c r="H54" s="13">
        <f t="shared" si="1"/>
        <v>298.34999999999997</v>
      </c>
      <c r="I54" s="14">
        <f t="shared" si="2"/>
        <v>0.43333300000000002</v>
      </c>
      <c r="J54" s="14">
        <f t="shared" si="3"/>
        <v>9913.0550640000001</v>
      </c>
      <c r="K54" s="14">
        <f t="shared" si="4"/>
        <v>8.9330550639999995</v>
      </c>
      <c r="L54" s="14">
        <f t="shared" si="5"/>
        <v>2122.9424349999999</v>
      </c>
      <c r="M54" s="14">
        <v>2121</v>
      </c>
      <c r="N54" s="13">
        <f t="shared" si="6"/>
        <v>2.1229424350000001</v>
      </c>
      <c r="O54" s="13">
        <f t="shared" si="7"/>
        <v>2.1129199999999999</v>
      </c>
      <c r="P54" s="13">
        <f t="shared" si="8"/>
        <v>1.0022435000000218E-2</v>
      </c>
      <c r="Q54" s="16">
        <f t="shared" si="9"/>
        <v>4.7434048615187605E-3</v>
      </c>
      <c r="R54" s="14">
        <f t="shared" ca="1" si="10"/>
        <v>7.7435602274052489</v>
      </c>
      <c r="S54" s="14">
        <f t="shared" si="11"/>
        <v>7.7928124731182793</v>
      </c>
      <c r="T54" s="14">
        <f t="shared" ca="1" si="12"/>
        <v>4.925224571303044E-2</v>
      </c>
      <c r="U54" s="16">
        <f t="shared" ca="1" si="13"/>
        <v>6.320214413336479E-3</v>
      </c>
      <c r="V54" s="14">
        <f t="shared" si="14"/>
        <v>0.43333333333333357</v>
      </c>
      <c r="W54" s="14">
        <f t="shared" ca="1" si="15"/>
        <v>0.25643977259475115</v>
      </c>
      <c r="X54" s="14">
        <f t="shared" ca="1" si="16"/>
        <v>0.17689356073858242</v>
      </c>
      <c r="Y54" s="28">
        <f t="shared" ca="1" si="17"/>
        <v>0.40821590939672847</v>
      </c>
      <c r="Z54" s="29">
        <f t="shared" ca="1" si="18"/>
        <v>23.077276999999999</v>
      </c>
      <c r="AA54" s="16">
        <f t="shared" ca="1" si="19"/>
        <v>8.4235039682539703E-2</v>
      </c>
      <c r="AB54" s="2"/>
    </row>
    <row r="55" spans="1:28" x14ac:dyDescent="0.25">
      <c r="F55" s="13">
        <v>53</v>
      </c>
      <c r="G55" s="13">
        <f t="shared" si="0"/>
        <v>25.3</v>
      </c>
      <c r="H55" s="13">
        <f t="shared" si="1"/>
        <v>298.45</v>
      </c>
      <c r="I55" s="14">
        <f t="shared" si="2"/>
        <v>0.44166699999999998</v>
      </c>
      <c r="J55" s="14">
        <f t="shared" si="3"/>
        <v>9869.8076070000006</v>
      </c>
      <c r="K55" s="14">
        <f t="shared" si="4"/>
        <v>8.8898076070000016</v>
      </c>
      <c r="L55" s="14">
        <f t="shared" si="5"/>
        <v>2120.9601739999998</v>
      </c>
      <c r="M55" s="14">
        <v>2119.0700000000002</v>
      </c>
      <c r="N55" s="13">
        <f t="shared" si="6"/>
        <v>2.1209601739999999</v>
      </c>
      <c r="O55" s="13">
        <f t="shared" si="7"/>
        <v>2.11063</v>
      </c>
      <c r="P55" s="13">
        <f t="shared" si="8"/>
        <v>1.0330173999999914E-2</v>
      </c>
      <c r="Q55" s="16">
        <f t="shared" si="9"/>
        <v>4.8943557136968173E-3</v>
      </c>
      <c r="R55" s="14">
        <f t="shared" ca="1" si="10"/>
        <v>7.7367263644314876</v>
      </c>
      <c r="S55" s="14">
        <f t="shared" si="11"/>
        <v>7.7843665591397846</v>
      </c>
      <c r="T55" s="14">
        <f t="shared" ca="1" si="12"/>
        <v>4.7640194708296946E-2</v>
      </c>
      <c r="U55" s="16">
        <f t="shared" ca="1" si="13"/>
        <v>6.1199834753878097E-3</v>
      </c>
      <c r="V55" s="14">
        <f t="shared" si="14"/>
        <v>0.44166666666666643</v>
      </c>
      <c r="W55" s="14">
        <f t="shared" ca="1" si="15"/>
        <v>0.26327363556851235</v>
      </c>
      <c r="X55" s="14">
        <f t="shared" ca="1" si="16"/>
        <v>0.17839303109815408</v>
      </c>
      <c r="Y55" s="28">
        <f t="shared" ca="1" si="17"/>
        <v>0.40390874965619811</v>
      </c>
      <c r="Z55" s="29">
        <f t="shared" ca="1" si="18"/>
        <v>23.159284</v>
      </c>
      <c r="AA55" s="16">
        <f t="shared" ca="1" si="19"/>
        <v>8.4613280632411109E-2</v>
      </c>
      <c r="AB55" s="2"/>
    </row>
    <row r="56" spans="1:28" x14ac:dyDescent="0.25">
      <c r="F56" s="13">
        <v>54</v>
      </c>
      <c r="G56" s="13">
        <f t="shared" si="0"/>
        <v>25.4</v>
      </c>
      <c r="H56" s="13">
        <f t="shared" si="1"/>
        <v>298.54999999999995</v>
      </c>
      <c r="I56" s="14">
        <f t="shared" si="2"/>
        <v>0.45</v>
      </c>
      <c r="J56" s="14">
        <f t="shared" si="3"/>
        <v>9826.7738219999992</v>
      </c>
      <c r="K56" s="14">
        <f t="shared" si="4"/>
        <v>8.8467738219999994</v>
      </c>
      <c r="L56" s="14">
        <f t="shared" si="5"/>
        <v>2118.9741439999998</v>
      </c>
      <c r="M56" s="14">
        <v>2116.88</v>
      </c>
      <c r="N56" s="13">
        <f t="shared" si="6"/>
        <v>2.1189741440000001</v>
      </c>
      <c r="O56" s="13">
        <f t="shared" si="7"/>
        <v>2.1083400000000001</v>
      </c>
      <c r="P56" s="13">
        <f t="shared" si="8"/>
        <v>1.0634143999999957E-2</v>
      </c>
      <c r="Q56" s="16">
        <f t="shared" si="9"/>
        <v>5.0438468178756538E-3</v>
      </c>
      <c r="R56" s="14">
        <f t="shared" ca="1" si="10"/>
        <v>7.7294921370262388</v>
      </c>
      <c r="S56" s="14">
        <f t="shared" si="11"/>
        <v>7.7759206451612908</v>
      </c>
      <c r="T56" s="14">
        <f t="shared" ca="1" si="12"/>
        <v>4.6428508135051949E-2</v>
      </c>
      <c r="U56" s="16">
        <f t="shared" ca="1" si="13"/>
        <v>5.9708052915821534E-3</v>
      </c>
      <c r="V56" s="14">
        <f t="shared" si="14"/>
        <v>0.44999999999999929</v>
      </c>
      <c r="W56" s="14">
        <f t="shared" ca="1" si="15"/>
        <v>0.27050786297376117</v>
      </c>
      <c r="X56" s="14">
        <f t="shared" ca="1" si="16"/>
        <v>0.17949213702623812</v>
      </c>
      <c r="Y56" s="28">
        <f t="shared" ca="1" si="17"/>
        <v>0.39887141561386313</v>
      </c>
      <c r="Z56" s="29">
        <f t="shared" ca="1" si="18"/>
        <v>23.246093999999999</v>
      </c>
      <c r="AA56" s="16">
        <f t="shared" ca="1" si="19"/>
        <v>8.4799448818897616E-2</v>
      </c>
      <c r="AB56" s="2"/>
    </row>
    <row r="57" spans="1:28" x14ac:dyDescent="0.25">
      <c r="F57" s="13">
        <v>55</v>
      </c>
      <c r="G57" s="13">
        <f t="shared" si="0"/>
        <v>25.5</v>
      </c>
      <c r="H57" s="13">
        <f t="shared" si="1"/>
        <v>298.64999999999998</v>
      </c>
      <c r="I57" s="14">
        <f t="shared" si="2"/>
        <v>0.45833299999999999</v>
      </c>
      <c r="J57" s="14">
        <f t="shared" si="3"/>
        <v>9783.9525379999995</v>
      </c>
      <c r="K57" s="14">
        <f t="shared" si="4"/>
        <v>8.803952537999999</v>
      </c>
      <c r="L57" s="14">
        <f t="shared" si="5"/>
        <v>2116.9843510000001</v>
      </c>
      <c r="M57" s="14">
        <v>2114.6799999999998</v>
      </c>
      <c r="N57" s="13">
        <f t="shared" si="6"/>
        <v>2.1169843510000002</v>
      </c>
      <c r="O57" s="13">
        <f t="shared" si="7"/>
        <v>2.1060499999999998</v>
      </c>
      <c r="P57" s="13">
        <f t="shared" si="8"/>
        <v>1.0934351000000397E-2</v>
      </c>
      <c r="Q57" s="16">
        <f t="shared" si="9"/>
        <v>5.1918762612475477E-3</v>
      </c>
      <c r="R57" s="14">
        <f t="shared" ca="1" si="10"/>
        <v>7.7218390000000001</v>
      </c>
      <c r="S57" s="14">
        <f t="shared" si="11"/>
        <v>7.7674747311827943</v>
      </c>
      <c r="T57" s="14">
        <f t="shared" ca="1" si="12"/>
        <v>4.5635731182794181E-2</v>
      </c>
      <c r="U57" s="16">
        <f t="shared" ca="1" si="13"/>
        <v>5.8752339418096811E-3</v>
      </c>
      <c r="V57" s="14">
        <f t="shared" si="14"/>
        <v>0.45833333333333481</v>
      </c>
      <c r="W57" s="14">
        <f t="shared" ca="1" si="15"/>
        <v>0.27816099999999988</v>
      </c>
      <c r="X57" s="14">
        <f t="shared" ca="1" si="16"/>
        <v>0.18017233333333493</v>
      </c>
      <c r="Y57" s="28">
        <f t="shared" ca="1" si="17"/>
        <v>0.39310327272727497</v>
      </c>
      <c r="Z57" s="29">
        <f t="shared" ca="1" si="18"/>
        <v>23.337931999999999</v>
      </c>
      <c r="AA57" s="16">
        <f t="shared" ca="1" si="19"/>
        <v>8.4786980392156916E-2</v>
      </c>
      <c r="AB57" s="2"/>
    </row>
    <row r="58" spans="1:28" x14ac:dyDescent="0.25">
      <c r="F58" s="13">
        <v>56</v>
      </c>
      <c r="G58" s="13">
        <f t="shared" si="0"/>
        <v>25.6</v>
      </c>
      <c r="H58" s="13">
        <f t="shared" si="1"/>
        <v>298.75</v>
      </c>
      <c r="I58" s="14">
        <f t="shared" si="2"/>
        <v>0.466667</v>
      </c>
      <c r="J58" s="14">
        <f t="shared" si="3"/>
        <v>9741.3425920000009</v>
      </c>
      <c r="K58" s="14">
        <f t="shared" si="4"/>
        <v>8.7613425920000019</v>
      </c>
      <c r="L58" s="14">
        <f t="shared" si="5"/>
        <v>2114.9908049999999</v>
      </c>
      <c r="M58" s="14">
        <v>2113.23</v>
      </c>
      <c r="N58" s="13">
        <f t="shared" si="6"/>
        <v>2.1149908050000001</v>
      </c>
      <c r="O58" s="13">
        <f t="shared" si="7"/>
        <v>2.1037599999999999</v>
      </c>
      <c r="P58" s="13">
        <f t="shared" si="8"/>
        <v>1.1230805000000288E-2</v>
      </c>
      <c r="Q58" s="16">
        <f t="shared" si="9"/>
        <v>5.3384440240332965E-3</v>
      </c>
      <c r="R58" s="14">
        <f t="shared" ca="1" si="10"/>
        <v>7.7145562274052484</v>
      </c>
      <c r="S58" s="14">
        <f t="shared" si="11"/>
        <v>7.7590288172043005</v>
      </c>
      <c r="T58" s="14">
        <f t="shared" ca="1" si="12"/>
        <v>4.4472589799052109E-2</v>
      </c>
      <c r="U58" s="16">
        <f t="shared" ca="1" si="13"/>
        <v>5.7317211788725231E-3</v>
      </c>
      <c r="V58" s="14">
        <f t="shared" si="14"/>
        <v>0.46666666666666679</v>
      </c>
      <c r="W58" s="14">
        <f t="shared" ca="1" si="15"/>
        <v>0.28544377259475162</v>
      </c>
      <c r="X58" s="14">
        <f t="shared" ca="1" si="16"/>
        <v>0.18122289407191516</v>
      </c>
      <c r="Y58" s="28">
        <f t="shared" ca="1" si="17"/>
        <v>0.38833477301124669</v>
      </c>
      <c r="Z58" s="29">
        <f t="shared" ca="1" si="18"/>
        <v>23.425325000000001</v>
      </c>
      <c r="AA58" s="16">
        <f t="shared" ca="1" si="19"/>
        <v>8.4948242187500023E-2</v>
      </c>
      <c r="AB58" s="2"/>
    </row>
    <row r="59" spans="1:28" x14ac:dyDescent="0.25">
      <c r="F59" s="13">
        <v>57</v>
      </c>
      <c r="G59" s="13">
        <f t="shared" si="0"/>
        <v>25.7</v>
      </c>
      <c r="H59" s="13">
        <f t="shared" si="1"/>
        <v>298.84999999999997</v>
      </c>
      <c r="I59" s="14">
        <f t="shared" si="2"/>
        <v>0.47499999999999998</v>
      </c>
      <c r="J59" s="14">
        <f t="shared" si="3"/>
        <v>9698.9428250000001</v>
      </c>
      <c r="K59" s="14">
        <f t="shared" si="4"/>
        <v>8.718942825000001</v>
      </c>
      <c r="L59" s="14">
        <f t="shared" si="5"/>
        <v>2112.9935129999999</v>
      </c>
      <c r="M59" s="14">
        <v>2110.7600000000002</v>
      </c>
      <c r="N59" s="13">
        <f t="shared" si="6"/>
        <v>2.1129935130000002</v>
      </c>
      <c r="O59" s="13">
        <f t="shared" si="7"/>
        <v>2.1014699999999999</v>
      </c>
      <c r="P59" s="13">
        <f t="shared" si="8"/>
        <v>1.1523513000000207E-2</v>
      </c>
      <c r="Q59" s="16">
        <f t="shared" si="9"/>
        <v>5.4835486587960841E-3</v>
      </c>
      <c r="R59" s="14">
        <f t="shared" ca="1" si="10"/>
        <v>7.7072820000000002</v>
      </c>
      <c r="S59" s="14">
        <f t="shared" si="11"/>
        <v>7.7505829032258058</v>
      </c>
      <c r="T59" s="14">
        <f t="shared" ca="1" si="12"/>
        <v>4.3300903225805598E-2</v>
      </c>
      <c r="U59" s="16">
        <f t="shared" ca="1" si="13"/>
        <v>5.5867931182032367E-3</v>
      </c>
      <c r="V59" s="14">
        <f t="shared" si="14"/>
        <v>0.47500000000000053</v>
      </c>
      <c r="W59" s="14">
        <f t="shared" ca="1" si="15"/>
        <v>0.29271799999999981</v>
      </c>
      <c r="X59" s="14">
        <f t="shared" ca="1" si="16"/>
        <v>0.18228200000000072</v>
      </c>
      <c r="Y59" s="28">
        <f t="shared" ca="1" si="17"/>
        <v>0.3837515789473695</v>
      </c>
      <c r="Z59" s="29">
        <f t="shared" ca="1" si="18"/>
        <v>23.512616000000001</v>
      </c>
      <c r="AA59" s="16">
        <f t="shared" ca="1" si="19"/>
        <v>8.5112217898832609E-2</v>
      </c>
      <c r="AB59" s="2"/>
    </row>
    <row r="60" spans="1:28" x14ac:dyDescent="0.25">
      <c r="F60" s="13">
        <v>58</v>
      </c>
      <c r="G60" s="13">
        <f t="shared" si="0"/>
        <v>25.8</v>
      </c>
      <c r="H60" s="13">
        <f t="shared" si="1"/>
        <v>298.95</v>
      </c>
      <c r="I60" s="14">
        <f t="shared" si="2"/>
        <v>0.48333300000000001</v>
      </c>
      <c r="J60" s="14">
        <f t="shared" si="3"/>
        <v>9656.75209</v>
      </c>
      <c r="K60" s="14">
        <f t="shared" si="4"/>
        <v>8.6767520900000008</v>
      </c>
      <c r="L60" s="14">
        <f t="shared" si="5"/>
        <v>2110.9924839999999</v>
      </c>
      <c r="M60" s="14">
        <v>2108.8000000000002</v>
      </c>
      <c r="N60" s="13">
        <f t="shared" si="6"/>
        <v>2.1109924840000001</v>
      </c>
      <c r="O60" s="13">
        <f t="shared" si="7"/>
        <v>2.09918</v>
      </c>
      <c r="P60" s="13">
        <f t="shared" si="8"/>
        <v>1.1812484000000012E-2</v>
      </c>
      <c r="Q60" s="16">
        <f t="shared" si="9"/>
        <v>5.6271896645356811E-3</v>
      </c>
      <c r="R60" s="14">
        <f t="shared" ca="1" si="10"/>
        <v>7.7003791370262382</v>
      </c>
      <c r="S60" s="14">
        <f t="shared" si="11"/>
        <v>7.742136989247312</v>
      </c>
      <c r="T60" s="14">
        <f t="shared" ca="1" si="12"/>
        <v>4.1757852221073755E-2</v>
      </c>
      <c r="U60" s="16">
        <f t="shared" ca="1" si="13"/>
        <v>5.3935821955965468E-3</v>
      </c>
      <c r="V60" s="14">
        <f t="shared" si="14"/>
        <v>0.4833333333333325</v>
      </c>
      <c r="W60" s="14">
        <f t="shared" ca="1" si="15"/>
        <v>0.29962086297376178</v>
      </c>
      <c r="X60" s="14">
        <f t="shared" ca="1" si="16"/>
        <v>0.18371247035957072</v>
      </c>
      <c r="Y60" s="28">
        <f t="shared" ca="1" si="17"/>
        <v>0.38009476626118144</v>
      </c>
      <c r="Z60" s="29">
        <f t="shared" ca="1" si="18"/>
        <v>23.59545</v>
      </c>
      <c r="AA60" s="16">
        <f t="shared" ca="1" si="19"/>
        <v>8.5447674418604694E-2</v>
      </c>
      <c r="AB60" s="2"/>
    </row>
    <row r="61" spans="1:28" x14ac:dyDescent="0.25">
      <c r="F61" s="13">
        <v>59</v>
      </c>
      <c r="G61" s="13">
        <f t="shared" si="0"/>
        <v>25.9</v>
      </c>
      <c r="H61" s="13">
        <f t="shared" si="1"/>
        <v>299.04999999999995</v>
      </c>
      <c r="I61" s="14">
        <f t="shared" si="2"/>
        <v>0.49166700000000002</v>
      </c>
      <c r="J61" s="14">
        <f t="shared" si="3"/>
        <v>9614.769241</v>
      </c>
      <c r="K61" s="14">
        <f t="shared" si="4"/>
        <v>8.6347692410000008</v>
      </c>
      <c r="L61" s="14">
        <f t="shared" si="5"/>
        <v>2108.9877270000002</v>
      </c>
      <c r="M61" s="14">
        <v>2106.8200000000002</v>
      </c>
      <c r="N61" s="13">
        <f t="shared" si="6"/>
        <v>2.1089877270000001</v>
      </c>
      <c r="O61" s="13">
        <f t="shared" si="7"/>
        <v>2.0968900000000001</v>
      </c>
      <c r="P61" s="13">
        <f t="shared" si="8"/>
        <v>1.2097727000000003E-2</v>
      </c>
      <c r="Q61" s="16">
        <f t="shared" si="9"/>
        <v>5.7693665380635136E-3</v>
      </c>
      <c r="R61" s="14">
        <f t="shared" ca="1" si="10"/>
        <v>7.6926699999999997</v>
      </c>
      <c r="S61" s="14">
        <f t="shared" si="11"/>
        <v>7.7336910752688173</v>
      </c>
      <c r="T61" s="14">
        <f t="shared" ca="1" si="12"/>
        <v>4.1021075268817597E-2</v>
      </c>
      <c r="U61" s="16">
        <f t="shared" ca="1" si="13"/>
        <v>5.3042040171473667E-3</v>
      </c>
      <c r="V61" s="14">
        <f t="shared" si="14"/>
        <v>0.49166666666666625</v>
      </c>
      <c r="W61" s="14">
        <f t="shared" ca="1" si="15"/>
        <v>0.30733000000000033</v>
      </c>
      <c r="X61" s="14">
        <f t="shared" ca="1" si="16"/>
        <v>0.18433666666666593</v>
      </c>
      <c r="Y61" s="28">
        <f t="shared" ca="1" si="17"/>
        <v>0.37492203389830392</v>
      </c>
      <c r="Z61" s="29">
        <f t="shared" ca="1" si="18"/>
        <v>23.68796</v>
      </c>
      <c r="AA61" s="16">
        <f t="shared" ca="1" si="19"/>
        <v>8.5406949806949739E-2</v>
      </c>
      <c r="AB61" s="2"/>
    </row>
    <row r="62" spans="1:28" x14ac:dyDescent="0.25">
      <c r="F62" s="13">
        <v>60</v>
      </c>
      <c r="G62" s="13">
        <f t="shared" si="0"/>
        <v>26</v>
      </c>
      <c r="H62" s="13">
        <f t="shared" si="1"/>
        <v>299.14999999999998</v>
      </c>
      <c r="I62" s="14">
        <f t="shared" si="2"/>
        <v>0.5</v>
      </c>
      <c r="J62" s="14">
        <f t="shared" si="3"/>
        <v>9572.9931419999994</v>
      </c>
      <c r="K62" s="14">
        <f t="shared" si="4"/>
        <v>8.5929931419999992</v>
      </c>
      <c r="L62" s="14">
        <f t="shared" si="5"/>
        <v>2106.9792510000002</v>
      </c>
      <c r="M62" s="14">
        <v>2104.83</v>
      </c>
      <c r="N62" s="13">
        <f t="shared" si="6"/>
        <v>2.1069792510000003</v>
      </c>
      <c r="O62" s="13">
        <f t="shared" si="7"/>
        <v>2.0945999999999998</v>
      </c>
      <c r="P62" s="13">
        <f t="shared" si="8"/>
        <v>1.237925100000048E-2</v>
      </c>
      <c r="Q62" s="16">
        <f t="shared" si="9"/>
        <v>5.9100787739904907E-3</v>
      </c>
      <c r="R62" s="14">
        <f t="shared" ca="1" si="10"/>
        <v>7.6845624985422738</v>
      </c>
      <c r="S62" s="14">
        <f t="shared" si="11"/>
        <v>7.7252451612903217</v>
      </c>
      <c r="T62" s="14">
        <f t="shared" ca="1" si="12"/>
        <v>4.0682662748047882E-2</v>
      </c>
      <c r="U62" s="16">
        <f t="shared" ca="1" si="13"/>
        <v>5.2661969812816652E-3</v>
      </c>
      <c r="V62" s="14">
        <f t="shared" si="14"/>
        <v>0.50000000000000089</v>
      </c>
      <c r="W62" s="14">
        <f t="shared" ca="1" si="15"/>
        <v>0.3154375014577262</v>
      </c>
      <c r="X62" s="14">
        <f t="shared" ca="1" si="16"/>
        <v>0.18456249854227469</v>
      </c>
      <c r="Y62" s="28">
        <f t="shared" ca="1" si="17"/>
        <v>0.36912499708454871</v>
      </c>
      <c r="Z62" s="29">
        <f t="shared" ca="1" si="18"/>
        <v>23.785250000000001</v>
      </c>
      <c r="AA62" s="16">
        <f t="shared" ca="1" si="19"/>
        <v>8.5182692307692251E-2</v>
      </c>
      <c r="AB62" s="2"/>
    </row>
    <row r="63" spans="1:28" x14ac:dyDescent="0.25">
      <c r="F63" s="13">
        <v>61</v>
      </c>
      <c r="G63" s="13">
        <f t="shared" si="0"/>
        <v>26.1</v>
      </c>
      <c r="H63" s="13">
        <f t="shared" si="1"/>
        <v>299.25</v>
      </c>
      <c r="I63" s="14">
        <f t="shared" si="2"/>
        <v>0.50833300000000003</v>
      </c>
      <c r="J63" s="14">
        <f t="shared" si="3"/>
        <v>9531.4226650000001</v>
      </c>
      <c r="K63" s="14">
        <f t="shared" si="4"/>
        <v>8.5514226650000005</v>
      </c>
      <c r="L63" s="14">
        <f t="shared" si="5"/>
        <v>2104.9670639999999</v>
      </c>
      <c r="M63" s="14">
        <v>2102.84</v>
      </c>
      <c r="N63" s="13">
        <f t="shared" si="6"/>
        <v>2.1049670640000002</v>
      </c>
      <c r="O63" s="13">
        <f t="shared" si="7"/>
        <v>2.0923099999999999</v>
      </c>
      <c r="P63" s="13">
        <f t="shared" si="8"/>
        <v>1.2657064000000329E-2</v>
      </c>
      <c r="Q63" s="16">
        <f t="shared" si="9"/>
        <v>6.0493253867736282E-3</v>
      </c>
      <c r="R63" s="14">
        <f t="shared" ca="1" si="10"/>
        <v>7.6784011370262384</v>
      </c>
      <c r="S63" s="14">
        <f t="shared" si="11"/>
        <v>7.716799247311827</v>
      </c>
      <c r="T63" s="14">
        <f t="shared" ca="1" si="12"/>
        <v>3.8398110285588594E-2</v>
      </c>
      <c r="U63" s="16">
        <f t="shared" ca="1" si="13"/>
        <v>4.9759115217315915E-3</v>
      </c>
      <c r="V63" s="14">
        <f t="shared" si="14"/>
        <v>0.50833333333333375</v>
      </c>
      <c r="W63" s="14">
        <f t="shared" ca="1" si="15"/>
        <v>0.32159886297376161</v>
      </c>
      <c r="X63" s="14">
        <f t="shared" ca="1" si="16"/>
        <v>0.18673447035957214</v>
      </c>
      <c r="Y63" s="28">
        <f t="shared" ca="1" si="17"/>
        <v>0.36734649906801048</v>
      </c>
      <c r="Z63" s="29">
        <f t="shared" ca="1" si="18"/>
        <v>23.859186000000001</v>
      </c>
      <c r="AA63" s="16">
        <f t="shared" ca="1" si="19"/>
        <v>8.5854942528735642E-2</v>
      </c>
      <c r="AB63" s="2"/>
    </row>
    <row r="64" spans="1:28" x14ac:dyDescent="0.25">
      <c r="F64" s="13">
        <v>62</v>
      </c>
      <c r="G64" s="13">
        <f t="shared" si="0"/>
        <v>26.2</v>
      </c>
      <c r="H64" s="13">
        <f t="shared" si="1"/>
        <v>299.34999999999997</v>
      </c>
      <c r="I64" s="14">
        <f t="shared" si="2"/>
        <v>0.51666699999999999</v>
      </c>
      <c r="J64" s="14">
        <f t="shared" si="3"/>
        <v>9490.0566859999999</v>
      </c>
      <c r="K64" s="14">
        <f t="shared" si="4"/>
        <v>8.5100566860000004</v>
      </c>
      <c r="L64" s="14">
        <f t="shared" si="5"/>
        <v>2102.9511750000001</v>
      </c>
      <c r="M64" s="14">
        <v>2100.34</v>
      </c>
      <c r="N64" s="13">
        <f t="shared" si="6"/>
        <v>2.1029511750000003</v>
      </c>
      <c r="O64" s="13">
        <f t="shared" si="7"/>
        <v>2.09002</v>
      </c>
      <c r="P64" s="13">
        <f t="shared" si="8"/>
        <v>1.2931175000000295E-2</v>
      </c>
      <c r="Q64" s="16">
        <f t="shared" si="9"/>
        <v>6.1871058650157865E-3</v>
      </c>
      <c r="R64" s="14">
        <f t="shared" ca="1" si="10"/>
        <v>7.6698704985422737</v>
      </c>
      <c r="S64" s="14">
        <f t="shared" si="11"/>
        <v>7.7083533333333332</v>
      </c>
      <c r="T64" s="14">
        <f t="shared" ca="1" si="12"/>
        <v>3.8482834791059517E-2</v>
      </c>
      <c r="U64" s="16">
        <f t="shared" ca="1" si="13"/>
        <v>4.9923548035412041E-3</v>
      </c>
      <c r="V64" s="14">
        <f t="shared" si="14"/>
        <v>0.51666666666666661</v>
      </c>
      <c r="W64" s="14">
        <f t="shared" ca="1" si="15"/>
        <v>0.33012950145772635</v>
      </c>
      <c r="X64" s="14">
        <f t="shared" ca="1" si="16"/>
        <v>0.18653716520894026</v>
      </c>
      <c r="Y64" s="28">
        <f t="shared" ca="1" si="17"/>
        <v>0.36103967459794895</v>
      </c>
      <c r="Z64" s="29">
        <f t="shared" ca="1" si="18"/>
        <v>23.961554</v>
      </c>
      <c r="AA64" s="16">
        <f t="shared" ca="1" si="19"/>
        <v>8.543687022900763E-2</v>
      </c>
      <c r="AB64" s="2"/>
    </row>
    <row r="65" spans="6:28" x14ac:dyDescent="0.25">
      <c r="F65" s="13">
        <v>63</v>
      </c>
      <c r="G65" s="13">
        <f t="shared" si="0"/>
        <v>26.3</v>
      </c>
      <c r="H65" s="13">
        <f t="shared" si="1"/>
        <v>299.45</v>
      </c>
      <c r="I65" s="14">
        <f t="shared" si="2"/>
        <v>0.52500000000000002</v>
      </c>
      <c r="J65" s="14">
        <f t="shared" si="3"/>
        <v>9448.8940889999994</v>
      </c>
      <c r="K65" s="14">
        <f t="shared" si="4"/>
        <v>8.4688940889999991</v>
      </c>
      <c r="L65" s="14">
        <f t="shared" si="5"/>
        <v>2100.9315929999998</v>
      </c>
      <c r="M65" s="14">
        <v>2098.84</v>
      </c>
      <c r="N65" s="13">
        <f t="shared" si="6"/>
        <v>2.1009315929999999</v>
      </c>
      <c r="O65" s="13">
        <f t="shared" si="7"/>
        <v>2.0877300000000001</v>
      </c>
      <c r="P65" s="13">
        <f t="shared" si="8"/>
        <v>1.3201592999999789E-2</v>
      </c>
      <c r="Q65" s="16">
        <f t="shared" si="9"/>
        <v>6.3234196950754116E-3</v>
      </c>
      <c r="R65" s="14">
        <f t="shared" ca="1" si="10"/>
        <v>7.6628996355685128</v>
      </c>
      <c r="S65" s="14">
        <f t="shared" si="11"/>
        <v>7.6999074193548385</v>
      </c>
      <c r="T65" s="14">
        <f t="shared" ca="1" si="12"/>
        <v>3.7007783786325632E-2</v>
      </c>
      <c r="U65" s="16">
        <f t="shared" ca="1" si="13"/>
        <v>4.8062634744544044E-3</v>
      </c>
      <c r="V65" s="14">
        <f t="shared" si="14"/>
        <v>0.52499999999999947</v>
      </c>
      <c r="W65" s="14">
        <f t="shared" ca="1" si="15"/>
        <v>0.33710036443148717</v>
      </c>
      <c r="X65" s="14">
        <f t="shared" ca="1" si="16"/>
        <v>0.1878996355685123</v>
      </c>
      <c r="Y65" s="28">
        <f t="shared" ca="1" si="17"/>
        <v>0.35790406774954758</v>
      </c>
      <c r="Z65" s="29">
        <f t="shared" ca="1" si="18"/>
        <v>24.045203999999998</v>
      </c>
      <c r="AA65" s="16">
        <f t="shared" ca="1" si="19"/>
        <v>8.5733688212927844E-2</v>
      </c>
      <c r="AB65" s="2"/>
    </row>
    <row r="66" spans="6:28" x14ac:dyDescent="0.25">
      <c r="F66" s="13">
        <v>64</v>
      </c>
      <c r="G66" s="13">
        <f t="shared" si="0"/>
        <v>26.4</v>
      </c>
      <c r="H66" s="13">
        <f t="shared" si="1"/>
        <v>299.54999999999995</v>
      </c>
      <c r="I66" s="14">
        <f t="shared" si="2"/>
        <v>0.53333299999999995</v>
      </c>
      <c r="J66" s="14">
        <f t="shared" si="3"/>
        <v>9407.9337639999994</v>
      </c>
      <c r="K66" s="14">
        <f t="shared" si="4"/>
        <v>8.4279337640000005</v>
      </c>
      <c r="L66" s="14">
        <f t="shared" si="5"/>
        <v>2098.9083270000001</v>
      </c>
      <c r="M66" s="14">
        <v>2096.5700000000002</v>
      </c>
      <c r="N66" s="13">
        <f t="shared" si="6"/>
        <v>2.0989083270000002</v>
      </c>
      <c r="O66" s="13">
        <f t="shared" si="7"/>
        <v>2.0854400000000002</v>
      </c>
      <c r="P66" s="13">
        <f t="shared" si="8"/>
        <v>1.3468327000000002E-2</v>
      </c>
      <c r="Q66" s="16">
        <f t="shared" si="9"/>
        <v>6.4582663610557008E-3</v>
      </c>
      <c r="R66" s="14">
        <f t="shared" ca="1" si="10"/>
        <v>7.6559049999999997</v>
      </c>
      <c r="S66" s="14">
        <f t="shared" si="11"/>
        <v>7.6914615053763447</v>
      </c>
      <c r="T66" s="14">
        <f t="shared" ca="1" si="12"/>
        <v>3.5556505376344916E-2</v>
      </c>
      <c r="U66" s="16">
        <f t="shared" ca="1" si="13"/>
        <v>4.6228542327736875E-3</v>
      </c>
      <c r="V66" s="14">
        <f t="shared" si="14"/>
        <v>0.53333333333333233</v>
      </c>
      <c r="W66" s="14">
        <f t="shared" ca="1" si="15"/>
        <v>0.34409500000000026</v>
      </c>
      <c r="X66" s="14">
        <f t="shared" ca="1" si="16"/>
        <v>0.18923833333333206</v>
      </c>
      <c r="Y66" s="28">
        <f t="shared" ca="1" si="17"/>
        <v>0.35482187499999829</v>
      </c>
      <c r="Z66" s="29">
        <f t="shared" ca="1" si="18"/>
        <v>24.12914</v>
      </c>
      <c r="AA66" s="16">
        <f t="shared" ca="1" si="19"/>
        <v>8.6017424242424215E-2</v>
      </c>
      <c r="AB66" s="2"/>
    </row>
    <row r="67" spans="6:28" x14ac:dyDescent="0.25">
      <c r="F67" s="13">
        <v>65</v>
      </c>
      <c r="G67" s="13">
        <f t="shared" ref="G67:G130" si="20">F67*0.1+20</f>
        <v>26.5</v>
      </c>
      <c r="H67" s="13">
        <f t="shared" ref="H67:H130" si="21">G67+273.15</f>
        <v>299.64999999999998</v>
      </c>
      <c r="I67" s="14">
        <f t="shared" ref="I67:I130" si="22">ROUND(1/12*G67-5/3,6)</f>
        <v>0.54166700000000001</v>
      </c>
      <c r="J67" s="14">
        <f t="shared" ref="J67:J130" si="23">ROUND(10000*EXP(($B$3)+($B$4/H67)+($B$5/(H67^2))+($B$6/(H67^3))),6)</f>
        <v>9367.17461</v>
      </c>
      <c r="K67" s="14">
        <f t="shared" ref="K67:K130" si="24">$B$9*(2*$B$8+J67)-$B$9*$B$10</f>
        <v>8.3871746100000006</v>
      </c>
      <c r="L67" s="14">
        <f t="shared" ref="L67:L130" si="25">ROUND(1/(1/(J67+2*$B$8)+1/($B$7)),6)</f>
        <v>2096.881386</v>
      </c>
      <c r="M67" s="14">
        <v>2094.3000000000002</v>
      </c>
      <c r="N67" s="13">
        <f t="shared" ref="N67:N130" si="26">$B$9*(L67+$B$10)*(L67/(L67+$B$10))</f>
        <v>2.0968813860000002</v>
      </c>
      <c r="O67" s="13">
        <f t="shared" ref="O67:O130" si="27">$B$11*G67+$B$12</f>
        <v>2.0831499999999998</v>
      </c>
      <c r="P67" s="13">
        <f t="shared" ref="P67:P130" si="28">ABS(N67-O67)</f>
        <v>1.3731386000000345E-2</v>
      </c>
      <c r="Q67" s="16">
        <f t="shared" ref="Q67:Q130" si="29">ABS(O67-N67)/O67</f>
        <v>6.5916453447905079E-3</v>
      </c>
      <c r="R67" s="14">
        <f t="shared" ref="R67:R130" ca="1" si="30">ROUND(N67*$B$29,6)+RANDBETWEEN(-1,1)*$B$24+RANDBETWEEN(-1,1)*$B$25</f>
        <v>7.6488973644314875</v>
      </c>
      <c r="S67" s="14">
        <f t="shared" ref="S67:S130" si="31">O67*$B$23</f>
        <v>7.6830155913978482</v>
      </c>
      <c r="T67" s="14">
        <f t="shared" ref="T67:T130" ca="1" si="32">ABS(R67-S67)</f>
        <v>3.4118226966360687E-2</v>
      </c>
      <c r="U67" s="16">
        <f t="shared" ref="U67:U130" ca="1" si="33">ABS(S67-R67)/S67</f>
        <v>4.4407337926738759E-3</v>
      </c>
      <c r="V67" s="14">
        <f t="shared" ref="V67:V130" si="34">$B$44*S67+$B$45</f>
        <v>0.54166666666666785</v>
      </c>
      <c r="W67" s="14">
        <f t="shared" ref="W67:W130" ca="1" si="35">$B$46*R67+$B$47</f>
        <v>0.35110263556851251</v>
      </c>
      <c r="X67" s="14">
        <f t="shared" ref="X67:X130" ca="1" si="36">ABS(V67-W67)</f>
        <v>0.19056403109815534</v>
      </c>
      <c r="Y67" s="28">
        <f t="shared" ref="Y67:Y130" ca="1" si="37">IF(V67 = 0, ABS(V67-W67)/(V67+0.0001), ABS(V67-W67)/V67)</f>
        <v>0.35181051895043985</v>
      </c>
      <c r="Z67" s="29">
        <f t="shared" ref="Z67:Z130" ca="1" si="38">ROUND((W67+5/3)/(1/12),6)</f>
        <v>24.213232000000001</v>
      </c>
      <c r="AA67" s="16">
        <f t="shared" ref="AA67:AA130" ca="1" si="39">ABS(G67-Z67)/G67</f>
        <v>8.6293132075471651E-2</v>
      </c>
      <c r="AB67" s="2"/>
    </row>
    <row r="68" spans="6:28" x14ac:dyDescent="0.25">
      <c r="F68" s="13">
        <v>66</v>
      </c>
      <c r="G68" s="13">
        <f t="shared" si="20"/>
        <v>26.6</v>
      </c>
      <c r="H68" s="13">
        <f t="shared" si="21"/>
        <v>299.75</v>
      </c>
      <c r="I68" s="14">
        <f t="shared" si="22"/>
        <v>0.55000000000000004</v>
      </c>
      <c r="J68" s="14">
        <f t="shared" si="23"/>
        <v>9326.6155290000006</v>
      </c>
      <c r="K68" s="14">
        <f t="shared" si="24"/>
        <v>8.346615529000001</v>
      </c>
      <c r="L68" s="14">
        <f t="shared" si="25"/>
        <v>2094.8507789999999</v>
      </c>
      <c r="M68" s="14">
        <v>2092.77</v>
      </c>
      <c r="N68" s="13">
        <f t="shared" si="26"/>
        <v>2.0948507789999997</v>
      </c>
      <c r="O68" s="13">
        <f t="shared" si="27"/>
        <v>2.0808599999999999</v>
      </c>
      <c r="P68" s="13">
        <f t="shared" si="28"/>
        <v>1.3990778999999787E-2</v>
      </c>
      <c r="Q68" s="16">
        <f t="shared" si="29"/>
        <v>6.7235561258324862E-3</v>
      </c>
      <c r="R68" s="14">
        <f t="shared" ca="1" si="30"/>
        <v>7.6411157725947509</v>
      </c>
      <c r="S68" s="14">
        <f t="shared" si="31"/>
        <v>7.6745696774193544</v>
      </c>
      <c r="T68" s="14">
        <f t="shared" ca="1" si="32"/>
        <v>3.345390482460342E-2</v>
      </c>
      <c r="U68" s="16">
        <f t="shared" ca="1" si="33"/>
        <v>4.3590593649874328E-3</v>
      </c>
      <c r="V68" s="14">
        <f t="shared" si="34"/>
        <v>0.54999999999999982</v>
      </c>
      <c r="W68" s="14">
        <f t="shared" ca="1" si="35"/>
        <v>0.35888422740524906</v>
      </c>
      <c r="X68" s="14">
        <f t="shared" ca="1" si="36"/>
        <v>0.19111577259475077</v>
      </c>
      <c r="Y68" s="28">
        <f t="shared" ca="1" si="37"/>
        <v>0.34748322289954697</v>
      </c>
      <c r="Z68" s="29">
        <f t="shared" ca="1" si="38"/>
        <v>24.306611</v>
      </c>
      <c r="AA68" s="16">
        <f t="shared" ca="1" si="39"/>
        <v>8.6217631578947407E-2</v>
      </c>
      <c r="AB68" s="2"/>
    </row>
    <row r="69" spans="6:28" x14ac:dyDescent="0.25">
      <c r="F69" s="13">
        <v>67</v>
      </c>
      <c r="G69" s="13">
        <f t="shared" si="20"/>
        <v>26.7</v>
      </c>
      <c r="H69" s="13">
        <f t="shared" si="21"/>
        <v>299.84999999999997</v>
      </c>
      <c r="I69" s="14">
        <f t="shared" si="22"/>
        <v>0.55833299999999997</v>
      </c>
      <c r="J69" s="14">
        <f t="shared" si="23"/>
        <v>9286.2554309999996</v>
      </c>
      <c r="K69" s="14">
        <f t="shared" si="24"/>
        <v>8.3062554310000003</v>
      </c>
      <c r="L69" s="14">
        <f t="shared" si="25"/>
        <v>2092.8165159999999</v>
      </c>
      <c r="M69" s="14">
        <v>2090.4899999999998</v>
      </c>
      <c r="N69" s="13">
        <f t="shared" si="26"/>
        <v>2.0928165160000001</v>
      </c>
      <c r="O69" s="13">
        <f t="shared" si="27"/>
        <v>2.07857</v>
      </c>
      <c r="P69" s="13">
        <f t="shared" si="28"/>
        <v>1.4246516000000042E-2</v>
      </c>
      <c r="Q69" s="16">
        <f t="shared" si="29"/>
        <v>6.853998662542056E-3</v>
      </c>
      <c r="R69" s="14">
        <f t="shared" ca="1" si="30"/>
        <v>7.6340811370262385</v>
      </c>
      <c r="S69" s="14">
        <f t="shared" si="31"/>
        <v>7.6661237634408597</v>
      </c>
      <c r="T69" s="14">
        <f t="shared" ca="1" si="32"/>
        <v>3.2042626414621189E-2</v>
      </c>
      <c r="U69" s="16">
        <f t="shared" ca="1" si="33"/>
        <v>4.1797689945249714E-3</v>
      </c>
      <c r="V69" s="14">
        <f t="shared" si="34"/>
        <v>0.55833333333333357</v>
      </c>
      <c r="W69" s="14">
        <f t="shared" ca="1" si="35"/>
        <v>0.36591886297376153</v>
      </c>
      <c r="X69" s="14">
        <f t="shared" ca="1" si="36"/>
        <v>0.19241447035957204</v>
      </c>
      <c r="Y69" s="28">
        <f t="shared" ca="1" si="37"/>
        <v>0.34462293198729305</v>
      </c>
      <c r="Z69" s="29">
        <f t="shared" ca="1" si="38"/>
        <v>24.391026</v>
      </c>
      <c r="AA69" s="16">
        <f t="shared" ca="1" si="39"/>
        <v>8.6478426966292113E-2</v>
      </c>
      <c r="AB69" s="2"/>
    </row>
    <row r="70" spans="6:28" x14ac:dyDescent="0.25">
      <c r="F70" s="13">
        <v>68</v>
      </c>
      <c r="G70" s="13">
        <f t="shared" si="20"/>
        <v>26.8</v>
      </c>
      <c r="H70" s="13">
        <f t="shared" si="21"/>
        <v>299.95</v>
      </c>
      <c r="I70" s="14">
        <f t="shared" si="22"/>
        <v>0.56666700000000003</v>
      </c>
      <c r="J70" s="14">
        <f t="shared" si="23"/>
        <v>9246.0932339999999</v>
      </c>
      <c r="K70" s="14">
        <f t="shared" si="24"/>
        <v>8.2660932339999995</v>
      </c>
      <c r="L70" s="14">
        <f t="shared" si="25"/>
        <v>2090.7786059999999</v>
      </c>
      <c r="M70" s="14">
        <v>2088.44</v>
      </c>
      <c r="N70" s="13">
        <f t="shared" si="26"/>
        <v>2.0907786059999998</v>
      </c>
      <c r="O70" s="13">
        <f t="shared" si="27"/>
        <v>2.0762799999999997</v>
      </c>
      <c r="P70" s="13">
        <f t="shared" si="28"/>
        <v>1.449860600000008E-2</v>
      </c>
      <c r="Q70" s="16">
        <f t="shared" si="29"/>
        <v>6.9829724314640039E-3</v>
      </c>
      <c r="R70" s="14">
        <f t="shared" ca="1" si="30"/>
        <v>7.6262509999999999</v>
      </c>
      <c r="S70" s="14">
        <f t="shared" si="31"/>
        <v>7.6576778494623641</v>
      </c>
      <c r="T70" s="14">
        <f t="shared" ca="1" si="32"/>
        <v>3.1426849462364181E-2</v>
      </c>
      <c r="U70" s="16">
        <f t="shared" ca="1" si="33"/>
        <v>4.1039659907566653E-3</v>
      </c>
      <c r="V70" s="14">
        <f t="shared" si="34"/>
        <v>0.56666666666666821</v>
      </c>
      <c r="W70" s="14">
        <f t="shared" ca="1" si="35"/>
        <v>0.37374900000000011</v>
      </c>
      <c r="X70" s="14">
        <f t="shared" ca="1" si="36"/>
        <v>0.1929176666666681</v>
      </c>
      <c r="Y70" s="28">
        <f t="shared" ca="1" si="37"/>
        <v>0.34044294117647217</v>
      </c>
      <c r="Z70" s="29">
        <f t="shared" ca="1" si="38"/>
        <v>24.484988000000001</v>
      </c>
      <c r="AA70" s="16">
        <f t="shared" ca="1" si="39"/>
        <v>8.6381044776119381E-2</v>
      </c>
      <c r="AB70" s="2"/>
    </row>
    <row r="71" spans="6:28" x14ac:dyDescent="0.25">
      <c r="F71" s="13">
        <v>69</v>
      </c>
      <c r="G71" s="13">
        <f t="shared" si="20"/>
        <v>26.9</v>
      </c>
      <c r="H71" s="13">
        <f t="shared" si="21"/>
        <v>300.04999999999995</v>
      </c>
      <c r="I71" s="14">
        <f t="shared" si="22"/>
        <v>0.57499999999999996</v>
      </c>
      <c r="J71" s="14">
        <f t="shared" si="23"/>
        <v>9206.1278610000008</v>
      </c>
      <c r="K71" s="14">
        <f t="shared" si="24"/>
        <v>8.2261278610000019</v>
      </c>
      <c r="L71" s="14">
        <f t="shared" si="25"/>
        <v>2088.7370580000002</v>
      </c>
      <c r="M71" s="14">
        <v>2086.14</v>
      </c>
      <c r="N71" s="13">
        <f t="shared" si="26"/>
        <v>2.0887370580000004</v>
      </c>
      <c r="O71" s="13">
        <f t="shared" si="27"/>
        <v>2.0739900000000002</v>
      </c>
      <c r="P71" s="13">
        <f t="shared" si="28"/>
        <v>1.4747058000000202E-2</v>
      </c>
      <c r="Q71" s="16">
        <f t="shared" si="29"/>
        <v>7.1104769068318554E-3</v>
      </c>
      <c r="R71" s="14">
        <f t="shared" ca="1" si="30"/>
        <v>7.6187942274052487</v>
      </c>
      <c r="S71" s="14">
        <f t="shared" si="31"/>
        <v>7.6492319354838711</v>
      </c>
      <c r="T71" s="14">
        <f t="shared" ca="1" si="32"/>
        <v>3.043770807862245E-2</v>
      </c>
      <c r="U71" s="16">
        <f t="shared" ca="1" si="33"/>
        <v>3.9791848822658344E-3</v>
      </c>
      <c r="V71" s="14">
        <f t="shared" si="34"/>
        <v>0.57499999999999929</v>
      </c>
      <c r="W71" s="14">
        <f t="shared" ca="1" si="35"/>
        <v>0.3812057725947513</v>
      </c>
      <c r="X71" s="14">
        <f t="shared" ca="1" si="36"/>
        <v>0.19379422740524799</v>
      </c>
      <c r="Y71" s="28">
        <f t="shared" ca="1" si="37"/>
        <v>0.33703343896564908</v>
      </c>
      <c r="Z71" s="29">
        <f t="shared" ca="1" si="38"/>
        <v>24.574469000000001</v>
      </c>
      <c r="AA71" s="16">
        <f t="shared" ca="1" si="39"/>
        <v>8.6450966542750862E-2</v>
      </c>
      <c r="AB71" s="2"/>
    </row>
    <row r="72" spans="6:28" x14ac:dyDescent="0.25">
      <c r="F72" s="13">
        <v>70</v>
      </c>
      <c r="G72" s="13">
        <f t="shared" si="20"/>
        <v>27</v>
      </c>
      <c r="H72" s="13">
        <f t="shared" si="21"/>
        <v>300.14999999999998</v>
      </c>
      <c r="I72" s="14">
        <f t="shared" si="22"/>
        <v>0.58333299999999999</v>
      </c>
      <c r="J72" s="14">
        <f t="shared" si="23"/>
        <v>9166.3582409999999</v>
      </c>
      <c r="K72" s="14">
        <f t="shared" si="24"/>
        <v>8.1863582410000006</v>
      </c>
      <c r="L72" s="14">
        <f t="shared" si="25"/>
        <v>2086.6918820000001</v>
      </c>
      <c r="M72" s="14">
        <v>2084.33</v>
      </c>
      <c r="N72" s="13">
        <f t="shared" si="26"/>
        <v>2.0866918820000002</v>
      </c>
      <c r="O72" s="13">
        <f t="shared" si="27"/>
        <v>2.0716999999999999</v>
      </c>
      <c r="P72" s="13">
        <f t="shared" si="28"/>
        <v>1.4991882000000345E-2</v>
      </c>
      <c r="Q72" s="16">
        <f t="shared" si="29"/>
        <v>7.2365120432496726E-3</v>
      </c>
      <c r="R72" s="14">
        <f t="shared" ca="1" si="30"/>
        <v>7.612126501457726</v>
      </c>
      <c r="S72" s="14">
        <f t="shared" si="31"/>
        <v>7.6407860215053756</v>
      </c>
      <c r="T72" s="14">
        <f t="shared" ca="1" si="32"/>
        <v>2.86595200476496E-2</v>
      </c>
      <c r="U72" s="16">
        <f t="shared" ca="1" si="33"/>
        <v>3.7508601820527292E-3</v>
      </c>
      <c r="V72" s="14">
        <f t="shared" si="34"/>
        <v>0.58333333333333393</v>
      </c>
      <c r="W72" s="14">
        <f t="shared" ca="1" si="35"/>
        <v>0.38787349854227404</v>
      </c>
      <c r="X72" s="14">
        <f t="shared" ca="1" si="36"/>
        <v>0.19545983479105988</v>
      </c>
      <c r="Y72" s="28">
        <f t="shared" ca="1" si="37"/>
        <v>0.33507400249895947</v>
      </c>
      <c r="Z72" s="29">
        <f t="shared" ca="1" si="38"/>
        <v>24.654482000000002</v>
      </c>
      <c r="AA72" s="16">
        <f t="shared" ca="1" si="39"/>
        <v>8.6871037037036983E-2</v>
      </c>
      <c r="AB72" s="2"/>
    </row>
    <row r="73" spans="6:28" x14ac:dyDescent="0.25">
      <c r="F73" s="13">
        <v>71</v>
      </c>
      <c r="G73" s="13">
        <f t="shared" si="20"/>
        <v>27.1</v>
      </c>
      <c r="H73" s="13">
        <f t="shared" si="21"/>
        <v>300.25</v>
      </c>
      <c r="I73" s="14">
        <f t="shared" si="22"/>
        <v>0.59166700000000005</v>
      </c>
      <c r="J73" s="14">
        <f t="shared" si="23"/>
        <v>9126.7833100000007</v>
      </c>
      <c r="K73" s="14">
        <f t="shared" si="24"/>
        <v>8.1467833100000018</v>
      </c>
      <c r="L73" s="14">
        <f t="shared" si="25"/>
        <v>2084.6430879999998</v>
      </c>
      <c r="M73" s="14">
        <v>2082.27</v>
      </c>
      <c r="N73" s="13">
        <f t="shared" si="26"/>
        <v>2.084643088</v>
      </c>
      <c r="O73" s="13">
        <f t="shared" si="27"/>
        <v>2.06941</v>
      </c>
      <c r="P73" s="13">
        <f t="shared" si="28"/>
        <v>1.5233088000000006E-2</v>
      </c>
      <c r="Q73" s="16">
        <f t="shared" si="29"/>
        <v>7.3610777951203512E-3</v>
      </c>
      <c r="R73" s="14">
        <f t="shared" ca="1" si="30"/>
        <v>7.603090498542274</v>
      </c>
      <c r="S73" s="14">
        <f t="shared" si="31"/>
        <v>7.6323401075268809</v>
      </c>
      <c r="T73" s="14">
        <f t="shared" ca="1" si="32"/>
        <v>2.9249608984606823E-2</v>
      </c>
      <c r="U73" s="16">
        <f t="shared" ca="1" si="33"/>
        <v>3.8323251548710948E-3</v>
      </c>
      <c r="V73" s="14">
        <f t="shared" si="34"/>
        <v>0.59166666666666679</v>
      </c>
      <c r="W73" s="14">
        <f t="shared" ca="1" si="35"/>
        <v>0.39690950145772597</v>
      </c>
      <c r="X73" s="14">
        <f t="shared" ca="1" si="36"/>
        <v>0.19475716520894082</v>
      </c>
      <c r="Y73" s="28">
        <f t="shared" ca="1" si="37"/>
        <v>0.32916703978975909</v>
      </c>
      <c r="Z73" s="29">
        <f t="shared" ca="1" si="38"/>
        <v>24.762913999999999</v>
      </c>
      <c r="AA73" s="16">
        <f t="shared" ca="1" si="39"/>
        <v>8.6239335793358032E-2</v>
      </c>
      <c r="AB73" s="2"/>
    </row>
    <row r="74" spans="6:28" x14ac:dyDescent="0.25">
      <c r="F74" s="13">
        <v>72</v>
      </c>
      <c r="G74" s="13">
        <f t="shared" si="20"/>
        <v>27.2</v>
      </c>
      <c r="H74" s="13">
        <f t="shared" si="21"/>
        <v>300.34999999999997</v>
      </c>
      <c r="I74" s="14">
        <f t="shared" si="22"/>
        <v>0.6</v>
      </c>
      <c r="J74" s="14">
        <f t="shared" si="23"/>
        <v>9087.4020110000001</v>
      </c>
      <c r="K74" s="14">
        <f t="shared" si="24"/>
        <v>8.1074020109999996</v>
      </c>
      <c r="L74" s="14">
        <f t="shared" si="25"/>
        <v>2082.5906839999998</v>
      </c>
      <c r="M74" s="14">
        <v>2079.9499999999998</v>
      </c>
      <c r="N74" s="13">
        <f t="shared" si="26"/>
        <v>2.0825906839999999</v>
      </c>
      <c r="O74" s="13">
        <f t="shared" si="27"/>
        <v>2.0671200000000001</v>
      </c>
      <c r="P74" s="13">
        <f t="shared" si="28"/>
        <v>1.5470683999999846E-2</v>
      </c>
      <c r="Q74" s="16">
        <f t="shared" si="29"/>
        <v>7.4841731491156029E-3</v>
      </c>
      <c r="R74" s="14">
        <f t="shared" ca="1" si="30"/>
        <v>7.596770364431487</v>
      </c>
      <c r="S74" s="14">
        <f t="shared" si="31"/>
        <v>7.623894193548387</v>
      </c>
      <c r="T74" s="14">
        <f t="shared" ca="1" si="32"/>
        <v>2.7123829116900033E-2</v>
      </c>
      <c r="U74" s="16">
        <f t="shared" ca="1" si="33"/>
        <v>3.5577394476241802E-3</v>
      </c>
      <c r="V74" s="14">
        <f t="shared" si="34"/>
        <v>0.59999999999999964</v>
      </c>
      <c r="W74" s="14">
        <f t="shared" ca="1" si="35"/>
        <v>0.40322963556851299</v>
      </c>
      <c r="X74" s="14">
        <f t="shared" ca="1" si="36"/>
        <v>0.19677036443148666</v>
      </c>
      <c r="Y74" s="28">
        <f t="shared" ca="1" si="37"/>
        <v>0.32795060738581128</v>
      </c>
      <c r="Z74" s="29">
        <f t="shared" ca="1" si="38"/>
        <v>24.838756</v>
      </c>
      <c r="AA74" s="16">
        <f t="shared" ca="1" si="39"/>
        <v>8.6810441176470562E-2</v>
      </c>
      <c r="AB74" s="2"/>
    </row>
    <row r="75" spans="6:28" x14ac:dyDescent="0.25">
      <c r="F75" s="13">
        <v>73</v>
      </c>
      <c r="G75" s="13">
        <f t="shared" si="20"/>
        <v>27.3</v>
      </c>
      <c r="H75" s="13">
        <f t="shared" si="21"/>
        <v>300.45</v>
      </c>
      <c r="I75" s="14">
        <f t="shared" si="22"/>
        <v>0.60833300000000001</v>
      </c>
      <c r="J75" s="14">
        <f t="shared" si="23"/>
        <v>9048.2132920000004</v>
      </c>
      <c r="K75" s="14">
        <f t="shared" si="24"/>
        <v>8.0682132920000011</v>
      </c>
      <c r="L75" s="14">
        <f t="shared" si="25"/>
        <v>2080.5346810000001</v>
      </c>
      <c r="M75" s="14">
        <v>2078.11</v>
      </c>
      <c r="N75" s="13">
        <f t="shared" si="26"/>
        <v>2.0805346810000001</v>
      </c>
      <c r="O75" s="13">
        <f t="shared" si="27"/>
        <v>2.0648299999999997</v>
      </c>
      <c r="P75" s="13">
        <f t="shared" si="28"/>
        <v>1.5704681000000331E-2</v>
      </c>
      <c r="Q75" s="16">
        <f t="shared" si="29"/>
        <v>7.605798540315829E-3</v>
      </c>
      <c r="R75" s="14">
        <f t="shared" ca="1" si="30"/>
        <v>7.5896675014577255</v>
      </c>
      <c r="S75" s="14">
        <f t="shared" si="31"/>
        <v>7.6154482795698915</v>
      </c>
      <c r="T75" s="14">
        <f t="shared" ca="1" si="32"/>
        <v>2.5780778112165947E-2</v>
      </c>
      <c r="U75" s="16">
        <f t="shared" ca="1" si="33"/>
        <v>3.3853264004600403E-3</v>
      </c>
      <c r="V75" s="14">
        <f t="shared" si="34"/>
        <v>0.60833333333333428</v>
      </c>
      <c r="W75" s="14">
        <f t="shared" ca="1" si="35"/>
        <v>0.41033249854227449</v>
      </c>
      <c r="X75" s="14">
        <f t="shared" ca="1" si="36"/>
        <v>0.19800083479105979</v>
      </c>
      <c r="Y75" s="28">
        <f t="shared" ca="1" si="37"/>
        <v>0.32548082431407038</v>
      </c>
      <c r="Z75" s="29">
        <f t="shared" ca="1" si="38"/>
        <v>24.92399</v>
      </c>
      <c r="AA75" s="16">
        <f t="shared" ca="1" si="39"/>
        <v>8.7033333333333365E-2</v>
      </c>
      <c r="AB75" s="2"/>
    </row>
    <row r="76" spans="6:28" x14ac:dyDescent="0.25">
      <c r="F76" s="13">
        <v>74</v>
      </c>
      <c r="G76" s="13">
        <f t="shared" si="20"/>
        <v>27.4</v>
      </c>
      <c r="H76" s="13">
        <f t="shared" si="21"/>
        <v>300.54999999999995</v>
      </c>
      <c r="I76" s="14">
        <f t="shared" si="22"/>
        <v>0.61666699999999997</v>
      </c>
      <c r="J76" s="14">
        <f t="shared" si="23"/>
        <v>9009.2161080000005</v>
      </c>
      <c r="K76" s="14">
        <f t="shared" si="24"/>
        <v>8.029216108</v>
      </c>
      <c r="L76" s="14">
        <f t="shared" si="25"/>
        <v>2078.475089</v>
      </c>
      <c r="M76" s="14">
        <v>2076.52</v>
      </c>
      <c r="N76" s="13">
        <f t="shared" si="26"/>
        <v>2.0784750889999999</v>
      </c>
      <c r="O76" s="13">
        <f t="shared" si="27"/>
        <v>2.0625399999999998</v>
      </c>
      <c r="P76" s="13">
        <f t="shared" si="28"/>
        <v>1.5935089000000069E-2</v>
      </c>
      <c r="Q76" s="16">
        <f t="shared" si="29"/>
        <v>7.7259539208936892E-3</v>
      </c>
      <c r="R76" s="14">
        <f t="shared" ca="1" si="30"/>
        <v>7.5809778629737616</v>
      </c>
      <c r="S76" s="14">
        <f t="shared" si="31"/>
        <v>7.6070023655913968</v>
      </c>
      <c r="T76" s="14">
        <f t="shared" ca="1" si="32"/>
        <v>2.6024502617635115E-2</v>
      </c>
      <c r="U76" s="16">
        <f t="shared" ca="1" si="33"/>
        <v>3.4211245595704336E-3</v>
      </c>
      <c r="V76" s="14">
        <f t="shared" si="34"/>
        <v>0.61666666666666714</v>
      </c>
      <c r="W76" s="14">
        <f t="shared" ca="1" si="35"/>
        <v>0.41902213702623836</v>
      </c>
      <c r="X76" s="14">
        <f t="shared" ca="1" si="36"/>
        <v>0.19764452964042878</v>
      </c>
      <c r="Y76" s="28">
        <f t="shared" ca="1" si="37"/>
        <v>0.32050464266015455</v>
      </c>
      <c r="Z76" s="29">
        <f t="shared" ca="1" si="38"/>
        <v>25.028265999999999</v>
      </c>
      <c r="AA76" s="16">
        <f t="shared" ca="1" si="39"/>
        <v>8.6559635036496357E-2</v>
      </c>
      <c r="AB76" s="2"/>
    </row>
    <row r="77" spans="6:28" x14ac:dyDescent="0.25">
      <c r="F77" s="13">
        <v>75</v>
      </c>
      <c r="G77" s="13">
        <f t="shared" si="20"/>
        <v>27.5</v>
      </c>
      <c r="H77" s="13">
        <f t="shared" si="21"/>
        <v>300.64999999999998</v>
      </c>
      <c r="I77" s="14">
        <f t="shared" si="22"/>
        <v>0.625</v>
      </c>
      <c r="J77" s="14">
        <f t="shared" si="23"/>
        <v>8970.40942</v>
      </c>
      <c r="K77" s="14">
        <f t="shared" si="24"/>
        <v>7.9904094200000007</v>
      </c>
      <c r="L77" s="14">
        <f t="shared" si="25"/>
        <v>2076.4119169999999</v>
      </c>
      <c r="M77" s="14">
        <v>2074.17</v>
      </c>
      <c r="N77" s="13">
        <f t="shared" si="26"/>
        <v>2.0764119170000002</v>
      </c>
      <c r="O77" s="13">
        <f t="shared" si="27"/>
        <v>2.0602499999999999</v>
      </c>
      <c r="P77" s="13">
        <f t="shared" si="28"/>
        <v>1.6161917000000248E-2</v>
      </c>
      <c r="Q77" s="16">
        <f t="shared" si="29"/>
        <v>7.8446387574324702E-3</v>
      </c>
      <c r="R77" s="14">
        <f t="shared" ca="1" si="30"/>
        <v>7.5742441370262386</v>
      </c>
      <c r="S77" s="14">
        <f t="shared" si="31"/>
        <v>7.5985564516129029</v>
      </c>
      <c r="T77" s="14">
        <f t="shared" ca="1" si="32"/>
        <v>2.4312314586664385E-2</v>
      </c>
      <c r="U77" s="16">
        <f t="shared" ca="1" si="33"/>
        <v>3.1995964946083602E-3</v>
      </c>
      <c r="V77" s="14">
        <f t="shared" si="34"/>
        <v>0.625</v>
      </c>
      <c r="W77" s="14">
        <f t="shared" ca="1" si="35"/>
        <v>0.42575586297376145</v>
      </c>
      <c r="X77" s="14">
        <f t="shared" ca="1" si="36"/>
        <v>0.19924413702623855</v>
      </c>
      <c r="Y77" s="28">
        <f t="shared" ca="1" si="37"/>
        <v>0.31879061924198171</v>
      </c>
      <c r="Z77" s="29">
        <f t="shared" ca="1" si="38"/>
        <v>25.109069999999999</v>
      </c>
      <c r="AA77" s="16">
        <f t="shared" ca="1" si="39"/>
        <v>8.6942909090909126E-2</v>
      </c>
      <c r="AB77" s="2"/>
    </row>
    <row r="78" spans="6:28" x14ac:dyDescent="0.25">
      <c r="F78" s="13">
        <v>76</v>
      </c>
      <c r="G78" s="13">
        <f t="shared" si="20"/>
        <v>27.6</v>
      </c>
      <c r="H78" s="13">
        <f t="shared" si="21"/>
        <v>300.75</v>
      </c>
      <c r="I78" s="14">
        <f t="shared" si="22"/>
        <v>0.63333300000000003</v>
      </c>
      <c r="J78" s="14">
        <f t="shared" si="23"/>
        <v>8931.792195</v>
      </c>
      <c r="K78" s="14">
        <f t="shared" si="24"/>
        <v>7.9517921949999995</v>
      </c>
      <c r="L78" s="14">
        <f t="shared" si="25"/>
        <v>2074.3451759999998</v>
      </c>
      <c r="M78" s="14">
        <v>2072.0700000000002</v>
      </c>
      <c r="N78" s="13">
        <f t="shared" si="26"/>
        <v>2.074345176</v>
      </c>
      <c r="O78" s="13">
        <f t="shared" si="27"/>
        <v>2.05796</v>
      </c>
      <c r="P78" s="13">
        <f t="shared" si="28"/>
        <v>1.6385176000000001E-2</v>
      </c>
      <c r="Q78" s="16">
        <f t="shared" si="29"/>
        <v>7.9618534859764046E-3</v>
      </c>
      <c r="R78" s="14">
        <f t="shared" ca="1" si="30"/>
        <v>7.5663197725947517</v>
      </c>
      <c r="S78" s="14">
        <f t="shared" si="31"/>
        <v>7.5901105376344082</v>
      </c>
      <c r="T78" s="14">
        <f t="shared" ca="1" si="32"/>
        <v>2.3790765039656492E-2</v>
      </c>
      <c r="U78" s="16">
        <f t="shared" ca="1" si="33"/>
        <v>3.1344424987875476E-3</v>
      </c>
      <c r="V78" s="14">
        <f t="shared" si="34"/>
        <v>0.63333333333333375</v>
      </c>
      <c r="W78" s="14">
        <f t="shared" ca="1" si="35"/>
        <v>0.43368022740524825</v>
      </c>
      <c r="X78" s="14">
        <f t="shared" ca="1" si="36"/>
        <v>0.19965310592808549</v>
      </c>
      <c r="Y78" s="28">
        <f t="shared" ca="1" si="37"/>
        <v>0.31524174620224005</v>
      </c>
      <c r="Z78" s="29">
        <f t="shared" ca="1" si="38"/>
        <v>25.204163000000001</v>
      </c>
      <c r="AA78" s="16">
        <f t="shared" ca="1" si="39"/>
        <v>8.680568840579711E-2</v>
      </c>
      <c r="AB78" s="2"/>
    </row>
    <row r="79" spans="6:28" x14ac:dyDescent="0.25">
      <c r="F79" s="13">
        <v>77</v>
      </c>
      <c r="G79" s="13">
        <f t="shared" si="20"/>
        <v>27.7</v>
      </c>
      <c r="H79" s="13">
        <f t="shared" si="21"/>
        <v>300.84999999999997</v>
      </c>
      <c r="I79" s="14">
        <f t="shared" si="22"/>
        <v>0.64166699999999999</v>
      </c>
      <c r="J79" s="14">
        <f t="shared" si="23"/>
        <v>8893.3634079999993</v>
      </c>
      <c r="K79" s="14">
        <f t="shared" si="24"/>
        <v>7.9133634079999986</v>
      </c>
      <c r="L79" s="14">
        <f t="shared" si="25"/>
        <v>2072.2748750000001</v>
      </c>
      <c r="M79" s="14">
        <v>2070.21</v>
      </c>
      <c r="N79" s="13">
        <f t="shared" si="26"/>
        <v>2.0722748750000002</v>
      </c>
      <c r="O79" s="13">
        <f t="shared" si="27"/>
        <v>2.0556700000000001</v>
      </c>
      <c r="P79" s="13">
        <f t="shared" si="28"/>
        <v>1.6604875000000074E-2</v>
      </c>
      <c r="Q79" s="16">
        <f t="shared" si="29"/>
        <v>8.0775975715946975E-3</v>
      </c>
      <c r="R79" s="14">
        <f t="shared" ca="1" si="30"/>
        <v>7.5583726355685128</v>
      </c>
      <c r="S79" s="14">
        <f t="shared" si="31"/>
        <v>7.5816646236559144</v>
      </c>
      <c r="T79" s="14">
        <f t="shared" ca="1" si="32"/>
        <v>2.3291988087401627E-2</v>
      </c>
      <c r="U79" s="16">
        <f t="shared" ca="1" si="33"/>
        <v>3.072146981380208E-3</v>
      </c>
      <c r="V79" s="14">
        <f t="shared" si="34"/>
        <v>0.64166666666666572</v>
      </c>
      <c r="W79" s="14">
        <f t="shared" ca="1" si="35"/>
        <v>0.4416273644314872</v>
      </c>
      <c r="X79" s="14">
        <f t="shared" ca="1" si="36"/>
        <v>0.20003930223517852</v>
      </c>
      <c r="Y79" s="28">
        <f t="shared" ca="1" si="37"/>
        <v>0.31174956192495401</v>
      </c>
      <c r="Z79" s="29">
        <f t="shared" ca="1" si="38"/>
        <v>25.299527999999999</v>
      </c>
      <c r="AA79" s="16">
        <f t="shared" ca="1" si="39"/>
        <v>8.6659638989169702E-2</v>
      </c>
      <c r="AB79" s="2"/>
    </row>
    <row r="80" spans="6:28" x14ac:dyDescent="0.25">
      <c r="F80" s="13">
        <v>78</v>
      </c>
      <c r="G80" s="13">
        <f t="shared" si="20"/>
        <v>27.8</v>
      </c>
      <c r="H80" s="13">
        <f t="shared" si="21"/>
        <v>300.95</v>
      </c>
      <c r="I80" s="14">
        <f t="shared" si="22"/>
        <v>0.65</v>
      </c>
      <c r="J80" s="14">
        <f t="shared" si="23"/>
        <v>8855.1220360000007</v>
      </c>
      <c r="K80" s="14">
        <f t="shared" si="24"/>
        <v>7.8751220360000005</v>
      </c>
      <c r="L80" s="14">
        <f t="shared" si="25"/>
        <v>2070.201024</v>
      </c>
      <c r="M80" s="14">
        <v>2067.84</v>
      </c>
      <c r="N80" s="13">
        <f t="shared" si="26"/>
        <v>2.0702010240000002</v>
      </c>
      <c r="O80" s="13">
        <f t="shared" si="27"/>
        <v>2.0533799999999998</v>
      </c>
      <c r="P80" s="13">
        <f t="shared" si="28"/>
        <v>1.6821024000000406E-2</v>
      </c>
      <c r="Q80" s="16">
        <f t="shared" si="29"/>
        <v>8.1918709639717969E-3</v>
      </c>
      <c r="R80" s="14">
        <f t="shared" ca="1" si="30"/>
        <v>7.5515891370262382</v>
      </c>
      <c r="S80" s="14">
        <f t="shared" si="31"/>
        <v>7.5732187096774179</v>
      </c>
      <c r="T80" s="14">
        <f t="shared" ca="1" si="32"/>
        <v>2.1629572651179707E-2</v>
      </c>
      <c r="U80" s="16">
        <f t="shared" ca="1" si="33"/>
        <v>2.8560607425136704E-3</v>
      </c>
      <c r="V80" s="14">
        <f t="shared" si="34"/>
        <v>0.65000000000000124</v>
      </c>
      <c r="W80" s="14">
        <f t="shared" ca="1" si="35"/>
        <v>0.44841086297376176</v>
      </c>
      <c r="X80" s="14">
        <f t="shared" ca="1" si="36"/>
        <v>0.20158913702623948</v>
      </c>
      <c r="Y80" s="28">
        <f t="shared" ca="1" si="37"/>
        <v>0.3101371338865217</v>
      </c>
      <c r="Z80" s="29">
        <f t="shared" ca="1" si="38"/>
        <v>25.380929999999999</v>
      </c>
      <c r="AA80" s="16">
        <f t="shared" ca="1" si="39"/>
        <v>8.7016906474820188E-2</v>
      </c>
      <c r="AB80" s="2"/>
    </row>
    <row r="81" spans="6:28" x14ac:dyDescent="0.25">
      <c r="F81" s="13">
        <v>79</v>
      </c>
      <c r="G81" s="13">
        <f t="shared" si="20"/>
        <v>27.9</v>
      </c>
      <c r="H81" s="13">
        <f t="shared" si="21"/>
        <v>301.04999999999995</v>
      </c>
      <c r="I81" s="14">
        <f t="shared" si="22"/>
        <v>0.65833299999999995</v>
      </c>
      <c r="J81" s="14">
        <f t="shared" si="23"/>
        <v>8817.0670649999993</v>
      </c>
      <c r="K81" s="14">
        <f t="shared" si="24"/>
        <v>7.8370670649999994</v>
      </c>
      <c r="L81" s="14">
        <f t="shared" si="25"/>
        <v>2068.1236349999999</v>
      </c>
      <c r="M81" s="14">
        <v>2065.7199999999998</v>
      </c>
      <c r="N81" s="13">
        <f t="shared" si="26"/>
        <v>2.0681236350000001</v>
      </c>
      <c r="O81" s="13">
        <f t="shared" si="27"/>
        <v>2.0510899999999999</v>
      </c>
      <c r="P81" s="13">
        <f t="shared" si="28"/>
        <v>1.7033635000000213E-2</v>
      </c>
      <c r="Q81" s="16">
        <f t="shared" si="29"/>
        <v>8.3046745876583748E-3</v>
      </c>
      <c r="R81" s="14">
        <f t="shared" ca="1" si="30"/>
        <v>7.5436160000000001</v>
      </c>
      <c r="S81" s="14">
        <f t="shared" si="31"/>
        <v>7.5647727956989241</v>
      </c>
      <c r="T81" s="14">
        <f t="shared" ca="1" si="32"/>
        <v>2.1156795698924036E-2</v>
      </c>
      <c r="U81" s="16">
        <f t="shared" ca="1" si="33"/>
        <v>2.7967522978288363E-3</v>
      </c>
      <c r="V81" s="14">
        <f t="shared" si="34"/>
        <v>0.65833333333333321</v>
      </c>
      <c r="W81" s="14">
        <f t="shared" ca="1" si="35"/>
        <v>0.4563839999999999</v>
      </c>
      <c r="X81" s="14">
        <f t="shared" ca="1" si="36"/>
        <v>0.20194933333333331</v>
      </c>
      <c r="Y81" s="28">
        <f t="shared" ca="1" si="37"/>
        <v>0.30675848101265824</v>
      </c>
      <c r="Z81" s="29">
        <f t="shared" ca="1" si="38"/>
        <v>25.476607999999999</v>
      </c>
      <c r="AA81" s="16">
        <f t="shared" ca="1" si="39"/>
        <v>8.6859928315412185E-2</v>
      </c>
      <c r="AB81" s="2"/>
    </row>
    <row r="82" spans="6:28" x14ac:dyDescent="0.25">
      <c r="F82" s="13">
        <v>80</v>
      </c>
      <c r="G82" s="13">
        <f t="shared" si="20"/>
        <v>28</v>
      </c>
      <c r="H82" s="13">
        <f t="shared" si="21"/>
        <v>301.14999999999998</v>
      </c>
      <c r="I82" s="14">
        <f t="shared" si="22"/>
        <v>0.66666700000000001</v>
      </c>
      <c r="J82" s="14">
        <f t="shared" si="23"/>
        <v>8779.1974879999998</v>
      </c>
      <c r="K82" s="14">
        <f t="shared" si="24"/>
        <v>7.7991974880000008</v>
      </c>
      <c r="L82" s="14">
        <f t="shared" si="25"/>
        <v>2066.0427169999998</v>
      </c>
      <c r="M82" s="14">
        <v>2063.34</v>
      </c>
      <c r="N82" s="13">
        <f t="shared" si="26"/>
        <v>2.0660427169999998</v>
      </c>
      <c r="O82" s="13">
        <f t="shared" si="27"/>
        <v>2.0488</v>
      </c>
      <c r="P82" s="13">
        <f t="shared" si="28"/>
        <v>1.7242716999999796E-2</v>
      </c>
      <c r="Q82" s="16">
        <f t="shared" si="29"/>
        <v>8.4160079070674521E-3</v>
      </c>
      <c r="R82" s="14">
        <f t="shared" ca="1" si="30"/>
        <v>7.5364221370262383</v>
      </c>
      <c r="S82" s="14">
        <f t="shared" si="31"/>
        <v>7.5563268817204294</v>
      </c>
      <c r="T82" s="14">
        <f t="shared" ca="1" si="32"/>
        <v>1.9904744694191123E-2</v>
      </c>
      <c r="U82" s="16">
        <f t="shared" ca="1" si="33"/>
        <v>2.6341825870904089E-3</v>
      </c>
      <c r="V82" s="14">
        <f t="shared" si="34"/>
        <v>0.66666666666666696</v>
      </c>
      <c r="W82" s="14">
        <f t="shared" ca="1" si="35"/>
        <v>0.46357786297376169</v>
      </c>
      <c r="X82" s="14">
        <f t="shared" ca="1" si="36"/>
        <v>0.20308880369290527</v>
      </c>
      <c r="Y82" s="28">
        <f t="shared" ca="1" si="37"/>
        <v>0.3046332055393578</v>
      </c>
      <c r="Z82" s="29">
        <f t="shared" ca="1" si="38"/>
        <v>25.562933999999998</v>
      </c>
      <c r="AA82" s="16">
        <f t="shared" ca="1" si="39"/>
        <v>8.7038071428571478E-2</v>
      </c>
      <c r="AB82" s="2"/>
    </row>
    <row r="83" spans="6:28" x14ac:dyDescent="0.25">
      <c r="F83" s="13">
        <v>81</v>
      </c>
      <c r="G83" s="13">
        <f t="shared" si="20"/>
        <v>28.1</v>
      </c>
      <c r="H83" s="13">
        <f t="shared" si="21"/>
        <v>301.25</v>
      </c>
      <c r="I83" s="14">
        <f t="shared" si="22"/>
        <v>0.67500000000000004</v>
      </c>
      <c r="J83" s="14">
        <f t="shared" si="23"/>
        <v>8741.5123010000007</v>
      </c>
      <c r="K83" s="14">
        <f t="shared" si="24"/>
        <v>7.7615123010000016</v>
      </c>
      <c r="L83" s="14">
        <f t="shared" si="25"/>
        <v>2063.9582799999998</v>
      </c>
      <c r="M83" s="14">
        <v>2061.69</v>
      </c>
      <c r="N83" s="13">
        <f t="shared" si="26"/>
        <v>2.06395828</v>
      </c>
      <c r="O83" s="13">
        <f t="shared" si="27"/>
        <v>2.0465100000000001</v>
      </c>
      <c r="P83" s="13">
        <f t="shared" si="28"/>
        <v>1.7448279999999983E-2</v>
      </c>
      <c r="Q83" s="16">
        <f t="shared" si="29"/>
        <v>8.5258708728518217E-3</v>
      </c>
      <c r="R83" s="14">
        <f t="shared" ca="1" si="30"/>
        <v>7.5280268629737614</v>
      </c>
      <c r="S83" s="14">
        <f t="shared" si="31"/>
        <v>7.5478809677419356</v>
      </c>
      <c r="T83" s="14">
        <f t="shared" ca="1" si="32"/>
        <v>1.9854104768174174E-2</v>
      </c>
      <c r="U83" s="16">
        <f t="shared" ca="1" si="33"/>
        <v>2.6304210218770626E-3</v>
      </c>
      <c r="V83" s="14">
        <f t="shared" si="34"/>
        <v>0.67499999999999982</v>
      </c>
      <c r="W83" s="14">
        <f t="shared" ca="1" si="35"/>
        <v>0.47197313702623855</v>
      </c>
      <c r="X83" s="14">
        <f t="shared" ca="1" si="36"/>
        <v>0.20302686297376127</v>
      </c>
      <c r="Y83" s="28">
        <f t="shared" ca="1" si="37"/>
        <v>0.30078053773890567</v>
      </c>
      <c r="Z83" s="29">
        <f t="shared" ca="1" si="38"/>
        <v>25.663678000000001</v>
      </c>
      <c r="AA83" s="16">
        <f t="shared" ca="1" si="39"/>
        <v>8.6701850533807842E-2</v>
      </c>
      <c r="AB83" s="2"/>
    </row>
    <row r="84" spans="6:28" x14ac:dyDescent="0.25">
      <c r="F84" s="13">
        <v>82</v>
      </c>
      <c r="G84" s="13">
        <f t="shared" si="20"/>
        <v>28.200000000000003</v>
      </c>
      <c r="H84" s="13">
        <f t="shared" si="21"/>
        <v>301.34999999999997</v>
      </c>
      <c r="I84" s="14">
        <f t="shared" si="22"/>
        <v>0.68333299999999997</v>
      </c>
      <c r="J84" s="14">
        <f t="shared" si="23"/>
        <v>8704.0105079999994</v>
      </c>
      <c r="K84" s="14">
        <f t="shared" si="24"/>
        <v>7.7240105079999992</v>
      </c>
      <c r="L84" s="14">
        <f t="shared" si="25"/>
        <v>2061.8703350000001</v>
      </c>
      <c r="M84" s="14">
        <v>2059.5500000000002</v>
      </c>
      <c r="N84" s="13">
        <f t="shared" si="26"/>
        <v>2.0618703350000001</v>
      </c>
      <c r="O84" s="13">
        <f t="shared" si="27"/>
        <v>2.0442200000000001</v>
      </c>
      <c r="P84" s="13">
        <f t="shared" si="28"/>
        <v>1.7650334999999906E-2</v>
      </c>
      <c r="Q84" s="16">
        <f t="shared" si="29"/>
        <v>8.6342639246264619E-3</v>
      </c>
      <c r="R84" s="14">
        <f t="shared" ca="1" si="30"/>
        <v>7.5207962274052482</v>
      </c>
      <c r="S84" s="14">
        <f t="shared" si="31"/>
        <v>7.5394350537634409</v>
      </c>
      <c r="T84" s="14">
        <f t="shared" ca="1" si="32"/>
        <v>1.8638826358192695E-2</v>
      </c>
      <c r="U84" s="16">
        <f t="shared" ca="1" si="33"/>
        <v>2.4721781174955274E-3</v>
      </c>
      <c r="V84" s="14">
        <f t="shared" si="34"/>
        <v>0.68333333333333268</v>
      </c>
      <c r="W84" s="14">
        <f t="shared" ca="1" si="35"/>
        <v>0.47920377259475178</v>
      </c>
      <c r="X84" s="14">
        <f t="shared" ca="1" si="36"/>
        <v>0.20412956073858091</v>
      </c>
      <c r="Y84" s="28">
        <f t="shared" ca="1" si="37"/>
        <v>0.29872618644670407</v>
      </c>
      <c r="Z84" s="29">
        <f t="shared" ca="1" si="38"/>
        <v>25.750444999999999</v>
      </c>
      <c r="AA84" s="16">
        <f t="shared" ca="1" si="39"/>
        <v>8.6863652482269627E-2</v>
      </c>
      <c r="AB84" s="2"/>
    </row>
    <row r="85" spans="6:28" x14ac:dyDescent="0.25">
      <c r="F85" s="13">
        <v>83</v>
      </c>
      <c r="G85" s="13">
        <f t="shared" si="20"/>
        <v>28.3</v>
      </c>
      <c r="H85" s="13">
        <f t="shared" si="21"/>
        <v>301.45</v>
      </c>
      <c r="I85" s="14">
        <f t="shared" si="22"/>
        <v>0.69166700000000003</v>
      </c>
      <c r="J85" s="14">
        <f t="shared" si="23"/>
        <v>8666.6911180000006</v>
      </c>
      <c r="K85" s="14">
        <f t="shared" si="24"/>
        <v>7.6866911180000006</v>
      </c>
      <c r="L85" s="14">
        <f t="shared" si="25"/>
        <v>2059.7788919999998</v>
      </c>
      <c r="M85" s="14">
        <v>2057.39</v>
      </c>
      <c r="N85" s="13">
        <f t="shared" si="26"/>
        <v>2.0597788919999998</v>
      </c>
      <c r="O85" s="13">
        <f t="shared" si="27"/>
        <v>2.0419299999999998</v>
      </c>
      <c r="P85" s="13">
        <f t="shared" si="28"/>
        <v>1.784889199999995E-2</v>
      </c>
      <c r="Q85" s="16">
        <f t="shared" si="29"/>
        <v>8.7411870142463013E-3</v>
      </c>
      <c r="R85" s="14">
        <f t="shared" ca="1" si="30"/>
        <v>7.5127926355685126</v>
      </c>
      <c r="S85" s="14">
        <f t="shared" si="31"/>
        <v>7.5309891397849453</v>
      </c>
      <c r="T85" s="14">
        <f t="shared" ca="1" si="32"/>
        <v>1.8196504216432707E-2</v>
      </c>
      <c r="U85" s="16">
        <f t="shared" ca="1" si="33"/>
        <v>2.4162170305496319E-3</v>
      </c>
      <c r="V85" s="14">
        <f t="shared" si="34"/>
        <v>0.69166666666666732</v>
      </c>
      <c r="W85" s="14">
        <f t="shared" ca="1" si="35"/>
        <v>0.48720736443148738</v>
      </c>
      <c r="X85" s="14">
        <f t="shared" ca="1" si="36"/>
        <v>0.20445930223517994</v>
      </c>
      <c r="Y85" s="28">
        <f t="shared" ca="1" si="37"/>
        <v>0.29560381046050083</v>
      </c>
      <c r="Z85" s="29">
        <f t="shared" ca="1" si="38"/>
        <v>25.846488000000001</v>
      </c>
      <c r="AA85" s="16">
        <f t="shared" ca="1" si="39"/>
        <v>8.6696537102473492E-2</v>
      </c>
      <c r="AB85" s="2"/>
    </row>
    <row r="86" spans="6:28" x14ac:dyDescent="0.25">
      <c r="F86" s="13">
        <v>84</v>
      </c>
      <c r="G86" s="13">
        <f t="shared" si="20"/>
        <v>28.4</v>
      </c>
      <c r="H86" s="13">
        <f t="shared" si="21"/>
        <v>301.54999999999995</v>
      </c>
      <c r="I86" s="14">
        <f t="shared" si="22"/>
        <v>0.7</v>
      </c>
      <c r="J86" s="14">
        <f t="shared" si="23"/>
        <v>8629.5531460000002</v>
      </c>
      <c r="K86" s="14">
        <f t="shared" si="24"/>
        <v>7.6495531460000006</v>
      </c>
      <c r="L86" s="14">
        <f t="shared" si="25"/>
        <v>2057.6839629999999</v>
      </c>
      <c r="M86" s="14">
        <v>2055.23</v>
      </c>
      <c r="N86" s="13">
        <f t="shared" si="26"/>
        <v>2.0576839630000001</v>
      </c>
      <c r="O86" s="13">
        <f t="shared" si="27"/>
        <v>2.0396399999999999</v>
      </c>
      <c r="P86" s="13">
        <f t="shared" si="28"/>
        <v>1.8043963000000218E-2</v>
      </c>
      <c r="Q86" s="16">
        <f t="shared" si="29"/>
        <v>8.8466410739151125E-3</v>
      </c>
      <c r="R86" s="14">
        <f t="shared" ca="1" si="30"/>
        <v>7.5051408629737617</v>
      </c>
      <c r="S86" s="14">
        <f t="shared" si="31"/>
        <v>7.5225432258064506</v>
      </c>
      <c r="T86" s="14">
        <f t="shared" ca="1" si="32"/>
        <v>1.7402362832688922E-2</v>
      </c>
      <c r="U86" s="16">
        <f t="shared" ca="1" si="33"/>
        <v>2.3133616265559325E-3</v>
      </c>
      <c r="V86" s="14">
        <f t="shared" si="34"/>
        <v>0.70000000000000018</v>
      </c>
      <c r="W86" s="14">
        <f t="shared" ca="1" si="35"/>
        <v>0.49485913702623829</v>
      </c>
      <c r="X86" s="14">
        <f t="shared" ca="1" si="36"/>
        <v>0.20514086297376188</v>
      </c>
      <c r="Y86" s="28">
        <f t="shared" ca="1" si="37"/>
        <v>0.2930583756768026</v>
      </c>
      <c r="Z86" s="29">
        <f t="shared" ca="1" si="38"/>
        <v>25.938310000000001</v>
      </c>
      <c r="AA86" s="16">
        <f t="shared" ca="1" si="39"/>
        <v>8.6679225352112588E-2</v>
      </c>
      <c r="AB86" s="2"/>
    </row>
    <row r="87" spans="6:28" x14ac:dyDescent="0.25">
      <c r="F87" s="13">
        <v>85</v>
      </c>
      <c r="G87" s="13">
        <f t="shared" si="20"/>
        <v>28.5</v>
      </c>
      <c r="H87" s="13">
        <f t="shared" si="21"/>
        <v>301.64999999999998</v>
      </c>
      <c r="I87" s="14">
        <f t="shared" si="22"/>
        <v>0.70833299999999999</v>
      </c>
      <c r="J87" s="14">
        <f t="shared" si="23"/>
        <v>8592.5956129999995</v>
      </c>
      <c r="K87" s="14">
        <f t="shared" si="24"/>
        <v>7.6125956129999999</v>
      </c>
      <c r="L87" s="14">
        <f t="shared" si="25"/>
        <v>2055.5855569999999</v>
      </c>
      <c r="M87" s="14">
        <v>2053.06</v>
      </c>
      <c r="N87" s="13">
        <f t="shared" si="26"/>
        <v>2.0555855570000001</v>
      </c>
      <c r="O87" s="13">
        <f t="shared" si="27"/>
        <v>2.03735</v>
      </c>
      <c r="P87" s="13">
        <f t="shared" si="28"/>
        <v>1.8235557000000124E-2</v>
      </c>
      <c r="Q87" s="16">
        <f t="shared" si="29"/>
        <v>8.9506255675265052E-3</v>
      </c>
      <c r="R87" s="14">
        <f t="shared" ca="1" si="30"/>
        <v>7.4978712274052484</v>
      </c>
      <c r="S87" s="14">
        <f t="shared" si="31"/>
        <v>7.5140973118279568</v>
      </c>
      <c r="T87" s="14">
        <f t="shared" ca="1" si="32"/>
        <v>1.6226084422708453E-2</v>
      </c>
      <c r="U87" s="16">
        <f t="shared" ca="1" si="33"/>
        <v>2.1594189893131858E-3</v>
      </c>
      <c r="V87" s="14">
        <f t="shared" si="34"/>
        <v>0.70833333333333304</v>
      </c>
      <c r="W87" s="14">
        <f t="shared" ca="1" si="35"/>
        <v>0.50212877259475164</v>
      </c>
      <c r="X87" s="14">
        <f t="shared" ca="1" si="36"/>
        <v>0.2062045607385814</v>
      </c>
      <c r="Y87" s="28">
        <f t="shared" ca="1" si="37"/>
        <v>0.29111232104270329</v>
      </c>
      <c r="Z87" s="29">
        <f t="shared" ca="1" si="38"/>
        <v>26.025545000000001</v>
      </c>
      <c r="AA87" s="16">
        <f t="shared" ca="1" si="39"/>
        <v>8.6822982456140313E-2</v>
      </c>
      <c r="AB87" s="2"/>
    </row>
    <row r="88" spans="6:28" x14ac:dyDescent="0.25">
      <c r="F88" s="13">
        <v>86</v>
      </c>
      <c r="G88" s="13">
        <f t="shared" si="20"/>
        <v>28.6</v>
      </c>
      <c r="H88" s="13">
        <f t="shared" si="21"/>
        <v>301.75</v>
      </c>
      <c r="I88" s="14">
        <f t="shared" si="22"/>
        <v>0.71666700000000005</v>
      </c>
      <c r="J88" s="14">
        <f t="shared" si="23"/>
        <v>8555.8175460000002</v>
      </c>
      <c r="K88" s="14">
        <f t="shared" si="24"/>
        <v>7.5758175459999997</v>
      </c>
      <c r="L88" s="14">
        <f t="shared" si="25"/>
        <v>2053.483686</v>
      </c>
      <c r="M88" s="14">
        <v>2050.88</v>
      </c>
      <c r="N88" s="13">
        <f t="shared" si="26"/>
        <v>2.0534836860000003</v>
      </c>
      <c r="O88" s="13">
        <f t="shared" si="27"/>
        <v>2.0350599999999996</v>
      </c>
      <c r="P88" s="13">
        <f t="shared" si="28"/>
        <v>1.8423686000000661E-2</v>
      </c>
      <c r="Q88" s="16">
        <f t="shared" si="29"/>
        <v>9.0531414307198129E-3</v>
      </c>
      <c r="R88" s="14">
        <f t="shared" ca="1" si="30"/>
        <v>7.4906121370262388</v>
      </c>
      <c r="S88" s="14">
        <f t="shared" si="31"/>
        <v>7.5056513978494603</v>
      </c>
      <c r="T88" s="14">
        <f t="shared" ca="1" si="32"/>
        <v>1.503926082322149E-2</v>
      </c>
      <c r="U88" s="16">
        <f t="shared" ca="1" si="33"/>
        <v>2.0037249301946771E-3</v>
      </c>
      <c r="V88" s="14">
        <f t="shared" si="34"/>
        <v>0.71666666666666856</v>
      </c>
      <c r="W88" s="14">
        <f t="shared" ca="1" si="35"/>
        <v>0.50938786297376115</v>
      </c>
      <c r="X88" s="14">
        <f t="shared" ca="1" si="36"/>
        <v>0.20727880369290741</v>
      </c>
      <c r="Y88" s="28">
        <f t="shared" ca="1" si="37"/>
        <v>0.28922623771103284</v>
      </c>
      <c r="Z88" s="29">
        <f t="shared" ca="1" si="38"/>
        <v>26.112653999999999</v>
      </c>
      <c r="AA88" s="16">
        <f t="shared" ca="1" si="39"/>
        <v>8.6970139860139933E-2</v>
      </c>
      <c r="AB88" s="2"/>
    </row>
    <row r="89" spans="6:28" x14ac:dyDescent="0.25">
      <c r="F89" s="13">
        <v>87</v>
      </c>
      <c r="G89" s="13">
        <f t="shared" si="20"/>
        <v>28.700000000000003</v>
      </c>
      <c r="H89" s="13">
        <f t="shared" si="21"/>
        <v>301.84999999999997</v>
      </c>
      <c r="I89" s="14">
        <f t="shared" si="22"/>
        <v>0.72499999999999998</v>
      </c>
      <c r="J89" s="14">
        <f t="shared" si="23"/>
        <v>8519.2179780000006</v>
      </c>
      <c r="K89" s="14">
        <f t="shared" si="24"/>
        <v>7.5392179779999999</v>
      </c>
      <c r="L89" s="14">
        <f t="shared" si="25"/>
        <v>2051.3783600000002</v>
      </c>
      <c r="M89" s="14">
        <v>2049.19</v>
      </c>
      <c r="N89" s="13">
        <f t="shared" si="26"/>
        <v>2.0513783600000002</v>
      </c>
      <c r="O89" s="13">
        <f t="shared" si="27"/>
        <v>2.0327699999999997</v>
      </c>
      <c r="P89" s="13">
        <f t="shared" si="28"/>
        <v>1.8608360000000435E-2</v>
      </c>
      <c r="Q89" s="16">
        <f t="shared" si="29"/>
        <v>9.1541886194701997E-3</v>
      </c>
      <c r="R89" s="14">
        <f t="shared" ca="1" si="30"/>
        <v>7.482139862973761</v>
      </c>
      <c r="S89" s="14">
        <f t="shared" si="31"/>
        <v>7.4972054838709665</v>
      </c>
      <c r="T89" s="14">
        <f t="shared" ca="1" si="32"/>
        <v>1.5065620897205534E-2</v>
      </c>
      <c r="U89" s="16">
        <f t="shared" ca="1" si="33"/>
        <v>2.0094981963101849E-3</v>
      </c>
      <c r="V89" s="14">
        <f t="shared" si="34"/>
        <v>0.72500000000000053</v>
      </c>
      <c r="W89" s="14">
        <f t="shared" ca="1" si="35"/>
        <v>0.51786013702623901</v>
      </c>
      <c r="X89" s="14">
        <f t="shared" ca="1" si="36"/>
        <v>0.20713986297376152</v>
      </c>
      <c r="Y89" s="28">
        <f t="shared" ca="1" si="37"/>
        <v>0.28571015582587778</v>
      </c>
      <c r="Z89" s="29">
        <f t="shared" ca="1" si="38"/>
        <v>26.214321999999999</v>
      </c>
      <c r="AA89" s="16">
        <f t="shared" ca="1" si="39"/>
        <v>8.660898954703844E-2</v>
      </c>
      <c r="AB89" s="2"/>
    </row>
    <row r="90" spans="6:28" x14ac:dyDescent="0.25">
      <c r="F90" s="13">
        <v>88</v>
      </c>
      <c r="G90" s="13">
        <f t="shared" si="20"/>
        <v>28.8</v>
      </c>
      <c r="H90" s="13">
        <f t="shared" si="21"/>
        <v>301.95</v>
      </c>
      <c r="I90" s="14">
        <f t="shared" si="22"/>
        <v>0.73333300000000001</v>
      </c>
      <c r="J90" s="14">
        <f t="shared" si="23"/>
        <v>8482.7959460000002</v>
      </c>
      <c r="K90" s="14">
        <f t="shared" si="24"/>
        <v>7.5027959460000009</v>
      </c>
      <c r="L90" s="14">
        <f t="shared" si="25"/>
        <v>2049.2695899999999</v>
      </c>
      <c r="M90" s="14">
        <v>2046.75</v>
      </c>
      <c r="N90" s="13">
        <f t="shared" si="26"/>
        <v>2.0492695899999998</v>
      </c>
      <c r="O90" s="13">
        <f t="shared" si="27"/>
        <v>2.0304799999999998</v>
      </c>
      <c r="P90" s="13">
        <f t="shared" si="28"/>
        <v>1.8789589999999912E-2</v>
      </c>
      <c r="Q90" s="16">
        <f t="shared" si="29"/>
        <v>9.2537675820495227E-3</v>
      </c>
      <c r="R90" s="14">
        <f t="shared" ca="1" si="30"/>
        <v>7.4752303644314875</v>
      </c>
      <c r="S90" s="14">
        <f t="shared" si="31"/>
        <v>7.4887595698924718</v>
      </c>
      <c r="T90" s="14">
        <f t="shared" ca="1" si="32"/>
        <v>1.352920546098435E-2</v>
      </c>
      <c r="U90" s="16">
        <f t="shared" ca="1" si="33"/>
        <v>1.8066016587548973E-3</v>
      </c>
      <c r="V90" s="14">
        <f t="shared" si="34"/>
        <v>0.73333333333333428</v>
      </c>
      <c r="W90" s="14">
        <f t="shared" ca="1" si="35"/>
        <v>0.52476963556851253</v>
      </c>
      <c r="X90" s="14">
        <f t="shared" ca="1" si="36"/>
        <v>0.20856369776482175</v>
      </c>
      <c r="Y90" s="28">
        <f t="shared" ca="1" si="37"/>
        <v>0.28440504240657477</v>
      </c>
      <c r="Z90" s="29">
        <f t="shared" ca="1" si="38"/>
        <v>26.297236000000002</v>
      </c>
      <c r="AA90" s="16">
        <f t="shared" ca="1" si="39"/>
        <v>8.6901527777777751E-2</v>
      </c>
      <c r="AB90" s="2"/>
    </row>
    <row r="91" spans="6:28" x14ac:dyDescent="0.25">
      <c r="F91" s="13">
        <v>89</v>
      </c>
      <c r="G91" s="13">
        <f t="shared" si="20"/>
        <v>28.9</v>
      </c>
      <c r="H91" s="13">
        <f t="shared" si="21"/>
        <v>302.04999999999995</v>
      </c>
      <c r="I91" s="14">
        <f t="shared" si="22"/>
        <v>0.74166699999999997</v>
      </c>
      <c r="J91" s="14">
        <f t="shared" si="23"/>
        <v>8446.5504939999992</v>
      </c>
      <c r="K91" s="14">
        <f t="shared" si="24"/>
        <v>7.4665504939999998</v>
      </c>
      <c r="L91" s="14">
        <f t="shared" si="25"/>
        <v>2047.157387</v>
      </c>
      <c r="M91" s="14">
        <v>2044.31</v>
      </c>
      <c r="N91" s="13">
        <f t="shared" si="26"/>
        <v>2.0471573870000004</v>
      </c>
      <c r="O91" s="13">
        <f t="shared" si="27"/>
        <v>2.0281899999999999</v>
      </c>
      <c r="P91" s="13">
        <f t="shared" si="28"/>
        <v>1.8967387000000446E-2</v>
      </c>
      <c r="Q91" s="16">
        <f t="shared" si="29"/>
        <v>9.3518787687546269E-3</v>
      </c>
      <c r="R91" s="14">
        <f t="shared" ca="1" si="30"/>
        <v>7.4663584985422737</v>
      </c>
      <c r="S91" s="14">
        <f t="shared" si="31"/>
        <v>7.480313655913978</v>
      </c>
      <c r="T91" s="14">
        <f t="shared" ca="1" si="32"/>
        <v>1.3955157371704274E-2</v>
      </c>
      <c r="U91" s="16">
        <f t="shared" ca="1" si="33"/>
        <v>1.8655845214018865E-3</v>
      </c>
      <c r="V91" s="14">
        <f t="shared" si="34"/>
        <v>0.74166666666666714</v>
      </c>
      <c r="W91" s="14">
        <f t="shared" ca="1" si="35"/>
        <v>0.53364150145772626</v>
      </c>
      <c r="X91" s="14">
        <f t="shared" ca="1" si="36"/>
        <v>0.20802516520894088</v>
      </c>
      <c r="Y91" s="28">
        <f t="shared" ca="1" si="37"/>
        <v>0.28048336882104369</v>
      </c>
      <c r="Z91" s="29">
        <f t="shared" ca="1" si="38"/>
        <v>26.403697999999999</v>
      </c>
      <c r="AA91" s="16">
        <f t="shared" ca="1" si="39"/>
        <v>8.6377231833910037E-2</v>
      </c>
      <c r="AB91" s="2"/>
    </row>
    <row r="92" spans="6:28" x14ac:dyDescent="0.25">
      <c r="F92" s="13">
        <v>90</v>
      </c>
      <c r="G92" s="13">
        <f t="shared" si="20"/>
        <v>29</v>
      </c>
      <c r="H92" s="13">
        <f t="shared" si="21"/>
        <v>302.14999999999998</v>
      </c>
      <c r="I92" s="14">
        <f t="shared" si="22"/>
        <v>0.75</v>
      </c>
      <c r="J92" s="14">
        <f t="shared" si="23"/>
        <v>8410.4806719999997</v>
      </c>
      <c r="K92" s="14">
        <f t="shared" si="24"/>
        <v>7.4304806719999998</v>
      </c>
      <c r="L92" s="14">
        <f t="shared" si="25"/>
        <v>2045.0417629999999</v>
      </c>
      <c r="M92" s="14">
        <v>2042.59</v>
      </c>
      <c r="N92" s="13">
        <f t="shared" si="26"/>
        <v>2.045041763</v>
      </c>
      <c r="O92" s="13">
        <f t="shared" si="27"/>
        <v>2.0259</v>
      </c>
      <c r="P92" s="13">
        <f t="shared" si="28"/>
        <v>1.9141762999999923E-2</v>
      </c>
      <c r="Q92" s="16">
        <f t="shared" si="29"/>
        <v>9.4485231255244193E-3</v>
      </c>
      <c r="R92" s="14">
        <f t="shared" ca="1" si="30"/>
        <v>7.4594337725947515</v>
      </c>
      <c r="S92" s="14">
        <f t="shared" si="31"/>
        <v>7.4718677419354833</v>
      </c>
      <c r="T92" s="14">
        <f t="shared" ca="1" si="32"/>
        <v>1.2433969340731821E-2</v>
      </c>
      <c r="U92" s="16">
        <f t="shared" ca="1" si="33"/>
        <v>1.664104581368162E-3</v>
      </c>
      <c r="V92" s="14">
        <f t="shared" si="34"/>
        <v>0.75</v>
      </c>
      <c r="W92" s="14">
        <f t="shared" ca="1" si="35"/>
        <v>0.54056622740524851</v>
      </c>
      <c r="X92" s="14">
        <f t="shared" ca="1" si="36"/>
        <v>0.20943377259475149</v>
      </c>
      <c r="Y92" s="28">
        <f t="shared" ca="1" si="37"/>
        <v>0.27924503012633534</v>
      </c>
      <c r="Z92" s="29">
        <f t="shared" ca="1" si="38"/>
        <v>26.486795000000001</v>
      </c>
      <c r="AA92" s="16">
        <f t="shared" ca="1" si="39"/>
        <v>8.666224137931032E-2</v>
      </c>
      <c r="AB92" s="2"/>
    </row>
    <row r="93" spans="6:28" x14ac:dyDescent="0.25">
      <c r="F93" s="13">
        <v>91</v>
      </c>
      <c r="G93" s="13">
        <f t="shared" si="20"/>
        <v>29.1</v>
      </c>
      <c r="H93" s="13">
        <f t="shared" si="21"/>
        <v>302.25</v>
      </c>
      <c r="I93" s="14">
        <f t="shared" si="22"/>
        <v>0.75833300000000003</v>
      </c>
      <c r="J93" s="14">
        <f t="shared" si="23"/>
        <v>8374.5855360000005</v>
      </c>
      <c r="K93" s="14">
        <f t="shared" si="24"/>
        <v>7.394585536000001</v>
      </c>
      <c r="L93" s="14">
        <f t="shared" si="25"/>
        <v>2042.922728</v>
      </c>
      <c r="M93" s="14">
        <v>2040.38</v>
      </c>
      <c r="N93" s="13">
        <f t="shared" si="26"/>
        <v>2.0429227280000002</v>
      </c>
      <c r="O93" s="13">
        <f t="shared" si="27"/>
        <v>2.0236099999999997</v>
      </c>
      <c r="P93" s="13">
        <f t="shared" si="28"/>
        <v>1.9312728000000501E-2</v>
      </c>
      <c r="Q93" s="16">
        <f t="shared" si="29"/>
        <v>9.5437006142490427E-3</v>
      </c>
      <c r="R93" s="14">
        <f t="shared" ca="1" si="30"/>
        <v>7.4516832274052485</v>
      </c>
      <c r="S93" s="14">
        <f t="shared" si="31"/>
        <v>7.4634218279569877</v>
      </c>
      <c r="T93" s="14">
        <f t="shared" ca="1" si="32"/>
        <v>1.1738600551739253E-2</v>
      </c>
      <c r="U93" s="16">
        <f t="shared" ca="1" si="33"/>
        <v>1.5728175121722337E-3</v>
      </c>
      <c r="V93" s="14">
        <f t="shared" si="34"/>
        <v>0.75833333333333464</v>
      </c>
      <c r="W93" s="14">
        <f t="shared" ca="1" si="35"/>
        <v>0.54831677259475153</v>
      </c>
      <c r="X93" s="14">
        <f t="shared" ca="1" si="36"/>
        <v>0.2100165607385831</v>
      </c>
      <c r="Y93" s="28">
        <f t="shared" ca="1" si="37"/>
        <v>0.27694491525966952</v>
      </c>
      <c r="Z93" s="29">
        <f t="shared" ca="1" si="38"/>
        <v>26.579801</v>
      </c>
      <c r="AA93" s="16">
        <f t="shared" ca="1" si="39"/>
        <v>8.6604776632302455E-2</v>
      </c>
      <c r="AB93" s="2"/>
    </row>
    <row r="94" spans="6:28" x14ac:dyDescent="0.25">
      <c r="F94" s="13">
        <v>92</v>
      </c>
      <c r="G94" s="13">
        <f t="shared" si="20"/>
        <v>29.200000000000003</v>
      </c>
      <c r="H94" s="13">
        <f t="shared" si="21"/>
        <v>302.34999999999997</v>
      </c>
      <c r="I94" s="14">
        <f t="shared" si="22"/>
        <v>0.76666699999999999</v>
      </c>
      <c r="J94" s="14">
        <f t="shared" si="23"/>
        <v>8338.8641449999996</v>
      </c>
      <c r="K94" s="14">
        <f t="shared" si="24"/>
        <v>7.3588641450000001</v>
      </c>
      <c r="L94" s="14">
        <f t="shared" si="25"/>
        <v>2040.800293</v>
      </c>
      <c r="M94" s="14">
        <v>2038.16</v>
      </c>
      <c r="N94" s="13">
        <f t="shared" si="26"/>
        <v>2.0408002930000002</v>
      </c>
      <c r="O94" s="13">
        <f t="shared" si="27"/>
        <v>2.0213199999999998</v>
      </c>
      <c r="P94" s="13">
        <f t="shared" si="28"/>
        <v>1.9480293000000426E-2</v>
      </c>
      <c r="Q94" s="16">
        <f t="shared" si="29"/>
        <v>9.6374116913702079E-3</v>
      </c>
      <c r="R94" s="14">
        <f t="shared" ca="1" si="30"/>
        <v>7.4435666355685131</v>
      </c>
      <c r="S94" s="14">
        <f t="shared" si="31"/>
        <v>7.4549759139784939</v>
      </c>
      <c r="T94" s="14">
        <f t="shared" ca="1" si="32"/>
        <v>1.140927840998085E-2</v>
      </c>
      <c r="U94" s="16">
        <f t="shared" ca="1" si="33"/>
        <v>1.530424583745176E-3</v>
      </c>
      <c r="V94" s="14">
        <f t="shared" si="34"/>
        <v>0.76666666666666661</v>
      </c>
      <c r="W94" s="14">
        <f t="shared" ca="1" si="35"/>
        <v>0.55643336443148694</v>
      </c>
      <c r="X94" s="14">
        <f t="shared" ca="1" si="36"/>
        <v>0.21023330223517966</v>
      </c>
      <c r="Y94" s="28">
        <f t="shared" ca="1" si="37"/>
        <v>0.27421735074153869</v>
      </c>
      <c r="Z94" s="29">
        <f t="shared" ca="1" si="38"/>
        <v>26.677199999999999</v>
      </c>
      <c r="AA94" s="16">
        <f t="shared" ca="1" si="39"/>
        <v>8.6397260273972723E-2</v>
      </c>
      <c r="AB94" s="2"/>
    </row>
    <row r="95" spans="6:28" x14ac:dyDescent="0.25">
      <c r="F95" s="13">
        <v>93</v>
      </c>
      <c r="G95" s="13">
        <f t="shared" si="20"/>
        <v>29.3</v>
      </c>
      <c r="H95" s="13">
        <f t="shared" si="21"/>
        <v>302.45</v>
      </c>
      <c r="I95" s="14">
        <f t="shared" si="22"/>
        <v>0.77500000000000002</v>
      </c>
      <c r="J95" s="14">
        <f t="shared" si="23"/>
        <v>8303.3155650000008</v>
      </c>
      <c r="K95" s="14">
        <f t="shared" si="24"/>
        <v>7.3233155650000015</v>
      </c>
      <c r="L95" s="14">
        <f t="shared" si="25"/>
        <v>2038.674471</v>
      </c>
      <c r="M95" s="14">
        <v>2035.94</v>
      </c>
      <c r="N95" s="13">
        <f t="shared" si="26"/>
        <v>2.0386744709999998</v>
      </c>
      <c r="O95" s="13">
        <f t="shared" si="27"/>
        <v>2.0190299999999999</v>
      </c>
      <c r="P95" s="13">
        <f t="shared" si="28"/>
        <v>1.9644470999999886E-2</v>
      </c>
      <c r="Q95" s="16">
        <f t="shared" si="29"/>
        <v>9.7296578059760802E-3</v>
      </c>
      <c r="R95" s="14">
        <f t="shared" ca="1" si="30"/>
        <v>7.4358126355685128</v>
      </c>
      <c r="S95" s="14">
        <f t="shared" si="31"/>
        <v>7.4465299999999992</v>
      </c>
      <c r="T95" s="14">
        <f t="shared" ca="1" si="32"/>
        <v>1.0717364431486409E-2</v>
      </c>
      <c r="U95" s="16">
        <f t="shared" ca="1" si="33"/>
        <v>1.4392427656218952E-3</v>
      </c>
      <c r="V95" s="14">
        <f t="shared" si="34"/>
        <v>0.77500000000000036</v>
      </c>
      <c r="W95" s="14">
        <f t="shared" ca="1" si="35"/>
        <v>0.5641873644314872</v>
      </c>
      <c r="X95" s="14">
        <f t="shared" ca="1" si="36"/>
        <v>0.21081263556851315</v>
      </c>
      <c r="Y95" s="28">
        <f t="shared" ca="1" si="37"/>
        <v>0.27201630395937171</v>
      </c>
      <c r="Z95" s="29">
        <f t="shared" ca="1" si="38"/>
        <v>26.770247999999999</v>
      </c>
      <c r="AA95" s="16">
        <f t="shared" ca="1" si="39"/>
        <v>8.6339658703071739E-2</v>
      </c>
      <c r="AB95" s="2"/>
    </row>
    <row r="96" spans="6:28" x14ac:dyDescent="0.25">
      <c r="F96" s="13">
        <v>94</v>
      </c>
      <c r="G96" s="13">
        <f t="shared" si="20"/>
        <v>29.4</v>
      </c>
      <c r="H96" s="13">
        <f t="shared" si="21"/>
        <v>302.54999999999995</v>
      </c>
      <c r="I96" s="14">
        <f t="shared" si="22"/>
        <v>0.78333299999999995</v>
      </c>
      <c r="J96" s="14">
        <f t="shared" si="23"/>
        <v>8267.9388689999996</v>
      </c>
      <c r="K96" s="14">
        <f t="shared" si="24"/>
        <v>7.2879388689999995</v>
      </c>
      <c r="L96" s="14">
        <f t="shared" si="25"/>
        <v>2036.545271</v>
      </c>
      <c r="M96" s="14">
        <v>2033.94</v>
      </c>
      <c r="N96" s="13">
        <f t="shared" si="26"/>
        <v>2.036545271</v>
      </c>
      <c r="O96" s="13">
        <f t="shared" si="27"/>
        <v>2.01674</v>
      </c>
      <c r="P96" s="13">
        <f t="shared" si="28"/>
        <v>1.9805271000000069E-2</v>
      </c>
      <c r="Q96" s="16">
        <f t="shared" si="29"/>
        <v>9.8204384303381045E-3</v>
      </c>
      <c r="R96" s="14">
        <f t="shared" ca="1" si="30"/>
        <v>7.4284319999999999</v>
      </c>
      <c r="S96" s="14">
        <f t="shared" si="31"/>
        <v>7.4380840860215054</v>
      </c>
      <c r="T96" s="14">
        <f t="shared" ca="1" si="32"/>
        <v>9.6520860215054682E-3</v>
      </c>
      <c r="U96" s="16">
        <f t="shared" ca="1" si="33"/>
        <v>1.297657556687853E-3</v>
      </c>
      <c r="V96" s="14">
        <f t="shared" si="34"/>
        <v>0.78333333333333321</v>
      </c>
      <c r="W96" s="14">
        <f t="shared" ca="1" si="35"/>
        <v>0.57156800000000008</v>
      </c>
      <c r="X96" s="14">
        <f t="shared" ca="1" si="36"/>
        <v>0.21176533333333314</v>
      </c>
      <c r="Y96" s="28">
        <f t="shared" ca="1" si="37"/>
        <v>0.27033872340425513</v>
      </c>
      <c r="Z96" s="29">
        <f t="shared" ca="1" si="38"/>
        <v>26.858816000000001</v>
      </c>
      <c r="AA96" s="16">
        <f t="shared" ca="1" si="39"/>
        <v>8.6434829931972712E-2</v>
      </c>
      <c r="AB96" s="2"/>
    </row>
    <row r="97" spans="6:28" x14ac:dyDescent="0.25">
      <c r="F97" s="13">
        <v>95</v>
      </c>
      <c r="G97" s="13">
        <f t="shared" si="20"/>
        <v>29.5</v>
      </c>
      <c r="H97" s="13">
        <f t="shared" si="21"/>
        <v>302.64999999999998</v>
      </c>
      <c r="I97" s="14">
        <f t="shared" si="22"/>
        <v>0.79166700000000001</v>
      </c>
      <c r="J97" s="14">
        <f t="shared" si="23"/>
        <v>8232.7331340000001</v>
      </c>
      <c r="K97" s="14">
        <f t="shared" si="24"/>
        <v>7.2527331339999996</v>
      </c>
      <c r="L97" s="14">
        <f t="shared" si="25"/>
        <v>2034.412707</v>
      </c>
      <c r="M97" s="14">
        <v>2031.46</v>
      </c>
      <c r="N97" s="13">
        <f t="shared" si="26"/>
        <v>2.034412707</v>
      </c>
      <c r="O97" s="13">
        <f t="shared" si="27"/>
        <v>2.0144500000000001</v>
      </c>
      <c r="P97" s="13">
        <f t="shared" si="28"/>
        <v>1.9962706999999913E-2</v>
      </c>
      <c r="Q97" s="16">
        <f t="shared" si="29"/>
        <v>9.9097555163940101E-3</v>
      </c>
      <c r="R97" s="14">
        <f t="shared" ca="1" si="30"/>
        <v>7.4214345014577257</v>
      </c>
      <c r="S97" s="14">
        <f t="shared" si="31"/>
        <v>7.4296381720430107</v>
      </c>
      <c r="T97" s="14">
        <f t="shared" ca="1" si="32"/>
        <v>8.2036705852850389E-3</v>
      </c>
      <c r="U97" s="16">
        <f t="shared" ca="1" si="33"/>
        <v>1.1041817105111034E-3</v>
      </c>
      <c r="V97" s="14">
        <f t="shared" si="34"/>
        <v>0.79166666666666607</v>
      </c>
      <c r="W97" s="14">
        <f t="shared" ca="1" si="35"/>
        <v>0.57856549854227435</v>
      </c>
      <c r="X97" s="14">
        <f t="shared" ca="1" si="36"/>
        <v>0.21310116812439173</v>
      </c>
      <c r="Y97" s="28">
        <f t="shared" ca="1" si="37"/>
        <v>0.26918042289396871</v>
      </c>
      <c r="Z97" s="29">
        <f t="shared" ca="1" si="38"/>
        <v>26.942786000000002</v>
      </c>
      <c r="AA97" s="16">
        <f t="shared" ca="1" si="39"/>
        <v>8.6685220338982988E-2</v>
      </c>
      <c r="AB97" s="2"/>
    </row>
    <row r="98" spans="6:28" x14ac:dyDescent="0.25">
      <c r="F98" s="13">
        <v>96</v>
      </c>
      <c r="G98" s="13">
        <f t="shared" si="20"/>
        <v>29.6</v>
      </c>
      <c r="H98" s="13">
        <f t="shared" si="21"/>
        <v>302.75</v>
      </c>
      <c r="I98" s="14">
        <f t="shared" si="22"/>
        <v>0.8</v>
      </c>
      <c r="J98" s="14">
        <f t="shared" si="23"/>
        <v>8197.6974420000006</v>
      </c>
      <c r="K98" s="14">
        <f t="shared" si="24"/>
        <v>7.2176974420000004</v>
      </c>
      <c r="L98" s="14">
        <f t="shared" si="25"/>
        <v>2032.2767879999999</v>
      </c>
      <c r="M98" s="14">
        <v>2029.69</v>
      </c>
      <c r="N98" s="13">
        <f t="shared" si="26"/>
        <v>2.0322767879999999</v>
      </c>
      <c r="O98" s="13">
        <f t="shared" si="27"/>
        <v>2.0121599999999997</v>
      </c>
      <c r="P98" s="13">
        <f t="shared" si="28"/>
        <v>2.0116788000000163E-2</v>
      </c>
      <c r="Q98" s="16">
        <f t="shared" si="29"/>
        <v>9.9976085400764175E-3</v>
      </c>
      <c r="R98" s="14">
        <f t="shared" ca="1" si="30"/>
        <v>7.412465862973761</v>
      </c>
      <c r="S98" s="14">
        <f t="shared" si="31"/>
        <v>7.4211922580645151</v>
      </c>
      <c r="T98" s="14">
        <f t="shared" ca="1" si="32"/>
        <v>8.7263950907541243E-3</v>
      </c>
      <c r="U98" s="16">
        <f t="shared" ca="1" si="33"/>
        <v>1.1758750868192725E-3</v>
      </c>
      <c r="V98" s="14">
        <f t="shared" si="34"/>
        <v>0.80000000000000071</v>
      </c>
      <c r="W98" s="14">
        <f t="shared" ca="1" si="35"/>
        <v>0.58753413702623902</v>
      </c>
      <c r="X98" s="14">
        <f t="shared" ca="1" si="36"/>
        <v>0.21246586297376169</v>
      </c>
      <c r="Y98" s="28">
        <f t="shared" ca="1" si="37"/>
        <v>0.26558232871720189</v>
      </c>
      <c r="Z98" s="29">
        <f t="shared" ca="1" si="38"/>
        <v>27.050409999999999</v>
      </c>
      <c r="AA98" s="16">
        <f t="shared" ca="1" si="39"/>
        <v>8.6134797297297366E-2</v>
      </c>
      <c r="AB98" s="2"/>
    </row>
    <row r="99" spans="6:28" x14ac:dyDescent="0.25">
      <c r="F99" s="13">
        <v>97</v>
      </c>
      <c r="G99" s="13">
        <f t="shared" si="20"/>
        <v>29.700000000000003</v>
      </c>
      <c r="H99" s="13">
        <f t="shared" si="21"/>
        <v>302.84999999999997</v>
      </c>
      <c r="I99" s="14">
        <f t="shared" si="22"/>
        <v>0.80833299999999997</v>
      </c>
      <c r="J99" s="14">
        <f t="shared" si="23"/>
        <v>8162.8308809999999</v>
      </c>
      <c r="K99" s="14">
        <f t="shared" si="24"/>
        <v>7.1828308809999992</v>
      </c>
      <c r="L99" s="14">
        <f t="shared" si="25"/>
        <v>2030.137528</v>
      </c>
      <c r="M99" s="14">
        <v>2027.44</v>
      </c>
      <c r="N99" s="13">
        <f t="shared" si="26"/>
        <v>2.030137528</v>
      </c>
      <c r="O99" s="13">
        <f t="shared" si="27"/>
        <v>2.0098699999999998</v>
      </c>
      <c r="P99" s="13">
        <f t="shared" si="28"/>
        <v>2.0267528000000201E-2</v>
      </c>
      <c r="Q99" s="16">
        <f t="shared" si="29"/>
        <v>1.0083999462651915E-2</v>
      </c>
      <c r="R99" s="14">
        <f t="shared" ca="1" si="30"/>
        <v>7.4042774985422737</v>
      </c>
      <c r="S99" s="14">
        <f t="shared" si="31"/>
        <v>7.4127463440860204</v>
      </c>
      <c r="T99" s="14">
        <f t="shared" ca="1" si="32"/>
        <v>8.4688455437467169E-3</v>
      </c>
      <c r="U99" s="16">
        <f t="shared" ca="1" si="33"/>
        <v>1.1424707052742019E-3</v>
      </c>
      <c r="V99" s="14">
        <f t="shared" si="34"/>
        <v>0.80833333333333446</v>
      </c>
      <c r="W99" s="14">
        <f t="shared" ca="1" si="35"/>
        <v>0.59572250145772632</v>
      </c>
      <c r="X99" s="14">
        <f t="shared" ca="1" si="36"/>
        <v>0.21261083187560814</v>
      </c>
      <c r="Y99" s="28">
        <f t="shared" ca="1" si="37"/>
        <v>0.26302370953683446</v>
      </c>
      <c r="Z99" s="29">
        <f t="shared" ca="1" si="38"/>
        <v>27.148669999999999</v>
      </c>
      <c r="AA99" s="16">
        <f t="shared" ca="1" si="39"/>
        <v>8.590336700336712E-2</v>
      </c>
      <c r="AB99" s="2"/>
    </row>
    <row r="100" spans="6:28" x14ac:dyDescent="0.25">
      <c r="F100" s="13">
        <v>98</v>
      </c>
      <c r="G100" s="13">
        <f t="shared" si="20"/>
        <v>29.8</v>
      </c>
      <c r="H100" s="13">
        <f t="shared" si="21"/>
        <v>302.95</v>
      </c>
      <c r="I100" s="14">
        <f t="shared" si="22"/>
        <v>0.81666700000000003</v>
      </c>
      <c r="J100" s="14">
        <f t="shared" si="23"/>
        <v>8128.1325440000001</v>
      </c>
      <c r="K100" s="14">
        <f t="shared" si="24"/>
        <v>7.148132544000001</v>
      </c>
      <c r="L100" s="14">
        <f t="shared" si="25"/>
        <v>2027.9949360000001</v>
      </c>
      <c r="M100" s="14">
        <v>2025.18</v>
      </c>
      <c r="N100" s="13">
        <f t="shared" si="26"/>
        <v>2.0279949360000002</v>
      </c>
      <c r="O100" s="13">
        <f t="shared" si="27"/>
        <v>2.0075799999999999</v>
      </c>
      <c r="P100" s="13">
        <f t="shared" si="28"/>
        <v>2.0414936000000328E-2</v>
      </c>
      <c r="Q100" s="16">
        <f t="shared" si="29"/>
        <v>1.0168927763775456E-2</v>
      </c>
      <c r="R100" s="14">
        <f t="shared" ca="1" si="30"/>
        <v>7.3964624985422738</v>
      </c>
      <c r="S100" s="14">
        <f t="shared" si="31"/>
        <v>7.4043004301075266</v>
      </c>
      <c r="T100" s="14">
        <f t="shared" ca="1" si="32"/>
        <v>7.8379315652528092E-3</v>
      </c>
      <c r="U100" s="16">
        <f t="shared" ca="1" si="33"/>
        <v>1.0585647677641553E-3</v>
      </c>
      <c r="V100" s="14">
        <f t="shared" si="34"/>
        <v>0.81666666666666643</v>
      </c>
      <c r="W100" s="14">
        <f t="shared" ca="1" si="35"/>
        <v>0.60353750145772622</v>
      </c>
      <c r="X100" s="14">
        <f t="shared" ca="1" si="36"/>
        <v>0.21312916520894021</v>
      </c>
      <c r="Y100" s="28">
        <f t="shared" ca="1" si="37"/>
        <v>0.26097448801094725</v>
      </c>
      <c r="Z100" s="29">
        <f t="shared" ca="1" si="38"/>
        <v>27.242450000000002</v>
      </c>
      <c r="AA100" s="16">
        <f t="shared" ca="1" si="39"/>
        <v>8.5823825503355669E-2</v>
      </c>
      <c r="AB100" s="2"/>
    </row>
    <row r="101" spans="6:28" x14ac:dyDescent="0.25">
      <c r="F101" s="13">
        <v>99</v>
      </c>
      <c r="G101" s="13">
        <f t="shared" si="20"/>
        <v>29.9</v>
      </c>
      <c r="H101" s="13">
        <f t="shared" si="21"/>
        <v>303.04999999999995</v>
      </c>
      <c r="I101" s="14">
        <f t="shared" si="22"/>
        <v>0.82499999999999996</v>
      </c>
      <c r="J101" s="14">
        <f t="shared" si="23"/>
        <v>8093.6015299999999</v>
      </c>
      <c r="K101" s="14">
        <f t="shared" si="24"/>
        <v>7.1136015300000004</v>
      </c>
      <c r="L101" s="14">
        <f t="shared" si="25"/>
        <v>2025.8490260000001</v>
      </c>
      <c r="M101" s="14">
        <v>2023.39</v>
      </c>
      <c r="N101" s="13">
        <f t="shared" si="26"/>
        <v>2.0258490259999999</v>
      </c>
      <c r="O101" s="13">
        <f t="shared" si="27"/>
        <v>2.00529</v>
      </c>
      <c r="P101" s="13">
        <f t="shared" si="28"/>
        <v>2.0559025999999925E-2</v>
      </c>
      <c r="Q101" s="16">
        <f t="shared" si="29"/>
        <v>1.0252395414129589E-2</v>
      </c>
      <c r="R101" s="14">
        <f t="shared" ca="1" si="30"/>
        <v>7.3890316355685126</v>
      </c>
      <c r="S101" s="14">
        <f t="shared" si="31"/>
        <v>7.3958545161290319</v>
      </c>
      <c r="T101" s="14">
        <f t="shared" ca="1" si="32"/>
        <v>6.8228805605192733E-3</v>
      </c>
      <c r="U101" s="16">
        <f t="shared" ca="1" si="33"/>
        <v>9.2252768704952147E-4</v>
      </c>
      <c r="V101" s="14">
        <f t="shared" si="34"/>
        <v>0.82500000000000018</v>
      </c>
      <c r="W101" s="14">
        <f t="shared" ca="1" si="35"/>
        <v>0.61096836443148739</v>
      </c>
      <c r="X101" s="14">
        <f t="shared" ca="1" si="36"/>
        <v>0.21403163556851279</v>
      </c>
      <c r="Y101" s="28">
        <f t="shared" ca="1" si="37"/>
        <v>0.25943228553759118</v>
      </c>
      <c r="Z101" s="29">
        <f t="shared" ca="1" si="38"/>
        <v>27.331620000000001</v>
      </c>
      <c r="AA101" s="16">
        <f t="shared" ca="1" si="39"/>
        <v>8.5898996655518325E-2</v>
      </c>
      <c r="AB101" s="2"/>
    </row>
    <row r="102" spans="6:28" x14ac:dyDescent="0.25">
      <c r="F102" s="13">
        <v>100</v>
      </c>
      <c r="G102" s="13">
        <f t="shared" si="20"/>
        <v>30</v>
      </c>
      <c r="H102" s="13">
        <f t="shared" si="21"/>
        <v>303.14999999999998</v>
      </c>
      <c r="I102" s="14">
        <f t="shared" si="22"/>
        <v>0.83333299999999999</v>
      </c>
      <c r="J102" s="14">
        <f t="shared" si="23"/>
        <v>8059.2369429999999</v>
      </c>
      <c r="K102" s="14">
        <f t="shared" si="24"/>
        <v>7.0792369429999997</v>
      </c>
      <c r="L102" s="14">
        <f t="shared" si="25"/>
        <v>2023.699809</v>
      </c>
      <c r="M102" s="14">
        <v>2020.87</v>
      </c>
      <c r="N102" s="13">
        <f t="shared" si="26"/>
        <v>2.023699809</v>
      </c>
      <c r="O102" s="13">
        <f t="shared" si="27"/>
        <v>2.0030000000000001</v>
      </c>
      <c r="P102" s="13">
        <f t="shared" si="28"/>
        <v>2.0699808999999902E-2</v>
      </c>
      <c r="Q102" s="16">
        <f t="shared" si="29"/>
        <v>1.0334402895656465E-2</v>
      </c>
      <c r="R102" s="14">
        <f t="shared" ca="1" si="30"/>
        <v>7.3819731370262387</v>
      </c>
      <c r="S102" s="14">
        <f t="shared" si="31"/>
        <v>7.3874086021505381</v>
      </c>
      <c r="T102" s="14">
        <f t="shared" ca="1" si="32"/>
        <v>5.4354651242993768E-3</v>
      </c>
      <c r="U102" s="16">
        <f t="shared" ca="1" si="33"/>
        <v>7.357742636189186E-4</v>
      </c>
      <c r="V102" s="14">
        <f t="shared" si="34"/>
        <v>0.83333333333333215</v>
      </c>
      <c r="W102" s="14">
        <f t="shared" ca="1" si="35"/>
        <v>0.6180268629737613</v>
      </c>
      <c r="X102" s="14">
        <f t="shared" ca="1" si="36"/>
        <v>0.21530647035957085</v>
      </c>
      <c r="Y102" s="28">
        <f t="shared" ca="1" si="37"/>
        <v>0.2583677644314854</v>
      </c>
      <c r="Z102" s="29">
        <f t="shared" ca="1" si="38"/>
        <v>27.416322000000001</v>
      </c>
      <c r="AA102" s="16">
        <f t="shared" ca="1" si="39"/>
        <v>8.6122599999999966E-2</v>
      </c>
      <c r="AB102" s="2"/>
    </row>
    <row r="103" spans="6:28" x14ac:dyDescent="0.25">
      <c r="F103" s="13">
        <v>101</v>
      </c>
      <c r="G103" s="13">
        <f t="shared" si="20"/>
        <v>30.1</v>
      </c>
      <c r="H103" s="13">
        <f t="shared" si="21"/>
        <v>303.25</v>
      </c>
      <c r="I103" s="14">
        <f t="shared" si="22"/>
        <v>0.84166700000000005</v>
      </c>
      <c r="J103" s="14">
        <f t="shared" si="23"/>
        <v>8025.0378920000003</v>
      </c>
      <c r="K103" s="14">
        <f t="shared" si="24"/>
        <v>7.0450378919999999</v>
      </c>
      <c r="L103" s="14">
        <f t="shared" si="25"/>
        <v>2021.5472970000001</v>
      </c>
      <c r="M103" s="14">
        <v>2018.82</v>
      </c>
      <c r="N103" s="13">
        <f t="shared" si="26"/>
        <v>2.0215472970000001</v>
      </c>
      <c r="O103" s="13">
        <f t="shared" si="27"/>
        <v>2.0007099999999998</v>
      </c>
      <c r="P103" s="13">
        <f t="shared" si="28"/>
        <v>2.0837297000000365E-2</v>
      </c>
      <c r="Q103" s="16">
        <f t="shared" si="29"/>
        <v>1.0414951192326908E-2</v>
      </c>
      <c r="R103" s="14">
        <f t="shared" ca="1" si="30"/>
        <v>7.3737259999999996</v>
      </c>
      <c r="S103" s="14">
        <f t="shared" si="31"/>
        <v>7.3789626881720416</v>
      </c>
      <c r="T103" s="14">
        <f t="shared" ca="1" si="32"/>
        <v>5.2366881720420366E-3</v>
      </c>
      <c r="U103" s="16">
        <f t="shared" ca="1" si="33"/>
        <v>7.0967809343121897E-4</v>
      </c>
      <c r="V103" s="14">
        <f t="shared" si="34"/>
        <v>0.84166666666666767</v>
      </c>
      <c r="W103" s="14">
        <f t="shared" ca="1" si="35"/>
        <v>0.62627400000000044</v>
      </c>
      <c r="X103" s="14">
        <f t="shared" ca="1" si="36"/>
        <v>0.21539266666666723</v>
      </c>
      <c r="Y103" s="28">
        <f t="shared" ca="1" si="37"/>
        <v>0.25591207920792114</v>
      </c>
      <c r="Z103" s="29">
        <f t="shared" ca="1" si="38"/>
        <v>27.515288000000002</v>
      </c>
      <c r="AA103" s="16">
        <f t="shared" ca="1" si="39"/>
        <v>8.5870830564784034E-2</v>
      </c>
      <c r="AB103" s="2"/>
    </row>
    <row r="104" spans="6:28" x14ac:dyDescent="0.25">
      <c r="F104" s="13">
        <v>102</v>
      </c>
      <c r="G104" s="13">
        <f t="shared" si="20"/>
        <v>30.200000000000003</v>
      </c>
      <c r="H104" s="13">
        <f t="shared" si="21"/>
        <v>303.34999999999997</v>
      </c>
      <c r="I104" s="14">
        <f t="shared" si="22"/>
        <v>0.85</v>
      </c>
      <c r="J104" s="14">
        <f t="shared" si="23"/>
        <v>7991.0034919999998</v>
      </c>
      <c r="K104" s="14">
        <f t="shared" si="24"/>
        <v>7.0110034920000004</v>
      </c>
      <c r="L104" s="14">
        <f t="shared" si="25"/>
        <v>2019.3915019999999</v>
      </c>
      <c r="M104" s="14">
        <v>2017.01</v>
      </c>
      <c r="N104" s="13">
        <f t="shared" si="26"/>
        <v>2.0193915019999999</v>
      </c>
      <c r="O104" s="13">
        <f t="shared" si="27"/>
        <v>1.9984199999999999</v>
      </c>
      <c r="P104" s="13">
        <f t="shared" si="28"/>
        <v>2.0971502000000086E-2</v>
      </c>
      <c r="Q104" s="16">
        <f t="shared" si="29"/>
        <v>1.0494041292621215E-2</v>
      </c>
      <c r="R104" s="14">
        <f t="shared" ca="1" si="30"/>
        <v>7.365080498542274</v>
      </c>
      <c r="S104" s="14">
        <f t="shared" si="31"/>
        <v>7.3705167741935478</v>
      </c>
      <c r="T104" s="14">
        <f t="shared" ca="1" si="32"/>
        <v>5.4362756512738031E-3</v>
      </c>
      <c r="U104" s="16">
        <f t="shared" ca="1" si="33"/>
        <v>7.3757048763634602E-4</v>
      </c>
      <c r="V104" s="14">
        <f t="shared" si="34"/>
        <v>0.85000000000000053</v>
      </c>
      <c r="W104" s="14">
        <f t="shared" ca="1" si="35"/>
        <v>0.63491950145772602</v>
      </c>
      <c r="X104" s="14">
        <f t="shared" ca="1" si="36"/>
        <v>0.21508049854227451</v>
      </c>
      <c r="Y104" s="28">
        <f t="shared" ca="1" si="37"/>
        <v>0.25303588063796983</v>
      </c>
      <c r="Z104" s="29">
        <f t="shared" ca="1" si="38"/>
        <v>27.619033999999999</v>
      </c>
      <c r="AA104" s="16">
        <f t="shared" ca="1" si="39"/>
        <v>8.5462450331125941E-2</v>
      </c>
      <c r="AB104" s="2"/>
    </row>
    <row r="105" spans="6:28" x14ac:dyDescent="0.25">
      <c r="F105" s="13">
        <v>103</v>
      </c>
      <c r="G105" s="13">
        <f t="shared" si="20"/>
        <v>30.3</v>
      </c>
      <c r="H105" s="13">
        <f t="shared" si="21"/>
        <v>303.45</v>
      </c>
      <c r="I105" s="14">
        <f t="shared" si="22"/>
        <v>0.85833300000000001</v>
      </c>
      <c r="J105" s="14">
        <f t="shared" si="23"/>
        <v>7957.132861</v>
      </c>
      <c r="K105" s="14">
        <f t="shared" si="24"/>
        <v>6.9771328610000003</v>
      </c>
      <c r="L105" s="14">
        <f t="shared" si="25"/>
        <v>2017.2324349999999</v>
      </c>
      <c r="M105" s="14">
        <v>2014.71</v>
      </c>
      <c r="N105" s="13">
        <f t="shared" si="26"/>
        <v>2.0172324349999999</v>
      </c>
      <c r="O105" s="13">
        <f t="shared" si="27"/>
        <v>1.99613</v>
      </c>
      <c r="P105" s="13">
        <f t="shared" si="28"/>
        <v>2.1102434999999975E-2</v>
      </c>
      <c r="Q105" s="16">
        <f t="shared" si="29"/>
        <v>1.0571673688587404E-2</v>
      </c>
      <c r="R105" s="14">
        <f t="shared" ca="1" si="30"/>
        <v>7.3579869999999996</v>
      </c>
      <c r="S105" s="14">
        <f t="shared" si="31"/>
        <v>7.3620708602150531</v>
      </c>
      <c r="T105" s="14">
        <f t="shared" ca="1" si="32"/>
        <v>4.0838602150534697E-3</v>
      </c>
      <c r="U105" s="16">
        <f t="shared" ca="1" si="33"/>
        <v>5.5471623305377638E-4</v>
      </c>
      <c r="V105" s="14">
        <f t="shared" si="34"/>
        <v>0.85833333333333339</v>
      </c>
      <c r="W105" s="14">
        <f t="shared" ca="1" si="35"/>
        <v>0.64201300000000039</v>
      </c>
      <c r="X105" s="14">
        <f t="shared" ca="1" si="36"/>
        <v>0.216320333333333</v>
      </c>
      <c r="Y105" s="28">
        <f t="shared" ca="1" si="37"/>
        <v>0.25202368932038793</v>
      </c>
      <c r="Z105" s="29">
        <f t="shared" ca="1" si="38"/>
        <v>27.704156000000001</v>
      </c>
      <c r="AA105" s="16">
        <f t="shared" ca="1" si="39"/>
        <v>8.5671419141914174E-2</v>
      </c>
      <c r="AB105" s="2"/>
    </row>
    <row r="106" spans="6:28" x14ac:dyDescent="0.25">
      <c r="F106" s="13">
        <v>104</v>
      </c>
      <c r="G106" s="13">
        <f t="shared" si="20"/>
        <v>30.4</v>
      </c>
      <c r="H106" s="13">
        <f t="shared" si="21"/>
        <v>303.54999999999995</v>
      </c>
      <c r="I106" s="14">
        <f t="shared" si="22"/>
        <v>0.86666699999999997</v>
      </c>
      <c r="J106" s="14">
        <f t="shared" si="23"/>
        <v>7923.4251249999998</v>
      </c>
      <c r="K106" s="14">
        <f t="shared" si="24"/>
        <v>6.9434251250000001</v>
      </c>
      <c r="L106" s="14">
        <f t="shared" si="25"/>
        <v>2015.0701100000001</v>
      </c>
      <c r="M106" s="14">
        <v>2012.41</v>
      </c>
      <c r="N106" s="13">
        <f t="shared" si="26"/>
        <v>2.0150701100000004</v>
      </c>
      <c r="O106" s="13">
        <f t="shared" si="27"/>
        <v>1.9938400000000001</v>
      </c>
      <c r="P106" s="13">
        <f t="shared" si="28"/>
        <v>2.1230110000000302E-2</v>
      </c>
      <c r="Q106" s="16">
        <f t="shared" si="29"/>
        <v>1.0647850379167987E-2</v>
      </c>
      <c r="R106" s="14">
        <f t="shared" ca="1" si="30"/>
        <v>7.3497038629737617</v>
      </c>
      <c r="S106" s="14">
        <f t="shared" si="31"/>
        <v>7.3536249462365593</v>
      </c>
      <c r="T106" s="14">
        <f t="shared" ca="1" si="32"/>
        <v>3.9210832627976089E-3</v>
      </c>
      <c r="U106" s="16">
        <f t="shared" ca="1" si="33"/>
        <v>5.3321773838960098E-4</v>
      </c>
      <c r="V106" s="14">
        <f t="shared" si="34"/>
        <v>0.86666666666666625</v>
      </c>
      <c r="W106" s="14">
        <f t="shared" ca="1" si="35"/>
        <v>0.65029613702623834</v>
      </c>
      <c r="X106" s="14">
        <f t="shared" ca="1" si="36"/>
        <v>0.21637052964042791</v>
      </c>
      <c r="Y106" s="28">
        <f t="shared" ca="1" si="37"/>
        <v>0.24965830343126311</v>
      </c>
      <c r="Z106" s="29">
        <f t="shared" ca="1" si="38"/>
        <v>27.803553999999998</v>
      </c>
      <c r="AA106" s="16">
        <f t="shared" ca="1" si="39"/>
        <v>8.5409407894736861E-2</v>
      </c>
      <c r="AB106" s="2"/>
    </row>
    <row r="107" spans="6:28" x14ac:dyDescent="0.25">
      <c r="F107" s="13">
        <v>105</v>
      </c>
      <c r="G107" s="13">
        <f t="shared" si="20"/>
        <v>30.5</v>
      </c>
      <c r="H107" s="13">
        <f t="shared" si="21"/>
        <v>303.64999999999998</v>
      </c>
      <c r="I107" s="14">
        <f t="shared" si="22"/>
        <v>0.875</v>
      </c>
      <c r="J107" s="14">
        <f t="shared" si="23"/>
        <v>7889.879414</v>
      </c>
      <c r="K107" s="14">
        <f t="shared" si="24"/>
        <v>6.9098794139999997</v>
      </c>
      <c r="L107" s="14">
        <f t="shared" si="25"/>
        <v>2012.904538</v>
      </c>
      <c r="M107" s="14">
        <v>2010.33</v>
      </c>
      <c r="N107" s="13">
        <f t="shared" si="26"/>
        <v>2.0129045379999999</v>
      </c>
      <c r="O107" s="13">
        <f t="shared" si="27"/>
        <v>1.9915499999999999</v>
      </c>
      <c r="P107" s="13">
        <f t="shared" si="28"/>
        <v>2.1354537999999978E-2</v>
      </c>
      <c r="Q107" s="16">
        <f t="shared" si="29"/>
        <v>1.0722571866134407E-2</v>
      </c>
      <c r="R107" s="14">
        <f t="shared" ca="1" si="30"/>
        <v>7.3418048629737616</v>
      </c>
      <c r="S107" s="14">
        <f t="shared" si="31"/>
        <v>7.3451790322580637</v>
      </c>
      <c r="T107" s="14">
        <f t="shared" ca="1" si="32"/>
        <v>3.3741692843021198E-3</v>
      </c>
      <c r="U107" s="16">
        <f t="shared" ca="1" si="33"/>
        <v>4.5937195941496726E-4</v>
      </c>
      <c r="V107" s="14">
        <f t="shared" si="34"/>
        <v>0.87500000000000089</v>
      </c>
      <c r="W107" s="14">
        <f t="shared" ca="1" si="35"/>
        <v>0.65819513702623844</v>
      </c>
      <c r="X107" s="14">
        <f t="shared" ca="1" si="36"/>
        <v>0.21680486297376245</v>
      </c>
      <c r="Y107" s="28">
        <f t="shared" ca="1" si="37"/>
        <v>0.24777698625572825</v>
      </c>
      <c r="Z107" s="29">
        <f t="shared" ca="1" si="38"/>
        <v>27.898342</v>
      </c>
      <c r="AA107" s="16">
        <f t="shared" ca="1" si="39"/>
        <v>8.5300262295081988E-2</v>
      </c>
      <c r="AB107" s="2"/>
    </row>
    <row r="108" spans="6:28" x14ac:dyDescent="0.25">
      <c r="F108" s="13">
        <v>106</v>
      </c>
      <c r="G108" s="13">
        <f t="shared" si="20"/>
        <v>30.6</v>
      </c>
      <c r="H108" s="13">
        <f t="shared" si="21"/>
        <v>303.75</v>
      </c>
      <c r="I108" s="14">
        <f t="shared" si="22"/>
        <v>0.88333300000000003</v>
      </c>
      <c r="J108" s="14">
        <f t="shared" si="23"/>
        <v>7856.4948619999996</v>
      </c>
      <c r="K108" s="14">
        <f t="shared" si="24"/>
        <v>6.8764948619999995</v>
      </c>
      <c r="L108" s="14">
        <f t="shared" si="25"/>
        <v>2010.735731</v>
      </c>
      <c r="M108" s="14">
        <v>2008.01</v>
      </c>
      <c r="N108" s="13">
        <f t="shared" si="26"/>
        <v>2.0107357310000005</v>
      </c>
      <c r="O108" s="13">
        <f t="shared" si="27"/>
        <v>1.9892599999999998</v>
      </c>
      <c r="P108" s="13">
        <f t="shared" si="28"/>
        <v>2.1475731000000664E-2</v>
      </c>
      <c r="Q108" s="16">
        <f t="shared" si="29"/>
        <v>1.0795839156269501E-2</v>
      </c>
      <c r="R108" s="14">
        <f t="shared" ca="1" si="30"/>
        <v>7.3343007725947515</v>
      </c>
      <c r="S108" s="14">
        <f t="shared" si="31"/>
        <v>7.336733118279569</v>
      </c>
      <c r="T108" s="14">
        <f t="shared" ca="1" si="32"/>
        <v>2.4323456848174274E-3</v>
      </c>
      <c r="U108" s="16">
        <f t="shared" ca="1" si="33"/>
        <v>3.3152980292512011E-4</v>
      </c>
      <c r="V108" s="14">
        <f t="shared" si="34"/>
        <v>0.88333333333333375</v>
      </c>
      <c r="W108" s="14">
        <f t="shared" ca="1" si="35"/>
        <v>0.66569922740524845</v>
      </c>
      <c r="X108" s="14">
        <f t="shared" ca="1" si="36"/>
        <v>0.2176341059280853</v>
      </c>
      <c r="Y108" s="28">
        <f t="shared" ca="1" si="37"/>
        <v>0.24637823312613419</v>
      </c>
      <c r="Z108" s="29">
        <f t="shared" ca="1" si="38"/>
        <v>27.988391</v>
      </c>
      <c r="AA108" s="16">
        <f t="shared" ca="1" si="39"/>
        <v>8.5346699346405264E-2</v>
      </c>
      <c r="AB108" s="2"/>
    </row>
    <row r="109" spans="6:28" x14ac:dyDescent="0.25">
      <c r="F109" s="13">
        <v>107</v>
      </c>
      <c r="G109" s="13">
        <f t="shared" si="20"/>
        <v>30.700000000000003</v>
      </c>
      <c r="H109" s="13">
        <f t="shared" si="21"/>
        <v>303.84999999999997</v>
      </c>
      <c r="I109" s="14">
        <f t="shared" si="22"/>
        <v>0.89166699999999999</v>
      </c>
      <c r="J109" s="14">
        <f t="shared" si="23"/>
        <v>7823.2706090000001</v>
      </c>
      <c r="K109" s="14">
        <f t="shared" si="24"/>
        <v>6.8432706090000002</v>
      </c>
      <c r="L109" s="14">
        <f t="shared" si="25"/>
        <v>2008.5637019999999</v>
      </c>
      <c r="M109" s="14">
        <v>2005.92</v>
      </c>
      <c r="N109" s="13">
        <f t="shared" si="26"/>
        <v>2.008563702</v>
      </c>
      <c r="O109" s="13">
        <f t="shared" si="27"/>
        <v>1.9869699999999999</v>
      </c>
      <c r="P109" s="13">
        <f t="shared" si="28"/>
        <v>2.1593702000000103E-2</v>
      </c>
      <c r="Q109" s="16">
        <f t="shared" si="29"/>
        <v>1.08676537642743E-2</v>
      </c>
      <c r="R109" s="14">
        <f t="shared" ca="1" si="30"/>
        <v>7.3271485014577262</v>
      </c>
      <c r="S109" s="14">
        <f t="shared" si="31"/>
        <v>7.3282872043010743</v>
      </c>
      <c r="T109" s="14">
        <f t="shared" ca="1" si="32"/>
        <v>1.1387028433480495E-3</v>
      </c>
      <c r="U109" s="16">
        <f t="shared" ca="1" si="33"/>
        <v>1.5538458190881614E-4</v>
      </c>
      <c r="V109" s="14">
        <f t="shared" si="34"/>
        <v>0.8916666666666675</v>
      </c>
      <c r="W109" s="14">
        <f t="shared" ca="1" si="35"/>
        <v>0.67285149854227377</v>
      </c>
      <c r="X109" s="14">
        <f t="shared" ca="1" si="36"/>
        <v>0.21881516812439372</v>
      </c>
      <c r="Y109" s="28">
        <f t="shared" ca="1" si="37"/>
        <v>0.24540018855072171</v>
      </c>
      <c r="Z109" s="29">
        <f t="shared" ca="1" si="38"/>
        <v>28.074217999999998</v>
      </c>
      <c r="AA109" s="16">
        <f t="shared" ca="1" si="39"/>
        <v>8.5530358306189061E-2</v>
      </c>
      <c r="AB109" s="2"/>
    </row>
    <row r="110" spans="6:28" x14ac:dyDescent="0.25">
      <c r="F110" s="13">
        <v>108</v>
      </c>
      <c r="G110" s="13">
        <f t="shared" si="20"/>
        <v>30.8</v>
      </c>
      <c r="H110" s="13">
        <f t="shared" si="21"/>
        <v>303.95</v>
      </c>
      <c r="I110" s="14">
        <f t="shared" si="22"/>
        <v>0.9</v>
      </c>
      <c r="J110" s="14">
        <f t="shared" si="23"/>
        <v>7790.2058010000001</v>
      </c>
      <c r="K110" s="14">
        <f t="shared" si="24"/>
        <v>6.8102058010000004</v>
      </c>
      <c r="L110" s="14">
        <f t="shared" si="25"/>
        <v>2006.388463</v>
      </c>
      <c r="M110" s="14">
        <v>2003.59</v>
      </c>
      <c r="N110" s="13">
        <f t="shared" si="26"/>
        <v>2.0063884630000004</v>
      </c>
      <c r="O110" s="13">
        <f t="shared" si="27"/>
        <v>1.98468</v>
      </c>
      <c r="P110" s="13">
        <f t="shared" si="28"/>
        <v>2.17084630000004E-2</v>
      </c>
      <c r="Q110" s="16">
        <f t="shared" si="29"/>
        <v>1.0938016707983353E-2</v>
      </c>
      <c r="R110" s="14">
        <f t="shared" ca="1" si="30"/>
        <v>7.3188291370262384</v>
      </c>
      <c r="S110" s="14">
        <f t="shared" si="31"/>
        <v>7.3198412903225805</v>
      </c>
      <c r="T110" s="14">
        <f t="shared" ca="1" si="32"/>
        <v>1.0121532963420776E-3</v>
      </c>
      <c r="U110" s="16">
        <f t="shared" ca="1" si="33"/>
        <v>1.3827530628023667E-4</v>
      </c>
      <c r="V110" s="14">
        <f t="shared" si="34"/>
        <v>0.89999999999999947</v>
      </c>
      <c r="W110" s="14">
        <f t="shared" ca="1" si="35"/>
        <v>0.68117086297376161</v>
      </c>
      <c r="X110" s="14">
        <f t="shared" ca="1" si="36"/>
        <v>0.21882913702623785</v>
      </c>
      <c r="Y110" s="28">
        <f t="shared" ca="1" si="37"/>
        <v>0.24314348558470886</v>
      </c>
      <c r="Z110" s="29">
        <f t="shared" ca="1" si="38"/>
        <v>28.174050000000001</v>
      </c>
      <c r="AA110" s="16">
        <f t="shared" ca="1" si="39"/>
        <v>8.5258116883116866E-2</v>
      </c>
      <c r="AB110" s="2"/>
    </row>
    <row r="111" spans="6:28" x14ac:dyDescent="0.25">
      <c r="F111" s="13">
        <v>109</v>
      </c>
      <c r="G111" s="13">
        <f t="shared" si="20"/>
        <v>30.9</v>
      </c>
      <c r="H111" s="13">
        <f t="shared" si="21"/>
        <v>304.04999999999995</v>
      </c>
      <c r="I111" s="14">
        <f t="shared" si="22"/>
        <v>0.90833299999999995</v>
      </c>
      <c r="J111" s="14">
        <f t="shared" si="23"/>
        <v>7757.2995870000004</v>
      </c>
      <c r="K111" s="14">
        <f t="shared" si="24"/>
        <v>6.7772995870000008</v>
      </c>
      <c r="L111" s="14">
        <f t="shared" si="25"/>
        <v>2004.2100270000001</v>
      </c>
      <c r="M111" s="14">
        <v>2001.49</v>
      </c>
      <c r="N111" s="13">
        <f t="shared" si="26"/>
        <v>2.0042100270000001</v>
      </c>
      <c r="O111" s="13">
        <f t="shared" si="27"/>
        <v>1.9823900000000001</v>
      </c>
      <c r="P111" s="13">
        <f t="shared" si="28"/>
        <v>2.1820026999999964E-2</v>
      </c>
      <c r="Q111" s="16">
        <f t="shared" si="29"/>
        <v>1.1006929514374045E-2</v>
      </c>
      <c r="R111" s="14">
        <f t="shared" ca="1" si="30"/>
        <v>7.3100908629737615</v>
      </c>
      <c r="S111" s="14">
        <f t="shared" si="31"/>
        <v>7.3113953763440858</v>
      </c>
      <c r="T111" s="14">
        <f t="shared" ca="1" si="32"/>
        <v>1.3045133703242229E-3</v>
      </c>
      <c r="U111" s="16">
        <f t="shared" ca="1" si="33"/>
        <v>1.7842194316900945E-4</v>
      </c>
      <c r="V111" s="14">
        <f t="shared" si="34"/>
        <v>0.90833333333333321</v>
      </c>
      <c r="W111" s="14">
        <f t="shared" ca="1" si="35"/>
        <v>0.68990913702623846</v>
      </c>
      <c r="X111" s="14">
        <f t="shared" ca="1" si="36"/>
        <v>0.21842419630709475</v>
      </c>
      <c r="Y111" s="28">
        <f t="shared" ca="1" si="37"/>
        <v>0.2404670051087282</v>
      </c>
      <c r="Z111" s="29">
        <f t="shared" ca="1" si="38"/>
        <v>28.27891</v>
      </c>
      <c r="AA111" s="16">
        <f t="shared" ca="1" si="39"/>
        <v>8.4824919093851092E-2</v>
      </c>
      <c r="AB111" s="2"/>
    </row>
    <row r="112" spans="6:28" x14ac:dyDescent="0.25">
      <c r="F112" s="13">
        <v>110</v>
      </c>
      <c r="G112" s="13">
        <f t="shared" si="20"/>
        <v>31</v>
      </c>
      <c r="H112" s="13">
        <f t="shared" si="21"/>
        <v>304.14999999999998</v>
      </c>
      <c r="I112" s="14">
        <f t="shared" si="22"/>
        <v>0.91666700000000001</v>
      </c>
      <c r="J112" s="14">
        <f t="shared" si="23"/>
        <v>7724.5511219999999</v>
      </c>
      <c r="K112" s="14">
        <f t="shared" si="24"/>
        <v>6.7445511219999998</v>
      </c>
      <c r="L112" s="14">
        <f t="shared" si="25"/>
        <v>2002.0284059999999</v>
      </c>
      <c r="M112" s="14">
        <v>1999.37</v>
      </c>
      <c r="N112" s="13">
        <f t="shared" si="26"/>
        <v>2.002028406</v>
      </c>
      <c r="O112" s="13">
        <f t="shared" si="27"/>
        <v>1.9801</v>
      </c>
      <c r="P112" s="13">
        <f t="shared" si="28"/>
        <v>2.1928406000000011E-2</v>
      </c>
      <c r="Q112" s="16">
        <f t="shared" si="29"/>
        <v>1.1074393212464022E-2</v>
      </c>
      <c r="R112" s="14">
        <f t="shared" ca="1" si="30"/>
        <v>7.3017474985422739</v>
      </c>
      <c r="S112" s="14">
        <f t="shared" si="31"/>
        <v>7.3029494623655911</v>
      </c>
      <c r="T112" s="14">
        <f t="shared" ca="1" si="32"/>
        <v>1.2019638233171648E-3</v>
      </c>
      <c r="U112" s="16">
        <f t="shared" ca="1" si="33"/>
        <v>1.6458607984503584E-4</v>
      </c>
      <c r="V112" s="14">
        <f t="shared" si="34"/>
        <v>0.91666666666666696</v>
      </c>
      <c r="W112" s="14">
        <f t="shared" ca="1" si="35"/>
        <v>0.6982525014577261</v>
      </c>
      <c r="X112" s="14">
        <f t="shared" ca="1" si="36"/>
        <v>0.21841416520894086</v>
      </c>
      <c r="Y112" s="28">
        <f t="shared" ca="1" si="37"/>
        <v>0.23826999840975358</v>
      </c>
      <c r="Z112" s="29">
        <f t="shared" ca="1" si="38"/>
        <v>28.37903</v>
      </c>
      <c r="AA112" s="16">
        <f t="shared" ca="1" si="39"/>
        <v>8.4547419354838699E-2</v>
      </c>
      <c r="AB112" s="2"/>
    </row>
    <row r="113" spans="6:28" x14ac:dyDescent="0.25">
      <c r="F113" s="13">
        <v>111</v>
      </c>
      <c r="G113" s="13">
        <f t="shared" si="20"/>
        <v>31.1</v>
      </c>
      <c r="H113" s="13">
        <f t="shared" si="21"/>
        <v>304.25</v>
      </c>
      <c r="I113" s="14">
        <f t="shared" si="22"/>
        <v>0.92500000000000004</v>
      </c>
      <c r="J113" s="14">
        <f t="shared" si="23"/>
        <v>7691.9595669999999</v>
      </c>
      <c r="K113" s="14">
        <f t="shared" si="24"/>
        <v>6.7119595670000001</v>
      </c>
      <c r="L113" s="14">
        <f t="shared" si="25"/>
        <v>1999.8436119999999</v>
      </c>
      <c r="M113" s="14">
        <v>1996.78</v>
      </c>
      <c r="N113" s="13">
        <f t="shared" si="26"/>
        <v>1.999843612</v>
      </c>
      <c r="O113" s="13">
        <f t="shared" si="27"/>
        <v>1.9778099999999998</v>
      </c>
      <c r="P113" s="13">
        <f t="shared" si="28"/>
        <v>2.2033612000000202E-2</v>
      </c>
      <c r="Q113" s="16">
        <f t="shared" si="29"/>
        <v>1.114040883603592E-2</v>
      </c>
      <c r="R113" s="14">
        <f t="shared" ca="1" si="30"/>
        <v>7.2945599999999997</v>
      </c>
      <c r="S113" s="14">
        <f t="shared" si="31"/>
        <v>7.2945035483870955</v>
      </c>
      <c r="T113" s="14">
        <f t="shared" ca="1" si="32"/>
        <v>5.6451612904240278E-5</v>
      </c>
      <c r="U113" s="16">
        <f t="shared" ca="1" si="33"/>
        <v>7.738924592986513E-6</v>
      </c>
      <c r="V113" s="14">
        <f t="shared" si="34"/>
        <v>0.92500000000000071</v>
      </c>
      <c r="W113" s="14">
        <f t="shared" ca="1" si="35"/>
        <v>0.70544000000000029</v>
      </c>
      <c r="X113" s="14">
        <f t="shared" ca="1" si="36"/>
        <v>0.21956000000000042</v>
      </c>
      <c r="Y113" s="28">
        <f t="shared" ca="1" si="37"/>
        <v>0.23736216216216244</v>
      </c>
      <c r="Z113" s="29">
        <f t="shared" ca="1" si="38"/>
        <v>28.46528</v>
      </c>
      <c r="AA113" s="16">
        <f t="shared" ca="1" si="39"/>
        <v>8.4717684887459857E-2</v>
      </c>
      <c r="AB113" s="2"/>
    </row>
    <row r="114" spans="6:28" x14ac:dyDescent="0.25">
      <c r="F114" s="13">
        <v>112</v>
      </c>
      <c r="G114" s="13">
        <f t="shared" si="20"/>
        <v>31.200000000000003</v>
      </c>
      <c r="H114" s="13">
        <f t="shared" si="21"/>
        <v>304.34999999999997</v>
      </c>
      <c r="I114" s="14">
        <f t="shared" si="22"/>
        <v>0.93333299999999997</v>
      </c>
      <c r="J114" s="14">
        <f t="shared" si="23"/>
        <v>7659.524085</v>
      </c>
      <c r="K114" s="14">
        <f t="shared" si="24"/>
        <v>6.6795240850000006</v>
      </c>
      <c r="L114" s="14">
        <f t="shared" si="25"/>
        <v>1997.655659</v>
      </c>
      <c r="M114" s="14">
        <v>1994.66</v>
      </c>
      <c r="N114" s="13">
        <f t="shared" si="26"/>
        <v>1.9976556589999999</v>
      </c>
      <c r="O114" s="13">
        <f t="shared" si="27"/>
        <v>1.9755199999999999</v>
      </c>
      <c r="P114" s="13">
        <f t="shared" si="28"/>
        <v>2.2135658999999919E-2</v>
      </c>
      <c r="Q114" s="16">
        <f t="shared" si="29"/>
        <v>1.12049784360573E-2</v>
      </c>
      <c r="R114" s="14">
        <f t="shared" ca="1" si="30"/>
        <v>7.2865682274052483</v>
      </c>
      <c r="S114" s="14">
        <f t="shared" si="31"/>
        <v>7.2860576344086017</v>
      </c>
      <c r="T114" s="14">
        <f t="shared" ca="1" si="32"/>
        <v>5.10592996646686E-4</v>
      </c>
      <c r="U114" s="16">
        <f t="shared" ca="1" si="33"/>
        <v>7.0078089176154324E-5</v>
      </c>
      <c r="V114" s="14">
        <f t="shared" si="34"/>
        <v>0.93333333333333357</v>
      </c>
      <c r="W114" s="14">
        <f t="shared" ca="1" si="35"/>
        <v>0.71343177259475166</v>
      </c>
      <c r="X114" s="14">
        <f t="shared" ca="1" si="36"/>
        <v>0.21990156073858191</v>
      </c>
      <c r="Y114" s="28">
        <f t="shared" ca="1" si="37"/>
        <v>0.235608815077052</v>
      </c>
      <c r="Z114" s="29">
        <f t="shared" ca="1" si="38"/>
        <v>28.561181000000001</v>
      </c>
      <c r="AA114" s="16">
        <f t="shared" ca="1" si="39"/>
        <v>8.4577532051282101E-2</v>
      </c>
      <c r="AB114" s="2"/>
    </row>
    <row r="115" spans="6:28" x14ac:dyDescent="0.25">
      <c r="F115" s="13">
        <v>113</v>
      </c>
      <c r="G115" s="13">
        <f t="shared" si="20"/>
        <v>31.3</v>
      </c>
      <c r="H115" s="13">
        <f t="shared" si="21"/>
        <v>304.45</v>
      </c>
      <c r="I115" s="14">
        <f t="shared" si="22"/>
        <v>0.94166700000000003</v>
      </c>
      <c r="J115" s="14">
        <f t="shared" si="23"/>
        <v>7627.2438469999997</v>
      </c>
      <c r="K115" s="14">
        <f t="shared" si="24"/>
        <v>6.6472438469999995</v>
      </c>
      <c r="L115" s="14">
        <f t="shared" si="25"/>
        <v>1995.4645599999999</v>
      </c>
      <c r="M115" s="14">
        <v>1992.76</v>
      </c>
      <c r="N115" s="13">
        <f t="shared" si="26"/>
        <v>1.9954645599999998</v>
      </c>
      <c r="O115" s="13">
        <f t="shared" si="27"/>
        <v>1.97323</v>
      </c>
      <c r="P115" s="13">
        <f t="shared" si="28"/>
        <v>2.2234559999999792E-2</v>
      </c>
      <c r="Q115" s="16">
        <f t="shared" si="29"/>
        <v>1.1268103566233938E-2</v>
      </c>
      <c r="R115" s="14">
        <f t="shared" ca="1" si="30"/>
        <v>7.277805498542274</v>
      </c>
      <c r="S115" s="14">
        <f t="shared" si="31"/>
        <v>7.277611720430107</v>
      </c>
      <c r="T115" s="14">
        <f t="shared" ca="1" si="32"/>
        <v>1.9377811216703122E-4</v>
      </c>
      <c r="U115" s="16">
        <f t="shared" ca="1" si="33"/>
        <v>2.6626607685464556E-5</v>
      </c>
      <c r="V115" s="14">
        <f t="shared" si="34"/>
        <v>0.94166666666666643</v>
      </c>
      <c r="W115" s="14">
        <f t="shared" ca="1" si="35"/>
        <v>0.72219450145772601</v>
      </c>
      <c r="X115" s="14">
        <f t="shared" ca="1" si="36"/>
        <v>0.21947216520894042</v>
      </c>
      <c r="Y115" s="28">
        <f t="shared" ca="1" si="37"/>
        <v>0.23306778606259165</v>
      </c>
      <c r="Z115" s="29">
        <f t="shared" ca="1" si="38"/>
        <v>28.666333999999999</v>
      </c>
      <c r="AA115" s="16">
        <f t="shared" ca="1" si="39"/>
        <v>8.4142683706070337E-2</v>
      </c>
      <c r="AB115" s="2"/>
    </row>
    <row r="116" spans="6:28" x14ac:dyDescent="0.25">
      <c r="F116" s="13">
        <v>114</v>
      </c>
      <c r="G116" s="13">
        <f t="shared" si="20"/>
        <v>31.4</v>
      </c>
      <c r="H116" s="13">
        <f t="shared" si="21"/>
        <v>304.54999999999995</v>
      </c>
      <c r="I116" s="14">
        <f t="shared" si="22"/>
        <v>0.95</v>
      </c>
      <c r="J116" s="14">
        <f t="shared" si="23"/>
        <v>7595.1180279999999</v>
      </c>
      <c r="K116" s="14">
        <f t="shared" si="24"/>
        <v>6.6151180280000004</v>
      </c>
      <c r="L116" s="14">
        <f t="shared" si="25"/>
        <v>1993.2703260000001</v>
      </c>
      <c r="M116" s="14">
        <v>1990.15</v>
      </c>
      <c r="N116" s="13">
        <f t="shared" si="26"/>
        <v>1.9932703260000002</v>
      </c>
      <c r="O116" s="13">
        <f t="shared" si="27"/>
        <v>1.9709400000000001</v>
      </c>
      <c r="P116" s="13">
        <f t="shared" si="28"/>
        <v>2.2330326000000067E-2</v>
      </c>
      <c r="Q116" s="16">
        <f t="shared" si="29"/>
        <v>1.1329784772748062E-2</v>
      </c>
      <c r="R116" s="14">
        <f t="shared" ca="1" si="30"/>
        <v>7.2701878629737617</v>
      </c>
      <c r="S116" s="14">
        <f t="shared" si="31"/>
        <v>7.2691658064516131</v>
      </c>
      <c r="T116" s="14">
        <f t="shared" ca="1" si="32"/>
        <v>1.0220565221485955E-3</v>
      </c>
      <c r="U116" s="16">
        <f t="shared" ca="1" si="33"/>
        <v>1.4060162463779382E-4</v>
      </c>
      <c r="V116" s="14">
        <f t="shared" si="34"/>
        <v>0.94999999999999929</v>
      </c>
      <c r="W116" s="14">
        <f t="shared" ca="1" si="35"/>
        <v>0.72981213702623826</v>
      </c>
      <c r="X116" s="14">
        <f t="shared" ca="1" si="36"/>
        <v>0.22018786297376103</v>
      </c>
      <c r="Y116" s="28">
        <f t="shared" ca="1" si="37"/>
        <v>0.23177669786711705</v>
      </c>
      <c r="Z116" s="29">
        <f t="shared" ca="1" si="38"/>
        <v>28.757746000000001</v>
      </c>
      <c r="AA116" s="16">
        <f t="shared" ca="1" si="39"/>
        <v>8.4148216560509484E-2</v>
      </c>
      <c r="AB116" s="2"/>
    </row>
    <row r="117" spans="6:28" x14ac:dyDescent="0.25">
      <c r="F117" s="13">
        <v>115</v>
      </c>
      <c r="G117" s="13">
        <f t="shared" si="20"/>
        <v>31.5</v>
      </c>
      <c r="H117" s="13">
        <f t="shared" si="21"/>
        <v>304.64999999999998</v>
      </c>
      <c r="I117" s="14">
        <f t="shared" si="22"/>
        <v>0.95833299999999999</v>
      </c>
      <c r="J117" s="14">
        <f t="shared" si="23"/>
        <v>7563.1458050000001</v>
      </c>
      <c r="K117" s="14">
        <f t="shared" si="24"/>
        <v>6.583145805</v>
      </c>
      <c r="L117" s="14">
        <f t="shared" si="25"/>
        <v>1991.0729710000001</v>
      </c>
      <c r="M117" s="14">
        <v>1988</v>
      </c>
      <c r="N117" s="13">
        <f t="shared" si="26"/>
        <v>1.9910729709999999</v>
      </c>
      <c r="O117" s="13">
        <f t="shared" si="27"/>
        <v>1.9686499999999998</v>
      </c>
      <c r="P117" s="13">
        <f t="shared" si="28"/>
        <v>2.2422971000000125E-2</v>
      </c>
      <c r="Q117" s="16">
        <f t="shared" si="29"/>
        <v>1.1390024128209752E-2</v>
      </c>
      <c r="R117" s="14">
        <f t="shared" ca="1" si="30"/>
        <v>7.263350501457726</v>
      </c>
      <c r="S117" s="14">
        <f t="shared" si="31"/>
        <v>7.2607198924731176</v>
      </c>
      <c r="T117" s="14">
        <f t="shared" ca="1" si="32"/>
        <v>2.6306089846084291E-3</v>
      </c>
      <c r="U117" s="16">
        <f t="shared" ca="1" si="33"/>
        <v>3.623069094478456E-4</v>
      </c>
      <c r="V117" s="14">
        <f t="shared" si="34"/>
        <v>0.95833333333333393</v>
      </c>
      <c r="W117" s="14">
        <f t="shared" ca="1" si="35"/>
        <v>0.73664949854227402</v>
      </c>
      <c r="X117" s="14">
        <f t="shared" ca="1" si="36"/>
        <v>0.22168383479105991</v>
      </c>
      <c r="Y117" s="28">
        <f t="shared" ca="1" si="37"/>
        <v>0.23132226239067108</v>
      </c>
      <c r="Z117" s="29">
        <f t="shared" ca="1" si="38"/>
        <v>28.839794000000001</v>
      </c>
      <c r="AA117" s="16">
        <f t="shared" ca="1" si="39"/>
        <v>8.4450984126984083E-2</v>
      </c>
      <c r="AB117" s="2"/>
    </row>
    <row r="118" spans="6:28" x14ac:dyDescent="0.25">
      <c r="F118" s="13">
        <v>116</v>
      </c>
      <c r="G118" s="13">
        <f t="shared" si="20"/>
        <v>31.6</v>
      </c>
      <c r="H118" s="13">
        <f t="shared" si="21"/>
        <v>304.75</v>
      </c>
      <c r="I118" s="14">
        <f t="shared" si="22"/>
        <v>0.96666700000000005</v>
      </c>
      <c r="J118" s="14">
        <f t="shared" si="23"/>
        <v>7531.3263649999999</v>
      </c>
      <c r="K118" s="14">
        <f t="shared" si="24"/>
        <v>6.5513263650000004</v>
      </c>
      <c r="L118" s="14">
        <f t="shared" si="25"/>
        <v>1988.872509</v>
      </c>
      <c r="M118" s="14">
        <v>1986.08</v>
      </c>
      <c r="N118" s="13">
        <f t="shared" si="26"/>
        <v>1.9888725089999999</v>
      </c>
      <c r="O118" s="13">
        <f t="shared" si="27"/>
        <v>1.9663599999999999</v>
      </c>
      <c r="P118" s="13">
        <f t="shared" si="28"/>
        <v>2.2512509000000014E-2</v>
      </c>
      <c r="Q118" s="16">
        <f t="shared" si="29"/>
        <v>1.1448823714884362E-2</v>
      </c>
      <c r="R118" s="14">
        <f t="shared" ca="1" si="30"/>
        <v>7.2549273644314871</v>
      </c>
      <c r="S118" s="14">
        <f t="shared" si="31"/>
        <v>7.2522739784946229</v>
      </c>
      <c r="T118" s="14">
        <f t="shared" ca="1" si="32"/>
        <v>2.6533859368642609E-3</v>
      </c>
      <c r="U118" s="16">
        <f t="shared" ca="1" si="33"/>
        <v>3.658695113742838E-4</v>
      </c>
      <c r="V118" s="14">
        <f t="shared" si="34"/>
        <v>0.96666666666666679</v>
      </c>
      <c r="W118" s="14">
        <f t="shared" ca="1" si="35"/>
        <v>0.74507263556851289</v>
      </c>
      <c r="X118" s="14">
        <f t="shared" ca="1" si="36"/>
        <v>0.2215940310981539</v>
      </c>
      <c r="Y118" s="28">
        <f t="shared" ca="1" si="37"/>
        <v>0.22923520458429711</v>
      </c>
      <c r="Z118" s="29">
        <f t="shared" ca="1" si="38"/>
        <v>28.940871999999999</v>
      </c>
      <c r="AA118" s="16">
        <f t="shared" ca="1" si="39"/>
        <v>8.4149620253164636E-2</v>
      </c>
      <c r="AB118" s="2"/>
    </row>
    <row r="119" spans="6:28" x14ac:dyDescent="0.25">
      <c r="F119" s="13">
        <v>117</v>
      </c>
      <c r="G119" s="13">
        <f t="shared" si="20"/>
        <v>31.700000000000003</v>
      </c>
      <c r="H119" s="13">
        <f t="shared" si="21"/>
        <v>304.84999999999997</v>
      </c>
      <c r="I119" s="14">
        <f t="shared" si="22"/>
        <v>0.97499999999999998</v>
      </c>
      <c r="J119" s="14">
        <f t="shared" si="23"/>
        <v>7499.6588940000001</v>
      </c>
      <c r="K119" s="14">
        <f t="shared" si="24"/>
        <v>6.519658894</v>
      </c>
      <c r="L119" s="14">
        <f t="shared" si="25"/>
        <v>1986.6689510000001</v>
      </c>
      <c r="M119" s="14">
        <v>1983.92</v>
      </c>
      <c r="N119" s="13">
        <f t="shared" si="26"/>
        <v>1.986668951</v>
      </c>
      <c r="O119" s="13">
        <f t="shared" si="27"/>
        <v>1.96407</v>
      </c>
      <c r="P119" s="13">
        <f t="shared" si="28"/>
        <v>2.2598950999999978E-2</v>
      </c>
      <c r="Q119" s="16">
        <f t="shared" si="29"/>
        <v>1.1506184097308129E-2</v>
      </c>
      <c r="R119" s="14">
        <f t="shared" ca="1" si="30"/>
        <v>7.2461088629737613</v>
      </c>
      <c r="S119" s="14">
        <f t="shared" si="31"/>
        <v>7.243828064516129</v>
      </c>
      <c r="T119" s="14">
        <f t="shared" ca="1" si="32"/>
        <v>2.2807984576322937E-3</v>
      </c>
      <c r="U119" s="16">
        <f t="shared" ca="1" si="33"/>
        <v>3.1486093227485316E-4</v>
      </c>
      <c r="V119" s="14">
        <f t="shared" si="34"/>
        <v>0.97499999999999964</v>
      </c>
      <c r="W119" s="14">
        <f t="shared" ca="1" si="35"/>
        <v>0.75389113702623867</v>
      </c>
      <c r="X119" s="14">
        <f t="shared" ca="1" si="36"/>
        <v>0.22110886297376098</v>
      </c>
      <c r="Y119" s="28">
        <f t="shared" ca="1" si="37"/>
        <v>0.2267783209987293</v>
      </c>
      <c r="Z119" s="29">
        <f t="shared" ca="1" si="38"/>
        <v>29.046693999999999</v>
      </c>
      <c r="AA119" s="16">
        <f t="shared" ca="1" si="39"/>
        <v>8.3700504731861317E-2</v>
      </c>
      <c r="AB119" s="2"/>
    </row>
    <row r="120" spans="6:28" x14ac:dyDescent="0.25">
      <c r="F120" s="13">
        <v>118</v>
      </c>
      <c r="G120" s="13">
        <f t="shared" si="20"/>
        <v>31.8</v>
      </c>
      <c r="H120" s="13">
        <f t="shared" si="21"/>
        <v>304.95</v>
      </c>
      <c r="I120" s="14">
        <f t="shared" si="22"/>
        <v>0.98333300000000001</v>
      </c>
      <c r="J120" s="14">
        <f t="shared" si="23"/>
        <v>7468.1425870000003</v>
      </c>
      <c r="K120" s="14">
        <f t="shared" si="24"/>
        <v>6.4881425870000005</v>
      </c>
      <c r="L120" s="14">
        <f t="shared" si="25"/>
        <v>1984.462311</v>
      </c>
      <c r="M120" s="14">
        <v>1981.28</v>
      </c>
      <c r="N120" s="13">
        <f t="shared" si="26"/>
        <v>1.9844623110000001</v>
      </c>
      <c r="O120" s="13">
        <f t="shared" si="27"/>
        <v>1.9617800000000001</v>
      </c>
      <c r="P120" s="13">
        <f t="shared" si="28"/>
        <v>2.2682311000000066E-2</v>
      </c>
      <c r="Q120" s="16">
        <f t="shared" si="29"/>
        <v>1.1562107371876594E-2</v>
      </c>
      <c r="R120" s="14">
        <f t="shared" ca="1" si="30"/>
        <v>7.2384452274052489</v>
      </c>
      <c r="S120" s="14">
        <f t="shared" si="31"/>
        <v>7.2353821505376343</v>
      </c>
      <c r="T120" s="14">
        <f t="shared" ca="1" si="32"/>
        <v>3.0630768676145337E-3</v>
      </c>
      <c r="U120" s="16">
        <f t="shared" ca="1" si="33"/>
        <v>4.233469364692683E-4</v>
      </c>
      <c r="V120" s="14">
        <f t="shared" si="34"/>
        <v>0.98333333333333339</v>
      </c>
      <c r="W120" s="14">
        <f t="shared" ca="1" si="35"/>
        <v>0.76155477259475113</v>
      </c>
      <c r="X120" s="14">
        <f t="shared" ca="1" si="36"/>
        <v>0.22177856073858226</v>
      </c>
      <c r="Y120" s="28">
        <f t="shared" ca="1" si="37"/>
        <v>0.22553751939516839</v>
      </c>
      <c r="Z120" s="29">
        <f t="shared" ca="1" si="38"/>
        <v>29.138656999999998</v>
      </c>
      <c r="AA120" s="16">
        <f t="shared" ca="1" si="39"/>
        <v>8.3690031446540955E-2</v>
      </c>
      <c r="AB120" s="2"/>
    </row>
    <row r="121" spans="6:28" x14ac:dyDescent="0.25">
      <c r="F121" s="13">
        <v>119</v>
      </c>
      <c r="G121" s="13">
        <f t="shared" si="20"/>
        <v>31.9</v>
      </c>
      <c r="H121" s="13">
        <f t="shared" si="21"/>
        <v>305.04999999999995</v>
      </c>
      <c r="I121" s="14">
        <f t="shared" si="22"/>
        <v>0.99166699999999997</v>
      </c>
      <c r="J121" s="14">
        <f t="shared" si="23"/>
        <v>7436.7766430000001</v>
      </c>
      <c r="K121" s="14">
        <f t="shared" si="24"/>
        <v>6.4567766430000004</v>
      </c>
      <c r="L121" s="14">
        <f t="shared" si="25"/>
        <v>1982.2526029999999</v>
      </c>
      <c r="M121" s="14">
        <v>1979.1</v>
      </c>
      <c r="N121" s="13">
        <f t="shared" si="26"/>
        <v>1.9822526030000001</v>
      </c>
      <c r="O121" s="13">
        <f t="shared" si="27"/>
        <v>1.95949</v>
      </c>
      <c r="P121" s="13">
        <f t="shared" si="28"/>
        <v>2.2762603000000103E-2</v>
      </c>
      <c r="Q121" s="16">
        <f t="shared" si="29"/>
        <v>1.1616595644785175E-2</v>
      </c>
      <c r="R121" s="14">
        <f t="shared" ca="1" si="30"/>
        <v>7.2304067725947512</v>
      </c>
      <c r="S121" s="14">
        <f t="shared" si="31"/>
        <v>7.2269362365591396</v>
      </c>
      <c r="T121" s="14">
        <f t="shared" ca="1" si="32"/>
        <v>3.4705360356115378E-3</v>
      </c>
      <c r="U121" s="16">
        <f t="shared" ca="1" si="33"/>
        <v>4.8022231302595741E-4</v>
      </c>
      <c r="V121" s="14">
        <f t="shared" si="34"/>
        <v>0.99166666666666625</v>
      </c>
      <c r="W121" s="14">
        <f t="shared" ca="1" si="35"/>
        <v>0.76959322740524883</v>
      </c>
      <c r="X121" s="14">
        <f t="shared" ca="1" si="36"/>
        <v>0.22207343926141743</v>
      </c>
      <c r="Y121" s="28">
        <f t="shared" ca="1" si="37"/>
        <v>0.22393960261655549</v>
      </c>
      <c r="Z121" s="29">
        <f t="shared" ca="1" si="38"/>
        <v>29.235119000000001</v>
      </c>
      <c r="AA121" s="16">
        <f t="shared" ca="1" si="39"/>
        <v>8.3538589341692712E-2</v>
      </c>
      <c r="AB121" s="2"/>
    </row>
    <row r="122" spans="6:28" x14ac:dyDescent="0.25">
      <c r="F122" s="13">
        <v>120</v>
      </c>
      <c r="G122" s="13">
        <f t="shared" si="20"/>
        <v>32</v>
      </c>
      <c r="H122" s="13">
        <f t="shared" si="21"/>
        <v>305.14999999999998</v>
      </c>
      <c r="I122" s="14">
        <f t="shared" si="22"/>
        <v>1</v>
      </c>
      <c r="J122" s="14">
        <f t="shared" si="23"/>
        <v>7405.5602630000003</v>
      </c>
      <c r="K122" s="14">
        <f t="shared" si="24"/>
        <v>6.4255602630000004</v>
      </c>
      <c r="L122" s="14">
        <f t="shared" si="25"/>
        <v>1980.039839</v>
      </c>
      <c r="M122" s="14">
        <v>1977.15</v>
      </c>
      <c r="N122" s="13">
        <f t="shared" si="26"/>
        <v>1.9800398390000002</v>
      </c>
      <c r="O122" s="13">
        <f t="shared" si="27"/>
        <v>1.9571999999999998</v>
      </c>
      <c r="P122" s="13">
        <f t="shared" si="28"/>
        <v>2.2839839000000417E-2</v>
      </c>
      <c r="Q122" s="16">
        <f t="shared" si="29"/>
        <v>1.1669650010218894E-2</v>
      </c>
      <c r="R122" s="14">
        <f t="shared" ca="1" si="30"/>
        <v>7.2223249999999997</v>
      </c>
      <c r="S122" s="14">
        <f t="shared" si="31"/>
        <v>7.218490322580644</v>
      </c>
      <c r="T122" s="14">
        <f t="shared" ca="1" si="32"/>
        <v>3.8346774193556143E-3</v>
      </c>
      <c r="U122" s="16">
        <f t="shared" ca="1" si="33"/>
        <v>5.3122983449324613E-4</v>
      </c>
      <c r="V122" s="14">
        <f t="shared" si="34"/>
        <v>1.0000000000000009</v>
      </c>
      <c r="W122" s="14">
        <f t="shared" ca="1" si="35"/>
        <v>0.77767500000000034</v>
      </c>
      <c r="X122" s="14">
        <f t="shared" ca="1" si="36"/>
        <v>0.22232500000000055</v>
      </c>
      <c r="Y122" s="28">
        <f t="shared" ca="1" si="37"/>
        <v>0.22232500000000036</v>
      </c>
      <c r="Z122" s="29">
        <f t="shared" ca="1" si="38"/>
        <v>29.332100000000001</v>
      </c>
      <c r="AA122" s="16">
        <f t="shared" ca="1" si="39"/>
        <v>8.3371874999999984E-2</v>
      </c>
      <c r="AB122" s="2"/>
    </row>
    <row r="123" spans="6:28" x14ac:dyDescent="0.25">
      <c r="F123" s="13">
        <v>121</v>
      </c>
      <c r="G123" s="13">
        <f t="shared" si="20"/>
        <v>32.1</v>
      </c>
      <c r="H123" s="13">
        <f t="shared" si="21"/>
        <v>305.25</v>
      </c>
      <c r="I123" s="14">
        <f t="shared" si="22"/>
        <v>1.0083329999999999</v>
      </c>
      <c r="J123" s="14">
        <f t="shared" si="23"/>
        <v>7374.4926560000004</v>
      </c>
      <c r="K123" s="14">
        <f t="shared" si="24"/>
        <v>6.3944926560000006</v>
      </c>
      <c r="L123" s="14">
        <f t="shared" si="25"/>
        <v>1977.8240330000001</v>
      </c>
      <c r="M123" s="14">
        <v>1974.96</v>
      </c>
      <c r="N123" s="13">
        <f t="shared" si="26"/>
        <v>1.9778240330000001</v>
      </c>
      <c r="O123" s="13">
        <f t="shared" si="27"/>
        <v>1.9549099999999999</v>
      </c>
      <c r="P123" s="13">
        <f t="shared" si="28"/>
        <v>2.2914033000000167E-2</v>
      </c>
      <c r="Q123" s="16">
        <f t="shared" si="29"/>
        <v>1.1721272590554126E-2</v>
      </c>
      <c r="R123" s="14">
        <f t="shared" ca="1" si="30"/>
        <v>7.2134604985422737</v>
      </c>
      <c r="S123" s="14">
        <f t="shared" si="31"/>
        <v>7.2100444086021502</v>
      </c>
      <c r="T123" s="14">
        <f t="shared" ca="1" si="32"/>
        <v>3.4160899401234346E-3</v>
      </c>
      <c r="U123" s="16">
        <f t="shared" ca="1" si="33"/>
        <v>4.7379596387059288E-4</v>
      </c>
      <c r="V123" s="14">
        <f t="shared" si="34"/>
        <v>1.0083333333333329</v>
      </c>
      <c r="W123" s="14">
        <f t="shared" ca="1" si="35"/>
        <v>0.78653950145772633</v>
      </c>
      <c r="X123" s="14">
        <f t="shared" ca="1" si="36"/>
        <v>0.22179383187560653</v>
      </c>
      <c r="Y123" s="28">
        <f t="shared" ca="1" si="37"/>
        <v>0.21996082500060163</v>
      </c>
      <c r="Z123" s="29">
        <f t="shared" ca="1" si="38"/>
        <v>29.438473999999999</v>
      </c>
      <c r="AA123" s="16">
        <f t="shared" ca="1" si="39"/>
        <v>8.2913582554517196E-2</v>
      </c>
      <c r="AB123" s="2"/>
    </row>
    <row r="124" spans="6:28" x14ac:dyDescent="0.25">
      <c r="F124" s="13">
        <v>122</v>
      </c>
      <c r="G124" s="13">
        <f t="shared" si="20"/>
        <v>32.200000000000003</v>
      </c>
      <c r="H124" s="13">
        <f t="shared" si="21"/>
        <v>305.34999999999997</v>
      </c>
      <c r="I124" s="14">
        <f t="shared" si="22"/>
        <v>1.016667</v>
      </c>
      <c r="J124" s="14">
        <f t="shared" si="23"/>
        <v>7343.5730329999997</v>
      </c>
      <c r="K124" s="14">
        <f t="shared" si="24"/>
        <v>6.3635730329999998</v>
      </c>
      <c r="L124" s="14">
        <f t="shared" si="25"/>
        <v>1975.6051970000001</v>
      </c>
      <c r="M124" s="14">
        <v>1972.29</v>
      </c>
      <c r="N124" s="13">
        <f t="shared" si="26"/>
        <v>1.9756051969999999</v>
      </c>
      <c r="O124" s="13">
        <f t="shared" si="27"/>
        <v>1.95262</v>
      </c>
      <c r="P124" s="13">
        <f t="shared" si="28"/>
        <v>2.2985196999999902E-2</v>
      </c>
      <c r="Q124" s="16">
        <f t="shared" si="29"/>
        <v>1.1771464493859482E-2</v>
      </c>
      <c r="R124" s="14">
        <f t="shared" ca="1" si="30"/>
        <v>7.2061597725947513</v>
      </c>
      <c r="S124" s="14">
        <f t="shared" si="31"/>
        <v>7.2015984946236555</v>
      </c>
      <c r="T124" s="14">
        <f t="shared" ca="1" si="32"/>
        <v>4.5612779710957341E-3</v>
      </c>
      <c r="U124" s="16">
        <f t="shared" ca="1" si="33"/>
        <v>6.3337021280774686E-4</v>
      </c>
      <c r="V124" s="14">
        <f t="shared" si="34"/>
        <v>1.0166666666666666</v>
      </c>
      <c r="W124" s="14">
        <f t="shared" ca="1" si="35"/>
        <v>0.79384022740524873</v>
      </c>
      <c r="X124" s="14">
        <f t="shared" ca="1" si="36"/>
        <v>0.22282643926141787</v>
      </c>
      <c r="Y124" s="28">
        <f t="shared" ca="1" si="37"/>
        <v>0.2191735468145094</v>
      </c>
      <c r="Z124" s="29">
        <f t="shared" ca="1" si="38"/>
        <v>29.526083</v>
      </c>
      <c r="AA124" s="16">
        <f t="shared" ca="1" si="39"/>
        <v>8.3040900621118102E-2</v>
      </c>
      <c r="AB124" s="2"/>
    </row>
    <row r="125" spans="6:28" x14ac:dyDescent="0.25">
      <c r="F125" s="13">
        <v>123</v>
      </c>
      <c r="G125" s="13">
        <f t="shared" si="20"/>
        <v>32.299999999999997</v>
      </c>
      <c r="H125" s="13">
        <f t="shared" si="21"/>
        <v>305.45</v>
      </c>
      <c r="I125" s="14">
        <f t="shared" si="22"/>
        <v>1.0249999999999999</v>
      </c>
      <c r="J125" s="14">
        <f t="shared" si="23"/>
        <v>7312.8006109999997</v>
      </c>
      <c r="K125" s="14">
        <f t="shared" si="24"/>
        <v>6.3328006109999997</v>
      </c>
      <c r="L125" s="14">
        <f t="shared" si="25"/>
        <v>1973.383347</v>
      </c>
      <c r="M125" s="14">
        <v>1970.32</v>
      </c>
      <c r="N125" s="13">
        <f t="shared" si="26"/>
        <v>1.9733833470000002</v>
      </c>
      <c r="O125" s="13">
        <f t="shared" si="27"/>
        <v>1.9503300000000001</v>
      </c>
      <c r="P125" s="13">
        <f t="shared" si="28"/>
        <v>2.3053347000000057E-2</v>
      </c>
      <c r="Q125" s="16">
        <f t="shared" si="29"/>
        <v>1.1820228884342678E-2</v>
      </c>
      <c r="R125" s="14">
        <f t="shared" ca="1" si="30"/>
        <v>7.1984411370262382</v>
      </c>
      <c r="S125" s="14">
        <f t="shared" si="31"/>
        <v>7.1931525806451617</v>
      </c>
      <c r="T125" s="14">
        <f t="shared" ca="1" si="32"/>
        <v>5.2885563810765035E-3</v>
      </c>
      <c r="U125" s="16">
        <f t="shared" ca="1" si="33"/>
        <v>7.3522093710434917E-4</v>
      </c>
      <c r="V125" s="14">
        <f t="shared" si="34"/>
        <v>1.0249999999999995</v>
      </c>
      <c r="W125" s="14">
        <f t="shared" ca="1" si="35"/>
        <v>0.80155886297376178</v>
      </c>
      <c r="X125" s="14">
        <f t="shared" ca="1" si="36"/>
        <v>0.22344113702623769</v>
      </c>
      <c r="Y125" s="28">
        <f t="shared" ca="1" si="37"/>
        <v>0.21799135319632956</v>
      </c>
      <c r="Z125" s="29">
        <f t="shared" ca="1" si="38"/>
        <v>29.618706</v>
      </c>
      <c r="AA125" s="16">
        <f t="shared" ca="1" si="39"/>
        <v>8.3012198142414798E-2</v>
      </c>
      <c r="AB125" s="2"/>
    </row>
    <row r="126" spans="6:28" x14ac:dyDescent="0.25">
      <c r="F126" s="13">
        <v>124</v>
      </c>
      <c r="G126" s="13">
        <f t="shared" si="20"/>
        <v>32.4</v>
      </c>
      <c r="H126" s="13">
        <f t="shared" si="21"/>
        <v>305.54999999999995</v>
      </c>
      <c r="I126" s="14">
        <f t="shared" si="22"/>
        <v>1.0333330000000001</v>
      </c>
      <c r="J126" s="14">
        <f t="shared" si="23"/>
        <v>7282.1746119999998</v>
      </c>
      <c r="K126" s="14">
        <f t="shared" si="24"/>
        <v>6.302174612</v>
      </c>
      <c r="L126" s="14">
        <f t="shared" si="25"/>
        <v>1971.1584949999999</v>
      </c>
      <c r="M126" s="14">
        <v>1967.88</v>
      </c>
      <c r="N126" s="13">
        <f t="shared" si="26"/>
        <v>1.9711584949999998</v>
      </c>
      <c r="O126" s="13">
        <f t="shared" si="27"/>
        <v>1.94804</v>
      </c>
      <c r="P126" s="13">
        <f t="shared" si="28"/>
        <v>2.311849499999985E-2</v>
      </c>
      <c r="Q126" s="16">
        <f t="shared" si="29"/>
        <v>1.1867566887743502E-2</v>
      </c>
      <c r="R126" s="14">
        <f t="shared" ca="1" si="30"/>
        <v>7.1907105014577262</v>
      </c>
      <c r="S126" s="14">
        <f t="shared" si="31"/>
        <v>7.1847066666666661</v>
      </c>
      <c r="T126" s="14">
        <f t="shared" ca="1" si="32"/>
        <v>6.0038347910600365E-3</v>
      </c>
      <c r="U126" s="16">
        <f t="shared" ca="1" si="33"/>
        <v>8.3564090638727591E-4</v>
      </c>
      <c r="V126" s="14">
        <f t="shared" si="34"/>
        <v>1.0333333333333332</v>
      </c>
      <c r="W126" s="14">
        <f t="shared" ca="1" si="35"/>
        <v>0.80928949854227383</v>
      </c>
      <c r="X126" s="14">
        <f t="shared" ca="1" si="36"/>
        <v>0.22404383479105938</v>
      </c>
      <c r="Y126" s="28">
        <f t="shared" ca="1" si="37"/>
        <v>0.21681661431392846</v>
      </c>
      <c r="Z126" s="29">
        <f t="shared" ca="1" si="38"/>
        <v>29.711473999999999</v>
      </c>
      <c r="AA126" s="16">
        <f t="shared" ca="1" si="39"/>
        <v>8.297919753086419E-2</v>
      </c>
      <c r="AB126" s="2"/>
    </row>
    <row r="127" spans="6:28" x14ac:dyDescent="0.25">
      <c r="F127" s="13">
        <v>125</v>
      </c>
      <c r="G127" s="13">
        <f t="shared" si="20"/>
        <v>32.5</v>
      </c>
      <c r="H127" s="13">
        <f t="shared" si="21"/>
        <v>305.64999999999998</v>
      </c>
      <c r="I127" s="14">
        <f t="shared" si="22"/>
        <v>1.0416669999999999</v>
      </c>
      <c r="J127" s="14">
        <f t="shared" si="23"/>
        <v>7251.6942600000002</v>
      </c>
      <c r="K127" s="14">
        <f t="shared" si="24"/>
        <v>6.2716942600000003</v>
      </c>
      <c r="L127" s="14">
        <f t="shared" si="25"/>
        <v>1968.930654</v>
      </c>
      <c r="M127" s="14">
        <v>1965.42</v>
      </c>
      <c r="N127" s="13">
        <f t="shared" si="26"/>
        <v>1.968930654</v>
      </c>
      <c r="O127" s="13">
        <f t="shared" si="27"/>
        <v>1.9457499999999999</v>
      </c>
      <c r="P127" s="13">
        <f t="shared" si="28"/>
        <v>2.3180654000000134E-2</v>
      </c>
      <c r="Q127" s="16">
        <f t="shared" si="29"/>
        <v>1.1913480149042855E-2</v>
      </c>
      <c r="R127" s="14">
        <f t="shared" ca="1" si="30"/>
        <v>7.1825845014577263</v>
      </c>
      <c r="S127" s="14">
        <f t="shared" si="31"/>
        <v>7.1762607526881714</v>
      </c>
      <c r="T127" s="14">
        <f t="shared" ca="1" si="32"/>
        <v>6.3237487695548822E-3</v>
      </c>
      <c r="U127" s="16">
        <f t="shared" ca="1" si="33"/>
        <v>8.8120387308753445E-4</v>
      </c>
      <c r="V127" s="14">
        <f t="shared" si="34"/>
        <v>1.041666666666667</v>
      </c>
      <c r="W127" s="14">
        <f t="shared" ca="1" si="35"/>
        <v>0.81741549854227369</v>
      </c>
      <c r="X127" s="14">
        <f t="shared" ca="1" si="36"/>
        <v>0.22425116812439327</v>
      </c>
      <c r="Y127" s="28">
        <f t="shared" ca="1" si="37"/>
        <v>0.21528112139941749</v>
      </c>
      <c r="Z127" s="29">
        <f t="shared" ca="1" si="38"/>
        <v>29.808986000000001</v>
      </c>
      <c r="AA127" s="16">
        <f t="shared" ca="1" si="39"/>
        <v>8.2800430769230743E-2</v>
      </c>
      <c r="AB127" s="2"/>
    </row>
    <row r="128" spans="6:28" x14ac:dyDescent="0.25">
      <c r="F128" s="13">
        <v>126</v>
      </c>
      <c r="G128" s="13">
        <f t="shared" si="20"/>
        <v>32.6</v>
      </c>
      <c r="H128" s="13">
        <f t="shared" si="21"/>
        <v>305.75</v>
      </c>
      <c r="I128" s="14">
        <f t="shared" si="22"/>
        <v>1.05</v>
      </c>
      <c r="J128" s="14">
        <f t="shared" si="23"/>
        <v>7221.3587870000001</v>
      </c>
      <c r="K128" s="14">
        <f t="shared" si="24"/>
        <v>6.2413587870000002</v>
      </c>
      <c r="L128" s="14">
        <f t="shared" si="25"/>
        <v>1966.6998390000001</v>
      </c>
      <c r="M128" s="14">
        <v>1963.43</v>
      </c>
      <c r="N128" s="13">
        <f t="shared" si="26"/>
        <v>1.9666998390000001</v>
      </c>
      <c r="O128" s="13">
        <f t="shared" si="27"/>
        <v>1.94346</v>
      </c>
      <c r="P128" s="13">
        <f t="shared" si="28"/>
        <v>2.3239839000000151E-2</v>
      </c>
      <c r="Q128" s="16">
        <f t="shared" si="29"/>
        <v>1.1957971350066455E-2</v>
      </c>
      <c r="R128" s="14">
        <f t="shared" ca="1" si="30"/>
        <v>7.1736659999999999</v>
      </c>
      <c r="S128" s="14">
        <f t="shared" si="31"/>
        <v>7.1678148387096767</v>
      </c>
      <c r="T128" s="14">
        <f t="shared" ca="1" si="32"/>
        <v>5.851161290323148E-3</v>
      </c>
      <c r="U128" s="16">
        <f t="shared" ca="1" si="33"/>
        <v>8.1631032915694735E-4</v>
      </c>
      <c r="V128" s="14">
        <f t="shared" si="34"/>
        <v>1.0500000000000007</v>
      </c>
      <c r="W128" s="14">
        <f t="shared" ca="1" si="35"/>
        <v>0.82633400000000012</v>
      </c>
      <c r="X128" s="14">
        <f t="shared" ca="1" si="36"/>
        <v>0.22366600000000059</v>
      </c>
      <c r="Y128" s="28">
        <f t="shared" ca="1" si="37"/>
        <v>0.21301523809523851</v>
      </c>
      <c r="Z128" s="29">
        <f t="shared" ca="1" si="38"/>
        <v>29.916008000000001</v>
      </c>
      <c r="AA128" s="16">
        <f t="shared" ca="1" si="39"/>
        <v>8.2331042944785271E-2</v>
      </c>
      <c r="AB128" s="2"/>
    </row>
    <row r="129" spans="6:28" x14ac:dyDescent="0.25">
      <c r="F129" s="13">
        <v>127</v>
      </c>
      <c r="G129" s="13">
        <f t="shared" si="20"/>
        <v>32.700000000000003</v>
      </c>
      <c r="H129" s="13">
        <f t="shared" si="21"/>
        <v>305.84999999999997</v>
      </c>
      <c r="I129" s="14">
        <f t="shared" si="22"/>
        <v>1.058333</v>
      </c>
      <c r="J129" s="14">
        <f t="shared" si="23"/>
        <v>7191.1674270000003</v>
      </c>
      <c r="K129" s="14">
        <f t="shared" si="24"/>
        <v>6.2111674270000004</v>
      </c>
      <c r="L129" s="14">
        <f t="shared" si="25"/>
        <v>1964.4660630000001</v>
      </c>
      <c r="M129" s="14">
        <v>1961.43</v>
      </c>
      <c r="N129" s="13">
        <f t="shared" si="26"/>
        <v>1.9644660629999999</v>
      </c>
      <c r="O129" s="13">
        <f t="shared" si="27"/>
        <v>1.9411699999999998</v>
      </c>
      <c r="P129" s="13">
        <f t="shared" si="28"/>
        <v>2.3296063000000089E-2</v>
      </c>
      <c r="Q129" s="16">
        <f t="shared" si="29"/>
        <v>1.2001042154989048E-2</v>
      </c>
      <c r="R129" s="14">
        <f t="shared" ca="1" si="30"/>
        <v>7.1651326355685123</v>
      </c>
      <c r="S129" s="14">
        <f t="shared" si="31"/>
        <v>7.159368924731182</v>
      </c>
      <c r="T129" s="14">
        <f t="shared" ca="1" si="32"/>
        <v>5.7637108373302937E-3</v>
      </c>
      <c r="U129" s="16">
        <f t="shared" ca="1" si="33"/>
        <v>8.0505850416790858E-4</v>
      </c>
      <c r="V129" s="14">
        <f t="shared" si="34"/>
        <v>1.0583333333333336</v>
      </c>
      <c r="W129" s="14">
        <f t="shared" ca="1" si="35"/>
        <v>0.83486736443148768</v>
      </c>
      <c r="X129" s="14">
        <f t="shared" ca="1" si="36"/>
        <v>0.22346596890184589</v>
      </c>
      <c r="Y129" s="28">
        <f t="shared" ca="1" si="37"/>
        <v>0.21114894699387007</v>
      </c>
      <c r="Z129" s="29">
        <f t="shared" ca="1" si="38"/>
        <v>30.018408000000001</v>
      </c>
      <c r="AA129" s="16">
        <f t="shared" ca="1" si="39"/>
        <v>8.2005871559633084E-2</v>
      </c>
      <c r="AB129" s="2"/>
    </row>
    <row r="130" spans="6:28" x14ac:dyDescent="0.25">
      <c r="F130" s="13">
        <v>128</v>
      </c>
      <c r="G130" s="13">
        <f t="shared" si="20"/>
        <v>32.799999999999997</v>
      </c>
      <c r="H130" s="13">
        <f t="shared" si="21"/>
        <v>305.95</v>
      </c>
      <c r="I130" s="14">
        <f t="shared" si="22"/>
        <v>1.066667</v>
      </c>
      <c r="J130" s="14">
        <f t="shared" si="23"/>
        <v>7161.1194189999997</v>
      </c>
      <c r="K130" s="14">
        <f t="shared" si="24"/>
        <v>6.1811194189999998</v>
      </c>
      <c r="L130" s="14">
        <f t="shared" si="25"/>
        <v>1962.2293400000001</v>
      </c>
      <c r="M130" s="14">
        <v>1959.42</v>
      </c>
      <c r="N130" s="13">
        <f t="shared" si="26"/>
        <v>1.9622293400000004</v>
      </c>
      <c r="O130" s="13">
        <f t="shared" si="27"/>
        <v>1.9388800000000002</v>
      </c>
      <c r="P130" s="13">
        <f t="shared" si="28"/>
        <v>2.3349340000000218E-2</v>
      </c>
      <c r="Q130" s="16">
        <f t="shared" si="29"/>
        <v>1.2042694751609288E-2</v>
      </c>
      <c r="R130" s="14">
        <f t="shared" ca="1" si="30"/>
        <v>7.1577561370262384</v>
      </c>
      <c r="S130" s="14">
        <f t="shared" si="31"/>
        <v>7.1509230107526882</v>
      </c>
      <c r="T130" s="14">
        <f t="shared" ca="1" si="32"/>
        <v>6.8331262735501497E-3</v>
      </c>
      <c r="U130" s="16">
        <f t="shared" ca="1" si="33"/>
        <v>9.5555864093003454E-4</v>
      </c>
      <c r="V130" s="14">
        <f t="shared" si="34"/>
        <v>1.0666666666666664</v>
      </c>
      <c r="W130" s="14">
        <f t="shared" ca="1" si="35"/>
        <v>0.84224386297376164</v>
      </c>
      <c r="X130" s="14">
        <f t="shared" ca="1" si="36"/>
        <v>0.22442280369290479</v>
      </c>
      <c r="Y130" s="28">
        <f t="shared" ca="1" si="37"/>
        <v>0.2103963784620983</v>
      </c>
      <c r="Z130" s="29">
        <f t="shared" ca="1" si="38"/>
        <v>30.106926000000001</v>
      </c>
      <c r="AA130" s="16">
        <f t="shared" ca="1" si="39"/>
        <v>8.2105914634146224E-2</v>
      </c>
      <c r="AB130" s="2"/>
    </row>
    <row r="131" spans="6:28" x14ac:dyDescent="0.25">
      <c r="F131" s="13">
        <v>129</v>
      </c>
      <c r="G131" s="13">
        <f t="shared" ref="G131:G194" si="40">F131*0.1+20</f>
        <v>32.9</v>
      </c>
      <c r="H131" s="13">
        <f t="shared" ref="H131:H194" si="41">G131+273.15</f>
        <v>306.04999999999995</v>
      </c>
      <c r="I131" s="14">
        <f t="shared" ref="I131:I194" si="42">ROUND(1/12*G131-5/3,6)</f>
        <v>1.075</v>
      </c>
      <c r="J131" s="14">
        <f t="shared" ref="J131:J194" si="43">ROUND(10000*EXP(($B$3)+($B$4/H131)+($B$5/(H131^2))+($B$6/(H131^3))),6)</f>
        <v>7131.2140060000002</v>
      </c>
      <c r="K131" s="14">
        <f t="shared" ref="K131:K194" si="44">$B$9*(2*$B$8+J131)-$B$9*$B$10</f>
        <v>6.151214006</v>
      </c>
      <c r="L131" s="14">
        <f t="shared" ref="L131:L194" si="45">ROUND(1/(1/(J131+2*$B$8)+1/($B$7)),6)</f>
        <v>1959.989683</v>
      </c>
      <c r="M131" s="14">
        <v>1956.94</v>
      </c>
      <c r="N131" s="13">
        <f t="shared" ref="N131:N194" si="46">$B$9*(L131+$B$10)*(L131/(L131+$B$10))</f>
        <v>1.9599896829999999</v>
      </c>
      <c r="O131" s="13">
        <f t="shared" ref="O131:O194" si="47">$B$11*G131+$B$12</f>
        <v>1.9365899999999998</v>
      </c>
      <c r="P131" s="13">
        <f t="shared" ref="P131:P194" si="48">ABS(N131-O131)</f>
        <v>2.339968300000006E-2</v>
      </c>
      <c r="Q131" s="16">
        <f t="shared" ref="Q131:Q194" si="49">ABS(O131-N131)/O131</f>
        <v>1.2082930821702096E-2</v>
      </c>
      <c r="R131" s="14">
        <f t="shared" ref="R131:R194" ca="1" si="50">ROUND(N131*$B$29,6)+RANDBETWEEN(-1,1)*$B$24+RANDBETWEEN(-1,1)*$B$25</f>
        <v>7.1492007725947513</v>
      </c>
      <c r="S131" s="14">
        <f t="shared" ref="S131:S194" si="51">O131*$B$23</f>
        <v>7.1424770967741926</v>
      </c>
      <c r="T131" s="14">
        <f t="shared" ref="T131:T194" ca="1" si="52">ABS(R131-S131)</f>
        <v>6.7236758205586611E-3</v>
      </c>
      <c r="U131" s="16">
        <f t="shared" ref="U131:U194" ca="1" si="53">ABS(S131-R131)/S131</f>
        <v>9.4136470155365597E-4</v>
      </c>
      <c r="V131" s="14">
        <f t="shared" ref="V131:V194" si="54">$B$44*S131+$B$45</f>
        <v>1.0750000000000002</v>
      </c>
      <c r="W131" s="14">
        <f t="shared" ref="W131:W194" ca="1" si="55">$B$46*R131+$B$47</f>
        <v>0.85079922740524871</v>
      </c>
      <c r="X131" s="14">
        <f t="shared" ref="X131:X194" ca="1" si="56">ABS(V131-W131)</f>
        <v>0.22420077259475146</v>
      </c>
      <c r="Y131" s="28">
        <f t="shared" ref="Y131:Y194" ca="1" si="57">IF(V131 = 0, ABS(V131-W131)/(V131+0.0001), ABS(V131-W131)/V131)</f>
        <v>0.20855885822767575</v>
      </c>
      <c r="Z131" s="29">
        <f t="shared" ref="Z131:Z194" ca="1" si="58">ROUND((W131+5/3)/(1/12),6)</f>
        <v>30.209591</v>
      </c>
      <c r="AA131" s="16">
        <f t="shared" ref="AA131:AA194" ca="1" si="59">ABS(G131-Z131)/G131</f>
        <v>8.1775349544072923E-2</v>
      </c>
      <c r="AB131" s="2"/>
    </row>
    <row r="132" spans="6:28" x14ac:dyDescent="0.25">
      <c r="F132" s="13">
        <v>130</v>
      </c>
      <c r="G132" s="13">
        <f t="shared" si="40"/>
        <v>33</v>
      </c>
      <c r="H132" s="13">
        <f t="shared" si="41"/>
        <v>306.14999999999998</v>
      </c>
      <c r="I132" s="14">
        <f t="shared" si="42"/>
        <v>1.0833330000000001</v>
      </c>
      <c r="J132" s="14">
        <f t="shared" si="43"/>
        <v>7101.4504370000004</v>
      </c>
      <c r="K132" s="14">
        <f t="shared" si="44"/>
        <v>6.1214504370000009</v>
      </c>
      <c r="L132" s="14">
        <f t="shared" si="45"/>
        <v>1957.7471069999999</v>
      </c>
      <c r="M132" s="14">
        <v>1954.45</v>
      </c>
      <c r="N132" s="13">
        <f t="shared" si="46"/>
        <v>1.9577471069999999</v>
      </c>
      <c r="O132" s="13">
        <f t="shared" si="47"/>
        <v>1.9342999999999999</v>
      </c>
      <c r="P132" s="13">
        <f t="shared" si="48"/>
        <v>2.3447106999999967E-2</v>
      </c>
      <c r="Q132" s="16">
        <f t="shared" si="49"/>
        <v>1.2121753088972738E-2</v>
      </c>
      <c r="R132" s="14">
        <f t="shared" ca="1" si="50"/>
        <v>7.140613862973761</v>
      </c>
      <c r="S132" s="14">
        <f t="shared" si="51"/>
        <v>7.1340311827956979</v>
      </c>
      <c r="T132" s="14">
        <f t="shared" ca="1" si="52"/>
        <v>6.5826801780630717E-3</v>
      </c>
      <c r="U132" s="16">
        <f t="shared" ca="1" si="53"/>
        <v>9.2271536378166468E-4</v>
      </c>
      <c r="V132" s="14">
        <f t="shared" si="54"/>
        <v>1.0833333333333339</v>
      </c>
      <c r="W132" s="14">
        <f t="shared" ca="1" si="55"/>
        <v>0.85938613702623901</v>
      </c>
      <c r="X132" s="14">
        <f t="shared" ca="1" si="56"/>
        <v>0.22394719630709492</v>
      </c>
      <c r="Y132" s="28">
        <f t="shared" ca="1" si="57"/>
        <v>0.20672048889885675</v>
      </c>
      <c r="Z132" s="29">
        <f t="shared" ca="1" si="58"/>
        <v>30.312633999999999</v>
      </c>
      <c r="AA132" s="16">
        <f t="shared" ca="1" si="59"/>
        <v>8.143533333333336E-2</v>
      </c>
      <c r="AB132" s="2"/>
    </row>
    <row r="133" spans="6:28" x14ac:dyDescent="0.25">
      <c r="F133" s="13">
        <v>131</v>
      </c>
      <c r="G133" s="13">
        <f t="shared" si="40"/>
        <v>33.1</v>
      </c>
      <c r="H133" s="13">
        <f t="shared" si="41"/>
        <v>306.25</v>
      </c>
      <c r="I133" s="14">
        <f t="shared" si="42"/>
        <v>1.0916669999999999</v>
      </c>
      <c r="J133" s="14">
        <f t="shared" si="43"/>
        <v>7071.8279629999997</v>
      </c>
      <c r="K133" s="14">
        <f t="shared" si="44"/>
        <v>6.0918279630000001</v>
      </c>
      <c r="L133" s="14">
        <f t="shared" si="45"/>
        <v>1955.501626</v>
      </c>
      <c r="M133" s="14">
        <v>1952.42</v>
      </c>
      <c r="N133" s="13">
        <f t="shared" si="46"/>
        <v>1.955501626</v>
      </c>
      <c r="O133" s="13">
        <f t="shared" si="47"/>
        <v>1.93201</v>
      </c>
      <c r="P133" s="13">
        <f t="shared" si="48"/>
        <v>2.3491625999999988E-2</v>
      </c>
      <c r="Q133" s="16">
        <f t="shared" si="49"/>
        <v>1.2159163772444236E-2</v>
      </c>
      <c r="R133" s="14">
        <f t="shared" ca="1" si="50"/>
        <v>7.1332161370262384</v>
      </c>
      <c r="S133" s="14">
        <f t="shared" si="51"/>
        <v>7.1255852688172041</v>
      </c>
      <c r="T133" s="14">
        <f t="shared" ca="1" si="52"/>
        <v>7.6308682090342472E-3</v>
      </c>
      <c r="U133" s="16">
        <f t="shared" ca="1" si="53"/>
        <v>1.0709110790419207E-3</v>
      </c>
      <c r="V133" s="14">
        <f t="shared" si="54"/>
        <v>1.0916666666666668</v>
      </c>
      <c r="W133" s="14">
        <f t="shared" ca="1" si="55"/>
        <v>0.86678386297376164</v>
      </c>
      <c r="X133" s="14">
        <f t="shared" ca="1" si="56"/>
        <v>0.22488280369290514</v>
      </c>
      <c r="Y133" s="28">
        <f t="shared" ca="1" si="57"/>
        <v>0.20599951483319554</v>
      </c>
      <c r="Z133" s="29">
        <f t="shared" ca="1" si="58"/>
        <v>30.401406000000001</v>
      </c>
      <c r="AA133" s="16">
        <f t="shared" ca="1" si="59"/>
        <v>8.152851963746223E-2</v>
      </c>
      <c r="AB133" s="2"/>
    </row>
    <row r="134" spans="6:28" x14ac:dyDescent="0.25">
      <c r="F134" s="13">
        <v>132</v>
      </c>
      <c r="G134" s="13">
        <f t="shared" si="40"/>
        <v>33.200000000000003</v>
      </c>
      <c r="H134" s="13">
        <f t="shared" si="41"/>
        <v>306.34999999999997</v>
      </c>
      <c r="I134" s="14">
        <f t="shared" si="42"/>
        <v>1.1000000000000001</v>
      </c>
      <c r="J134" s="14">
        <f t="shared" si="43"/>
        <v>7042.3458419999997</v>
      </c>
      <c r="K134" s="14">
        <f t="shared" si="44"/>
        <v>6.062345842</v>
      </c>
      <c r="L134" s="14">
        <f t="shared" si="45"/>
        <v>1953.2532530000001</v>
      </c>
      <c r="M134" s="14">
        <v>1949.92</v>
      </c>
      <c r="N134" s="13">
        <f t="shared" si="46"/>
        <v>1.953253253</v>
      </c>
      <c r="O134" s="13">
        <f t="shared" si="47"/>
        <v>1.9297199999999999</v>
      </c>
      <c r="P134" s="13">
        <f t="shared" si="48"/>
        <v>2.3533253000000087E-2</v>
      </c>
      <c r="Q134" s="16">
        <f t="shared" si="49"/>
        <v>1.2195164583462932E-2</v>
      </c>
      <c r="R134" s="14">
        <f t="shared" ca="1" si="50"/>
        <v>7.1238374985422741</v>
      </c>
      <c r="S134" s="14">
        <f t="shared" si="51"/>
        <v>7.1171393548387085</v>
      </c>
      <c r="T134" s="14">
        <f t="shared" ca="1" si="52"/>
        <v>6.6981437035655844E-3</v>
      </c>
      <c r="U134" s="16">
        <f t="shared" ca="1" si="53"/>
        <v>9.4112864307086203E-4</v>
      </c>
      <c r="V134" s="14">
        <f t="shared" si="54"/>
        <v>1.1000000000000005</v>
      </c>
      <c r="W134" s="14">
        <f t="shared" ca="1" si="55"/>
        <v>0.8761625014577259</v>
      </c>
      <c r="X134" s="14">
        <f t="shared" ca="1" si="56"/>
        <v>0.22383749854227464</v>
      </c>
      <c r="Y134" s="28">
        <f t="shared" ca="1" si="57"/>
        <v>0.2034886350384314</v>
      </c>
      <c r="Z134" s="29">
        <f t="shared" ca="1" si="58"/>
        <v>30.513950000000001</v>
      </c>
      <c r="AA134" s="16">
        <f t="shared" ca="1" si="59"/>
        <v>8.0905120481927759E-2</v>
      </c>
      <c r="AB134" s="2"/>
    </row>
    <row r="135" spans="6:28" x14ac:dyDescent="0.25">
      <c r="F135" s="13">
        <v>133</v>
      </c>
      <c r="G135" s="13">
        <f t="shared" si="40"/>
        <v>33.299999999999997</v>
      </c>
      <c r="H135" s="13">
        <f t="shared" si="41"/>
        <v>306.45</v>
      </c>
      <c r="I135" s="14">
        <f t="shared" si="42"/>
        <v>1.108333</v>
      </c>
      <c r="J135" s="14">
        <f t="shared" si="43"/>
        <v>7013.0033329999997</v>
      </c>
      <c r="K135" s="14">
        <f t="shared" si="44"/>
        <v>6.0330033329999999</v>
      </c>
      <c r="L135" s="14">
        <f t="shared" si="45"/>
        <v>1951.0020030000001</v>
      </c>
      <c r="M135" s="14">
        <v>1947.87</v>
      </c>
      <c r="N135" s="13">
        <f t="shared" si="46"/>
        <v>1.9510020030000002</v>
      </c>
      <c r="O135" s="13">
        <f t="shared" si="47"/>
        <v>1.92743</v>
      </c>
      <c r="P135" s="13">
        <f t="shared" si="48"/>
        <v>2.3572003000000175E-2</v>
      </c>
      <c r="Q135" s="16">
        <f t="shared" si="49"/>
        <v>1.2229758279159385E-2</v>
      </c>
      <c r="R135" s="14">
        <f t="shared" ca="1" si="50"/>
        <v>7.1160216355685124</v>
      </c>
      <c r="S135" s="14">
        <f t="shared" si="51"/>
        <v>7.1086934408602147</v>
      </c>
      <c r="T135" s="14">
        <f t="shared" ca="1" si="52"/>
        <v>7.3281947082977084E-3</v>
      </c>
      <c r="U135" s="16">
        <f t="shared" ca="1" si="53"/>
        <v>1.0308778637401661E-3</v>
      </c>
      <c r="V135" s="14">
        <f t="shared" si="54"/>
        <v>1.1083333333333334</v>
      </c>
      <c r="W135" s="14">
        <f t="shared" ca="1" si="55"/>
        <v>0.88397836443148758</v>
      </c>
      <c r="X135" s="14">
        <f t="shared" ca="1" si="56"/>
        <v>0.22435496890184581</v>
      </c>
      <c r="Y135" s="28">
        <f t="shared" ca="1" si="57"/>
        <v>0.20242553585128945</v>
      </c>
      <c r="Z135" s="29">
        <f t="shared" ca="1" si="58"/>
        <v>30.60774</v>
      </c>
      <c r="AA135" s="16">
        <f t="shared" ca="1" si="59"/>
        <v>8.0848648648648574E-2</v>
      </c>
      <c r="AB135" s="2"/>
    </row>
    <row r="136" spans="6:28" x14ac:dyDescent="0.25">
      <c r="F136" s="13">
        <v>134</v>
      </c>
      <c r="G136" s="13">
        <f t="shared" si="40"/>
        <v>33.4</v>
      </c>
      <c r="H136" s="13">
        <f t="shared" si="41"/>
        <v>306.54999999999995</v>
      </c>
      <c r="I136" s="14">
        <f t="shared" si="42"/>
        <v>1.1166670000000001</v>
      </c>
      <c r="J136" s="14">
        <f t="shared" si="43"/>
        <v>6983.7997020000003</v>
      </c>
      <c r="K136" s="14">
        <f t="shared" si="44"/>
        <v>6.0037997020000002</v>
      </c>
      <c r="L136" s="14">
        <f t="shared" si="45"/>
        <v>1948.7478900000001</v>
      </c>
      <c r="M136" s="14">
        <v>1945.82</v>
      </c>
      <c r="N136" s="13">
        <f t="shared" si="46"/>
        <v>1.9487478900000001</v>
      </c>
      <c r="O136" s="13">
        <f t="shared" si="47"/>
        <v>1.9251399999999999</v>
      </c>
      <c r="P136" s="13">
        <f t="shared" si="48"/>
        <v>2.3607890000000298E-2</v>
      </c>
      <c r="Q136" s="16">
        <f t="shared" si="49"/>
        <v>1.2262947110340183E-2</v>
      </c>
      <c r="R136" s="14">
        <f t="shared" ca="1" si="50"/>
        <v>7.108570364431487</v>
      </c>
      <c r="S136" s="14">
        <f t="shared" si="51"/>
        <v>7.1002475268817191</v>
      </c>
      <c r="T136" s="14">
        <f t="shared" ca="1" si="52"/>
        <v>8.3228375497679252E-3</v>
      </c>
      <c r="U136" s="16">
        <f t="shared" ca="1" si="53"/>
        <v>1.1721897748293208E-3</v>
      </c>
      <c r="V136" s="14">
        <f t="shared" si="54"/>
        <v>1.1166666666666671</v>
      </c>
      <c r="W136" s="14">
        <f t="shared" ca="1" si="55"/>
        <v>0.89142963556851296</v>
      </c>
      <c r="X136" s="14">
        <f t="shared" ca="1" si="56"/>
        <v>0.22523703109815418</v>
      </c>
      <c r="Y136" s="28">
        <f t="shared" ca="1" si="57"/>
        <v>0.20170480396849619</v>
      </c>
      <c r="Z136" s="29">
        <f t="shared" ca="1" si="58"/>
        <v>30.697156</v>
      </c>
      <c r="AA136" s="16">
        <f t="shared" ca="1" si="59"/>
        <v>8.0923473053892192E-2</v>
      </c>
      <c r="AB136" s="2"/>
    </row>
    <row r="137" spans="6:28" x14ac:dyDescent="0.25">
      <c r="F137" s="13">
        <v>135</v>
      </c>
      <c r="G137" s="13">
        <f t="shared" si="40"/>
        <v>33.5</v>
      </c>
      <c r="H137" s="13">
        <f t="shared" si="41"/>
        <v>306.64999999999998</v>
      </c>
      <c r="I137" s="14">
        <f t="shared" si="42"/>
        <v>1.125</v>
      </c>
      <c r="J137" s="14">
        <f t="shared" si="43"/>
        <v>6954.7342189999999</v>
      </c>
      <c r="K137" s="14">
        <f t="shared" si="44"/>
        <v>5.9747342190000001</v>
      </c>
      <c r="L137" s="14">
        <f t="shared" si="45"/>
        <v>1946.4909279999999</v>
      </c>
      <c r="M137" s="14">
        <v>1943.3</v>
      </c>
      <c r="N137" s="13">
        <f t="shared" si="46"/>
        <v>1.9464909279999998</v>
      </c>
      <c r="O137" s="13">
        <f t="shared" si="47"/>
        <v>1.9228499999999999</v>
      </c>
      <c r="P137" s="13">
        <f t="shared" si="48"/>
        <v>2.3640927999999839E-2</v>
      </c>
      <c r="Q137" s="16">
        <f t="shared" si="49"/>
        <v>1.2294733338533863E-2</v>
      </c>
      <c r="R137" s="14">
        <f t="shared" ca="1" si="50"/>
        <v>7.1007345014577261</v>
      </c>
      <c r="S137" s="14">
        <f t="shared" si="51"/>
        <v>7.0918016129032253</v>
      </c>
      <c r="T137" s="14">
        <f t="shared" ca="1" si="52"/>
        <v>8.9328885545008063E-3</v>
      </c>
      <c r="U137" s="16">
        <f t="shared" ca="1" si="53"/>
        <v>1.2596077896832032E-3</v>
      </c>
      <c r="V137" s="14">
        <f t="shared" si="54"/>
        <v>1.125</v>
      </c>
      <c r="W137" s="14">
        <f t="shared" ca="1" si="55"/>
        <v>0.89926549854227389</v>
      </c>
      <c r="X137" s="14">
        <f t="shared" ca="1" si="56"/>
        <v>0.22573450145772611</v>
      </c>
      <c r="Y137" s="28">
        <f t="shared" ca="1" si="57"/>
        <v>0.20065289018464544</v>
      </c>
      <c r="Z137" s="29">
        <f t="shared" ca="1" si="58"/>
        <v>30.791186</v>
      </c>
      <c r="AA137" s="16">
        <f t="shared" ca="1" si="59"/>
        <v>8.0860119402985084E-2</v>
      </c>
      <c r="AB137" s="2"/>
    </row>
    <row r="138" spans="6:28" x14ac:dyDescent="0.25">
      <c r="F138" s="13">
        <v>136</v>
      </c>
      <c r="G138" s="13">
        <f t="shared" si="40"/>
        <v>33.6</v>
      </c>
      <c r="H138" s="13">
        <f t="shared" si="41"/>
        <v>306.75</v>
      </c>
      <c r="I138" s="14">
        <f t="shared" si="42"/>
        <v>1.1333329999999999</v>
      </c>
      <c r="J138" s="14">
        <f t="shared" si="43"/>
        <v>6925.8061559999996</v>
      </c>
      <c r="K138" s="14">
        <f t="shared" si="44"/>
        <v>5.9458061559999997</v>
      </c>
      <c r="L138" s="14">
        <f t="shared" si="45"/>
        <v>1944.2311319999999</v>
      </c>
      <c r="M138" s="14">
        <v>1941.23</v>
      </c>
      <c r="N138" s="13">
        <f t="shared" si="46"/>
        <v>1.9442311320000001</v>
      </c>
      <c r="O138" s="13">
        <f t="shared" si="47"/>
        <v>1.92056</v>
      </c>
      <c r="P138" s="13">
        <f t="shared" si="48"/>
        <v>2.3671132000000039E-2</v>
      </c>
      <c r="Q138" s="16">
        <f t="shared" si="49"/>
        <v>1.2325119756737639E-2</v>
      </c>
      <c r="R138" s="14">
        <f t="shared" ca="1" si="50"/>
        <v>7.0920953644314872</v>
      </c>
      <c r="S138" s="14">
        <f t="shared" si="51"/>
        <v>7.0833556989247306</v>
      </c>
      <c r="T138" s="14">
        <f t="shared" ca="1" si="52"/>
        <v>8.7396655067566442E-3</v>
      </c>
      <c r="U138" s="16">
        <f t="shared" ca="1" si="53"/>
        <v>1.233831234549374E-3</v>
      </c>
      <c r="V138" s="14">
        <f t="shared" si="54"/>
        <v>1.1333333333333337</v>
      </c>
      <c r="W138" s="14">
        <f t="shared" ca="1" si="55"/>
        <v>0.90790463556851275</v>
      </c>
      <c r="X138" s="14">
        <f t="shared" ca="1" si="56"/>
        <v>0.225428697764821</v>
      </c>
      <c r="Y138" s="28">
        <f t="shared" ca="1" si="57"/>
        <v>0.19890767449837141</v>
      </c>
      <c r="Z138" s="29">
        <f t="shared" ca="1" si="58"/>
        <v>30.894856000000001</v>
      </c>
      <c r="AA138" s="16">
        <f t="shared" ca="1" si="59"/>
        <v>8.0510238095238107E-2</v>
      </c>
      <c r="AB138" s="2"/>
    </row>
    <row r="139" spans="6:28" x14ac:dyDescent="0.25">
      <c r="F139" s="13">
        <v>137</v>
      </c>
      <c r="G139" s="13">
        <f t="shared" si="40"/>
        <v>33.700000000000003</v>
      </c>
      <c r="H139" s="13">
        <f t="shared" si="41"/>
        <v>306.84999999999997</v>
      </c>
      <c r="I139" s="14">
        <f t="shared" si="42"/>
        <v>1.141667</v>
      </c>
      <c r="J139" s="14">
        <f t="shared" si="43"/>
        <v>6897.0147919999999</v>
      </c>
      <c r="K139" s="14">
        <f t="shared" si="44"/>
        <v>5.9170147919999998</v>
      </c>
      <c r="L139" s="14">
        <f t="shared" si="45"/>
        <v>1941.968515</v>
      </c>
      <c r="M139" s="14">
        <v>1938.69</v>
      </c>
      <c r="N139" s="13">
        <f t="shared" si="46"/>
        <v>1.9419685150000001</v>
      </c>
      <c r="O139" s="13">
        <f t="shared" si="47"/>
        <v>1.9182699999999999</v>
      </c>
      <c r="P139" s="13">
        <f t="shared" si="48"/>
        <v>2.3698515000000198E-2</v>
      </c>
      <c r="Q139" s="16">
        <f t="shared" si="49"/>
        <v>1.2354108128678548E-2</v>
      </c>
      <c r="R139" s="14">
        <f t="shared" ca="1" si="50"/>
        <v>7.0830608629737615</v>
      </c>
      <c r="S139" s="14">
        <f t="shared" si="51"/>
        <v>7.0749097849462359</v>
      </c>
      <c r="T139" s="14">
        <f t="shared" ca="1" si="52"/>
        <v>8.1510780275255712E-3</v>
      </c>
      <c r="U139" s="16">
        <f t="shared" ca="1" si="53"/>
        <v>1.1521105251220548E-3</v>
      </c>
      <c r="V139" s="14">
        <f t="shared" si="54"/>
        <v>1.1416666666666666</v>
      </c>
      <c r="W139" s="14">
        <f t="shared" ca="1" si="55"/>
        <v>0.91693913702623853</v>
      </c>
      <c r="X139" s="14">
        <f t="shared" ca="1" si="56"/>
        <v>0.22472752964042808</v>
      </c>
      <c r="Y139" s="28">
        <f t="shared" ca="1" si="57"/>
        <v>0.19684163180183484</v>
      </c>
      <c r="Z139" s="29">
        <f t="shared" ca="1" si="58"/>
        <v>31.003270000000001</v>
      </c>
      <c r="AA139" s="16">
        <f t="shared" ca="1" si="59"/>
        <v>8.002166172106831E-2</v>
      </c>
      <c r="AB139" s="2"/>
    </row>
    <row r="140" spans="6:28" x14ac:dyDescent="0.25">
      <c r="F140" s="13">
        <v>138</v>
      </c>
      <c r="G140" s="13">
        <f t="shared" si="40"/>
        <v>33.799999999999997</v>
      </c>
      <c r="H140" s="13">
        <f t="shared" si="41"/>
        <v>306.95</v>
      </c>
      <c r="I140" s="14">
        <f t="shared" si="42"/>
        <v>1.1499999999999999</v>
      </c>
      <c r="J140" s="14">
        <f t="shared" si="43"/>
        <v>6868.3594080000003</v>
      </c>
      <c r="K140" s="14">
        <f t="shared" si="44"/>
        <v>5.8883594080000004</v>
      </c>
      <c r="L140" s="14">
        <f t="shared" si="45"/>
        <v>1939.7030930000001</v>
      </c>
      <c r="M140" s="14">
        <v>1936.61</v>
      </c>
      <c r="N140" s="13">
        <f t="shared" si="46"/>
        <v>1.9397030930000001</v>
      </c>
      <c r="O140" s="13">
        <f t="shared" si="47"/>
        <v>1.91598</v>
      </c>
      <c r="P140" s="13">
        <f t="shared" si="48"/>
        <v>2.3723093000000084E-2</v>
      </c>
      <c r="Q140" s="16">
        <f t="shared" si="49"/>
        <v>1.2381701792294326E-2</v>
      </c>
      <c r="R140" s="14">
        <f t="shared" ca="1" si="50"/>
        <v>7.0751832274052484</v>
      </c>
      <c r="S140" s="14">
        <f t="shared" si="51"/>
        <v>7.0664638709677421</v>
      </c>
      <c r="T140" s="14">
        <f t="shared" ca="1" si="52"/>
        <v>8.7193564375063204E-3</v>
      </c>
      <c r="U140" s="16">
        <f t="shared" ca="1" si="53"/>
        <v>1.233906604027145E-3</v>
      </c>
      <c r="V140" s="14">
        <f t="shared" si="54"/>
        <v>1.1499999999999995</v>
      </c>
      <c r="W140" s="14">
        <f t="shared" ca="1" si="55"/>
        <v>0.92481677259475159</v>
      </c>
      <c r="X140" s="14">
        <f t="shared" ca="1" si="56"/>
        <v>0.22518322740524788</v>
      </c>
      <c r="Y140" s="28">
        <f t="shared" ca="1" si="57"/>
        <v>0.19581150209151998</v>
      </c>
      <c r="Z140" s="29">
        <f t="shared" ca="1" si="58"/>
        <v>31.097801</v>
      </c>
      <c r="AA140" s="16">
        <f t="shared" ca="1" si="59"/>
        <v>7.9946715976331267E-2</v>
      </c>
      <c r="AB140" s="2"/>
    </row>
    <row r="141" spans="6:28" x14ac:dyDescent="0.25">
      <c r="F141" s="13">
        <v>139</v>
      </c>
      <c r="G141" s="13">
        <f t="shared" si="40"/>
        <v>33.9</v>
      </c>
      <c r="H141" s="13">
        <f t="shared" si="41"/>
        <v>307.04999999999995</v>
      </c>
      <c r="I141" s="14">
        <f t="shared" si="42"/>
        <v>1.1583330000000001</v>
      </c>
      <c r="J141" s="14">
        <f t="shared" si="43"/>
        <v>6839.8392910000002</v>
      </c>
      <c r="K141" s="14">
        <f t="shared" si="44"/>
        <v>5.8598392910000001</v>
      </c>
      <c r="L141" s="14">
        <f t="shared" si="45"/>
        <v>1937.43488</v>
      </c>
      <c r="M141" s="14">
        <v>1934.06</v>
      </c>
      <c r="N141" s="13">
        <f t="shared" si="46"/>
        <v>1.9374348799999999</v>
      </c>
      <c r="O141" s="13">
        <f t="shared" si="47"/>
        <v>1.9136899999999999</v>
      </c>
      <c r="P141" s="13">
        <f t="shared" si="48"/>
        <v>2.3744879999999968E-2</v>
      </c>
      <c r="Q141" s="16">
        <f t="shared" si="49"/>
        <v>1.2407903056398878E-2</v>
      </c>
      <c r="R141" s="14">
        <f t="shared" ca="1" si="50"/>
        <v>7.0661384985422737</v>
      </c>
      <c r="S141" s="14">
        <f t="shared" si="51"/>
        <v>7.0580179569892465</v>
      </c>
      <c r="T141" s="14">
        <f t="shared" ca="1" si="52"/>
        <v>8.1205415530272163E-3</v>
      </c>
      <c r="U141" s="16">
        <f t="shared" ca="1" si="53"/>
        <v>1.1505413563004327E-3</v>
      </c>
      <c r="V141" s="14">
        <f t="shared" si="54"/>
        <v>1.1583333333333341</v>
      </c>
      <c r="W141" s="14">
        <f t="shared" ca="1" si="55"/>
        <v>0.93386150145772628</v>
      </c>
      <c r="X141" s="14">
        <f t="shared" ca="1" si="56"/>
        <v>0.22447183187560782</v>
      </c>
      <c r="Y141" s="28">
        <f t="shared" ca="1" si="57"/>
        <v>0.19378863183505698</v>
      </c>
      <c r="Z141" s="29">
        <f t="shared" ca="1" si="58"/>
        <v>31.206337999999999</v>
      </c>
      <c r="AA141" s="16">
        <f t="shared" ca="1" si="59"/>
        <v>7.9459056047197635E-2</v>
      </c>
      <c r="AB141" s="2"/>
    </row>
    <row r="142" spans="6:28" x14ac:dyDescent="0.25">
      <c r="F142" s="13">
        <v>140</v>
      </c>
      <c r="G142" s="13">
        <f t="shared" si="40"/>
        <v>34</v>
      </c>
      <c r="H142" s="13">
        <f t="shared" si="41"/>
        <v>307.14999999999998</v>
      </c>
      <c r="I142" s="14">
        <f t="shared" si="42"/>
        <v>1.1666669999999999</v>
      </c>
      <c r="J142" s="14">
        <f t="shared" si="43"/>
        <v>6811.4537300000002</v>
      </c>
      <c r="K142" s="14">
        <f t="shared" si="44"/>
        <v>5.8314537300000007</v>
      </c>
      <c r="L142" s="14">
        <f t="shared" si="45"/>
        <v>1935.1638889999999</v>
      </c>
      <c r="M142" s="14">
        <v>1931.96</v>
      </c>
      <c r="N142" s="13">
        <f t="shared" si="46"/>
        <v>1.935163889</v>
      </c>
      <c r="O142" s="13">
        <f t="shared" si="47"/>
        <v>1.9114</v>
      </c>
      <c r="P142" s="13">
        <f t="shared" si="48"/>
        <v>2.3763889000000038E-2</v>
      </c>
      <c r="Q142" s="16">
        <f t="shared" si="49"/>
        <v>1.2432713717693857E-2</v>
      </c>
      <c r="R142" s="14">
        <f t="shared" ca="1" si="50"/>
        <v>7.0578554985422741</v>
      </c>
      <c r="S142" s="14">
        <f t="shared" si="51"/>
        <v>7.0495720430107527</v>
      </c>
      <c r="T142" s="14">
        <f t="shared" ca="1" si="52"/>
        <v>8.2834555315214331E-3</v>
      </c>
      <c r="U142" s="16">
        <f t="shared" ca="1" si="53"/>
        <v>1.175029559380701E-3</v>
      </c>
      <c r="V142" s="14">
        <f t="shared" si="54"/>
        <v>1.1666666666666661</v>
      </c>
      <c r="W142" s="14">
        <f t="shared" ca="1" si="55"/>
        <v>0.94214450145772588</v>
      </c>
      <c r="X142" s="14">
        <f t="shared" ca="1" si="56"/>
        <v>0.22452216520894019</v>
      </c>
      <c r="Y142" s="28">
        <f t="shared" ca="1" si="57"/>
        <v>0.1924475701790917</v>
      </c>
      <c r="Z142" s="29">
        <f t="shared" ca="1" si="58"/>
        <v>31.305734000000001</v>
      </c>
      <c r="AA142" s="16">
        <f t="shared" ca="1" si="59"/>
        <v>7.9243117647058797E-2</v>
      </c>
      <c r="AB142" s="2"/>
    </row>
    <row r="143" spans="6:28" x14ac:dyDescent="0.25">
      <c r="F143" s="13">
        <v>141</v>
      </c>
      <c r="G143" s="13">
        <f t="shared" si="40"/>
        <v>34.1</v>
      </c>
      <c r="H143" s="13">
        <f t="shared" si="41"/>
        <v>307.25</v>
      </c>
      <c r="I143" s="14">
        <f t="shared" si="42"/>
        <v>1.175</v>
      </c>
      <c r="J143" s="14">
        <f t="shared" si="43"/>
        <v>6783.2020190000003</v>
      </c>
      <c r="K143" s="14">
        <f t="shared" si="44"/>
        <v>5.8032020190000004</v>
      </c>
      <c r="L143" s="14">
        <f t="shared" si="45"/>
        <v>1932.8901370000001</v>
      </c>
      <c r="M143" s="14">
        <v>1929.86</v>
      </c>
      <c r="N143" s="13">
        <f t="shared" si="46"/>
        <v>1.932890137</v>
      </c>
      <c r="O143" s="13">
        <f t="shared" si="47"/>
        <v>1.9091099999999999</v>
      </c>
      <c r="P143" s="13">
        <f t="shared" si="48"/>
        <v>2.3780137000000146E-2</v>
      </c>
      <c r="Q143" s="16">
        <f t="shared" si="49"/>
        <v>1.2456137676718548E-2</v>
      </c>
      <c r="R143" s="14">
        <f t="shared" ca="1" si="50"/>
        <v>7.0507391370262384</v>
      </c>
      <c r="S143" s="14">
        <f t="shared" si="51"/>
        <v>7.0411261290322571</v>
      </c>
      <c r="T143" s="14">
        <f t="shared" ca="1" si="52"/>
        <v>9.6130079939813484E-3</v>
      </c>
      <c r="U143" s="16">
        <f t="shared" ca="1" si="53"/>
        <v>1.365265700090871E-3</v>
      </c>
      <c r="V143" s="14">
        <f t="shared" si="54"/>
        <v>1.1750000000000007</v>
      </c>
      <c r="W143" s="14">
        <f t="shared" ca="1" si="55"/>
        <v>0.94926086297376155</v>
      </c>
      <c r="X143" s="14">
        <f t="shared" ca="1" si="56"/>
        <v>0.22573913702623916</v>
      </c>
      <c r="Y143" s="28">
        <f t="shared" ca="1" si="57"/>
        <v>0.1921184144904162</v>
      </c>
      <c r="Z143" s="29">
        <f t="shared" ca="1" si="58"/>
        <v>31.39113</v>
      </c>
      <c r="AA143" s="16">
        <f t="shared" ca="1" si="59"/>
        <v>7.943900293255135E-2</v>
      </c>
      <c r="AB143" s="2"/>
    </row>
    <row r="144" spans="6:28" x14ac:dyDescent="0.25">
      <c r="F144" s="13">
        <v>142</v>
      </c>
      <c r="G144" s="13">
        <f t="shared" si="40"/>
        <v>34.200000000000003</v>
      </c>
      <c r="H144" s="13">
        <f t="shared" si="41"/>
        <v>307.34999999999997</v>
      </c>
      <c r="I144" s="14">
        <f t="shared" si="42"/>
        <v>1.183333</v>
      </c>
      <c r="J144" s="14">
        <f t="shared" si="43"/>
        <v>6755.0834580000001</v>
      </c>
      <c r="K144" s="14">
        <f t="shared" si="44"/>
        <v>5.7750834580000001</v>
      </c>
      <c r="L144" s="14">
        <f t="shared" si="45"/>
        <v>1930.6136369999999</v>
      </c>
      <c r="M144" s="14">
        <v>1927.29</v>
      </c>
      <c r="N144" s="13">
        <f t="shared" si="46"/>
        <v>1.9306136370000002</v>
      </c>
      <c r="O144" s="13">
        <f t="shared" si="47"/>
        <v>1.9068199999999997</v>
      </c>
      <c r="P144" s="13">
        <f t="shared" si="48"/>
        <v>2.3793637000000478E-2</v>
      </c>
      <c r="Q144" s="16">
        <f t="shared" si="49"/>
        <v>1.2478176755016458E-2</v>
      </c>
      <c r="R144" s="14">
        <f t="shared" ca="1" si="50"/>
        <v>7.0424351370262386</v>
      </c>
      <c r="S144" s="14">
        <f t="shared" si="51"/>
        <v>7.0326802150537624</v>
      </c>
      <c r="T144" s="14">
        <f t="shared" ca="1" si="52"/>
        <v>9.7549219724761826E-3</v>
      </c>
      <c r="U144" s="16">
        <f t="shared" ca="1" si="53"/>
        <v>1.387084535934869E-3</v>
      </c>
      <c r="V144" s="14">
        <f t="shared" si="54"/>
        <v>1.1833333333333336</v>
      </c>
      <c r="W144" s="14">
        <f t="shared" ca="1" si="55"/>
        <v>0.95756486297376142</v>
      </c>
      <c r="X144" s="14">
        <f t="shared" ca="1" si="56"/>
        <v>0.22576847035957215</v>
      </c>
      <c r="Y144" s="28">
        <f t="shared" ca="1" si="57"/>
        <v>0.19079025664189192</v>
      </c>
      <c r="Z144" s="29">
        <f t="shared" ca="1" si="58"/>
        <v>31.490777999999999</v>
      </c>
      <c r="AA144" s="16">
        <f t="shared" ca="1" si="59"/>
        <v>7.9217017543859763E-2</v>
      </c>
      <c r="AB144" s="2"/>
    </row>
    <row r="145" spans="6:28" x14ac:dyDescent="0.25">
      <c r="F145" s="13">
        <v>143</v>
      </c>
      <c r="G145" s="13">
        <f t="shared" si="40"/>
        <v>34.299999999999997</v>
      </c>
      <c r="H145" s="13">
        <f t="shared" si="41"/>
        <v>307.45</v>
      </c>
      <c r="I145" s="14">
        <f t="shared" si="42"/>
        <v>1.191667</v>
      </c>
      <c r="J145" s="14">
        <f t="shared" si="43"/>
        <v>6727.0973480000002</v>
      </c>
      <c r="K145" s="14">
        <f t="shared" si="44"/>
        <v>5.7470973480000005</v>
      </c>
      <c r="L145" s="14">
        <f t="shared" si="45"/>
        <v>1928.3344050000001</v>
      </c>
      <c r="M145" s="14">
        <v>1924.71</v>
      </c>
      <c r="N145" s="13">
        <f t="shared" si="46"/>
        <v>1.9283344050000002</v>
      </c>
      <c r="O145" s="13">
        <f t="shared" si="47"/>
        <v>1.9045300000000001</v>
      </c>
      <c r="P145" s="13">
        <f t="shared" si="48"/>
        <v>2.3804405000000139E-2</v>
      </c>
      <c r="Q145" s="16">
        <f t="shared" si="49"/>
        <v>1.2498834358083169E-2</v>
      </c>
      <c r="R145" s="14">
        <f t="shared" ca="1" si="50"/>
        <v>7.034111364431487</v>
      </c>
      <c r="S145" s="14">
        <f t="shared" si="51"/>
        <v>7.0242343010752686</v>
      </c>
      <c r="T145" s="14">
        <f t="shared" ca="1" si="52"/>
        <v>9.8770633562184074E-3</v>
      </c>
      <c r="U145" s="16">
        <f t="shared" ca="1" si="53"/>
        <v>1.4061409305077463E-3</v>
      </c>
      <c r="V145" s="14">
        <f t="shared" si="54"/>
        <v>1.1916666666666664</v>
      </c>
      <c r="W145" s="14">
        <f t="shared" ca="1" si="55"/>
        <v>0.96588863556851301</v>
      </c>
      <c r="X145" s="14">
        <f t="shared" ca="1" si="56"/>
        <v>0.22577803109815342</v>
      </c>
      <c r="Y145" s="28">
        <f t="shared" ca="1" si="57"/>
        <v>0.18946408204040852</v>
      </c>
      <c r="Z145" s="29">
        <f t="shared" ca="1" si="58"/>
        <v>31.590664</v>
      </c>
      <c r="AA145" s="16">
        <f t="shared" ca="1" si="59"/>
        <v>7.8989387755101961E-2</v>
      </c>
      <c r="AB145" s="2"/>
    </row>
    <row r="146" spans="6:28" x14ac:dyDescent="0.25">
      <c r="F146" s="13">
        <v>144</v>
      </c>
      <c r="G146" s="13">
        <f t="shared" si="40"/>
        <v>34.4</v>
      </c>
      <c r="H146" s="13">
        <f t="shared" si="41"/>
        <v>307.54999999999995</v>
      </c>
      <c r="I146" s="14">
        <f t="shared" si="42"/>
        <v>1.2</v>
      </c>
      <c r="J146" s="14">
        <f t="shared" si="43"/>
        <v>6699.2429949999996</v>
      </c>
      <c r="K146" s="14">
        <f t="shared" si="44"/>
        <v>5.7192429950000001</v>
      </c>
      <c r="L146" s="14">
        <f t="shared" si="45"/>
        <v>1926.0524539999999</v>
      </c>
      <c r="M146" s="14">
        <v>1922.59</v>
      </c>
      <c r="N146" s="13">
        <f t="shared" si="46"/>
        <v>1.9260524539999999</v>
      </c>
      <c r="O146" s="13">
        <f t="shared" si="47"/>
        <v>1.9022399999999999</v>
      </c>
      <c r="P146" s="13">
        <f t="shared" si="48"/>
        <v>2.3812453999999983E-2</v>
      </c>
      <c r="Q146" s="16">
        <f t="shared" si="49"/>
        <v>1.2518112330725872E-2</v>
      </c>
      <c r="R146" s="14">
        <f t="shared" ca="1" si="50"/>
        <v>7.0254127725947511</v>
      </c>
      <c r="S146" s="14">
        <f t="shared" si="51"/>
        <v>7.0157883870967739</v>
      </c>
      <c r="T146" s="14">
        <f t="shared" ca="1" si="52"/>
        <v>9.6243854979771726E-3</v>
      </c>
      <c r="U146" s="16">
        <f t="shared" ca="1" si="53"/>
        <v>1.371818100397391E-3</v>
      </c>
      <c r="V146" s="14">
        <f t="shared" si="54"/>
        <v>1.2000000000000002</v>
      </c>
      <c r="W146" s="14">
        <f t="shared" ca="1" si="55"/>
        <v>0.97458722740524895</v>
      </c>
      <c r="X146" s="14">
        <f t="shared" ca="1" si="56"/>
        <v>0.22541277259475123</v>
      </c>
      <c r="Y146" s="28">
        <f t="shared" ca="1" si="57"/>
        <v>0.18784397716229267</v>
      </c>
      <c r="Z146" s="29">
        <f t="shared" ca="1" si="58"/>
        <v>31.695046999999999</v>
      </c>
      <c r="AA146" s="16">
        <f t="shared" ca="1" si="59"/>
        <v>7.8632354651162792E-2</v>
      </c>
      <c r="AB146" s="2"/>
    </row>
    <row r="147" spans="6:28" x14ac:dyDescent="0.25">
      <c r="F147" s="13">
        <v>145</v>
      </c>
      <c r="G147" s="13">
        <f t="shared" si="40"/>
        <v>34.5</v>
      </c>
      <c r="H147" s="13">
        <f t="shared" si="41"/>
        <v>307.64999999999998</v>
      </c>
      <c r="I147" s="14">
        <f t="shared" si="42"/>
        <v>1.2083330000000001</v>
      </c>
      <c r="J147" s="14">
        <f t="shared" si="43"/>
        <v>6671.5197099999996</v>
      </c>
      <c r="K147" s="14">
        <f t="shared" si="44"/>
        <v>5.6915197099999997</v>
      </c>
      <c r="L147" s="14">
        <f t="shared" si="45"/>
        <v>1923.767801</v>
      </c>
      <c r="M147" s="14">
        <v>1920.46</v>
      </c>
      <c r="N147" s="13">
        <f t="shared" si="46"/>
        <v>1.9237678009999999</v>
      </c>
      <c r="O147" s="13">
        <f t="shared" si="47"/>
        <v>1.89995</v>
      </c>
      <c r="P147" s="13">
        <f t="shared" si="48"/>
        <v>2.3817800999999861E-2</v>
      </c>
      <c r="Q147" s="16">
        <f t="shared" si="49"/>
        <v>1.2536014631963925E-2</v>
      </c>
      <c r="R147" s="14">
        <f t="shared" ca="1" si="50"/>
        <v>7.0170690000000002</v>
      </c>
      <c r="S147" s="14">
        <f t="shared" si="51"/>
        <v>7.0073424731182792</v>
      </c>
      <c r="T147" s="14">
        <f t="shared" ca="1" si="52"/>
        <v>9.7265268817210426E-3</v>
      </c>
      <c r="U147" s="16">
        <f t="shared" ca="1" si="53"/>
        <v>1.3880478824938496E-3</v>
      </c>
      <c r="V147" s="14">
        <f t="shared" si="54"/>
        <v>1.208333333333333</v>
      </c>
      <c r="W147" s="14">
        <f t="shared" ca="1" si="55"/>
        <v>0.98293099999999978</v>
      </c>
      <c r="X147" s="14">
        <f t="shared" ca="1" si="56"/>
        <v>0.22540233333333326</v>
      </c>
      <c r="Y147" s="28">
        <f t="shared" ca="1" si="57"/>
        <v>0.1865398620689655</v>
      </c>
      <c r="Z147" s="29">
        <f t="shared" ca="1" si="58"/>
        <v>31.795172000000001</v>
      </c>
      <c r="AA147" s="16">
        <f t="shared" ca="1" si="59"/>
        <v>7.8400811594202868E-2</v>
      </c>
      <c r="AB147" s="2"/>
    </row>
    <row r="148" spans="6:28" x14ac:dyDescent="0.25">
      <c r="F148" s="13">
        <v>146</v>
      </c>
      <c r="G148" s="13">
        <f t="shared" si="40"/>
        <v>34.6</v>
      </c>
      <c r="H148" s="13">
        <f t="shared" si="41"/>
        <v>307.75</v>
      </c>
      <c r="I148" s="14">
        <f t="shared" si="42"/>
        <v>1.2166669999999999</v>
      </c>
      <c r="J148" s="14">
        <f t="shared" si="43"/>
        <v>6643.9268069999998</v>
      </c>
      <c r="K148" s="14">
        <f t="shared" si="44"/>
        <v>5.6639268070000002</v>
      </c>
      <c r="L148" s="14">
        <f t="shared" si="45"/>
        <v>1921.4804590000001</v>
      </c>
      <c r="M148" s="14">
        <v>1918.31</v>
      </c>
      <c r="N148" s="13">
        <f t="shared" si="46"/>
        <v>1.9214804590000001</v>
      </c>
      <c r="O148" s="13">
        <f t="shared" si="47"/>
        <v>1.8976599999999999</v>
      </c>
      <c r="P148" s="13">
        <f t="shared" si="48"/>
        <v>2.3820459000000183E-2</v>
      </c>
      <c r="Q148" s="16">
        <f t="shared" si="49"/>
        <v>1.2552543132068012E-2</v>
      </c>
      <c r="R148" s="14">
        <f t="shared" ca="1" si="50"/>
        <v>7.0083396355685128</v>
      </c>
      <c r="S148" s="14">
        <f t="shared" si="51"/>
        <v>6.9988965591397845</v>
      </c>
      <c r="T148" s="14">
        <f t="shared" ca="1" si="52"/>
        <v>9.4430764287283253E-3</v>
      </c>
      <c r="U148" s="16">
        <f t="shared" ca="1" si="53"/>
        <v>1.3492236024544059E-3</v>
      </c>
      <c r="V148" s="14">
        <f t="shared" si="54"/>
        <v>1.2166666666666668</v>
      </c>
      <c r="W148" s="14">
        <f t="shared" ca="1" si="55"/>
        <v>0.9916603644314872</v>
      </c>
      <c r="X148" s="14">
        <f t="shared" ca="1" si="56"/>
        <v>0.22500630223517959</v>
      </c>
      <c r="Y148" s="28">
        <f t="shared" ca="1" si="57"/>
        <v>0.18493668676864075</v>
      </c>
      <c r="Z148" s="29">
        <f t="shared" ca="1" si="58"/>
        <v>31.899923999999999</v>
      </c>
      <c r="AA148" s="16">
        <f t="shared" ca="1" si="59"/>
        <v>7.803687861271684E-2</v>
      </c>
      <c r="AB148" s="2"/>
    </row>
    <row r="149" spans="6:28" x14ac:dyDescent="0.25">
      <c r="F149" s="13">
        <v>147</v>
      </c>
      <c r="G149" s="13">
        <f t="shared" si="40"/>
        <v>34.700000000000003</v>
      </c>
      <c r="H149" s="13">
        <f t="shared" si="41"/>
        <v>307.84999999999997</v>
      </c>
      <c r="I149" s="14">
        <f t="shared" si="42"/>
        <v>1.2250000000000001</v>
      </c>
      <c r="J149" s="14">
        <f t="shared" si="43"/>
        <v>6616.4636030000001</v>
      </c>
      <c r="K149" s="14">
        <f t="shared" si="44"/>
        <v>5.6364636030000002</v>
      </c>
      <c r="L149" s="14">
        <f t="shared" si="45"/>
        <v>1919.1904440000001</v>
      </c>
      <c r="M149" s="14">
        <v>1915.94</v>
      </c>
      <c r="N149" s="13">
        <f t="shared" si="46"/>
        <v>1.9191904440000001</v>
      </c>
      <c r="O149" s="13">
        <f t="shared" si="47"/>
        <v>1.8953699999999998</v>
      </c>
      <c r="P149" s="13">
        <f t="shared" si="48"/>
        <v>2.3820444000000274E-2</v>
      </c>
      <c r="Q149" s="16">
        <f t="shared" si="49"/>
        <v>1.2567701293151351E-2</v>
      </c>
      <c r="R149" s="14">
        <f t="shared" ca="1" si="50"/>
        <v>7.0007573644314869</v>
      </c>
      <c r="S149" s="14">
        <f t="shared" si="51"/>
        <v>6.9904506451612889</v>
      </c>
      <c r="T149" s="14">
        <f t="shared" ca="1" si="52"/>
        <v>1.0306719270197995E-2</v>
      </c>
      <c r="U149" s="16">
        <f t="shared" ca="1" si="53"/>
        <v>1.4743998339123085E-3</v>
      </c>
      <c r="V149" s="14">
        <f t="shared" si="54"/>
        <v>1.2250000000000014</v>
      </c>
      <c r="W149" s="14">
        <f t="shared" ca="1" si="55"/>
        <v>0.99924263556851312</v>
      </c>
      <c r="X149" s="14">
        <f t="shared" ca="1" si="56"/>
        <v>0.22575736443148831</v>
      </c>
      <c r="Y149" s="28">
        <f t="shared" ca="1" si="57"/>
        <v>0.18429172606652086</v>
      </c>
      <c r="Z149" s="29">
        <f t="shared" ca="1" si="58"/>
        <v>31.990912000000002</v>
      </c>
      <c r="AA149" s="16">
        <f t="shared" ca="1" si="59"/>
        <v>7.807170028818447E-2</v>
      </c>
      <c r="AB149" s="2"/>
    </row>
    <row r="150" spans="6:28" x14ac:dyDescent="0.25">
      <c r="F150" s="13">
        <v>148</v>
      </c>
      <c r="G150" s="13">
        <f t="shared" si="40"/>
        <v>34.799999999999997</v>
      </c>
      <c r="H150" s="13">
        <f t="shared" si="41"/>
        <v>307.95</v>
      </c>
      <c r="I150" s="14">
        <f t="shared" si="42"/>
        <v>1.233333</v>
      </c>
      <c r="J150" s="14">
        <f t="shared" si="43"/>
        <v>6589.129422</v>
      </c>
      <c r="K150" s="14">
        <f t="shared" si="44"/>
        <v>5.6091294220000005</v>
      </c>
      <c r="L150" s="14">
        <f t="shared" si="45"/>
        <v>1916.8977709999999</v>
      </c>
      <c r="M150" s="14">
        <v>1913.1</v>
      </c>
      <c r="N150" s="13">
        <f t="shared" si="46"/>
        <v>1.9168977709999999</v>
      </c>
      <c r="O150" s="13">
        <f t="shared" si="47"/>
        <v>1.8930799999999999</v>
      </c>
      <c r="P150" s="13">
        <f t="shared" si="48"/>
        <v>2.3817771000000043E-2</v>
      </c>
      <c r="Q150" s="16">
        <f t="shared" si="49"/>
        <v>1.2581492065839819E-2</v>
      </c>
      <c r="R150" s="14">
        <f t="shared" ca="1" si="50"/>
        <v>6.9923953644314869</v>
      </c>
      <c r="S150" s="14">
        <f t="shared" si="51"/>
        <v>6.9820047311827951</v>
      </c>
      <c r="T150" s="14">
        <f t="shared" ca="1" si="52"/>
        <v>1.0390633248691827E-2</v>
      </c>
      <c r="U150" s="16">
        <f t="shared" ca="1" si="53"/>
        <v>1.488201977619054E-3</v>
      </c>
      <c r="V150" s="14">
        <f t="shared" si="54"/>
        <v>1.2333333333333334</v>
      </c>
      <c r="W150" s="14">
        <f t="shared" ca="1" si="55"/>
        <v>1.0076046355685131</v>
      </c>
      <c r="X150" s="14">
        <f t="shared" ca="1" si="56"/>
        <v>0.2257286977648203</v>
      </c>
      <c r="Y150" s="28">
        <f t="shared" ca="1" si="57"/>
        <v>0.18302326845796241</v>
      </c>
      <c r="Z150" s="29">
        <f t="shared" ca="1" si="58"/>
        <v>32.091256000000001</v>
      </c>
      <c r="AA150" s="16">
        <f t="shared" ca="1" si="59"/>
        <v>7.78374712643677E-2</v>
      </c>
      <c r="AB150" s="2"/>
    </row>
    <row r="151" spans="6:28" x14ac:dyDescent="0.25">
      <c r="F151" s="13">
        <v>149</v>
      </c>
      <c r="G151" s="13">
        <f t="shared" si="40"/>
        <v>34.9</v>
      </c>
      <c r="H151" s="13">
        <f t="shared" si="41"/>
        <v>308.04999999999995</v>
      </c>
      <c r="I151" s="14">
        <f t="shared" si="42"/>
        <v>1.2416670000000001</v>
      </c>
      <c r="J151" s="14">
        <f t="shared" si="43"/>
        <v>6561.9235900000003</v>
      </c>
      <c r="K151" s="14">
        <f t="shared" si="44"/>
        <v>5.5819235900000006</v>
      </c>
      <c r="L151" s="14">
        <f t="shared" si="45"/>
        <v>1914.602455</v>
      </c>
      <c r="M151" s="14">
        <v>1911.17</v>
      </c>
      <c r="N151" s="13">
        <f t="shared" si="46"/>
        <v>1.9146024549999998</v>
      </c>
      <c r="O151" s="13">
        <f t="shared" si="47"/>
        <v>1.89079</v>
      </c>
      <c r="P151" s="13">
        <f t="shared" si="48"/>
        <v>2.3812454999999844E-2</v>
      </c>
      <c r="Q151" s="16">
        <f t="shared" si="49"/>
        <v>1.2593918415053942E-2</v>
      </c>
      <c r="R151" s="14">
        <f t="shared" ca="1" si="50"/>
        <v>6.9836369999999999</v>
      </c>
      <c r="S151" s="14">
        <f t="shared" si="51"/>
        <v>6.9735588172043004</v>
      </c>
      <c r="T151" s="14">
        <f t="shared" ca="1" si="52"/>
        <v>1.0078182795699497E-2</v>
      </c>
      <c r="U151" s="16">
        <f t="shared" ca="1" si="53"/>
        <v>1.4451993680523426E-3</v>
      </c>
      <c r="V151" s="14">
        <f t="shared" si="54"/>
        <v>1.2416666666666671</v>
      </c>
      <c r="W151" s="14">
        <f t="shared" ca="1" si="55"/>
        <v>1.0163630000000001</v>
      </c>
      <c r="X151" s="14">
        <f t="shared" ca="1" si="56"/>
        <v>0.22530366666666701</v>
      </c>
      <c r="Y151" s="28">
        <f t="shared" ca="1" si="57"/>
        <v>0.18145261744966465</v>
      </c>
      <c r="Z151" s="29">
        <f t="shared" ca="1" si="58"/>
        <v>32.196356000000002</v>
      </c>
      <c r="AA151" s="16">
        <f t="shared" ca="1" si="59"/>
        <v>7.7468309455587317E-2</v>
      </c>
      <c r="AB151" s="2"/>
    </row>
    <row r="152" spans="6:28" x14ac:dyDescent="0.25">
      <c r="F152" s="13">
        <v>150</v>
      </c>
      <c r="G152" s="13">
        <f t="shared" si="40"/>
        <v>35</v>
      </c>
      <c r="H152" s="13">
        <f t="shared" si="41"/>
        <v>308.14999999999998</v>
      </c>
      <c r="I152" s="14">
        <f t="shared" si="42"/>
        <v>1.25</v>
      </c>
      <c r="J152" s="14">
        <f t="shared" si="43"/>
        <v>6534.8454339999998</v>
      </c>
      <c r="K152" s="14">
        <f t="shared" si="44"/>
        <v>5.5548454339999997</v>
      </c>
      <c r="L152" s="14">
        <f t="shared" si="45"/>
        <v>1912.304511</v>
      </c>
      <c r="M152" s="14">
        <v>1908.77</v>
      </c>
      <c r="N152" s="13">
        <f t="shared" si="46"/>
        <v>1.9123045110000001</v>
      </c>
      <c r="O152" s="13">
        <f t="shared" si="47"/>
        <v>1.8885000000000001</v>
      </c>
      <c r="P152" s="13">
        <f t="shared" si="48"/>
        <v>2.3804511000000028E-2</v>
      </c>
      <c r="Q152" s="16">
        <f t="shared" si="49"/>
        <v>1.2604983320095329E-2</v>
      </c>
      <c r="R152" s="14">
        <f t="shared" ca="1" si="50"/>
        <v>6.9748706355685126</v>
      </c>
      <c r="S152" s="14">
        <f t="shared" si="51"/>
        <v>6.9651129032258066</v>
      </c>
      <c r="T152" s="14">
        <f t="shared" ca="1" si="52"/>
        <v>9.7577323427060492E-3</v>
      </c>
      <c r="U152" s="16">
        <f t="shared" ca="1" si="53"/>
        <v>1.4009438868086224E-3</v>
      </c>
      <c r="V152" s="14">
        <f t="shared" si="54"/>
        <v>1.2499999999999991</v>
      </c>
      <c r="W152" s="14">
        <f t="shared" ca="1" si="55"/>
        <v>1.0251293644314874</v>
      </c>
      <c r="X152" s="14">
        <f t="shared" ca="1" si="56"/>
        <v>0.22487063556851172</v>
      </c>
      <c r="Y152" s="28">
        <f t="shared" ca="1" si="57"/>
        <v>0.17989650845480951</v>
      </c>
      <c r="Z152" s="29">
        <f t="shared" ca="1" si="58"/>
        <v>32.301552000000001</v>
      </c>
      <c r="AA152" s="16">
        <f t="shared" ca="1" si="59"/>
        <v>7.7098514285714265E-2</v>
      </c>
      <c r="AB152" s="2"/>
    </row>
    <row r="153" spans="6:28" x14ac:dyDescent="0.25">
      <c r="F153" s="13">
        <v>151</v>
      </c>
      <c r="G153" s="13">
        <f t="shared" si="40"/>
        <v>35.1</v>
      </c>
      <c r="H153" s="13">
        <f t="shared" si="41"/>
        <v>308.25</v>
      </c>
      <c r="I153" s="14">
        <f t="shared" si="42"/>
        <v>1.2583329999999999</v>
      </c>
      <c r="J153" s="14">
        <f t="shared" si="43"/>
        <v>6507.8942909999996</v>
      </c>
      <c r="K153" s="14">
        <f t="shared" si="44"/>
        <v>5.527894291</v>
      </c>
      <c r="L153" s="14">
        <f t="shared" si="45"/>
        <v>1910.003954</v>
      </c>
      <c r="M153" s="14">
        <v>1906.37</v>
      </c>
      <c r="N153" s="13">
        <f t="shared" si="46"/>
        <v>1.9100039540000002</v>
      </c>
      <c r="O153" s="13">
        <f t="shared" si="47"/>
        <v>1.8862099999999999</v>
      </c>
      <c r="P153" s="13">
        <f t="shared" si="48"/>
        <v>2.3793954000000284E-2</v>
      </c>
      <c r="Q153" s="16">
        <f t="shared" si="49"/>
        <v>1.2614689774733611E-2</v>
      </c>
      <c r="R153" s="14">
        <f t="shared" ca="1" si="50"/>
        <v>6.9668747725947515</v>
      </c>
      <c r="S153" s="14">
        <f t="shared" si="51"/>
        <v>6.956666989247311</v>
      </c>
      <c r="T153" s="14">
        <f t="shared" ca="1" si="52"/>
        <v>1.0207783347440547E-2</v>
      </c>
      <c r="U153" s="16">
        <f t="shared" ca="1" si="53"/>
        <v>1.4673382186064646E-3</v>
      </c>
      <c r="V153" s="14">
        <f t="shared" si="54"/>
        <v>1.2583333333333337</v>
      </c>
      <c r="W153" s="14">
        <f t="shared" ca="1" si="55"/>
        <v>1.0331252274052485</v>
      </c>
      <c r="X153" s="14">
        <f t="shared" ca="1" si="56"/>
        <v>0.22520810592808527</v>
      </c>
      <c r="Y153" s="28">
        <f t="shared" ca="1" si="57"/>
        <v>0.17897332921437234</v>
      </c>
      <c r="Z153" s="29">
        <f t="shared" ca="1" si="58"/>
        <v>32.397503</v>
      </c>
      <c r="AA153" s="16">
        <f t="shared" ca="1" si="59"/>
        <v>7.6994216524216549E-2</v>
      </c>
      <c r="AB153" s="2"/>
    </row>
    <row r="154" spans="6:28" x14ac:dyDescent="0.25">
      <c r="F154" s="13">
        <v>152</v>
      </c>
      <c r="G154" s="13">
        <f t="shared" si="40"/>
        <v>35.200000000000003</v>
      </c>
      <c r="H154" s="13">
        <f t="shared" si="41"/>
        <v>308.34999999999997</v>
      </c>
      <c r="I154" s="14">
        <f t="shared" si="42"/>
        <v>1.266667</v>
      </c>
      <c r="J154" s="14">
        <f t="shared" si="43"/>
        <v>6481.0694960000001</v>
      </c>
      <c r="K154" s="14">
        <f t="shared" si="44"/>
        <v>5.5010694960000004</v>
      </c>
      <c r="L154" s="14">
        <f t="shared" si="45"/>
        <v>1907.7008000000001</v>
      </c>
      <c r="M154" s="14">
        <v>1904.64</v>
      </c>
      <c r="N154" s="13">
        <f t="shared" si="46"/>
        <v>1.9077008000000002</v>
      </c>
      <c r="O154" s="13">
        <f t="shared" si="47"/>
        <v>1.8839199999999998</v>
      </c>
      <c r="P154" s="13">
        <f t="shared" si="48"/>
        <v>2.3780800000000379E-2</v>
      </c>
      <c r="Q154" s="16">
        <f t="shared" si="49"/>
        <v>1.2623041318102882E-2</v>
      </c>
      <c r="R154" s="14">
        <f t="shared" ca="1" si="50"/>
        <v>6.9580668629737614</v>
      </c>
      <c r="S154" s="14">
        <f t="shared" si="51"/>
        <v>6.9482210752688163</v>
      </c>
      <c r="T154" s="14">
        <f t="shared" ca="1" si="52"/>
        <v>9.8457877049451525E-3</v>
      </c>
      <c r="U154" s="16">
        <f t="shared" ca="1" si="53"/>
        <v>1.4170228031445062E-3</v>
      </c>
      <c r="V154" s="14">
        <f t="shared" si="54"/>
        <v>1.2666666666666675</v>
      </c>
      <c r="W154" s="14">
        <f t="shared" ca="1" si="55"/>
        <v>1.0419331370262386</v>
      </c>
      <c r="X154" s="14">
        <f t="shared" ca="1" si="56"/>
        <v>0.22473352964042892</v>
      </c>
      <c r="Y154" s="28">
        <f t="shared" ca="1" si="57"/>
        <v>0.17742120761086483</v>
      </c>
      <c r="Z154" s="29">
        <f t="shared" ca="1" si="58"/>
        <v>32.503197999999998</v>
      </c>
      <c r="AA154" s="16">
        <f t="shared" ca="1" si="59"/>
        <v>7.6613693181818321E-2</v>
      </c>
      <c r="AB154" s="2"/>
    </row>
    <row r="155" spans="6:28" x14ac:dyDescent="0.25">
      <c r="F155" s="13">
        <v>153</v>
      </c>
      <c r="G155" s="13">
        <f t="shared" si="40"/>
        <v>35.299999999999997</v>
      </c>
      <c r="H155" s="13">
        <f t="shared" si="41"/>
        <v>308.45</v>
      </c>
      <c r="I155" s="14">
        <f t="shared" si="42"/>
        <v>1.2749999999999999</v>
      </c>
      <c r="J155" s="14">
        <f t="shared" si="43"/>
        <v>6454.3703919999998</v>
      </c>
      <c r="K155" s="14">
        <f t="shared" si="44"/>
        <v>5.474370392</v>
      </c>
      <c r="L155" s="14">
        <f t="shared" si="45"/>
        <v>1905.395064</v>
      </c>
      <c r="M155" s="14">
        <v>1902.22</v>
      </c>
      <c r="N155" s="13">
        <f t="shared" si="46"/>
        <v>1.9053950640000001</v>
      </c>
      <c r="O155" s="13">
        <f t="shared" si="47"/>
        <v>1.8816299999999999</v>
      </c>
      <c r="P155" s="13">
        <f t="shared" si="48"/>
        <v>2.3765064000000224E-2</v>
      </c>
      <c r="Q155" s="16">
        <f t="shared" si="49"/>
        <v>1.2630040975112123E-2</v>
      </c>
      <c r="R155" s="14">
        <f t="shared" ca="1" si="50"/>
        <v>6.9500637725947509</v>
      </c>
      <c r="S155" s="14">
        <f t="shared" si="51"/>
        <v>6.9397751612903216</v>
      </c>
      <c r="T155" s="14">
        <f t="shared" ca="1" si="52"/>
        <v>1.0288611304429374E-2</v>
      </c>
      <c r="U155" s="16">
        <f t="shared" ca="1" si="53"/>
        <v>1.4825568646400352E-3</v>
      </c>
      <c r="V155" s="14">
        <f t="shared" si="54"/>
        <v>1.2750000000000004</v>
      </c>
      <c r="W155" s="14">
        <f t="shared" ca="1" si="55"/>
        <v>1.0499362274052491</v>
      </c>
      <c r="X155" s="14">
        <f t="shared" ca="1" si="56"/>
        <v>0.2250637725947513</v>
      </c>
      <c r="Y155" s="28">
        <f t="shared" ca="1" si="57"/>
        <v>0.17652060595666763</v>
      </c>
      <c r="Z155" s="29">
        <f t="shared" ca="1" si="58"/>
        <v>32.599235</v>
      </c>
      <c r="AA155" s="16">
        <f t="shared" ca="1" si="59"/>
        <v>7.6508923512747795E-2</v>
      </c>
      <c r="AB155" s="2"/>
    </row>
    <row r="156" spans="6:28" x14ac:dyDescent="0.25">
      <c r="F156" s="13">
        <v>154</v>
      </c>
      <c r="G156" s="13">
        <f t="shared" si="40"/>
        <v>35.4</v>
      </c>
      <c r="H156" s="13">
        <f t="shared" si="41"/>
        <v>308.54999999999995</v>
      </c>
      <c r="I156" s="14">
        <f t="shared" si="42"/>
        <v>1.2833330000000001</v>
      </c>
      <c r="J156" s="14">
        <f t="shared" si="43"/>
        <v>6427.7963220000001</v>
      </c>
      <c r="K156" s="14">
        <f t="shared" si="44"/>
        <v>5.4477963220000003</v>
      </c>
      <c r="L156" s="14">
        <f t="shared" si="45"/>
        <v>1903.086761</v>
      </c>
      <c r="M156" s="14">
        <v>1899.35</v>
      </c>
      <c r="N156" s="13">
        <f t="shared" si="46"/>
        <v>1.9030867609999997</v>
      </c>
      <c r="O156" s="13">
        <f t="shared" si="47"/>
        <v>1.87934</v>
      </c>
      <c r="P156" s="13">
        <f t="shared" si="48"/>
        <v>2.3746760999999728E-2</v>
      </c>
      <c r="Q156" s="16">
        <f t="shared" si="49"/>
        <v>1.2635691785413882E-2</v>
      </c>
      <c r="R156" s="14">
        <f t="shared" ca="1" si="50"/>
        <v>6.9424145014577263</v>
      </c>
      <c r="S156" s="14">
        <f t="shared" si="51"/>
        <v>6.9313292473118278</v>
      </c>
      <c r="T156" s="14">
        <f t="shared" ca="1" si="52"/>
        <v>1.108525414589856E-2</v>
      </c>
      <c r="U156" s="16">
        <f t="shared" ca="1" si="53"/>
        <v>1.5992970107714542E-3</v>
      </c>
      <c r="V156" s="14">
        <f t="shared" si="54"/>
        <v>1.2833333333333332</v>
      </c>
      <c r="W156" s="14">
        <f t="shared" ca="1" si="55"/>
        <v>1.0575854985422737</v>
      </c>
      <c r="X156" s="14">
        <f t="shared" ca="1" si="56"/>
        <v>0.22574783479105953</v>
      </c>
      <c r="Y156" s="28">
        <f t="shared" ca="1" si="57"/>
        <v>0.17590740373329317</v>
      </c>
      <c r="Z156" s="29">
        <f t="shared" ca="1" si="58"/>
        <v>32.691026000000001</v>
      </c>
      <c r="AA156" s="16">
        <f t="shared" ca="1" si="59"/>
        <v>7.6524689265536669E-2</v>
      </c>
      <c r="AB156" s="2"/>
    </row>
    <row r="157" spans="6:28" x14ac:dyDescent="0.25">
      <c r="F157" s="13">
        <v>155</v>
      </c>
      <c r="G157" s="13">
        <f t="shared" si="40"/>
        <v>35.5</v>
      </c>
      <c r="H157" s="13">
        <f t="shared" si="41"/>
        <v>308.64999999999998</v>
      </c>
      <c r="I157" s="14">
        <f t="shared" si="42"/>
        <v>1.2916669999999999</v>
      </c>
      <c r="J157" s="14">
        <f t="shared" si="43"/>
        <v>6401.3466369999996</v>
      </c>
      <c r="K157" s="14">
        <f t="shared" si="44"/>
        <v>5.4213466370000001</v>
      </c>
      <c r="L157" s="14">
        <f t="shared" si="45"/>
        <v>1900.7759060000001</v>
      </c>
      <c r="M157" s="14">
        <v>1897.37</v>
      </c>
      <c r="N157" s="13">
        <f t="shared" si="46"/>
        <v>1.9007759060000002</v>
      </c>
      <c r="O157" s="13">
        <f t="shared" si="47"/>
        <v>1.8770499999999999</v>
      </c>
      <c r="P157" s="13">
        <f t="shared" si="48"/>
        <v>2.3725906000000352E-2</v>
      </c>
      <c r="Q157" s="16">
        <f t="shared" si="49"/>
        <v>1.2639996803495033E-2</v>
      </c>
      <c r="R157" s="14">
        <f t="shared" ca="1" si="50"/>
        <v>6.9339855014577259</v>
      </c>
      <c r="S157" s="14">
        <f t="shared" si="51"/>
        <v>6.9228833333333322</v>
      </c>
      <c r="T157" s="14">
        <f t="shared" ca="1" si="52"/>
        <v>1.1102168124393685E-2</v>
      </c>
      <c r="U157" s="16">
        <f t="shared" ca="1" si="53"/>
        <v>1.6036913508187128E-3</v>
      </c>
      <c r="V157" s="14">
        <f t="shared" si="54"/>
        <v>1.2916666666666679</v>
      </c>
      <c r="W157" s="14">
        <f t="shared" ca="1" si="55"/>
        <v>1.0660144985422741</v>
      </c>
      <c r="X157" s="14">
        <f t="shared" ca="1" si="56"/>
        <v>0.2256521681243937</v>
      </c>
      <c r="Y157" s="28">
        <f t="shared" ca="1" si="57"/>
        <v>0.17469845274146592</v>
      </c>
      <c r="Z157" s="29">
        <f t="shared" ca="1" si="58"/>
        <v>32.792174000000003</v>
      </c>
      <c r="AA157" s="16">
        <f t="shared" ca="1" si="59"/>
        <v>7.6276788732394282E-2</v>
      </c>
      <c r="AB157" s="2"/>
    </row>
    <row r="158" spans="6:28" x14ac:dyDescent="0.25">
      <c r="F158" s="13">
        <v>156</v>
      </c>
      <c r="G158" s="13">
        <f t="shared" si="40"/>
        <v>35.6</v>
      </c>
      <c r="H158" s="13">
        <f t="shared" si="41"/>
        <v>308.75</v>
      </c>
      <c r="I158" s="14">
        <f t="shared" si="42"/>
        <v>1.3</v>
      </c>
      <c r="J158" s="14">
        <f t="shared" si="43"/>
        <v>6375.0206870000002</v>
      </c>
      <c r="K158" s="14">
        <f t="shared" si="44"/>
        <v>5.3950206870000006</v>
      </c>
      <c r="L158" s="14">
        <f t="shared" si="45"/>
        <v>1898.4625160000001</v>
      </c>
      <c r="M158" s="14">
        <v>1894.93</v>
      </c>
      <c r="N158" s="13">
        <f t="shared" si="46"/>
        <v>1.8984625159999999</v>
      </c>
      <c r="O158" s="13">
        <f t="shared" si="47"/>
        <v>1.8747599999999998</v>
      </c>
      <c r="P158" s="13">
        <f t="shared" si="48"/>
        <v>2.3702516000000173E-2</v>
      </c>
      <c r="Q158" s="16">
        <f t="shared" si="49"/>
        <v>1.2642960165567953E-2</v>
      </c>
      <c r="R158" s="14">
        <f t="shared" ca="1" si="50"/>
        <v>6.9251621370262386</v>
      </c>
      <c r="S158" s="14">
        <f t="shared" si="51"/>
        <v>6.9144374193548375</v>
      </c>
      <c r="T158" s="14">
        <f t="shared" ca="1" si="52"/>
        <v>1.0724717671401152E-2</v>
      </c>
      <c r="U158" s="16">
        <f t="shared" ca="1" si="53"/>
        <v>1.5510614994331438E-3</v>
      </c>
      <c r="V158" s="14">
        <f t="shared" si="54"/>
        <v>1.3000000000000007</v>
      </c>
      <c r="W158" s="14">
        <f t="shared" ca="1" si="55"/>
        <v>1.0748378629737614</v>
      </c>
      <c r="X158" s="14">
        <f t="shared" ca="1" si="56"/>
        <v>0.22516213702623933</v>
      </c>
      <c r="Y158" s="28">
        <f t="shared" ca="1" si="57"/>
        <v>0.17320164386633785</v>
      </c>
      <c r="Z158" s="29">
        <f t="shared" ca="1" si="58"/>
        <v>32.898054000000002</v>
      </c>
      <c r="AA158" s="16">
        <f t="shared" ca="1" si="59"/>
        <v>7.5897359550561774E-2</v>
      </c>
      <c r="AB158" s="2"/>
    </row>
    <row r="159" spans="6:28" x14ac:dyDescent="0.25">
      <c r="F159" s="13">
        <v>157</v>
      </c>
      <c r="G159" s="13">
        <f t="shared" si="40"/>
        <v>35.700000000000003</v>
      </c>
      <c r="H159" s="13">
        <f t="shared" si="41"/>
        <v>308.84999999999997</v>
      </c>
      <c r="I159" s="14">
        <f t="shared" si="42"/>
        <v>1.308333</v>
      </c>
      <c r="J159" s="14">
        <f t="shared" si="43"/>
        <v>6348.81783</v>
      </c>
      <c r="K159" s="14">
        <f t="shared" si="44"/>
        <v>5.3688178300000002</v>
      </c>
      <c r="L159" s="14">
        <f t="shared" si="45"/>
        <v>1896.1466049999999</v>
      </c>
      <c r="M159" s="14">
        <v>1892.71</v>
      </c>
      <c r="N159" s="13">
        <f t="shared" si="46"/>
        <v>1.8961466049999998</v>
      </c>
      <c r="O159" s="13">
        <f t="shared" si="47"/>
        <v>1.8724699999999999</v>
      </c>
      <c r="P159" s="13">
        <f t="shared" si="48"/>
        <v>2.3676604999999906E-2</v>
      </c>
      <c r="Q159" s="16">
        <f t="shared" si="49"/>
        <v>1.2644584425918657E-2</v>
      </c>
      <c r="R159" s="14">
        <f t="shared" ca="1" si="50"/>
        <v>6.915922862973761</v>
      </c>
      <c r="S159" s="14">
        <f t="shared" si="51"/>
        <v>6.9059915053763437</v>
      </c>
      <c r="T159" s="14">
        <f t="shared" ca="1" si="52"/>
        <v>9.9313575974173673E-3</v>
      </c>
      <c r="U159" s="16">
        <f t="shared" ca="1" si="53"/>
        <v>1.4380784554521625E-3</v>
      </c>
      <c r="V159" s="14">
        <f t="shared" si="54"/>
        <v>1.3083333333333336</v>
      </c>
      <c r="W159" s="14">
        <f t="shared" ca="1" si="55"/>
        <v>1.084077137026239</v>
      </c>
      <c r="X159" s="14">
        <f t="shared" ca="1" si="56"/>
        <v>0.22425619630709459</v>
      </c>
      <c r="Y159" s="28">
        <f t="shared" ca="1" si="57"/>
        <v>0.1714060099162506</v>
      </c>
      <c r="Z159" s="29">
        <f t="shared" ca="1" si="58"/>
        <v>33.008926000000002</v>
      </c>
      <c r="AA159" s="16">
        <f t="shared" ca="1" si="59"/>
        <v>7.5380224089635864E-2</v>
      </c>
      <c r="AB159" s="2"/>
    </row>
    <row r="160" spans="6:28" x14ac:dyDescent="0.25">
      <c r="F160" s="13">
        <v>158</v>
      </c>
      <c r="G160" s="13">
        <f t="shared" si="40"/>
        <v>35.799999999999997</v>
      </c>
      <c r="H160" s="13">
        <f t="shared" si="41"/>
        <v>308.95</v>
      </c>
      <c r="I160" s="14">
        <f t="shared" si="42"/>
        <v>1.316667</v>
      </c>
      <c r="J160" s="14">
        <f t="shared" si="43"/>
        <v>6322.7374259999997</v>
      </c>
      <c r="K160" s="14">
        <f t="shared" si="44"/>
        <v>5.3427374260000002</v>
      </c>
      <c r="L160" s="14">
        <f t="shared" si="45"/>
        <v>1893.8281899999999</v>
      </c>
      <c r="M160" s="14">
        <v>1890.04</v>
      </c>
      <c r="N160" s="13">
        <f t="shared" si="46"/>
        <v>1.89382819</v>
      </c>
      <c r="O160" s="13">
        <f t="shared" si="47"/>
        <v>1.87018</v>
      </c>
      <c r="P160" s="13">
        <f t="shared" si="48"/>
        <v>2.3648190000000069E-2</v>
      </c>
      <c r="Q160" s="16">
        <f t="shared" si="49"/>
        <v>1.2644873755467426E-2</v>
      </c>
      <c r="R160" s="14">
        <f t="shared" ca="1" si="50"/>
        <v>6.9078727725947511</v>
      </c>
      <c r="S160" s="14">
        <f t="shared" si="51"/>
        <v>6.897545591397849</v>
      </c>
      <c r="T160" s="14">
        <f t="shared" ca="1" si="52"/>
        <v>1.0327181196902124E-2</v>
      </c>
      <c r="U160" s="16">
        <f t="shared" ca="1" si="53"/>
        <v>1.4972255072560135E-3</v>
      </c>
      <c r="V160" s="14">
        <f t="shared" si="54"/>
        <v>1.3166666666666664</v>
      </c>
      <c r="W160" s="14">
        <f t="shared" ca="1" si="55"/>
        <v>1.0921272274052489</v>
      </c>
      <c r="X160" s="14">
        <f t="shared" ca="1" si="56"/>
        <v>0.22453943926141751</v>
      </c>
      <c r="Y160" s="28">
        <f t="shared" ca="1" si="57"/>
        <v>0.1705362829833551</v>
      </c>
      <c r="Z160" s="29">
        <f t="shared" ca="1" si="58"/>
        <v>33.105527000000002</v>
      </c>
      <c r="AA160" s="16">
        <f t="shared" ca="1" si="59"/>
        <v>7.5264608938547348E-2</v>
      </c>
      <c r="AB160" s="2"/>
    </row>
    <row r="161" spans="6:28" x14ac:dyDescent="0.25">
      <c r="F161" s="13">
        <v>159</v>
      </c>
      <c r="G161" s="13">
        <f t="shared" si="40"/>
        <v>35.9</v>
      </c>
      <c r="H161" s="13">
        <f t="shared" si="41"/>
        <v>309.04999999999995</v>
      </c>
      <c r="I161" s="14">
        <f t="shared" si="42"/>
        <v>1.325</v>
      </c>
      <c r="J161" s="14">
        <f t="shared" si="43"/>
        <v>6296.7788369999998</v>
      </c>
      <c r="K161" s="14">
        <f t="shared" si="44"/>
        <v>5.3167788370000002</v>
      </c>
      <c r="L161" s="14">
        <f t="shared" si="45"/>
        <v>1891.5072849999999</v>
      </c>
      <c r="M161" s="14">
        <v>1888.25</v>
      </c>
      <c r="N161" s="13">
        <f t="shared" si="46"/>
        <v>1.8915072850000001</v>
      </c>
      <c r="O161" s="13">
        <f t="shared" si="47"/>
        <v>1.8678900000000001</v>
      </c>
      <c r="P161" s="13">
        <f t="shared" si="48"/>
        <v>2.3617285000000043E-2</v>
      </c>
      <c r="Q161" s="16">
        <f t="shared" si="49"/>
        <v>1.2643830739497531E-2</v>
      </c>
      <c r="R161" s="14">
        <f t="shared" ca="1" si="50"/>
        <v>6.899010635568513</v>
      </c>
      <c r="S161" s="14">
        <f t="shared" si="51"/>
        <v>6.8890996774193551</v>
      </c>
      <c r="T161" s="14">
        <f t="shared" ca="1" si="52"/>
        <v>9.910958149157878E-3</v>
      </c>
      <c r="U161" s="16">
        <f t="shared" ca="1" si="53"/>
        <v>1.4386434531704303E-3</v>
      </c>
      <c r="V161" s="14">
        <f t="shared" si="54"/>
        <v>1.3249999999999993</v>
      </c>
      <c r="W161" s="14">
        <f t="shared" ca="1" si="55"/>
        <v>1.100989364431487</v>
      </c>
      <c r="X161" s="14">
        <f t="shared" ca="1" si="56"/>
        <v>0.22401063556851231</v>
      </c>
      <c r="Y161" s="28">
        <f t="shared" ca="1" si="57"/>
        <v>0.16906463061774524</v>
      </c>
      <c r="Z161" s="29">
        <f t="shared" ca="1" si="58"/>
        <v>33.211872</v>
      </c>
      <c r="AA161" s="16">
        <f t="shared" ca="1" si="59"/>
        <v>7.4878217270194961E-2</v>
      </c>
      <c r="AB161" s="2"/>
    </row>
    <row r="162" spans="6:28" x14ac:dyDescent="0.25">
      <c r="F162" s="13">
        <v>160</v>
      </c>
      <c r="G162" s="13">
        <f t="shared" si="40"/>
        <v>36</v>
      </c>
      <c r="H162" s="13">
        <f t="shared" si="41"/>
        <v>309.14999999999998</v>
      </c>
      <c r="I162" s="14">
        <f t="shared" si="42"/>
        <v>1.3333330000000001</v>
      </c>
      <c r="J162" s="14">
        <f t="shared" si="43"/>
        <v>6270.9414310000002</v>
      </c>
      <c r="K162" s="14">
        <f t="shared" si="44"/>
        <v>5.2909414310000003</v>
      </c>
      <c r="L162" s="14">
        <f t="shared" si="45"/>
        <v>1889.1839070000001</v>
      </c>
      <c r="M162" s="14">
        <v>1885.79</v>
      </c>
      <c r="N162" s="13">
        <f t="shared" si="46"/>
        <v>1.8891839070000001</v>
      </c>
      <c r="O162" s="13">
        <f t="shared" si="47"/>
        <v>1.8655999999999999</v>
      </c>
      <c r="P162" s="13">
        <f t="shared" si="48"/>
        <v>2.3583907000000126E-2</v>
      </c>
      <c r="Q162" s="16">
        <f t="shared" si="49"/>
        <v>1.2641459584048095E-2</v>
      </c>
      <c r="R162" s="14">
        <f t="shared" ca="1" si="50"/>
        <v>6.8909112274052484</v>
      </c>
      <c r="S162" s="14">
        <f t="shared" si="51"/>
        <v>6.8806537634408595</v>
      </c>
      <c r="T162" s="14">
        <f t="shared" ca="1" si="52"/>
        <v>1.0257463964388869E-2</v>
      </c>
      <c r="U162" s="16">
        <f t="shared" ca="1" si="53"/>
        <v>1.4907688014894884E-3</v>
      </c>
      <c r="V162" s="14">
        <f t="shared" si="54"/>
        <v>1.3333333333333339</v>
      </c>
      <c r="W162" s="14">
        <f t="shared" ca="1" si="55"/>
        <v>1.1090887725947516</v>
      </c>
      <c r="X162" s="14">
        <f t="shared" ca="1" si="56"/>
        <v>0.22424456073858234</v>
      </c>
      <c r="Y162" s="28">
        <f t="shared" ca="1" si="57"/>
        <v>0.16818342055393667</v>
      </c>
      <c r="Z162" s="29">
        <f t="shared" ca="1" si="58"/>
        <v>33.309064999999997</v>
      </c>
      <c r="AA162" s="16">
        <f t="shared" ca="1" si="59"/>
        <v>7.4748194444444527E-2</v>
      </c>
      <c r="AB162" s="2"/>
    </row>
    <row r="163" spans="6:28" x14ac:dyDescent="0.25">
      <c r="F163" s="13">
        <v>161</v>
      </c>
      <c r="G163" s="13">
        <f t="shared" si="40"/>
        <v>36.1</v>
      </c>
      <c r="H163" s="13">
        <f t="shared" si="41"/>
        <v>309.25</v>
      </c>
      <c r="I163" s="14">
        <f t="shared" si="42"/>
        <v>1.3416669999999999</v>
      </c>
      <c r="J163" s="14">
        <f t="shared" si="43"/>
        <v>6245.2245780000003</v>
      </c>
      <c r="K163" s="14">
        <f t="shared" si="44"/>
        <v>5.2652245780000007</v>
      </c>
      <c r="L163" s="14">
        <f t="shared" si="45"/>
        <v>1886.858072</v>
      </c>
      <c r="M163" s="14">
        <v>1883.32</v>
      </c>
      <c r="N163" s="13">
        <f t="shared" si="46"/>
        <v>1.8868580719999999</v>
      </c>
      <c r="O163" s="13">
        <f t="shared" si="47"/>
        <v>1.8633099999999998</v>
      </c>
      <c r="P163" s="13">
        <f t="shared" si="48"/>
        <v>2.3548072000000086E-2</v>
      </c>
      <c r="Q163" s="16">
        <f t="shared" si="49"/>
        <v>1.2637763979155421E-2</v>
      </c>
      <c r="R163" s="14">
        <f t="shared" ca="1" si="50"/>
        <v>6.8824379999999996</v>
      </c>
      <c r="S163" s="14">
        <f t="shared" si="51"/>
        <v>6.8722078494623648</v>
      </c>
      <c r="T163" s="14">
        <f t="shared" ca="1" si="52"/>
        <v>1.0230150537634763E-2</v>
      </c>
      <c r="U163" s="16">
        <f t="shared" ca="1" si="53"/>
        <v>1.4886264737227208E-3</v>
      </c>
      <c r="V163" s="14">
        <f t="shared" si="54"/>
        <v>1.3416666666666668</v>
      </c>
      <c r="W163" s="14">
        <f t="shared" ca="1" si="55"/>
        <v>1.1175620000000004</v>
      </c>
      <c r="X163" s="14">
        <f t="shared" ca="1" si="56"/>
        <v>0.2241046666666664</v>
      </c>
      <c r="Y163" s="28">
        <f t="shared" ca="1" si="57"/>
        <v>0.16703453416149047</v>
      </c>
      <c r="Z163" s="29">
        <f t="shared" ca="1" si="58"/>
        <v>33.410744000000001</v>
      </c>
      <c r="AA163" s="16">
        <f t="shared" ca="1" si="59"/>
        <v>7.4494626038781167E-2</v>
      </c>
      <c r="AB163" s="2"/>
    </row>
    <row r="164" spans="6:28" x14ac:dyDescent="0.25">
      <c r="F164" s="13">
        <v>162</v>
      </c>
      <c r="G164" s="13">
        <f t="shared" si="40"/>
        <v>36.200000000000003</v>
      </c>
      <c r="H164" s="13">
        <f t="shared" si="41"/>
        <v>309.34999999999997</v>
      </c>
      <c r="I164" s="14">
        <f t="shared" si="42"/>
        <v>1.35</v>
      </c>
      <c r="J164" s="14">
        <f t="shared" si="43"/>
        <v>6219.6276529999996</v>
      </c>
      <c r="K164" s="14">
        <f t="shared" si="44"/>
        <v>5.2396276529999994</v>
      </c>
      <c r="L164" s="14">
        <f t="shared" si="45"/>
        <v>1884.529794</v>
      </c>
      <c r="M164" s="14">
        <v>1881.06</v>
      </c>
      <c r="N164" s="13">
        <f t="shared" si="46"/>
        <v>1.8845297940000001</v>
      </c>
      <c r="O164" s="13">
        <f t="shared" si="47"/>
        <v>1.8610199999999999</v>
      </c>
      <c r="P164" s="13">
        <f t="shared" si="48"/>
        <v>2.3509794000000195E-2</v>
      </c>
      <c r="Q164" s="16">
        <f t="shared" si="49"/>
        <v>1.263274655833908E-2</v>
      </c>
      <c r="R164" s="14">
        <f t="shared" ca="1" si="50"/>
        <v>6.8743303644314873</v>
      </c>
      <c r="S164" s="14">
        <f t="shared" si="51"/>
        <v>6.8637619354838701</v>
      </c>
      <c r="T164" s="14">
        <f t="shared" ca="1" si="52"/>
        <v>1.0568428947617114E-2</v>
      </c>
      <c r="U164" s="16">
        <f t="shared" ca="1" si="53"/>
        <v>1.5397429349903696E-3</v>
      </c>
      <c r="V164" s="14">
        <f t="shared" si="54"/>
        <v>1.3500000000000005</v>
      </c>
      <c r="W164" s="14">
        <f t="shared" ca="1" si="55"/>
        <v>1.1256696355685127</v>
      </c>
      <c r="X164" s="14">
        <f t="shared" ca="1" si="56"/>
        <v>0.22433036443148779</v>
      </c>
      <c r="Y164" s="28">
        <f t="shared" ca="1" si="57"/>
        <v>0.16617064031962053</v>
      </c>
      <c r="Z164" s="29">
        <f t="shared" ca="1" si="58"/>
        <v>33.508035999999997</v>
      </c>
      <c r="AA164" s="16">
        <f t="shared" ca="1" si="59"/>
        <v>7.436364640883994E-2</v>
      </c>
      <c r="AB164" s="2"/>
    </row>
    <row r="165" spans="6:28" x14ac:dyDescent="0.25">
      <c r="F165" s="13">
        <v>163</v>
      </c>
      <c r="G165" s="13">
        <f t="shared" si="40"/>
        <v>36.299999999999997</v>
      </c>
      <c r="H165" s="13">
        <f t="shared" si="41"/>
        <v>309.45</v>
      </c>
      <c r="I165" s="14">
        <f t="shared" si="42"/>
        <v>1.358333</v>
      </c>
      <c r="J165" s="14">
        <f t="shared" si="43"/>
        <v>6194.1500340000002</v>
      </c>
      <c r="K165" s="14">
        <f t="shared" si="44"/>
        <v>5.2141500340000002</v>
      </c>
      <c r="L165" s="14">
        <f t="shared" si="45"/>
        <v>1882.199091</v>
      </c>
      <c r="M165" s="14">
        <v>1878.35</v>
      </c>
      <c r="N165" s="13">
        <f t="shared" si="46"/>
        <v>1.8821990909999997</v>
      </c>
      <c r="O165" s="13">
        <f t="shared" si="47"/>
        <v>1.85873</v>
      </c>
      <c r="P165" s="13">
        <f t="shared" si="48"/>
        <v>2.346909099999972E-2</v>
      </c>
      <c r="Q165" s="16">
        <f t="shared" si="49"/>
        <v>1.2626412120103361E-2</v>
      </c>
      <c r="R165" s="14">
        <f t="shared" ca="1" si="50"/>
        <v>6.8654332274052488</v>
      </c>
      <c r="S165" s="14">
        <f t="shared" si="51"/>
        <v>6.8553160215053763</v>
      </c>
      <c r="T165" s="14">
        <f t="shared" ca="1" si="52"/>
        <v>1.0117205899872417E-2</v>
      </c>
      <c r="U165" s="16">
        <f t="shared" ca="1" si="53"/>
        <v>1.475819038558452E-3</v>
      </c>
      <c r="V165" s="14">
        <f t="shared" si="54"/>
        <v>1.3583333333333325</v>
      </c>
      <c r="W165" s="14">
        <f t="shared" ca="1" si="55"/>
        <v>1.1345667725947512</v>
      </c>
      <c r="X165" s="14">
        <f t="shared" ca="1" si="56"/>
        <v>0.22376656073858125</v>
      </c>
      <c r="Y165" s="28">
        <f t="shared" ca="1" si="57"/>
        <v>0.16473611833515195</v>
      </c>
      <c r="Z165" s="29">
        <f t="shared" ca="1" si="58"/>
        <v>33.614801</v>
      </c>
      <c r="AA165" s="16">
        <f t="shared" ca="1" si="59"/>
        <v>7.3972424242424173E-2</v>
      </c>
      <c r="AB165" s="2"/>
    </row>
    <row r="166" spans="6:28" x14ac:dyDescent="0.25">
      <c r="F166" s="13">
        <v>164</v>
      </c>
      <c r="G166" s="13">
        <f t="shared" si="40"/>
        <v>36.400000000000006</v>
      </c>
      <c r="H166" s="13">
        <f t="shared" si="41"/>
        <v>309.54999999999995</v>
      </c>
      <c r="I166" s="14">
        <f t="shared" si="42"/>
        <v>1.3666670000000001</v>
      </c>
      <c r="J166" s="14">
        <f t="shared" si="43"/>
        <v>6168.7911020000001</v>
      </c>
      <c r="K166" s="14">
        <f t="shared" si="44"/>
        <v>5.1887911020000006</v>
      </c>
      <c r="L166" s="14">
        <f t="shared" si="45"/>
        <v>1879.865978</v>
      </c>
      <c r="M166" s="14">
        <v>1876.09</v>
      </c>
      <c r="N166" s="13">
        <f t="shared" si="46"/>
        <v>1.879865978</v>
      </c>
      <c r="O166" s="13">
        <f t="shared" si="47"/>
        <v>1.8564399999999996</v>
      </c>
      <c r="P166" s="13">
        <f t="shared" si="48"/>
        <v>2.3425978000000347E-2</v>
      </c>
      <c r="Q166" s="16">
        <f t="shared" si="49"/>
        <v>1.2618763870634306E-2</v>
      </c>
      <c r="R166" s="14">
        <f t="shared" ca="1" si="50"/>
        <v>6.8573301370262385</v>
      </c>
      <c r="S166" s="14">
        <f t="shared" si="51"/>
        <v>6.8468701075268799</v>
      </c>
      <c r="T166" s="14">
        <f t="shared" ca="1" si="52"/>
        <v>1.0460029499358647E-2</v>
      </c>
      <c r="U166" s="16">
        <f t="shared" ca="1" si="53"/>
        <v>1.5277096447119335E-3</v>
      </c>
      <c r="V166" s="14">
        <f t="shared" si="54"/>
        <v>1.366666666666668</v>
      </c>
      <c r="W166" s="14">
        <f t="shared" ca="1" si="55"/>
        <v>1.1426698629737615</v>
      </c>
      <c r="X166" s="14">
        <f t="shared" ca="1" si="56"/>
        <v>0.22399680369290653</v>
      </c>
      <c r="Y166" s="28">
        <f t="shared" ca="1" si="57"/>
        <v>0.16390010026310217</v>
      </c>
      <c r="Z166" s="29">
        <f t="shared" ca="1" si="58"/>
        <v>33.712038</v>
      </c>
      <c r="AA166" s="16">
        <f t="shared" ca="1" si="59"/>
        <v>7.3845109890110047E-2</v>
      </c>
      <c r="AB166" s="2"/>
    </row>
    <row r="167" spans="6:28" x14ac:dyDescent="0.25">
      <c r="F167" s="13">
        <v>165</v>
      </c>
      <c r="G167" s="13">
        <f t="shared" si="40"/>
        <v>36.5</v>
      </c>
      <c r="H167" s="13">
        <f t="shared" si="41"/>
        <v>309.64999999999998</v>
      </c>
      <c r="I167" s="14">
        <f t="shared" si="42"/>
        <v>1.375</v>
      </c>
      <c r="J167" s="14">
        <f t="shared" si="43"/>
        <v>6143.5502409999999</v>
      </c>
      <c r="K167" s="14">
        <f t="shared" si="44"/>
        <v>5.1635502410000003</v>
      </c>
      <c r="L167" s="14">
        <f t="shared" si="45"/>
        <v>1877.5304699999999</v>
      </c>
      <c r="M167" s="14">
        <v>1873.81</v>
      </c>
      <c r="N167" s="13">
        <f t="shared" si="46"/>
        <v>1.87753047</v>
      </c>
      <c r="O167" s="13">
        <f t="shared" si="47"/>
        <v>1.85415</v>
      </c>
      <c r="P167" s="13">
        <f t="shared" si="48"/>
        <v>2.3380469999999987E-2</v>
      </c>
      <c r="Q167" s="16">
        <f t="shared" si="49"/>
        <v>1.2609805031955336E-2</v>
      </c>
      <c r="R167" s="14">
        <f t="shared" ca="1" si="50"/>
        <v>6.8488111370262388</v>
      </c>
      <c r="S167" s="14">
        <f t="shared" si="51"/>
        <v>6.8384241935483869</v>
      </c>
      <c r="T167" s="14">
        <f t="shared" ca="1" si="52"/>
        <v>1.0386943477851851E-2</v>
      </c>
      <c r="U167" s="16">
        <f t="shared" ca="1" si="53"/>
        <v>1.5189089158363798E-3</v>
      </c>
      <c r="V167" s="14">
        <f t="shared" si="54"/>
        <v>1.375</v>
      </c>
      <c r="W167" s="14">
        <f t="shared" ca="1" si="55"/>
        <v>1.1511888629737612</v>
      </c>
      <c r="X167" s="14">
        <f t="shared" ca="1" si="56"/>
        <v>0.22381113702623878</v>
      </c>
      <c r="Y167" s="28">
        <f t="shared" ca="1" si="57"/>
        <v>0.16277173601908276</v>
      </c>
      <c r="Z167" s="29">
        <f t="shared" ca="1" si="58"/>
        <v>33.814266000000003</v>
      </c>
      <c r="AA167" s="16">
        <f t="shared" ca="1" si="59"/>
        <v>7.3581753424657434E-2</v>
      </c>
      <c r="AB167" s="2"/>
    </row>
    <row r="168" spans="6:28" x14ac:dyDescent="0.25">
      <c r="F168" s="13">
        <v>166</v>
      </c>
      <c r="G168" s="13">
        <f t="shared" si="40"/>
        <v>36.6</v>
      </c>
      <c r="H168" s="13">
        <f t="shared" si="41"/>
        <v>309.75</v>
      </c>
      <c r="I168" s="14">
        <f t="shared" si="42"/>
        <v>1.3833329999999999</v>
      </c>
      <c r="J168" s="14">
        <f t="shared" si="43"/>
        <v>6118.4268410000004</v>
      </c>
      <c r="K168" s="14">
        <f t="shared" si="44"/>
        <v>5.1384268410000002</v>
      </c>
      <c r="L168" s="14">
        <f t="shared" si="45"/>
        <v>1875.1925839999999</v>
      </c>
      <c r="M168" s="14">
        <v>1871.53</v>
      </c>
      <c r="N168" s="13">
        <f t="shared" si="46"/>
        <v>1.8751925840000001</v>
      </c>
      <c r="O168" s="13">
        <f t="shared" si="47"/>
        <v>1.8518599999999998</v>
      </c>
      <c r="P168" s="13">
        <f t="shared" si="48"/>
        <v>2.3332584000000267E-2</v>
      </c>
      <c r="Q168" s="16">
        <f t="shared" si="49"/>
        <v>1.2599539922024488E-2</v>
      </c>
      <c r="R168" s="14">
        <f t="shared" ca="1" si="50"/>
        <v>6.8394908629737614</v>
      </c>
      <c r="S168" s="14">
        <f t="shared" si="51"/>
        <v>6.8299782795698913</v>
      </c>
      <c r="T168" s="14">
        <f t="shared" ca="1" si="52"/>
        <v>9.5125834038700674E-3</v>
      </c>
      <c r="U168" s="16">
        <f t="shared" ca="1" si="53"/>
        <v>1.3927692028427811E-3</v>
      </c>
      <c r="V168" s="14">
        <f t="shared" si="54"/>
        <v>1.3833333333333337</v>
      </c>
      <c r="W168" s="14">
        <f t="shared" ca="1" si="55"/>
        <v>1.1605091370262386</v>
      </c>
      <c r="X168" s="14">
        <f t="shared" ca="1" si="56"/>
        <v>0.22282419630709516</v>
      </c>
      <c r="Y168" s="28">
        <f t="shared" ca="1" si="57"/>
        <v>0.16107773227018923</v>
      </c>
      <c r="Z168" s="29">
        <f t="shared" ca="1" si="58"/>
        <v>33.926110000000001</v>
      </c>
      <c r="AA168" s="16">
        <f t="shared" ca="1" si="59"/>
        <v>7.305710382513661E-2</v>
      </c>
      <c r="AB168" s="2"/>
    </row>
    <row r="169" spans="6:28" x14ac:dyDescent="0.25">
      <c r="F169" s="13">
        <v>167</v>
      </c>
      <c r="G169" s="13">
        <f t="shared" si="40"/>
        <v>36.700000000000003</v>
      </c>
      <c r="H169" s="13">
        <f t="shared" si="41"/>
        <v>309.84999999999997</v>
      </c>
      <c r="I169" s="14">
        <f t="shared" si="42"/>
        <v>1.391667</v>
      </c>
      <c r="J169" s="14">
        <f t="shared" si="43"/>
        <v>6093.4202930000001</v>
      </c>
      <c r="K169" s="14">
        <f t="shared" si="44"/>
        <v>5.1134202929999999</v>
      </c>
      <c r="L169" s="14">
        <f t="shared" si="45"/>
        <v>1872.852337</v>
      </c>
      <c r="M169" s="14">
        <v>1869.02</v>
      </c>
      <c r="N169" s="13">
        <f t="shared" si="46"/>
        <v>1.8728523370000001</v>
      </c>
      <c r="O169" s="13">
        <f t="shared" si="47"/>
        <v>1.8495699999999999</v>
      </c>
      <c r="P169" s="13">
        <f t="shared" si="48"/>
        <v>2.3282337000000153E-2</v>
      </c>
      <c r="Q169" s="16">
        <f t="shared" si="49"/>
        <v>1.2587972880183044E-2</v>
      </c>
      <c r="R169" s="14">
        <f t="shared" ca="1" si="50"/>
        <v>6.8321325014577257</v>
      </c>
      <c r="S169" s="14">
        <f t="shared" si="51"/>
        <v>6.8215323655913975</v>
      </c>
      <c r="T169" s="14">
        <f t="shared" ca="1" si="52"/>
        <v>1.0600135866328131E-2</v>
      </c>
      <c r="U169" s="16">
        <f t="shared" ca="1" si="53"/>
        <v>1.5539229748137602E-3</v>
      </c>
      <c r="V169" s="14">
        <f t="shared" si="54"/>
        <v>1.3916666666666666</v>
      </c>
      <c r="W169" s="14">
        <f t="shared" ca="1" si="55"/>
        <v>1.1678674985422743</v>
      </c>
      <c r="X169" s="14">
        <f t="shared" ca="1" si="56"/>
        <v>0.22379916812439227</v>
      </c>
      <c r="Y169" s="28">
        <f t="shared" ca="1" si="57"/>
        <v>0.16081377350255732</v>
      </c>
      <c r="Z169" s="29">
        <f t="shared" ca="1" si="58"/>
        <v>34.014409999999998</v>
      </c>
      <c r="AA169" s="16">
        <f t="shared" ca="1" si="59"/>
        <v>7.317683923705734E-2</v>
      </c>
      <c r="AB169" s="2"/>
    </row>
    <row r="170" spans="6:28" x14ac:dyDescent="0.25">
      <c r="F170" s="13">
        <v>168</v>
      </c>
      <c r="G170" s="13">
        <f t="shared" si="40"/>
        <v>36.799999999999997</v>
      </c>
      <c r="H170" s="13">
        <f t="shared" si="41"/>
        <v>309.95</v>
      </c>
      <c r="I170" s="14">
        <f t="shared" si="42"/>
        <v>1.4</v>
      </c>
      <c r="J170" s="14">
        <f t="shared" si="43"/>
        <v>6068.5299919999998</v>
      </c>
      <c r="K170" s="14">
        <f t="shared" si="44"/>
        <v>5.0885299919999998</v>
      </c>
      <c r="L170" s="14">
        <f t="shared" si="45"/>
        <v>1870.5097430000001</v>
      </c>
      <c r="M170" s="14">
        <v>1866.5</v>
      </c>
      <c r="N170" s="13">
        <f t="shared" si="46"/>
        <v>1.8705097429999999</v>
      </c>
      <c r="O170" s="13">
        <f t="shared" si="47"/>
        <v>1.84728</v>
      </c>
      <c r="P170" s="13">
        <f t="shared" si="48"/>
        <v>2.3229742999999914E-2</v>
      </c>
      <c r="Q170" s="16">
        <f t="shared" si="49"/>
        <v>1.2575106643280886E-2</v>
      </c>
      <c r="R170" s="14">
        <f t="shared" ca="1" si="50"/>
        <v>6.822024498542274</v>
      </c>
      <c r="S170" s="14">
        <f t="shared" si="51"/>
        <v>6.8130864516129028</v>
      </c>
      <c r="T170" s="14">
        <f t="shared" ca="1" si="52"/>
        <v>8.9380469293711684E-3</v>
      </c>
      <c r="U170" s="16">
        <f t="shared" ca="1" si="53"/>
        <v>1.3118939547956581E-3</v>
      </c>
      <c r="V170" s="14">
        <f t="shared" si="54"/>
        <v>1.4000000000000004</v>
      </c>
      <c r="W170" s="14">
        <f t="shared" ca="1" si="55"/>
        <v>1.177975501457726</v>
      </c>
      <c r="X170" s="14">
        <f t="shared" ca="1" si="56"/>
        <v>0.22202449854227435</v>
      </c>
      <c r="Y170" s="28">
        <f t="shared" ca="1" si="57"/>
        <v>0.15858892753019593</v>
      </c>
      <c r="Z170" s="29">
        <f t="shared" ca="1" si="58"/>
        <v>34.135705999999999</v>
      </c>
      <c r="AA170" s="16">
        <f t="shared" ca="1" si="59"/>
        <v>7.2399293478260823E-2</v>
      </c>
      <c r="AB170" s="2"/>
    </row>
    <row r="171" spans="6:28" x14ac:dyDescent="0.25">
      <c r="F171" s="13">
        <v>169</v>
      </c>
      <c r="G171" s="13">
        <f t="shared" si="40"/>
        <v>36.900000000000006</v>
      </c>
      <c r="H171" s="13">
        <f t="shared" si="41"/>
        <v>310.04999999999995</v>
      </c>
      <c r="I171" s="14">
        <f t="shared" si="42"/>
        <v>1.4083330000000001</v>
      </c>
      <c r="J171" s="14">
        <f t="shared" si="43"/>
        <v>6043.7553369999996</v>
      </c>
      <c r="K171" s="14">
        <f t="shared" si="44"/>
        <v>5.0637553369999999</v>
      </c>
      <c r="L171" s="14">
        <f t="shared" si="45"/>
        <v>1868.16482</v>
      </c>
      <c r="M171" s="14">
        <v>1864.64</v>
      </c>
      <c r="N171" s="13">
        <f t="shared" si="46"/>
        <v>1.8681648200000001</v>
      </c>
      <c r="O171" s="13">
        <f t="shared" si="47"/>
        <v>1.8449899999999997</v>
      </c>
      <c r="P171" s="13">
        <f t="shared" si="48"/>
        <v>2.3174820000000373E-2</v>
      </c>
      <c r="Q171" s="16">
        <f t="shared" si="49"/>
        <v>1.2560946129789526E-2</v>
      </c>
      <c r="R171" s="14">
        <f t="shared" ca="1" si="50"/>
        <v>6.8150345014577258</v>
      </c>
      <c r="S171" s="14">
        <f t="shared" si="51"/>
        <v>6.8046405376344072</v>
      </c>
      <c r="T171" s="14">
        <f t="shared" ca="1" si="52"/>
        <v>1.0393963823318586E-2</v>
      </c>
      <c r="U171" s="16">
        <f t="shared" ca="1" si="53"/>
        <v>1.5274816892725954E-3</v>
      </c>
      <c r="V171" s="14">
        <f t="shared" si="54"/>
        <v>1.4083333333333341</v>
      </c>
      <c r="W171" s="14">
        <f t="shared" ca="1" si="55"/>
        <v>1.1849654985422742</v>
      </c>
      <c r="X171" s="14">
        <f t="shared" ca="1" si="56"/>
        <v>0.22336783479105993</v>
      </c>
      <c r="Y171" s="28">
        <f t="shared" ca="1" si="57"/>
        <v>0.15860437973329691</v>
      </c>
      <c r="Z171" s="29">
        <f t="shared" ca="1" si="58"/>
        <v>34.219586</v>
      </c>
      <c r="AA171" s="16">
        <f t="shared" ca="1" si="59"/>
        <v>7.263994579945815E-2</v>
      </c>
      <c r="AB171" s="2"/>
    </row>
    <row r="172" spans="6:28" x14ac:dyDescent="0.25">
      <c r="F172" s="13">
        <v>170</v>
      </c>
      <c r="G172" s="13">
        <f t="shared" si="40"/>
        <v>37</v>
      </c>
      <c r="H172" s="13">
        <f t="shared" si="41"/>
        <v>310.14999999999998</v>
      </c>
      <c r="I172" s="14">
        <f t="shared" si="42"/>
        <v>1.4166669999999999</v>
      </c>
      <c r="J172" s="14">
        <f t="shared" si="43"/>
        <v>6019.0957310000003</v>
      </c>
      <c r="K172" s="14">
        <f t="shared" si="44"/>
        <v>5.0390957310000006</v>
      </c>
      <c r="L172" s="14">
        <f t="shared" si="45"/>
        <v>1865.817583</v>
      </c>
      <c r="M172" s="14">
        <v>1861.89</v>
      </c>
      <c r="N172" s="13">
        <f t="shared" si="46"/>
        <v>1.8658175829999999</v>
      </c>
      <c r="O172" s="13">
        <f t="shared" si="47"/>
        <v>1.8426999999999998</v>
      </c>
      <c r="P172" s="13">
        <f t="shared" si="48"/>
        <v>2.3117583000000108E-2</v>
      </c>
      <c r="Q172" s="16">
        <f t="shared" si="49"/>
        <v>1.2545494654583008E-2</v>
      </c>
      <c r="R172" s="14">
        <f t="shared" ca="1" si="50"/>
        <v>6.805680227405249</v>
      </c>
      <c r="S172" s="14">
        <f t="shared" si="51"/>
        <v>6.7961946236559125</v>
      </c>
      <c r="T172" s="14">
        <f t="shared" ca="1" si="52"/>
        <v>9.4856037493364909E-3</v>
      </c>
      <c r="U172" s="16">
        <f t="shared" ca="1" si="53"/>
        <v>1.3957227940941236E-3</v>
      </c>
      <c r="V172" s="14">
        <f t="shared" si="54"/>
        <v>1.4166666666666679</v>
      </c>
      <c r="W172" s="14">
        <f t="shared" ca="1" si="55"/>
        <v>1.194319772594751</v>
      </c>
      <c r="X172" s="14">
        <f t="shared" ca="1" si="56"/>
        <v>0.22234689407191688</v>
      </c>
      <c r="Y172" s="28">
        <f t="shared" ca="1" si="57"/>
        <v>0.15695074875664708</v>
      </c>
      <c r="Z172" s="29">
        <f t="shared" ca="1" si="58"/>
        <v>34.331837</v>
      </c>
      <c r="AA172" s="16">
        <f t="shared" ca="1" si="59"/>
        <v>7.2112513513513513E-2</v>
      </c>
      <c r="AB172" s="2"/>
    </row>
    <row r="173" spans="6:28" x14ac:dyDescent="0.25">
      <c r="F173" s="13">
        <v>171</v>
      </c>
      <c r="G173" s="13">
        <f t="shared" si="40"/>
        <v>37.1</v>
      </c>
      <c r="H173" s="13">
        <f t="shared" si="41"/>
        <v>310.25</v>
      </c>
      <c r="I173" s="14">
        <f t="shared" si="42"/>
        <v>1.425</v>
      </c>
      <c r="J173" s="14">
        <f t="shared" si="43"/>
        <v>5994.5505780000003</v>
      </c>
      <c r="K173" s="14">
        <f t="shared" si="44"/>
        <v>5.0145505780000006</v>
      </c>
      <c r="L173" s="14">
        <f t="shared" si="45"/>
        <v>1863.4680490000001</v>
      </c>
      <c r="M173" s="14">
        <v>1860.01</v>
      </c>
      <c r="N173" s="13">
        <f t="shared" si="46"/>
        <v>1.8634680490000002</v>
      </c>
      <c r="O173" s="13">
        <f t="shared" si="47"/>
        <v>1.8404099999999999</v>
      </c>
      <c r="P173" s="13">
        <f t="shared" si="48"/>
        <v>2.3058049000000302E-2</v>
      </c>
      <c r="Q173" s="16">
        <f t="shared" si="49"/>
        <v>1.2528756635749807E-2</v>
      </c>
      <c r="R173" s="14">
        <f t="shared" ca="1" si="50"/>
        <v>6.7971102274052484</v>
      </c>
      <c r="S173" s="14">
        <f t="shared" si="51"/>
        <v>6.7877487096774187</v>
      </c>
      <c r="T173" s="14">
        <f t="shared" ca="1" si="52"/>
        <v>9.3615177278296713E-3</v>
      </c>
      <c r="U173" s="16">
        <f t="shared" ca="1" si="53"/>
        <v>1.3791785948826865E-3</v>
      </c>
      <c r="V173" s="14">
        <f t="shared" si="54"/>
        <v>1.4249999999999998</v>
      </c>
      <c r="W173" s="14">
        <f t="shared" ca="1" si="55"/>
        <v>1.2028897725947516</v>
      </c>
      <c r="X173" s="14">
        <f t="shared" ca="1" si="56"/>
        <v>0.22211022740524822</v>
      </c>
      <c r="Y173" s="28">
        <f t="shared" ca="1" si="57"/>
        <v>0.15586682624929701</v>
      </c>
      <c r="Z173" s="29">
        <f t="shared" ca="1" si="58"/>
        <v>34.434677000000001</v>
      </c>
      <c r="AA173" s="16">
        <f t="shared" ca="1" si="59"/>
        <v>7.1841590296495977E-2</v>
      </c>
      <c r="AB173" s="2"/>
    </row>
    <row r="174" spans="6:28" x14ac:dyDescent="0.25">
      <c r="F174" s="13">
        <v>172</v>
      </c>
      <c r="G174" s="13">
        <f t="shared" si="40"/>
        <v>37.200000000000003</v>
      </c>
      <c r="H174" s="13">
        <f t="shared" si="41"/>
        <v>310.34999999999997</v>
      </c>
      <c r="I174" s="14">
        <f t="shared" si="42"/>
        <v>1.433333</v>
      </c>
      <c r="J174" s="14">
        <f t="shared" si="43"/>
        <v>5970.1192879999999</v>
      </c>
      <c r="K174" s="14">
        <f t="shared" si="44"/>
        <v>4.9901192879999998</v>
      </c>
      <c r="L174" s="14">
        <f t="shared" si="45"/>
        <v>1861.116233</v>
      </c>
      <c r="M174" s="14">
        <v>1857.25</v>
      </c>
      <c r="N174" s="13">
        <f t="shared" si="46"/>
        <v>1.861116233</v>
      </c>
      <c r="O174" s="13">
        <f t="shared" si="47"/>
        <v>1.83812</v>
      </c>
      <c r="P174" s="13">
        <f t="shared" si="48"/>
        <v>2.2996232999999977E-2</v>
      </c>
      <c r="Q174" s="16">
        <f t="shared" si="49"/>
        <v>1.2510735425325863E-2</v>
      </c>
      <c r="R174" s="14">
        <f t="shared" ca="1" si="50"/>
        <v>6.7877614985422738</v>
      </c>
      <c r="S174" s="14">
        <f t="shared" si="51"/>
        <v>6.779302795698924</v>
      </c>
      <c r="T174" s="14">
        <f t="shared" ca="1" si="52"/>
        <v>8.458702843349819E-3</v>
      </c>
      <c r="U174" s="16">
        <f t="shared" ca="1" si="53"/>
        <v>1.2477245962101556E-3</v>
      </c>
      <c r="V174" s="14">
        <f t="shared" si="54"/>
        <v>1.4333333333333336</v>
      </c>
      <c r="W174" s="14">
        <f t="shared" ca="1" si="55"/>
        <v>1.2122385014577262</v>
      </c>
      <c r="X174" s="14">
        <f t="shared" ca="1" si="56"/>
        <v>0.22109483187560741</v>
      </c>
      <c r="Y174" s="28">
        <f t="shared" ca="1" si="57"/>
        <v>0.15425220828530747</v>
      </c>
      <c r="Z174" s="29">
        <f t="shared" ca="1" si="58"/>
        <v>34.546861999999997</v>
      </c>
      <c r="AA174" s="16">
        <f t="shared" ca="1" si="59"/>
        <v>7.1320913978494771E-2</v>
      </c>
      <c r="AB174" s="2"/>
    </row>
    <row r="175" spans="6:28" x14ac:dyDescent="0.25">
      <c r="F175" s="13">
        <v>173</v>
      </c>
      <c r="G175" s="13">
        <f t="shared" si="40"/>
        <v>37.299999999999997</v>
      </c>
      <c r="H175" s="13">
        <f t="shared" si="41"/>
        <v>310.45</v>
      </c>
      <c r="I175" s="14">
        <f t="shared" si="42"/>
        <v>1.441667</v>
      </c>
      <c r="J175" s="14">
        <f t="shared" si="43"/>
        <v>5945.801273</v>
      </c>
      <c r="K175" s="14">
        <f t="shared" si="44"/>
        <v>4.9658012730000003</v>
      </c>
      <c r="L175" s="14">
        <f t="shared" si="45"/>
        <v>1858.762154</v>
      </c>
      <c r="M175" s="14">
        <v>1855.36</v>
      </c>
      <c r="N175" s="13">
        <f t="shared" si="46"/>
        <v>1.8587621540000001</v>
      </c>
      <c r="O175" s="13">
        <f t="shared" si="47"/>
        <v>1.8358300000000001</v>
      </c>
      <c r="P175" s="13">
        <f t="shared" si="48"/>
        <v>2.2932154000000038E-2</v>
      </c>
      <c r="Q175" s="16">
        <f t="shared" si="49"/>
        <v>1.2491436570924342E-2</v>
      </c>
      <c r="R175" s="14">
        <f t="shared" ca="1" si="50"/>
        <v>6.7791744985422744</v>
      </c>
      <c r="S175" s="14">
        <f t="shared" si="51"/>
        <v>6.7708568817204302</v>
      </c>
      <c r="T175" s="14">
        <f t="shared" ca="1" si="52"/>
        <v>8.3176168218441759E-3</v>
      </c>
      <c r="U175" s="16">
        <f t="shared" ca="1" si="53"/>
        <v>1.2284437504948007E-3</v>
      </c>
      <c r="V175" s="14">
        <f t="shared" si="54"/>
        <v>1.4416666666666664</v>
      </c>
      <c r="W175" s="14">
        <f t="shared" ca="1" si="55"/>
        <v>1.2208255014577256</v>
      </c>
      <c r="X175" s="14">
        <f t="shared" ca="1" si="56"/>
        <v>0.22084116520894082</v>
      </c>
      <c r="Y175" s="28">
        <f t="shared" ca="1" si="57"/>
        <v>0.15318462326631735</v>
      </c>
      <c r="Z175" s="29">
        <f t="shared" ca="1" si="58"/>
        <v>34.649906000000001</v>
      </c>
      <c r="AA175" s="16">
        <f t="shared" ca="1" si="59"/>
        <v>7.1048096514745196E-2</v>
      </c>
      <c r="AB175" s="2"/>
    </row>
    <row r="176" spans="6:28" x14ac:dyDescent="0.25">
      <c r="F176" s="13">
        <v>174</v>
      </c>
      <c r="G176" s="13">
        <f t="shared" si="40"/>
        <v>37.400000000000006</v>
      </c>
      <c r="H176" s="13">
        <f t="shared" si="41"/>
        <v>310.54999999999995</v>
      </c>
      <c r="I176" s="14">
        <f t="shared" si="42"/>
        <v>1.45</v>
      </c>
      <c r="J176" s="14">
        <f t="shared" si="43"/>
        <v>5921.5959480000001</v>
      </c>
      <c r="K176" s="14">
        <f t="shared" si="44"/>
        <v>4.9415959480000007</v>
      </c>
      <c r="L176" s="14">
        <f t="shared" si="45"/>
        <v>1856.4058259999999</v>
      </c>
      <c r="M176" s="14">
        <v>1852.58</v>
      </c>
      <c r="N176" s="13">
        <f t="shared" si="46"/>
        <v>1.8564058259999998</v>
      </c>
      <c r="O176" s="13">
        <f t="shared" si="47"/>
        <v>1.8335399999999997</v>
      </c>
      <c r="P176" s="13">
        <f t="shared" si="48"/>
        <v>2.2865826000000089E-2</v>
      </c>
      <c r="Q176" s="16">
        <f t="shared" si="49"/>
        <v>1.2470862920907148E-2</v>
      </c>
      <c r="R176" s="14">
        <f t="shared" ca="1" si="50"/>
        <v>6.7709756355685125</v>
      </c>
      <c r="S176" s="14">
        <f t="shared" si="51"/>
        <v>6.7624109677419337</v>
      </c>
      <c r="T176" s="14">
        <f t="shared" ca="1" si="52"/>
        <v>8.5646678265787202E-3</v>
      </c>
      <c r="U176" s="16">
        <f t="shared" ca="1" si="53"/>
        <v>1.2665109925193716E-3</v>
      </c>
      <c r="V176" s="14">
        <f t="shared" si="54"/>
        <v>1.4500000000000011</v>
      </c>
      <c r="W176" s="14">
        <f t="shared" ca="1" si="55"/>
        <v>1.2290243644314875</v>
      </c>
      <c r="X176" s="14">
        <f t="shared" ca="1" si="56"/>
        <v>0.22097563556851352</v>
      </c>
      <c r="Y176" s="28">
        <f t="shared" ca="1" si="57"/>
        <v>0.1523969900472506</v>
      </c>
      <c r="Z176" s="29">
        <f t="shared" ca="1" si="58"/>
        <v>34.748291999999999</v>
      </c>
      <c r="AA176" s="16">
        <f t="shared" ca="1" si="59"/>
        <v>7.0901283422460049E-2</v>
      </c>
      <c r="AB176" s="2"/>
    </row>
    <row r="177" spans="6:28" x14ac:dyDescent="0.25">
      <c r="F177" s="13">
        <v>175</v>
      </c>
      <c r="G177" s="13">
        <f t="shared" si="40"/>
        <v>37.5</v>
      </c>
      <c r="H177" s="13">
        <f t="shared" si="41"/>
        <v>310.64999999999998</v>
      </c>
      <c r="I177" s="14">
        <f t="shared" si="42"/>
        <v>1.4583330000000001</v>
      </c>
      <c r="J177" s="14">
        <f t="shared" si="43"/>
        <v>5897.5027330000003</v>
      </c>
      <c r="K177" s="14">
        <f t="shared" si="44"/>
        <v>4.9175027330000001</v>
      </c>
      <c r="L177" s="14">
        <f t="shared" si="45"/>
        <v>1854.047266</v>
      </c>
      <c r="M177" s="14">
        <v>1850.24</v>
      </c>
      <c r="N177" s="13">
        <f t="shared" si="46"/>
        <v>1.854047266</v>
      </c>
      <c r="O177" s="13">
        <f t="shared" si="47"/>
        <v>1.8312499999999998</v>
      </c>
      <c r="P177" s="13">
        <f t="shared" si="48"/>
        <v>2.2797266000000205E-2</v>
      </c>
      <c r="Q177" s="16">
        <f t="shared" si="49"/>
        <v>1.2449018976109328E-2</v>
      </c>
      <c r="R177" s="14">
        <f t="shared" ca="1" si="50"/>
        <v>6.7627687725947512</v>
      </c>
      <c r="S177" s="14">
        <f t="shared" si="51"/>
        <v>6.7539650537634399</v>
      </c>
      <c r="T177" s="14">
        <f t="shared" ca="1" si="52"/>
        <v>8.803718831311258E-3</v>
      </c>
      <c r="U177" s="16">
        <f t="shared" ca="1" si="53"/>
        <v>1.3034889522275002E-3</v>
      </c>
      <c r="V177" s="14">
        <f t="shared" si="54"/>
        <v>1.4583333333333339</v>
      </c>
      <c r="W177" s="14">
        <f t="shared" ca="1" si="55"/>
        <v>1.2372312274052488</v>
      </c>
      <c r="X177" s="14">
        <f t="shared" ca="1" si="56"/>
        <v>0.2211021059280851</v>
      </c>
      <c r="Y177" s="28">
        <f t="shared" ca="1" si="57"/>
        <v>0.15161287263640116</v>
      </c>
      <c r="Z177" s="29">
        <f t="shared" ca="1" si="58"/>
        <v>34.846775000000001</v>
      </c>
      <c r="AA177" s="16">
        <f t="shared" ca="1" si="59"/>
        <v>7.0752666666666644E-2</v>
      </c>
      <c r="AB177" s="2"/>
    </row>
    <row r="178" spans="6:28" x14ac:dyDescent="0.25">
      <c r="F178" s="13">
        <v>176</v>
      </c>
      <c r="G178" s="13">
        <f t="shared" si="40"/>
        <v>37.6</v>
      </c>
      <c r="H178" s="13">
        <f t="shared" si="41"/>
        <v>310.75</v>
      </c>
      <c r="I178" s="14">
        <f t="shared" si="42"/>
        <v>1.4666669999999999</v>
      </c>
      <c r="J178" s="14">
        <f t="shared" si="43"/>
        <v>5873.5210489999999</v>
      </c>
      <c r="K178" s="14">
        <f t="shared" si="44"/>
        <v>4.8935210490000003</v>
      </c>
      <c r="L178" s="14">
        <f t="shared" si="45"/>
        <v>1851.6864909999999</v>
      </c>
      <c r="M178" s="14">
        <v>1848.11</v>
      </c>
      <c r="N178" s="13">
        <f t="shared" si="46"/>
        <v>1.8516864910000002</v>
      </c>
      <c r="O178" s="13">
        <f t="shared" si="47"/>
        <v>1.8289599999999999</v>
      </c>
      <c r="P178" s="13">
        <f t="shared" si="48"/>
        <v>2.2726491000000237E-2</v>
      </c>
      <c r="Q178" s="16">
        <f t="shared" si="49"/>
        <v>1.24259092599074E-2</v>
      </c>
      <c r="R178" s="14">
        <f t="shared" ca="1" si="50"/>
        <v>6.7533654985422737</v>
      </c>
      <c r="S178" s="14">
        <f t="shared" si="51"/>
        <v>6.7455191397849452</v>
      </c>
      <c r="T178" s="14">
        <f t="shared" ca="1" si="52"/>
        <v>7.8463587573285309E-3</v>
      </c>
      <c r="U178" s="16">
        <f t="shared" ca="1" si="53"/>
        <v>1.1631956851253825E-3</v>
      </c>
      <c r="V178" s="14">
        <f t="shared" si="54"/>
        <v>1.4666666666666677</v>
      </c>
      <c r="W178" s="14">
        <f t="shared" ca="1" si="55"/>
        <v>1.2466345014577263</v>
      </c>
      <c r="X178" s="14">
        <f t="shared" ca="1" si="56"/>
        <v>0.22003216520894142</v>
      </c>
      <c r="Y178" s="28">
        <f t="shared" ca="1" si="57"/>
        <v>0.15002193082427814</v>
      </c>
      <c r="Z178" s="29">
        <f t="shared" ca="1" si="58"/>
        <v>34.959614000000002</v>
      </c>
      <c r="AA178" s="16">
        <f t="shared" ca="1" si="59"/>
        <v>7.0223031914893597E-2</v>
      </c>
      <c r="AB178" s="2"/>
    </row>
    <row r="179" spans="6:28" x14ac:dyDescent="0.25">
      <c r="F179" s="13">
        <v>177</v>
      </c>
      <c r="G179" s="13">
        <f t="shared" si="40"/>
        <v>37.700000000000003</v>
      </c>
      <c r="H179" s="13">
        <f t="shared" si="41"/>
        <v>310.84999999999997</v>
      </c>
      <c r="I179" s="14">
        <f t="shared" si="42"/>
        <v>1.4750000000000001</v>
      </c>
      <c r="J179" s="14">
        <f t="shared" si="43"/>
        <v>5849.6503220000004</v>
      </c>
      <c r="K179" s="14">
        <f t="shared" si="44"/>
        <v>4.8696503220000009</v>
      </c>
      <c r="L179" s="14">
        <f t="shared" si="45"/>
        <v>1849.323517</v>
      </c>
      <c r="M179" s="14">
        <v>1845.53</v>
      </c>
      <c r="N179" s="13">
        <f t="shared" si="46"/>
        <v>1.8493235170000002</v>
      </c>
      <c r="O179" s="13">
        <f t="shared" si="47"/>
        <v>1.82667</v>
      </c>
      <c r="P179" s="13">
        <f t="shared" si="48"/>
        <v>2.2653517000000178E-2</v>
      </c>
      <c r="Q179" s="16">
        <f t="shared" si="49"/>
        <v>1.2401537770916574E-2</v>
      </c>
      <c r="R179" s="14">
        <f t="shared" ca="1" si="50"/>
        <v>6.7455280000000002</v>
      </c>
      <c r="S179" s="14">
        <f t="shared" si="51"/>
        <v>6.7370732258064514</v>
      </c>
      <c r="T179" s="14">
        <f t="shared" ca="1" si="52"/>
        <v>8.4547741935487863E-3</v>
      </c>
      <c r="U179" s="16">
        <f t="shared" ca="1" si="53"/>
        <v>1.2549624904124031E-3</v>
      </c>
      <c r="V179" s="14">
        <f t="shared" si="54"/>
        <v>1.4749999999999996</v>
      </c>
      <c r="W179" s="14">
        <f t="shared" ca="1" si="55"/>
        <v>1.2544719999999998</v>
      </c>
      <c r="X179" s="14">
        <f t="shared" ca="1" si="56"/>
        <v>0.22052799999999984</v>
      </c>
      <c r="Y179" s="28">
        <f t="shared" ca="1" si="57"/>
        <v>0.1495105084745762</v>
      </c>
      <c r="Z179" s="29">
        <f t="shared" ca="1" si="58"/>
        <v>35.053663999999998</v>
      </c>
      <c r="AA179" s="16">
        <f t="shared" ca="1" si="59"/>
        <v>7.0194588859416582E-2</v>
      </c>
      <c r="AB179" s="2"/>
    </row>
    <row r="180" spans="6:28" x14ac:dyDescent="0.25">
      <c r="F180" s="13">
        <v>178</v>
      </c>
      <c r="G180" s="13">
        <f t="shared" si="40"/>
        <v>37.799999999999997</v>
      </c>
      <c r="H180" s="13">
        <f t="shared" si="41"/>
        <v>310.95</v>
      </c>
      <c r="I180" s="14">
        <f t="shared" si="42"/>
        <v>1.483333</v>
      </c>
      <c r="J180" s="14">
        <f t="shared" si="43"/>
        <v>5825.8899810000003</v>
      </c>
      <c r="K180" s="14">
        <f t="shared" si="44"/>
        <v>4.845889981</v>
      </c>
      <c r="L180" s="14">
        <f t="shared" si="45"/>
        <v>1846.958361</v>
      </c>
      <c r="M180" s="14">
        <v>1842.95</v>
      </c>
      <c r="N180" s="13">
        <f t="shared" si="46"/>
        <v>1.846958361</v>
      </c>
      <c r="O180" s="13">
        <f t="shared" si="47"/>
        <v>1.8243800000000001</v>
      </c>
      <c r="P180" s="13">
        <f t="shared" si="48"/>
        <v>2.257836099999988E-2</v>
      </c>
      <c r="Q180" s="16">
        <f t="shared" si="49"/>
        <v>1.2375909075959986E-2</v>
      </c>
      <c r="R180" s="14">
        <f t="shared" ca="1" si="50"/>
        <v>6.7376825014577255</v>
      </c>
      <c r="S180" s="14">
        <f t="shared" si="51"/>
        <v>6.7286273118279567</v>
      </c>
      <c r="T180" s="14">
        <f t="shared" ca="1" si="52"/>
        <v>9.0551896297688117E-3</v>
      </c>
      <c r="U180" s="16">
        <f t="shared" ca="1" si="53"/>
        <v>1.3457707211471043E-3</v>
      </c>
      <c r="V180" s="14">
        <f t="shared" si="54"/>
        <v>1.4833333333333334</v>
      </c>
      <c r="W180" s="14">
        <f t="shared" ca="1" si="55"/>
        <v>1.2623174985422745</v>
      </c>
      <c r="X180" s="14">
        <f t="shared" ca="1" si="56"/>
        <v>0.22101583479105891</v>
      </c>
      <c r="Y180" s="28">
        <f t="shared" ca="1" si="57"/>
        <v>0.14899943918498354</v>
      </c>
      <c r="Z180" s="29">
        <f t="shared" ca="1" si="58"/>
        <v>35.14781</v>
      </c>
      <c r="AA180" s="16">
        <f t="shared" ca="1" si="59"/>
        <v>7.0163756613756553E-2</v>
      </c>
      <c r="AB180" s="2"/>
    </row>
    <row r="181" spans="6:28" x14ac:dyDescent="0.25">
      <c r="F181" s="13">
        <v>179</v>
      </c>
      <c r="G181" s="13">
        <f t="shared" si="40"/>
        <v>37.900000000000006</v>
      </c>
      <c r="H181" s="13">
        <f t="shared" si="41"/>
        <v>311.04999999999995</v>
      </c>
      <c r="I181" s="14">
        <f t="shared" si="42"/>
        <v>1.4916670000000001</v>
      </c>
      <c r="J181" s="14">
        <f t="shared" si="43"/>
        <v>5802.2394569999997</v>
      </c>
      <c r="K181" s="14">
        <f t="shared" si="44"/>
        <v>4.8222394570000002</v>
      </c>
      <c r="L181" s="14">
        <f t="shared" si="45"/>
        <v>1844.5910389999999</v>
      </c>
      <c r="M181" s="14">
        <v>1840.8</v>
      </c>
      <c r="N181" s="13">
        <f t="shared" si="46"/>
        <v>1.844591039</v>
      </c>
      <c r="O181" s="13">
        <f t="shared" si="47"/>
        <v>1.8220899999999998</v>
      </c>
      <c r="P181" s="13">
        <f t="shared" si="48"/>
        <v>2.2501039000000223E-2</v>
      </c>
      <c r="Q181" s="16">
        <f t="shared" si="49"/>
        <v>1.2349027215999333E-2</v>
      </c>
      <c r="R181" s="14">
        <f t="shared" ca="1" si="50"/>
        <v>6.7282552274052483</v>
      </c>
      <c r="S181" s="14">
        <f t="shared" si="51"/>
        <v>6.7201813978494611</v>
      </c>
      <c r="T181" s="14">
        <f t="shared" ca="1" si="52"/>
        <v>8.0738295557871709E-3</v>
      </c>
      <c r="U181" s="16">
        <f t="shared" ca="1" si="53"/>
        <v>1.2014303004336897E-3</v>
      </c>
      <c r="V181" s="14">
        <f t="shared" si="54"/>
        <v>1.4916666666666671</v>
      </c>
      <c r="W181" s="14">
        <f t="shared" ca="1" si="55"/>
        <v>1.2717447725947517</v>
      </c>
      <c r="X181" s="14">
        <f t="shared" ca="1" si="56"/>
        <v>0.21992189407191542</v>
      </c>
      <c r="Y181" s="28">
        <f t="shared" ca="1" si="57"/>
        <v>0.14743367200351867</v>
      </c>
      <c r="Z181" s="29">
        <f t="shared" ca="1" si="58"/>
        <v>35.260936999999998</v>
      </c>
      <c r="AA181" s="16">
        <f t="shared" ca="1" si="59"/>
        <v>6.9632269129287785E-2</v>
      </c>
      <c r="AB181" s="2"/>
    </row>
    <row r="182" spans="6:28" x14ac:dyDescent="0.25">
      <c r="F182" s="13">
        <v>180</v>
      </c>
      <c r="G182" s="13">
        <f t="shared" si="40"/>
        <v>38</v>
      </c>
      <c r="H182" s="13">
        <f t="shared" si="41"/>
        <v>311.14999999999998</v>
      </c>
      <c r="I182" s="14">
        <f t="shared" si="42"/>
        <v>1.5</v>
      </c>
      <c r="J182" s="14">
        <f t="shared" si="43"/>
        <v>5778.6981859999996</v>
      </c>
      <c r="K182" s="14">
        <f t="shared" si="44"/>
        <v>4.7986981859999993</v>
      </c>
      <c r="L182" s="14">
        <f t="shared" si="45"/>
        <v>1842.2215679999999</v>
      </c>
      <c r="M182" s="14">
        <v>1838.2</v>
      </c>
      <c r="N182" s="13">
        <f t="shared" si="46"/>
        <v>1.8422215679999998</v>
      </c>
      <c r="O182" s="13">
        <f t="shared" si="47"/>
        <v>1.8197999999999999</v>
      </c>
      <c r="P182" s="13">
        <f t="shared" si="48"/>
        <v>2.2421567999999947E-2</v>
      </c>
      <c r="Q182" s="16">
        <f t="shared" si="49"/>
        <v>1.2320896801846329E-2</v>
      </c>
      <c r="R182" s="14">
        <f t="shared" ca="1" si="50"/>
        <v>6.7192376355685131</v>
      </c>
      <c r="S182" s="14">
        <f t="shared" si="51"/>
        <v>6.7117354838709673</v>
      </c>
      <c r="T182" s="14">
        <f t="shared" ca="1" si="52"/>
        <v>7.5021516975457558E-3</v>
      </c>
      <c r="U182" s="16">
        <f t="shared" ca="1" si="53"/>
        <v>1.1177662939152243E-3</v>
      </c>
      <c r="V182" s="14">
        <f t="shared" si="54"/>
        <v>1.5</v>
      </c>
      <c r="W182" s="14">
        <f t="shared" ca="1" si="55"/>
        <v>1.2807623644314869</v>
      </c>
      <c r="X182" s="14">
        <f t="shared" ca="1" si="56"/>
        <v>0.21923763556851306</v>
      </c>
      <c r="Y182" s="28">
        <f t="shared" ca="1" si="57"/>
        <v>0.14615842371234203</v>
      </c>
      <c r="Z182" s="29">
        <f t="shared" ca="1" si="58"/>
        <v>35.369148000000003</v>
      </c>
      <c r="AA182" s="16">
        <f t="shared" ca="1" si="59"/>
        <v>6.9232947368420977E-2</v>
      </c>
      <c r="AB182" s="2"/>
    </row>
    <row r="183" spans="6:28" x14ac:dyDescent="0.25">
      <c r="F183" s="13">
        <v>181</v>
      </c>
      <c r="G183" s="13">
        <f t="shared" si="40"/>
        <v>38.1</v>
      </c>
      <c r="H183" s="13">
        <f t="shared" si="41"/>
        <v>311.25</v>
      </c>
      <c r="I183" s="14">
        <f t="shared" si="42"/>
        <v>1.5083329999999999</v>
      </c>
      <c r="J183" s="14">
        <f t="shared" si="43"/>
        <v>5755.2656049999996</v>
      </c>
      <c r="K183" s="14">
        <f t="shared" si="44"/>
        <v>4.7752656049999995</v>
      </c>
      <c r="L183" s="14">
        <f t="shared" si="45"/>
        <v>1839.849966</v>
      </c>
      <c r="M183" s="14">
        <v>1836.03</v>
      </c>
      <c r="N183" s="13">
        <f t="shared" si="46"/>
        <v>1.8398499660000001</v>
      </c>
      <c r="O183" s="13">
        <f t="shared" si="47"/>
        <v>1.81751</v>
      </c>
      <c r="P183" s="13">
        <f t="shared" si="48"/>
        <v>2.23399660000001E-2</v>
      </c>
      <c r="Q183" s="16">
        <f t="shared" si="49"/>
        <v>1.2291523017755115E-2</v>
      </c>
      <c r="R183" s="14">
        <f t="shared" ca="1" si="50"/>
        <v>6.7113691370262387</v>
      </c>
      <c r="S183" s="14">
        <f t="shared" si="51"/>
        <v>6.7032895698924726</v>
      </c>
      <c r="T183" s="14">
        <f t="shared" ca="1" si="52"/>
        <v>8.079567133766119E-3</v>
      </c>
      <c r="U183" s="16">
        <f t="shared" ca="1" si="53"/>
        <v>1.2053137567046388E-3</v>
      </c>
      <c r="V183" s="14">
        <f t="shared" si="54"/>
        <v>1.5083333333333337</v>
      </c>
      <c r="W183" s="14">
        <f t="shared" ca="1" si="55"/>
        <v>1.2886308629737613</v>
      </c>
      <c r="X183" s="14">
        <f t="shared" ca="1" si="56"/>
        <v>0.21970247035957247</v>
      </c>
      <c r="Y183" s="28">
        <f t="shared" ca="1" si="57"/>
        <v>0.14565909637098723</v>
      </c>
      <c r="Z183" s="29">
        <f t="shared" ca="1" si="58"/>
        <v>35.463569999999997</v>
      </c>
      <c r="AA183" s="16">
        <f t="shared" ca="1" si="59"/>
        <v>6.9197637795275699E-2</v>
      </c>
      <c r="AB183" s="2"/>
    </row>
    <row r="184" spans="6:28" x14ac:dyDescent="0.25">
      <c r="F184" s="13">
        <v>182</v>
      </c>
      <c r="G184" s="13">
        <f t="shared" si="40"/>
        <v>38.200000000000003</v>
      </c>
      <c r="H184" s="13">
        <f t="shared" si="41"/>
        <v>311.34999999999997</v>
      </c>
      <c r="I184" s="14">
        <f t="shared" si="42"/>
        <v>1.516667</v>
      </c>
      <c r="J184" s="14">
        <f t="shared" si="43"/>
        <v>5731.9411570000002</v>
      </c>
      <c r="K184" s="14">
        <f t="shared" si="44"/>
        <v>4.7519411570000001</v>
      </c>
      <c r="L184" s="14">
        <f t="shared" si="45"/>
        <v>1837.4762479999999</v>
      </c>
      <c r="M184" s="14">
        <v>1833.42</v>
      </c>
      <c r="N184" s="13">
        <f t="shared" si="46"/>
        <v>1.8374762480000002</v>
      </c>
      <c r="O184" s="13">
        <f t="shared" si="47"/>
        <v>1.8152199999999998</v>
      </c>
      <c r="P184" s="13">
        <f t="shared" si="48"/>
        <v>2.2256248000000367E-2</v>
      </c>
      <c r="Q184" s="16">
        <f t="shared" si="49"/>
        <v>1.2260909421447742E-2</v>
      </c>
      <c r="R184" s="14">
        <f t="shared" ca="1" si="50"/>
        <v>6.7015334985422736</v>
      </c>
      <c r="S184" s="14">
        <f t="shared" si="51"/>
        <v>6.6948436559139779</v>
      </c>
      <c r="T184" s="14">
        <f t="shared" ca="1" si="52"/>
        <v>6.6898426282957502E-3</v>
      </c>
      <c r="U184" s="16">
        <f t="shared" ca="1" si="53"/>
        <v>9.9925300307591048E-4</v>
      </c>
      <c r="V184" s="14">
        <f t="shared" si="54"/>
        <v>1.5166666666666666</v>
      </c>
      <c r="W184" s="14">
        <f t="shared" ca="1" si="55"/>
        <v>1.2984665014577264</v>
      </c>
      <c r="X184" s="14">
        <f t="shared" ca="1" si="56"/>
        <v>0.21820016520894026</v>
      </c>
      <c r="Y184" s="28">
        <f t="shared" ca="1" si="57"/>
        <v>0.14386824079710347</v>
      </c>
      <c r="Z184" s="29">
        <f t="shared" ca="1" si="58"/>
        <v>35.581598</v>
      </c>
      <c r="AA184" s="16">
        <f t="shared" ca="1" si="59"/>
        <v>6.8544554973822072E-2</v>
      </c>
      <c r="AB184" s="2"/>
    </row>
    <row r="185" spans="6:28" x14ac:dyDescent="0.25">
      <c r="F185" s="13">
        <v>183</v>
      </c>
      <c r="G185" s="13">
        <f t="shared" si="40"/>
        <v>38.299999999999997</v>
      </c>
      <c r="H185" s="13">
        <f t="shared" si="41"/>
        <v>311.45</v>
      </c>
      <c r="I185" s="14">
        <f t="shared" si="42"/>
        <v>1.5249999999999999</v>
      </c>
      <c r="J185" s="14">
        <f t="shared" si="43"/>
        <v>5708.7242859999997</v>
      </c>
      <c r="K185" s="14">
        <f t="shared" si="44"/>
        <v>4.7287242859999994</v>
      </c>
      <c r="L185" s="14">
        <f t="shared" si="45"/>
        <v>1835.1004310000001</v>
      </c>
      <c r="M185" s="14">
        <v>1831.03</v>
      </c>
      <c r="N185" s="13">
        <f t="shared" si="46"/>
        <v>1.8351004309999999</v>
      </c>
      <c r="O185" s="13">
        <f t="shared" si="47"/>
        <v>1.8129300000000002</v>
      </c>
      <c r="P185" s="13">
        <f t="shared" si="48"/>
        <v>2.2170430999999713E-2</v>
      </c>
      <c r="Q185" s="16">
        <f t="shared" si="49"/>
        <v>1.2229060691808128E-2</v>
      </c>
      <c r="R185" s="14">
        <f t="shared" ca="1" si="50"/>
        <v>6.6940451370262384</v>
      </c>
      <c r="S185" s="14">
        <f t="shared" si="51"/>
        <v>6.6863977419354841</v>
      </c>
      <c r="T185" s="14">
        <f t="shared" ca="1" si="52"/>
        <v>7.6473950907542942E-3</v>
      </c>
      <c r="U185" s="16">
        <f t="shared" ca="1" si="53"/>
        <v>1.1437242272908273E-3</v>
      </c>
      <c r="V185" s="14">
        <f t="shared" si="54"/>
        <v>1.5249999999999995</v>
      </c>
      <c r="W185" s="14">
        <f t="shared" ca="1" si="55"/>
        <v>1.3059548629737616</v>
      </c>
      <c r="X185" s="14">
        <f t="shared" ca="1" si="56"/>
        <v>0.21904513702623785</v>
      </c>
      <c r="Y185" s="28">
        <f t="shared" ca="1" si="57"/>
        <v>0.14363615542704125</v>
      </c>
      <c r="Z185" s="29">
        <f t="shared" ca="1" si="58"/>
        <v>35.671458000000001</v>
      </c>
      <c r="AA185" s="16">
        <f t="shared" ca="1" si="59"/>
        <v>6.8630339425587369E-2</v>
      </c>
      <c r="AB185" s="2"/>
    </row>
    <row r="186" spans="6:28" x14ac:dyDescent="0.25">
      <c r="F186" s="13">
        <v>184</v>
      </c>
      <c r="G186" s="13">
        <f t="shared" si="40"/>
        <v>38.400000000000006</v>
      </c>
      <c r="H186" s="13">
        <f t="shared" si="41"/>
        <v>311.54999999999995</v>
      </c>
      <c r="I186" s="14">
        <f t="shared" si="42"/>
        <v>1.5333330000000001</v>
      </c>
      <c r="J186" s="14">
        <f t="shared" si="43"/>
        <v>5685.6144400000003</v>
      </c>
      <c r="K186" s="14">
        <f t="shared" si="44"/>
        <v>4.7056144400000006</v>
      </c>
      <c r="L186" s="14">
        <f t="shared" si="45"/>
        <v>1832.7225330000001</v>
      </c>
      <c r="M186" s="14">
        <v>1828.84</v>
      </c>
      <c r="N186" s="13">
        <f t="shared" si="46"/>
        <v>1.8327225330000001</v>
      </c>
      <c r="O186" s="13">
        <f t="shared" si="47"/>
        <v>1.8106399999999998</v>
      </c>
      <c r="P186" s="13">
        <f t="shared" si="48"/>
        <v>2.2082533000000293E-2</v>
      </c>
      <c r="Q186" s="16">
        <f t="shared" si="49"/>
        <v>1.219598208368328E-2</v>
      </c>
      <c r="R186" s="14">
        <f t="shared" ca="1" si="50"/>
        <v>6.684985772594751</v>
      </c>
      <c r="S186" s="14">
        <f t="shared" si="51"/>
        <v>6.6779518279569885</v>
      </c>
      <c r="T186" s="14">
        <f t="shared" ca="1" si="52"/>
        <v>7.0339446377625237E-3</v>
      </c>
      <c r="U186" s="16">
        <f t="shared" ca="1" si="53"/>
        <v>1.0533086819098014E-3</v>
      </c>
      <c r="V186" s="14">
        <f t="shared" si="54"/>
        <v>1.5333333333333332</v>
      </c>
      <c r="W186" s="14">
        <f t="shared" ca="1" si="55"/>
        <v>1.315014227405249</v>
      </c>
      <c r="X186" s="14">
        <f t="shared" ca="1" si="56"/>
        <v>0.21831910592808423</v>
      </c>
      <c r="Y186" s="28">
        <f t="shared" ca="1" si="57"/>
        <v>0.14238202560527233</v>
      </c>
      <c r="Z186" s="29">
        <f t="shared" ca="1" si="58"/>
        <v>35.780171000000003</v>
      </c>
      <c r="AA186" s="16">
        <f t="shared" ca="1" si="59"/>
        <v>6.8224713541666732E-2</v>
      </c>
      <c r="AB186" s="2"/>
    </row>
    <row r="187" spans="6:28" x14ac:dyDescent="0.25">
      <c r="F187" s="13">
        <v>185</v>
      </c>
      <c r="G187" s="13">
        <f t="shared" si="40"/>
        <v>38.5</v>
      </c>
      <c r="H187" s="13">
        <f t="shared" si="41"/>
        <v>311.64999999999998</v>
      </c>
      <c r="I187" s="14">
        <f t="shared" si="42"/>
        <v>1.5416669999999999</v>
      </c>
      <c r="J187" s="14">
        <f t="shared" si="43"/>
        <v>5662.6110680000002</v>
      </c>
      <c r="K187" s="14">
        <f t="shared" si="44"/>
        <v>4.6826110679999999</v>
      </c>
      <c r="L187" s="14">
        <f t="shared" si="45"/>
        <v>1830.34257</v>
      </c>
      <c r="M187" s="14">
        <v>1826.21</v>
      </c>
      <c r="N187" s="13">
        <f t="shared" si="46"/>
        <v>1.83034257</v>
      </c>
      <c r="O187" s="13">
        <f t="shared" si="47"/>
        <v>1.8083499999999999</v>
      </c>
      <c r="P187" s="13">
        <f t="shared" si="48"/>
        <v>2.19925700000001E-2</v>
      </c>
      <c r="Q187" s="16">
        <f t="shared" si="49"/>
        <v>1.2161677772555148E-2</v>
      </c>
      <c r="R187" s="14">
        <f t="shared" ca="1" si="50"/>
        <v>6.6763047725947517</v>
      </c>
      <c r="S187" s="14">
        <f t="shared" si="51"/>
        <v>6.6695059139784938</v>
      </c>
      <c r="T187" s="14">
        <f t="shared" ca="1" si="52"/>
        <v>6.7988586162579523E-3</v>
      </c>
      <c r="U187" s="16">
        <f t="shared" ca="1" si="53"/>
        <v>1.019394645412691E-3</v>
      </c>
      <c r="V187" s="14">
        <f t="shared" si="54"/>
        <v>1.541666666666667</v>
      </c>
      <c r="W187" s="14">
        <f t="shared" ca="1" si="55"/>
        <v>1.3236952274052483</v>
      </c>
      <c r="X187" s="14">
        <f t="shared" ca="1" si="56"/>
        <v>0.21797143926141871</v>
      </c>
      <c r="Y187" s="28">
        <f t="shared" ca="1" si="57"/>
        <v>0.14138687952092022</v>
      </c>
      <c r="Z187" s="29">
        <f t="shared" ca="1" si="58"/>
        <v>35.884343000000001</v>
      </c>
      <c r="AA187" s="16">
        <f t="shared" ca="1" si="59"/>
        <v>6.7939142857142823E-2</v>
      </c>
      <c r="AB187" s="2"/>
    </row>
    <row r="188" spans="6:28" x14ac:dyDescent="0.25">
      <c r="F188" s="13">
        <v>186</v>
      </c>
      <c r="G188" s="13">
        <f t="shared" si="40"/>
        <v>38.6</v>
      </c>
      <c r="H188" s="13">
        <f t="shared" si="41"/>
        <v>311.75</v>
      </c>
      <c r="I188" s="14">
        <f t="shared" si="42"/>
        <v>1.55</v>
      </c>
      <c r="J188" s="14">
        <f t="shared" si="43"/>
        <v>5639.7136270000001</v>
      </c>
      <c r="K188" s="14">
        <f t="shared" si="44"/>
        <v>4.6597136270000004</v>
      </c>
      <c r="L188" s="14">
        <f t="shared" si="45"/>
        <v>1827.9605590000001</v>
      </c>
      <c r="M188" s="14">
        <v>1824.01</v>
      </c>
      <c r="N188" s="13">
        <f t="shared" si="46"/>
        <v>1.8279605590000001</v>
      </c>
      <c r="O188" s="13">
        <f t="shared" si="47"/>
        <v>1.80606</v>
      </c>
      <c r="P188" s="13">
        <f t="shared" si="48"/>
        <v>2.1900559000000097E-2</v>
      </c>
      <c r="Q188" s="16">
        <f t="shared" si="49"/>
        <v>1.2126152508776064E-2</v>
      </c>
      <c r="R188" s="14">
        <f t="shared" ca="1" si="50"/>
        <v>6.6679903644314873</v>
      </c>
      <c r="S188" s="14">
        <f t="shared" si="51"/>
        <v>6.66106</v>
      </c>
      <c r="T188" s="14">
        <f t="shared" ca="1" si="52"/>
        <v>6.9303644314873125E-3</v>
      </c>
      <c r="U188" s="16">
        <f t="shared" ca="1" si="53"/>
        <v>1.0404296660722636E-3</v>
      </c>
      <c r="V188" s="14">
        <f t="shared" si="54"/>
        <v>1.5499999999999998</v>
      </c>
      <c r="W188" s="14">
        <f t="shared" ca="1" si="55"/>
        <v>1.3320096355685127</v>
      </c>
      <c r="X188" s="14">
        <f t="shared" ca="1" si="56"/>
        <v>0.21799036443148712</v>
      </c>
      <c r="Y188" s="28">
        <f t="shared" ca="1" si="57"/>
        <v>0.14063894479450784</v>
      </c>
      <c r="Z188" s="29">
        <f t="shared" ca="1" si="58"/>
        <v>35.984116</v>
      </c>
      <c r="AA188" s="16">
        <f t="shared" ca="1" si="59"/>
        <v>6.776901554404148E-2</v>
      </c>
      <c r="AB188" s="2"/>
    </row>
    <row r="189" spans="6:28" x14ac:dyDescent="0.25">
      <c r="F189" s="13">
        <v>187</v>
      </c>
      <c r="G189" s="13">
        <f t="shared" si="40"/>
        <v>38.700000000000003</v>
      </c>
      <c r="H189" s="13">
        <f t="shared" si="41"/>
        <v>311.84999999999997</v>
      </c>
      <c r="I189" s="14">
        <f t="shared" si="42"/>
        <v>1.558333</v>
      </c>
      <c r="J189" s="14">
        <f t="shared" si="43"/>
        <v>5616.9215709999999</v>
      </c>
      <c r="K189" s="14">
        <f t="shared" si="44"/>
        <v>4.6369215710000002</v>
      </c>
      <c r="L189" s="14">
        <f t="shared" si="45"/>
        <v>1825.576517</v>
      </c>
      <c r="M189" s="14">
        <v>1821.8</v>
      </c>
      <c r="N189" s="13">
        <f t="shared" si="46"/>
        <v>1.825576517</v>
      </c>
      <c r="O189" s="13">
        <f t="shared" si="47"/>
        <v>1.8037699999999999</v>
      </c>
      <c r="P189" s="13">
        <f t="shared" si="48"/>
        <v>2.1806517000000136E-2</v>
      </c>
      <c r="Q189" s="16">
        <f t="shared" si="49"/>
        <v>1.2089411066821234E-2</v>
      </c>
      <c r="R189" s="14">
        <f t="shared" ca="1" si="50"/>
        <v>6.6593051370262391</v>
      </c>
      <c r="S189" s="14">
        <f t="shared" si="51"/>
        <v>6.6526140860215044</v>
      </c>
      <c r="T189" s="14">
        <f t="shared" ca="1" si="52"/>
        <v>6.6910510047346605E-3</v>
      </c>
      <c r="U189" s="16">
        <f t="shared" ca="1" si="53"/>
        <v>1.0057777165812037E-3</v>
      </c>
      <c r="V189" s="14">
        <f t="shared" si="54"/>
        <v>1.5583333333333336</v>
      </c>
      <c r="W189" s="14">
        <f t="shared" ca="1" si="55"/>
        <v>1.3406948629737609</v>
      </c>
      <c r="X189" s="14">
        <f t="shared" ca="1" si="56"/>
        <v>0.21763847035957262</v>
      </c>
      <c r="Y189" s="28">
        <f t="shared" ca="1" si="57"/>
        <v>0.13966105049812144</v>
      </c>
      <c r="Z189" s="29">
        <f t="shared" ca="1" si="58"/>
        <v>36.088338</v>
      </c>
      <c r="AA189" s="16">
        <f t="shared" ca="1" si="59"/>
        <v>6.7484806201550451E-2</v>
      </c>
      <c r="AB189" s="2"/>
    </row>
    <row r="190" spans="6:28" x14ac:dyDescent="0.25">
      <c r="F190" s="13">
        <v>188</v>
      </c>
      <c r="G190" s="13">
        <f t="shared" si="40"/>
        <v>38.799999999999997</v>
      </c>
      <c r="H190" s="13">
        <f t="shared" si="41"/>
        <v>311.95</v>
      </c>
      <c r="I190" s="14">
        <f t="shared" si="42"/>
        <v>1.566667</v>
      </c>
      <c r="J190" s="14">
        <f t="shared" si="43"/>
        <v>5594.2343620000001</v>
      </c>
      <c r="K190" s="14">
        <f t="shared" si="44"/>
        <v>4.6142343620000004</v>
      </c>
      <c r="L190" s="14">
        <f t="shared" si="45"/>
        <v>1823.1904609999999</v>
      </c>
      <c r="M190" s="14">
        <v>1819.16</v>
      </c>
      <c r="N190" s="13">
        <f t="shared" si="46"/>
        <v>1.823190461</v>
      </c>
      <c r="O190" s="13">
        <f t="shared" si="47"/>
        <v>1.80148</v>
      </c>
      <c r="P190" s="13">
        <f t="shared" si="48"/>
        <v>2.171046100000007E-2</v>
      </c>
      <c r="Q190" s="16">
        <f t="shared" si="49"/>
        <v>1.2051458245442674E-2</v>
      </c>
      <c r="R190" s="14">
        <f t="shared" ca="1" si="50"/>
        <v>6.6509875014577258</v>
      </c>
      <c r="S190" s="14">
        <f t="shared" si="51"/>
        <v>6.6441681720430106</v>
      </c>
      <c r="T190" s="14">
        <f t="shared" ca="1" si="52"/>
        <v>6.8193294147151917E-3</v>
      </c>
      <c r="U190" s="16">
        <f t="shared" ca="1" si="53"/>
        <v>1.0263631560996928E-3</v>
      </c>
      <c r="V190" s="14">
        <f t="shared" si="54"/>
        <v>1.5666666666666664</v>
      </c>
      <c r="W190" s="14">
        <f t="shared" ca="1" si="55"/>
        <v>1.3490124985422742</v>
      </c>
      <c r="X190" s="14">
        <f t="shared" ca="1" si="56"/>
        <v>0.2176541681243922</v>
      </c>
      <c r="Y190" s="28">
        <f t="shared" ca="1" si="57"/>
        <v>0.13892819241982482</v>
      </c>
      <c r="Z190" s="29">
        <f t="shared" ca="1" si="58"/>
        <v>36.18815</v>
      </c>
      <c r="AA190" s="16">
        <f t="shared" ca="1" si="59"/>
        <v>6.7315721649484461E-2</v>
      </c>
      <c r="AB190" s="2"/>
    </row>
    <row r="191" spans="6:28" x14ac:dyDescent="0.25">
      <c r="F191" s="13">
        <v>189</v>
      </c>
      <c r="G191" s="13">
        <f t="shared" si="40"/>
        <v>38.900000000000006</v>
      </c>
      <c r="H191" s="13">
        <f t="shared" si="41"/>
        <v>312.04999999999995</v>
      </c>
      <c r="I191" s="14">
        <f t="shared" si="42"/>
        <v>1.575</v>
      </c>
      <c r="J191" s="14">
        <f t="shared" si="43"/>
        <v>5571.6514630000001</v>
      </c>
      <c r="K191" s="14">
        <f t="shared" si="44"/>
        <v>4.5916514629999998</v>
      </c>
      <c r="L191" s="14">
        <f t="shared" si="45"/>
        <v>1820.802408</v>
      </c>
      <c r="M191" s="14">
        <v>1816.93</v>
      </c>
      <c r="N191" s="13">
        <f t="shared" si="46"/>
        <v>1.820802408</v>
      </c>
      <c r="O191" s="13">
        <f t="shared" si="47"/>
        <v>1.7991899999999998</v>
      </c>
      <c r="P191" s="13">
        <f t="shared" si="48"/>
        <v>2.1612408000000194E-2</v>
      </c>
      <c r="Q191" s="16">
        <f t="shared" si="49"/>
        <v>1.2012298867823963E-2</v>
      </c>
      <c r="R191" s="14">
        <f t="shared" ca="1" si="50"/>
        <v>6.6411106355685128</v>
      </c>
      <c r="S191" s="14">
        <f t="shared" si="51"/>
        <v>6.635722258064515</v>
      </c>
      <c r="T191" s="14">
        <f t="shared" ca="1" si="52"/>
        <v>5.3883775039977877E-3</v>
      </c>
      <c r="U191" s="16">
        <f t="shared" ca="1" si="53"/>
        <v>8.1202577420252844E-4</v>
      </c>
      <c r="V191" s="14">
        <f t="shared" si="54"/>
        <v>1.5750000000000011</v>
      </c>
      <c r="W191" s="14">
        <f t="shared" ca="1" si="55"/>
        <v>1.3588893644314872</v>
      </c>
      <c r="X191" s="14">
        <f t="shared" ca="1" si="56"/>
        <v>0.21611063556851384</v>
      </c>
      <c r="Y191" s="28">
        <f t="shared" ca="1" si="57"/>
        <v>0.13721310194826267</v>
      </c>
      <c r="Z191" s="29">
        <f t="shared" ca="1" si="58"/>
        <v>36.306671999999999</v>
      </c>
      <c r="AA191" s="16">
        <f t="shared" ca="1" si="59"/>
        <v>6.6666529562982163E-2</v>
      </c>
      <c r="AB191" s="2"/>
    </row>
    <row r="192" spans="6:28" x14ac:dyDescent="0.25">
      <c r="F192" s="13">
        <v>190</v>
      </c>
      <c r="G192" s="13">
        <f t="shared" si="40"/>
        <v>39</v>
      </c>
      <c r="H192" s="13">
        <f t="shared" si="41"/>
        <v>312.14999999999998</v>
      </c>
      <c r="I192" s="14">
        <f t="shared" si="42"/>
        <v>1.5833330000000001</v>
      </c>
      <c r="J192" s="14">
        <f t="shared" si="43"/>
        <v>5549.1723389999997</v>
      </c>
      <c r="K192" s="14">
        <f t="shared" si="44"/>
        <v>4.5691723389999996</v>
      </c>
      <c r="L192" s="14">
        <f t="shared" si="45"/>
        <v>1818.4123750000001</v>
      </c>
      <c r="M192" s="14">
        <v>1814.27</v>
      </c>
      <c r="N192" s="13">
        <f t="shared" si="46"/>
        <v>1.8184123750000001</v>
      </c>
      <c r="O192" s="13">
        <f t="shared" si="47"/>
        <v>1.7968999999999999</v>
      </c>
      <c r="P192" s="13">
        <f t="shared" si="48"/>
        <v>2.1512375000000139E-2</v>
      </c>
      <c r="Q192" s="16">
        <f t="shared" si="49"/>
        <v>1.1971937781735288E-2</v>
      </c>
      <c r="R192" s="14">
        <f t="shared" ca="1" si="50"/>
        <v>6.6331741370262387</v>
      </c>
      <c r="S192" s="14">
        <f t="shared" si="51"/>
        <v>6.6272763440860212</v>
      </c>
      <c r="T192" s="14">
        <f t="shared" ca="1" si="52"/>
        <v>5.8977929402175278E-3</v>
      </c>
      <c r="U192" s="16">
        <f t="shared" ca="1" si="53"/>
        <v>8.8992711847311727E-4</v>
      </c>
      <c r="V192" s="14">
        <f t="shared" si="54"/>
        <v>1.583333333333333</v>
      </c>
      <c r="W192" s="14">
        <f t="shared" ca="1" si="55"/>
        <v>1.3668258629737613</v>
      </c>
      <c r="X192" s="14">
        <f t="shared" ca="1" si="56"/>
        <v>0.21650747035957174</v>
      </c>
      <c r="Y192" s="28">
        <f t="shared" ca="1" si="57"/>
        <v>0.13674156022709796</v>
      </c>
      <c r="Z192" s="29">
        <f t="shared" ca="1" si="58"/>
        <v>36.401910000000001</v>
      </c>
      <c r="AA192" s="16">
        <f t="shared" ca="1" si="59"/>
        <v>6.6617692307692281E-2</v>
      </c>
      <c r="AB192" s="2"/>
    </row>
    <row r="193" spans="6:28" x14ac:dyDescent="0.25">
      <c r="F193" s="13">
        <v>191</v>
      </c>
      <c r="G193" s="13">
        <f t="shared" si="40"/>
        <v>39.1</v>
      </c>
      <c r="H193" s="13">
        <f t="shared" si="41"/>
        <v>312.25</v>
      </c>
      <c r="I193" s="14">
        <f t="shared" si="42"/>
        <v>1.5916669999999999</v>
      </c>
      <c r="J193" s="14">
        <f t="shared" si="43"/>
        <v>5526.7964599999996</v>
      </c>
      <c r="K193" s="14">
        <f t="shared" si="44"/>
        <v>4.5467964599999995</v>
      </c>
      <c r="L193" s="14">
        <f t="shared" si="45"/>
        <v>1816.0203799999999</v>
      </c>
      <c r="M193" s="14">
        <v>1812.04</v>
      </c>
      <c r="N193" s="13">
        <f t="shared" si="46"/>
        <v>1.8160203800000001</v>
      </c>
      <c r="O193" s="13">
        <f t="shared" si="47"/>
        <v>1.79461</v>
      </c>
      <c r="P193" s="13">
        <f t="shared" si="48"/>
        <v>2.1410380000000062E-2</v>
      </c>
      <c r="Q193" s="16">
        <f t="shared" si="49"/>
        <v>1.193038041691513E-2</v>
      </c>
      <c r="R193" s="14">
        <f t="shared" ca="1" si="50"/>
        <v>6.6244383644314873</v>
      </c>
      <c r="S193" s="14">
        <f t="shared" si="51"/>
        <v>6.6188304301075265</v>
      </c>
      <c r="T193" s="14">
        <f t="shared" ca="1" si="52"/>
        <v>5.6079343239607837E-3</v>
      </c>
      <c r="U193" s="16">
        <f t="shared" ca="1" si="53"/>
        <v>8.4726967750247675E-4</v>
      </c>
      <c r="V193" s="14">
        <f t="shared" si="54"/>
        <v>1.5916666666666668</v>
      </c>
      <c r="W193" s="14">
        <f t="shared" ca="1" si="55"/>
        <v>1.3755616355685127</v>
      </c>
      <c r="X193" s="14">
        <f t="shared" ca="1" si="56"/>
        <v>0.21610503109815404</v>
      </c>
      <c r="Y193" s="28">
        <f t="shared" ca="1" si="57"/>
        <v>0.13577279440721718</v>
      </c>
      <c r="Z193" s="29">
        <f t="shared" ca="1" si="58"/>
        <v>36.506740000000001</v>
      </c>
      <c r="AA193" s="16">
        <f t="shared" ca="1" si="59"/>
        <v>6.632378516624042E-2</v>
      </c>
      <c r="AB193" s="2"/>
    </row>
    <row r="194" spans="6:28" x14ac:dyDescent="0.25">
      <c r="F194" s="13">
        <v>192</v>
      </c>
      <c r="G194" s="13">
        <f t="shared" si="40"/>
        <v>39.200000000000003</v>
      </c>
      <c r="H194" s="13">
        <f t="shared" si="41"/>
        <v>312.34999999999997</v>
      </c>
      <c r="I194" s="14">
        <f t="shared" si="42"/>
        <v>1.6</v>
      </c>
      <c r="J194" s="14">
        <f t="shared" si="43"/>
        <v>5504.5232980000001</v>
      </c>
      <c r="K194" s="14">
        <f t="shared" si="44"/>
        <v>4.5245232980000001</v>
      </c>
      <c r="L194" s="14">
        <f t="shared" si="45"/>
        <v>1813.6264389999999</v>
      </c>
      <c r="M194" s="14">
        <v>1809.37</v>
      </c>
      <c r="N194" s="13">
        <f t="shared" si="46"/>
        <v>1.8136264389999996</v>
      </c>
      <c r="O194" s="13">
        <f t="shared" si="47"/>
        <v>1.7923199999999999</v>
      </c>
      <c r="P194" s="13">
        <f t="shared" si="48"/>
        <v>2.1306438999999733E-2</v>
      </c>
      <c r="Q194" s="16">
        <f t="shared" si="49"/>
        <v>1.1887631114979319E-2</v>
      </c>
      <c r="R194" s="14">
        <f t="shared" ca="1" si="50"/>
        <v>6.6157063644314871</v>
      </c>
      <c r="S194" s="14">
        <f t="shared" si="51"/>
        <v>6.6103845161290318</v>
      </c>
      <c r="T194" s="14">
        <f t="shared" ca="1" si="52"/>
        <v>5.3218483024553009E-3</v>
      </c>
      <c r="U194" s="16">
        <f t="shared" ca="1" si="53"/>
        <v>8.0507393926483974E-4</v>
      </c>
      <c r="V194" s="14">
        <f t="shared" si="54"/>
        <v>1.5999999999999996</v>
      </c>
      <c r="W194" s="14">
        <f t="shared" ca="1" si="55"/>
        <v>1.3842936355685129</v>
      </c>
      <c r="X194" s="14">
        <f t="shared" ca="1" si="56"/>
        <v>0.21570636443148672</v>
      </c>
      <c r="Y194" s="28">
        <f t="shared" ca="1" si="57"/>
        <v>0.13481647776967923</v>
      </c>
      <c r="Z194" s="29">
        <f t="shared" ca="1" si="58"/>
        <v>36.611524000000003</v>
      </c>
      <c r="AA194" s="16">
        <f t="shared" ca="1" si="59"/>
        <v>6.6032551020408156E-2</v>
      </c>
      <c r="AB194" s="2"/>
    </row>
    <row r="195" spans="6:28" x14ac:dyDescent="0.25">
      <c r="F195" s="13">
        <v>193</v>
      </c>
      <c r="G195" s="13">
        <f t="shared" ref="G195:G258" si="60">F195*0.1+20</f>
        <v>39.299999999999997</v>
      </c>
      <c r="H195" s="13">
        <f t="shared" ref="H195:H258" si="61">G195+273.15</f>
        <v>312.45</v>
      </c>
      <c r="I195" s="14">
        <f t="shared" ref="I195:I258" si="62">ROUND(1/12*G195-5/3,6)</f>
        <v>1.608333</v>
      </c>
      <c r="J195" s="14">
        <f t="shared" ref="J195:J258" si="63">ROUND(10000*EXP(($B$3)+($B$4/H195)+($B$5/(H195^2))+($B$6/(H195^3))),6)</f>
        <v>5482.3523269999996</v>
      </c>
      <c r="K195" s="14">
        <f t="shared" ref="K195:K258" si="64">$B$9*(2*$B$8+J195)-$B$9*$B$10</f>
        <v>4.5023523269999997</v>
      </c>
      <c r="L195" s="14">
        <f t="shared" ref="L195:L258" si="65">ROUND(1/(1/(J195+2*$B$8)+1/($B$7)),6)</f>
        <v>1811.2305699999999</v>
      </c>
      <c r="M195" s="14">
        <v>1807.12</v>
      </c>
      <c r="N195" s="13">
        <f t="shared" ref="N195:N258" si="66">$B$9*(L195+$B$10)*(L195/(L195+$B$10))</f>
        <v>1.81123057</v>
      </c>
      <c r="O195" s="13">
        <f t="shared" ref="O195:O258" si="67">$B$11*G195+$B$12</f>
        <v>1.79003</v>
      </c>
      <c r="P195" s="13">
        <f t="shared" ref="P195:P258" si="68">ABS(N195-O195)</f>
        <v>2.1200569999999974E-2</v>
      </c>
      <c r="Q195" s="16">
        <f t="shared" ref="Q195:Q258" si="69">ABS(O195-N195)/O195</f>
        <v>1.184369535706104E-2</v>
      </c>
      <c r="R195" s="14">
        <f t="shared" ref="R195:R258" ca="1" si="70">ROUND(N195*$B$29,6)+RANDBETWEEN(-1,1)*$B$24+RANDBETWEEN(-1,1)*$B$25</f>
        <v>6.606978137026239</v>
      </c>
      <c r="S195" s="14">
        <f t="shared" ref="S195:S258" si="71">O195*$B$23</f>
        <v>6.6019386021505371</v>
      </c>
      <c r="T195" s="14">
        <f t="shared" ref="T195:T258" ca="1" si="72">ABS(R195-S195)</f>
        <v>5.0395348757019676E-3</v>
      </c>
      <c r="U195" s="16">
        <f t="shared" ref="U195:U258" ca="1" si="73">ABS(S195-R195)/S195</f>
        <v>7.6334167574057304E-4</v>
      </c>
      <c r="V195" s="14">
        <f t="shared" ref="V195:V258" si="74">$B$44*S195+$B$45</f>
        <v>1.6083333333333334</v>
      </c>
      <c r="W195" s="14">
        <f t="shared" ref="W195:W258" ca="1" si="75">$B$46*R195+$B$47</f>
        <v>1.393021862973761</v>
      </c>
      <c r="X195" s="14">
        <f t="shared" ref="X195:X258" ca="1" si="76">ABS(V195-W195)</f>
        <v>0.21531147035957243</v>
      </c>
      <c r="Y195" s="28">
        <f t="shared" ref="Y195:Y258" ca="1" si="77">IF(V195 = 0, ABS(V195-W195)/(V195+0.0001), ABS(V195-W195)/V195)</f>
        <v>0.13387241680387924</v>
      </c>
      <c r="Z195" s="29">
        <f t="shared" ref="Z195:Z258" ca="1" si="78">ROUND((W195+5/3)/(1/12),6)</f>
        <v>36.716262</v>
      </c>
      <c r="AA195" s="16">
        <f t="shared" ref="AA195:AA258" ca="1" si="79">ABS(G195-Z195)/G195</f>
        <v>6.5743969465648783E-2</v>
      </c>
      <c r="AB195" s="2"/>
    </row>
    <row r="196" spans="6:28" x14ac:dyDescent="0.25">
      <c r="F196" s="13">
        <v>194</v>
      </c>
      <c r="G196" s="13">
        <f t="shared" si="60"/>
        <v>39.400000000000006</v>
      </c>
      <c r="H196" s="13">
        <f t="shared" si="61"/>
        <v>312.54999999999995</v>
      </c>
      <c r="I196" s="14">
        <f t="shared" si="62"/>
        <v>1.6166670000000001</v>
      </c>
      <c r="J196" s="14">
        <f t="shared" si="63"/>
        <v>5460.2830260000001</v>
      </c>
      <c r="K196" s="14">
        <f t="shared" si="64"/>
        <v>4.4802830260000004</v>
      </c>
      <c r="L196" s="14">
        <f t="shared" si="65"/>
        <v>1808.8327899999999</v>
      </c>
      <c r="M196" s="14">
        <v>1804.86</v>
      </c>
      <c r="N196" s="13">
        <f t="shared" si="66"/>
        <v>1.8088327899999999</v>
      </c>
      <c r="O196" s="13">
        <f t="shared" si="67"/>
        <v>1.7877399999999999</v>
      </c>
      <c r="P196" s="13">
        <f t="shared" si="68"/>
        <v>2.1092789999999972E-2</v>
      </c>
      <c r="Q196" s="16">
        <f t="shared" si="69"/>
        <v>1.1798578093011273E-2</v>
      </c>
      <c r="R196" s="14">
        <f t="shared" ca="1" si="70"/>
        <v>6.5974506355685127</v>
      </c>
      <c r="S196" s="14">
        <f t="shared" si="71"/>
        <v>6.5934926881720424</v>
      </c>
      <c r="T196" s="14">
        <f t="shared" ca="1" si="72"/>
        <v>3.9579473964703737E-3</v>
      </c>
      <c r="U196" s="16">
        <f t="shared" ca="1" si="73"/>
        <v>6.0028085017375845E-4</v>
      </c>
      <c r="V196" s="14">
        <f t="shared" si="74"/>
        <v>1.6166666666666671</v>
      </c>
      <c r="W196" s="14">
        <f t="shared" ca="1" si="75"/>
        <v>1.4025493644314873</v>
      </c>
      <c r="X196" s="14">
        <f t="shared" ca="1" si="76"/>
        <v>0.21411730223517988</v>
      </c>
      <c r="Y196" s="28">
        <f t="shared" ca="1" si="77"/>
        <v>0.13244369210423493</v>
      </c>
      <c r="Z196" s="29">
        <f t="shared" ca="1" si="78"/>
        <v>36.830592000000003</v>
      </c>
      <c r="AA196" s="16">
        <f t="shared" ca="1" si="79"/>
        <v>6.5213401015228489E-2</v>
      </c>
      <c r="AB196" s="2"/>
    </row>
    <row r="197" spans="6:28" x14ac:dyDescent="0.25">
      <c r="F197" s="13">
        <v>195</v>
      </c>
      <c r="G197" s="13">
        <f t="shared" si="60"/>
        <v>39.5</v>
      </c>
      <c r="H197" s="13">
        <f t="shared" si="61"/>
        <v>312.64999999999998</v>
      </c>
      <c r="I197" s="14">
        <f t="shared" si="62"/>
        <v>1.625</v>
      </c>
      <c r="J197" s="14">
        <f t="shared" si="63"/>
        <v>5438.3148760000004</v>
      </c>
      <c r="K197" s="14">
        <f t="shared" si="64"/>
        <v>4.4583148760000002</v>
      </c>
      <c r="L197" s="14">
        <f t="shared" si="65"/>
        <v>1806.4331159999999</v>
      </c>
      <c r="M197" s="14">
        <v>1802.17</v>
      </c>
      <c r="N197" s="13">
        <f t="shared" si="66"/>
        <v>1.8064331159999998</v>
      </c>
      <c r="O197" s="13">
        <f t="shared" si="67"/>
        <v>1.78545</v>
      </c>
      <c r="P197" s="13">
        <f t="shared" si="68"/>
        <v>2.0983115999999802E-2</v>
      </c>
      <c r="Q197" s="16">
        <f t="shared" si="69"/>
        <v>1.1752284298076005E-2</v>
      </c>
      <c r="R197" s="14">
        <f t="shared" ca="1" si="70"/>
        <v>6.5898645014577255</v>
      </c>
      <c r="S197" s="14">
        <f t="shared" si="71"/>
        <v>6.5850467741935477</v>
      </c>
      <c r="T197" s="14">
        <f t="shared" ca="1" si="72"/>
        <v>4.8177272641778401E-3</v>
      </c>
      <c r="U197" s="16">
        <f t="shared" ca="1" si="73"/>
        <v>7.3161625564426664E-4</v>
      </c>
      <c r="V197" s="14">
        <f t="shared" si="74"/>
        <v>1.625</v>
      </c>
      <c r="W197" s="14">
        <f t="shared" ca="1" si="75"/>
        <v>1.4101354985422745</v>
      </c>
      <c r="X197" s="14">
        <f t="shared" ca="1" si="76"/>
        <v>0.21486450145772551</v>
      </c>
      <c r="Y197" s="28">
        <f t="shared" ca="1" si="77"/>
        <v>0.13222430858936954</v>
      </c>
      <c r="Z197" s="29">
        <f t="shared" ca="1" si="78"/>
        <v>36.921626000000003</v>
      </c>
      <c r="AA197" s="16">
        <f t="shared" ca="1" si="79"/>
        <v>6.5275291139240424E-2</v>
      </c>
      <c r="AB197" s="2"/>
    </row>
    <row r="198" spans="6:28" x14ac:dyDescent="0.25">
      <c r="F198" s="13">
        <v>196</v>
      </c>
      <c r="G198" s="13">
        <f t="shared" si="60"/>
        <v>39.6</v>
      </c>
      <c r="H198" s="13">
        <f t="shared" si="61"/>
        <v>312.75</v>
      </c>
      <c r="I198" s="14">
        <f t="shared" si="62"/>
        <v>1.6333329999999999</v>
      </c>
      <c r="J198" s="14">
        <f t="shared" si="63"/>
        <v>5416.4473600000001</v>
      </c>
      <c r="K198" s="14">
        <f t="shared" si="64"/>
        <v>4.4364473599999998</v>
      </c>
      <c r="L198" s="14">
        <f t="shared" si="65"/>
        <v>1804.0315660000001</v>
      </c>
      <c r="M198" s="14">
        <v>1800.11</v>
      </c>
      <c r="N198" s="13">
        <f t="shared" si="66"/>
        <v>1.8040315660000004</v>
      </c>
      <c r="O198" s="13">
        <f t="shared" si="67"/>
        <v>1.7831599999999999</v>
      </c>
      <c r="P198" s="13">
        <f t="shared" si="68"/>
        <v>2.0871566000000508E-2</v>
      </c>
      <c r="Q198" s="16">
        <f t="shared" si="69"/>
        <v>1.1704819533861521E-2</v>
      </c>
      <c r="R198" s="14">
        <f t="shared" ca="1" si="70"/>
        <v>6.5811045014577259</v>
      </c>
      <c r="S198" s="14">
        <f t="shared" si="71"/>
        <v>6.576600860215053</v>
      </c>
      <c r="T198" s="14">
        <f t="shared" ca="1" si="72"/>
        <v>4.5036412426728845E-3</v>
      </c>
      <c r="U198" s="16">
        <f t="shared" ca="1" si="73"/>
        <v>6.8479771517190977E-4</v>
      </c>
      <c r="V198" s="14">
        <f t="shared" si="74"/>
        <v>1.6333333333333337</v>
      </c>
      <c r="W198" s="14">
        <f t="shared" ca="1" si="75"/>
        <v>1.4188954985422741</v>
      </c>
      <c r="X198" s="14">
        <f t="shared" ca="1" si="76"/>
        <v>0.2144378347910596</v>
      </c>
      <c r="Y198" s="28">
        <f t="shared" ca="1" si="77"/>
        <v>0.13128847028024054</v>
      </c>
      <c r="Z198" s="29">
        <f t="shared" ca="1" si="78"/>
        <v>37.026746000000003</v>
      </c>
      <c r="AA198" s="16">
        <f t="shared" ca="1" si="79"/>
        <v>6.4981161616161576E-2</v>
      </c>
      <c r="AB198" s="2"/>
    </row>
    <row r="199" spans="6:28" x14ac:dyDescent="0.25">
      <c r="F199" s="13">
        <v>197</v>
      </c>
      <c r="G199" s="13">
        <f t="shared" si="60"/>
        <v>39.700000000000003</v>
      </c>
      <c r="H199" s="13">
        <f t="shared" si="61"/>
        <v>312.84999999999997</v>
      </c>
      <c r="I199" s="14">
        <f t="shared" si="62"/>
        <v>1.641667</v>
      </c>
      <c r="J199" s="14">
        <f t="shared" si="63"/>
        <v>5394.6799659999997</v>
      </c>
      <c r="K199" s="14">
        <f t="shared" si="64"/>
        <v>4.4146799659999996</v>
      </c>
      <c r="L199" s="14">
        <f t="shared" si="65"/>
        <v>1801.6281570000001</v>
      </c>
      <c r="M199" s="14">
        <v>1797.2</v>
      </c>
      <c r="N199" s="13">
        <f t="shared" si="66"/>
        <v>1.8016281569999999</v>
      </c>
      <c r="O199" s="13">
        <f t="shared" si="67"/>
        <v>1.7808699999999997</v>
      </c>
      <c r="P199" s="13">
        <f t="shared" si="68"/>
        <v>2.0758157000000166E-2</v>
      </c>
      <c r="Q199" s="16">
        <f t="shared" si="69"/>
        <v>1.1656188829055556E-2</v>
      </c>
      <c r="R199" s="14">
        <f t="shared" ca="1" si="70"/>
        <v>6.5711598629737615</v>
      </c>
      <c r="S199" s="14">
        <f t="shared" si="71"/>
        <v>6.5681549462365583</v>
      </c>
      <c r="T199" s="14">
        <f t="shared" ca="1" si="72"/>
        <v>3.004916737203267E-3</v>
      </c>
      <c r="U199" s="16">
        <f t="shared" ca="1" si="73"/>
        <v>4.5749784555935811E-4</v>
      </c>
      <c r="V199" s="14">
        <f t="shared" si="74"/>
        <v>1.6416666666666675</v>
      </c>
      <c r="W199" s="14">
        <f t="shared" ca="1" si="75"/>
        <v>1.4288401370262385</v>
      </c>
      <c r="X199" s="14">
        <f t="shared" ca="1" si="76"/>
        <v>0.21282652964042903</v>
      </c>
      <c r="Y199" s="28">
        <f t="shared" ca="1" si="77"/>
        <v>0.12964052566929682</v>
      </c>
      <c r="Z199" s="29">
        <f t="shared" ca="1" si="78"/>
        <v>37.146082</v>
      </c>
      <c r="AA199" s="16">
        <f t="shared" ca="1" si="79"/>
        <v>6.4330428211586979E-2</v>
      </c>
      <c r="AB199" s="2"/>
    </row>
    <row r="200" spans="6:28" x14ac:dyDescent="0.25">
      <c r="F200" s="13">
        <v>198</v>
      </c>
      <c r="G200" s="13">
        <f t="shared" si="60"/>
        <v>39.799999999999997</v>
      </c>
      <c r="H200" s="13">
        <f t="shared" si="61"/>
        <v>312.95</v>
      </c>
      <c r="I200" s="14">
        <f t="shared" si="62"/>
        <v>1.65</v>
      </c>
      <c r="J200" s="14">
        <f t="shared" si="63"/>
        <v>5373.0121820000004</v>
      </c>
      <c r="K200" s="14">
        <f t="shared" si="64"/>
        <v>4.3930121820000005</v>
      </c>
      <c r="L200" s="14">
        <f t="shared" si="65"/>
        <v>1799.2229050000001</v>
      </c>
      <c r="M200" s="14">
        <v>1795.13</v>
      </c>
      <c r="N200" s="13">
        <f t="shared" si="66"/>
        <v>1.7992229050000002</v>
      </c>
      <c r="O200" s="13">
        <f t="shared" si="67"/>
        <v>1.77858</v>
      </c>
      <c r="P200" s="13">
        <f t="shared" si="68"/>
        <v>2.06429050000001E-2</v>
      </c>
      <c r="Q200" s="16">
        <f t="shared" si="69"/>
        <v>1.1606396676000011E-2</v>
      </c>
      <c r="R200" s="14">
        <f t="shared" ca="1" si="70"/>
        <v>6.5627722274052482</v>
      </c>
      <c r="S200" s="14">
        <f t="shared" si="71"/>
        <v>6.5597090322580645</v>
      </c>
      <c r="T200" s="14">
        <f t="shared" ca="1" si="72"/>
        <v>3.0631951471837837E-3</v>
      </c>
      <c r="U200" s="16">
        <f t="shared" ca="1" si="73"/>
        <v>4.6697119218553701E-4</v>
      </c>
      <c r="V200" s="14">
        <f t="shared" si="74"/>
        <v>1.6499999999999995</v>
      </c>
      <c r="W200" s="14">
        <f t="shared" ca="1" si="75"/>
        <v>1.4372277725947518</v>
      </c>
      <c r="X200" s="14">
        <f t="shared" ca="1" si="76"/>
        <v>0.2127722274052477</v>
      </c>
      <c r="Y200" s="28">
        <f t="shared" ca="1" si="77"/>
        <v>0.12895286509408957</v>
      </c>
      <c r="Z200" s="29">
        <f t="shared" ca="1" si="78"/>
        <v>37.246732999999999</v>
      </c>
      <c r="AA200" s="16">
        <f t="shared" ca="1" si="79"/>
        <v>6.4152437185929612E-2</v>
      </c>
      <c r="AB200" s="2"/>
    </row>
    <row r="201" spans="6:28" x14ac:dyDescent="0.25">
      <c r="F201" s="13">
        <v>199</v>
      </c>
      <c r="G201" s="13">
        <f t="shared" si="60"/>
        <v>39.900000000000006</v>
      </c>
      <c r="H201" s="13">
        <f t="shared" si="61"/>
        <v>313.04999999999995</v>
      </c>
      <c r="I201" s="14">
        <f t="shared" si="62"/>
        <v>1.6583330000000001</v>
      </c>
      <c r="J201" s="14">
        <f t="shared" si="63"/>
        <v>5351.4435009999997</v>
      </c>
      <c r="K201" s="14">
        <f t="shared" si="64"/>
        <v>4.3714435009999999</v>
      </c>
      <c r="L201" s="14">
        <f t="shared" si="65"/>
        <v>1796.81583</v>
      </c>
      <c r="M201" s="14">
        <v>1792.63</v>
      </c>
      <c r="N201" s="13">
        <f t="shared" si="66"/>
        <v>1.7968158299999999</v>
      </c>
      <c r="O201" s="13">
        <f t="shared" si="67"/>
        <v>1.7762899999999999</v>
      </c>
      <c r="P201" s="13">
        <f t="shared" si="68"/>
        <v>2.0525829999999967E-2</v>
      </c>
      <c r="Q201" s="16">
        <f t="shared" si="69"/>
        <v>1.1555449842086578E-2</v>
      </c>
      <c r="R201" s="14">
        <f t="shared" ca="1" si="70"/>
        <v>6.5536068629737612</v>
      </c>
      <c r="S201" s="14">
        <f t="shared" si="71"/>
        <v>6.5512631182795698</v>
      </c>
      <c r="T201" s="14">
        <f t="shared" ca="1" si="72"/>
        <v>2.3437446941914075E-3</v>
      </c>
      <c r="U201" s="16">
        <f t="shared" ca="1" si="73"/>
        <v>3.5775462714233031E-4</v>
      </c>
      <c r="V201" s="14">
        <f t="shared" si="74"/>
        <v>1.6583333333333332</v>
      </c>
      <c r="W201" s="14">
        <f t="shared" ca="1" si="75"/>
        <v>1.4463931370262388</v>
      </c>
      <c r="X201" s="14">
        <f t="shared" ca="1" si="76"/>
        <v>0.21194019630709438</v>
      </c>
      <c r="Y201" s="28">
        <f t="shared" ca="1" si="77"/>
        <v>0.1278031334515142</v>
      </c>
      <c r="Z201" s="29">
        <f t="shared" ca="1" si="78"/>
        <v>37.356718000000001</v>
      </c>
      <c r="AA201" s="16">
        <f t="shared" ca="1" si="79"/>
        <v>6.374140350877204E-2</v>
      </c>
      <c r="AB201" s="2"/>
    </row>
    <row r="202" spans="6:28" x14ac:dyDescent="0.25">
      <c r="F202" s="13">
        <v>200</v>
      </c>
      <c r="G202" s="13">
        <f t="shared" si="60"/>
        <v>40</v>
      </c>
      <c r="H202" s="13">
        <f t="shared" si="61"/>
        <v>313.14999999999998</v>
      </c>
      <c r="I202" s="14">
        <f t="shared" si="62"/>
        <v>1.6666669999999999</v>
      </c>
      <c r="J202" s="14">
        <f t="shared" si="63"/>
        <v>5329.9734189999999</v>
      </c>
      <c r="K202" s="14">
        <f t="shared" si="64"/>
        <v>4.3499734190000003</v>
      </c>
      <c r="L202" s="14">
        <f t="shared" si="65"/>
        <v>1794.4069480000001</v>
      </c>
      <c r="M202" s="14">
        <v>1790.12</v>
      </c>
      <c r="N202" s="13">
        <f t="shared" si="66"/>
        <v>1.794406948</v>
      </c>
      <c r="O202" s="13">
        <f t="shared" si="67"/>
        <v>1.774</v>
      </c>
      <c r="P202" s="13">
        <f t="shared" si="68"/>
        <v>2.040694799999998E-2</v>
      </c>
      <c r="Q202" s="16">
        <f t="shared" si="69"/>
        <v>1.1503352874859065E-2</v>
      </c>
      <c r="R202" s="14">
        <f t="shared" ca="1" si="70"/>
        <v>6.5452267725947513</v>
      </c>
      <c r="S202" s="14">
        <f t="shared" si="71"/>
        <v>6.5428172043010751</v>
      </c>
      <c r="T202" s="14">
        <f t="shared" ca="1" si="72"/>
        <v>2.409568293676223E-3</v>
      </c>
      <c r="U202" s="16">
        <f t="shared" ca="1" si="73"/>
        <v>3.6827687805372837E-4</v>
      </c>
      <c r="V202" s="14">
        <f t="shared" si="74"/>
        <v>1.6666666666666661</v>
      </c>
      <c r="W202" s="14">
        <f t="shared" ca="1" si="75"/>
        <v>1.4547732274052487</v>
      </c>
      <c r="X202" s="14">
        <f t="shared" ca="1" si="76"/>
        <v>0.21189343926141735</v>
      </c>
      <c r="Y202" s="28">
        <f t="shared" ca="1" si="77"/>
        <v>0.12713606355685045</v>
      </c>
      <c r="Z202" s="29">
        <f t="shared" ca="1" si="78"/>
        <v>37.457279</v>
      </c>
      <c r="AA202" s="16">
        <f t="shared" ca="1" si="79"/>
        <v>6.3568025E-2</v>
      </c>
      <c r="AB202" s="2"/>
    </row>
    <row r="203" spans="6:28" x14ac:dyDescent="0.25">
      <c r="F203" s="13">
        <v>201</v>
      </c>
      <c r="G203" s="13">
        <f t="shared" si="60"/>
        <v>40.1</v>
      </c>
      <c r="H203" s="13">
        <f t="shared" si="61"/>
        <v>313.25</v>
      </c>
      <c r="I203" s="14">
        <f t="shared" si="62"/>
        <v>1.675</v>
      </c>
      <c r="J203" s="14">
        <f t="shared" si="63"/>
        <v>5308.6014329999998</v>
      </c>
      <c r="K203" s="14">
        <f t="shared" si="64"/>
        <v>4.3286014330000002</v>
      </c>
      <c r="L203" s="14">
        <f t="shared" si="65"/>
        <v>1791.9962760000001</v>
      </c>
      <c r="M203" s="14">
        <v>1787.6</v>
      </c>
      <c r="N203" s="13">
        <f t="shared" si="66"/>
        <v>1.7919962760000001</v>
      </c>
      <c r="O203" s="13">
        <f t="shared" si="67"/>
        <v>1.7717099999999999</v>
      </c>
      <c r="P203" s="13">
        <f t="shared" si="68"/>
        <v>2.0286276000000214E-2</v>
      </c>
      <c r="Q203" s="16">
        <f t="shared" si="69"/>
        <v>1.145011090979913E-2</v>
      </c>
      <c r="R203" s="14">
        <f t="shared" ca="1" si="70"/>
        <v>6.537204501457726</v>
      </c>
      <c r="S203" s="14">
        <f t="shared" si="71"/>
        <v>6.5343712903225804</v>
      </c>
      <c r="T203" s="14">
        <f t="shared" ca="1" si="72"/>
        <v>2.8332111351456746E-3</v>
      </c>
      <c r="U203" s="16">
        <f t="shared" ca="1" si="73"/>
        <v>4.3358588137494834E-4</v>
      </c>
      <c r="V203" s="14">
        <f t="shared" si="74"/>
        <v>1.6749999999999998</v>
      </c>
      <c r="W203" s="14">
        <f t="shared" ca="1" si="75"/>
        <v>1.462795498542274</v>
      </c>
      <c r="X203" s="14">
        <f t="shared" ca="1" si="76"/>
        <v>0.21220450145772585</v>
      </c>
      <c r="Y203" s="28">
        <f t="shared" ca="1" si="77"/>
        <v>0.12668925460162739</v>
      </c>
      <c r="Z203" s="29">
        <f t="shared" ca="1" si="78"/>
        <v>37.553545999999997</v>
      </c>
      <c r="AA203" s="16">
        <f t="shared" ca="1" si="79"/>
        <v>6.3502593516209585E-2</v>
      </c>
      <c r="AB203" s="2"/>
    </row>
    <row r="204" spans="6:28" x14ac:dyDescent="0.25">
      <c r="F204" s="13">
        <v>202</v>
      </c>
      <c r="G204" s="13">
        <f t="shared" si="60"/>
        <v>40.200000000000003</v>
      </c>
      <c r="H204" s="13">
        <f t="shared" si="61"/>
        <v>313.34999999999997</v>
      </c>
      <c r="I204" s="14">
        <f t="shared" si="62"/>
        <v>1.683333</v>
      </c>
      <c r="J204" s="14">
        <f t="shared" si="63"/>
        <v>5287.3270439999997</v>
      </c>
      <c r="K204" s="14">
        <f t="shared" si="64"/>
        <v>4.307327044</v>
      </c>
      <c r="L204" s="14">
        <f t="shared" si="65"/>
        <v>1789.583832</v>
      </c>
      <c r="M204" s="14">
        <v>1785.5</v>
      </c>
      <c r="N204" s="13">
        <f t="shared" si="66"/>
        <v>1.7895838320000002</v>
      </c>
      <c r="O204" s="13">
        <f t="shared" si="67"/>
        <v>1.7694199999999998</v>
      </c>
      <c r="P204" s="13">
        <f t="shared" si="68"/>
        <v>2.0163832000000381E-2</v>
      </c>
      <c r="Q204" s="16">
        <f t="shared" si="69"/>
        <v>1.1395729674130724E-2</v>
      </c>
      <c r="R204" s="14">
        <f t="shared" ca="1" si="70"/>
        <v>6.528020137026239</v>
      </c>
      <c r="S204" s="14">
        <f t="shared" si="71"/>
        <v>6.5259253763440848</v>
      </c>
      <c r="T204" s="14">
        <f t="shared" ca="1" si="72"/>
        <v>2.0947606821541953E-3</v>
      </c>
      <c r="U204" s="16">
        <f t="shared" ca="1" si="73"/>
        <v>3.2099059694239249E-4</v>
      </c>
      <c r="V204" s="14">
        <f t="shared" si="74"/>
        <v>1.6833333333333345</v>
      </c>
      <c r="W204" s="14">
        <f t="shared" ca="1" si="75"/>
        <v>1.471979862973761</v>
      </c>
      <c r="X204" s="14">
        <f t="shared" ca="1" si="76"/>
        <v>0.21135347035957341</v>
      </c>
      <c r="Y204" s="28">
        <f t="shared" ca="1" si="77"/>
        <v>0.12555651704529106</v>
      </c>
      <c r="Z204" s="29">
        <f t="shared" ca="1" si="78"/>
        <v>37.663758000000001</v>
      </c>
      <c r="AA204" s="16">
        <f t="shared" ca="1" si="79"/>
        <v>6.3090597014925406E-2</v>
      </c>
      <c r="AB204" s="2"/>
    </row>
    <row r="205" spans="6:28" x14ac:dyDescent="0.25">
      <c r="F205" s="13">
        <v>203</v>
      </c>
      <c r="G205" s="13">
        <f t="shared" si="60"/>
        <v>40.299999999999997</v>
      </c>
      <c r="H205" s="13">
        <f t="shared" si="61"/>
        <v>313.45</v>
      </c>
      <c r="I205" s="14">
        <f t="shared" si="62"/>
        <v>1.691667</v>
      </c>
      <c r="J205" s="14">
        <f t="shared" si="63"/>
        <v>5266.1497570000001</v>
      </c>
      <c r="K205" s="14">
        <f t="shared" si="64"/>
        <v>4.2861497570000004</v>
      </c>
      <c r="L205" s="14">
        <f t="shared" si="65"/>
        <v>1787.169635</v>
      </c>
      <c r="M205" s="14">
        <v>1782.55</v>
      </c>
      <c r="N205" s="13">
        <f t="shared" si="66"/>
        <v>1.7871696349999999</v>
      </c>
      <c r="O205" s="13">
        <f t="shared" si="67"/>
        <v>1.7671299999999999</v>
      </c>
      <c r="P205" s="13">
        <f t="shared" si="68"/>
        <v>2.0039635000000056E-2</v>
      </c>
      <c r="Q205" s="16">
        <f t="shared" si="69"/>
        <v>1.134021549065437E-2</v>
      </c>
      <c r="R205" s="14">
        <f t="shared" ca="1" si="70"/>
        <v>6.5188072274052482</v>
      </c>
      <c r="S205" s="14">
        <f t="shared" si="71"/>
        <v>6.5174794623655909</v>
      </c>
      <c r="T205" s="14">
        <f t="shared" ca="1" si="72"/>
        <v>1.3277650396572582E-3</v>
      </c>
      <c r="U205" s="16">
        <f t="shared" ca="1" si="73"/>
        <v>2.0372370136711274E-4</v>
      </c>
      <c r="V205" s="14">
        <f t="shared" si="74"/>
        <v>1.6916666666666664</v>
      </c>
      <c r="W205" s="14">
        <f t="shared" ca="1" si="75"/>
        <v>1.4811927725947518</v>
      </c>
      <c r="X205" s="14">
        <f t="shared" ca="1" si="76"/>
        <v>0.21047389407191464</v>
      </c>
      <c r="Y205" s="28">
        <f t="shared" ca="1" si="77"/>
        <v>0.12441806546123034</v>
      </c>
      <c r="Z205" s="29">
        <f t="shared" ca="1" si="78"/>
        <v>37.774312999999999</v>
      </c>
      <c r="AA205" s="16">
        <f t="shared" ca="1" si="79"/>
        <v>6.2672133995037169E-2</v>
      </c>
      <c r="AB205" s="2"/>
    </row>
    <row r="206" spans="6:28" x14ac:dyDescent="0.25">
      <c r="F206" s="13">
        <v>204</v>
      </c>
      <c r="G206" s="13">
        <f t="shared" si="60"/>
        <v>40.400000000000006</v>
      </c>
      <c r="H206" s="13">
        <f t="shared" si="61"/>
        <v>313.54999999999995</v>
      </c>
      <c r="I206" s="14">
        <f t="shared" si="62"/>
        <v>1.7</v>
      </c>
      <c r="J206" s="14">
        <f t="shared" si="63"/>
        <v>5245.0690770000001</v>
      </c>
      <c r="K206" s="14">
        <f t="shared" si="64"/>
        <v>4.2650690770000006</v>
      </c>
      <c r="L206" s="14">
        <f t="shared" si="65"/>
        <v>1784.7537</v>
      </c>
      <c r="M206" s="14">
        <v>1780.44</v>
      </c>
      <c r="N206" s="13">
        <f t="shared" si="66"/>
        <v>1.7847537000000002</v>
      </c>
      <c r="O206" s="13">
        <f t="shared" si="67"/>
        <v>1.76484</v>
      </c>
      <c r="P206" s="13">
        <f t="shared" si="68"/>
        <v>1.9913700000000256E-2</v>
      </c>
      <c r="Q206" s="16">
        <f t="shared" si="69"/>
        <v>1.128357244849406E-2</v>
      </c>
      <c r="R206" s="14">
        <f t="shared" ca="1" si="70"/>
        <v>6.5100059999999997</v>
      </c>
      <c r="S206" s="14">
        <f t="shared" si="71"/>
        <v>6.5090335483870962</v>
      </c>
      <c r="T206" s="14">
        <f t="shared" ca="1" si="72"/>
        <v>9.7245161290349103E-4</v>
      </c>
      <c r="U206" s="16">
        <f t="shared" ca="1" si="73"/>
        <v>1.4940030738425973E-4</v>
      </c>
      <c r="V206" s="14">
        <f t="shared" si="74"/>
        <v>1.7000000000000002</v>
      </c>
      <c r="W206" s="14">
        <f t="shared" ca="1" si="75"/>
        <v>1.4899940000000003</v>
      </c>
      <c r="X206" s="14">
        <f t="shared" ca="1" si="76"/>
        <v>0.21000599999999991</v>
      </c>
      <c r="Y206" s="28">
        <f t="shared" ca="1" si="77"/>
        <v>0.12353294117647053</v>
      </c>
      <c r="Z206" s="29">
        <f t="shared" ca="1" si="78"/>
        <v>37.879928</v>
      </c>
      <c r="AA206" s="16">
        <f t="shared" ca="1" si="79"/>
        <v>6.2378019801980343E-2</v>
      </c>
      <c r="AB206" s="2"/>
    </row>
    <row r="207" spans="6:28" x14ac:dyDescent="0.25">
      <c r="F207" s="13">
        <v>205</v>
      </c>
      <c r="G207" s="13">
        <f t="shared" si="60"/>
        <v>40.5</v>
      </c>
      <c r="H207" s="13">
        <f t="shared" si="61"/>
        <v>313.64999999999998</v>
      </c>
      <c r="I207" s="14">
        <f t="shared" si="62"/>
        <v>1.7083330000000001</v>
      </c>
      <c r="J207" s="14">
        <f t="shared" si="63"/>
        <v>5224.0845129999998</v>
      </c>
      <c r="K207" s="14">
        <f t="shared" si="64"/>
        <v>4.2440845129999998</v>
      </c>
      <c r="L207" s="14">
        <f t="shared" si="65"/>
        <v>1782.336047</v>
      </c>
      <c r="M207" s="14">
        <v>1777.9</v>
      </c>
      <c r="N207" s="13">
        <f t="shared" si="66"/>
        <v>1.7823360469999998</v>
      </c>
      <c r="O207" s="13">
        <f t="shared" si="67"/>
        <v>1.7625500000000001</v>
      </c>
      <c r="P207" s="13">
        <f t="shared" si="68"/>
        <v>1.9786046999999751E-2</v>
      </c>
      <c r="Q207" s="16">
        <f t="shared" si="69"/>
        <v>1.1225807494822701E-2</v>
      </c>
      <c r="R207" s="14">
        <f t="shared" ca="1" si="70"/>
        <v>6.5011869999999998</v>
      </c>
      <c r="S207" s="14">
        <f t="shared" si="71"/>
        <v>6.5005876344086024</v>
      </c>
      <c r="T207" s="14">
        <f t="shared" ca="1" si="72"/>
        <v>5.9936559139739387E-4</v>
      </c>
      <c r="U207" s="16">
        <f t="shared" ca="1" si="73"/>
        <v>9.2201755457439004E-5</v>
      </c>
      <c r="V207" s="14">
        <f t="shared" si="74"/>
        <v>1.708333333333333</v>
      </c>
      <c r="W207" s="14">
        <f t="shared" ca="1" si="75"/>
        <v>1.4988130000000002</v>
      </c>
      <c r="X207" s="14">
        <f t="shared" ca="1" si="76"/>
        <v>0.20952033333333286</v>
      </c>
      <c r="Y207" s="28">
        <f t="shared" ca="1" si="77"/>
        <v>0.12264604878048756</v>
      </c>
      <c r="Z207" s="29">
        <f t="shared" ca="1" si="78"/>
        <v>37.985756000000002</v>
      </c>
      <c r="AA207" s="16">
        <f t="shared" ca="1" si="79"/>
        <v>6.2080098765432044E-2</v>
      </c>
      <c r="AB207" s="2"/>
    </row>
    <row r="208" spans="6:28" x14ac:dyDescent="0.25">
      <c r="F208" s="13">
        <v>206</v>
      </c>
      <c r="G208" s="13">
        <f t="shared" si="60"/>
        <v>40.6</v>
      </c>
      <c r="H208" s="13">
        <f t="shared" si="61"/>
        <v>313.75</v>
      </c>
      <c r="I208" s="14">
        <f t="shared" si="62"/>
        <v>1.7166669999999999</v>
      </c>
      <c r="J208" s="14">
        <f t="shared" si="63"/>
        <v>5203.1955779999998</v>
      </c>
      <c r="K208" s="14">
        <f t="shared" si="64"/>
        <v>4.2231955780000003</v>
      </c>
      <c r="L208" s="14">
        <f t="shared" si="65"/>
        <v>1779.916692</v>
      </c>
      <c r="M208" s="14">
        <v>1775.78</v>
      </c>
      <c r="N208" s="13">
        <f t="shared" si="66"/>
        <v>1.779916692</v>
      </c>
      <c r="O208" s="13">
        <f t="shared" si="67"/>
        <v>1.7602599999999999</v>
      </c>
      <c r="P208" s="13">
        <f t="shared" si="68"/>
        <v>1.9656692000000087E-2</v>
      </c>
      <c r="Q208" s="16">
        <f t="shared" si="69"/>
        <v>1.1166925340574738E-2</v>
      </c>
      <c r="R208" s="14">
        <f t="shared" ca="1" si="70"/>
        <v>6.4923512274052486</v>
      </c>
      <c r="S208" s="14">
        <f t="shared" si="71"/>
        <v>6.4921417204301068</v>
      </c>
      <c r="T208" s="14">
        <f t="shared" ca="1" si="72"/>
        <v>2.0950697514177108E-4</v>
      </c>
      <c r="U208" s="16">
        <f t="shared" ca="1" si="73"/>
        <v>3.2270856700874847E-5</v>
      </c>
      <c r="V208" s="14">
        <f t="shared" si="74"/>
        <v>1.7166666666666668</v>
      </c>
      <c r="W208" s="14">
        <f t="shared" ca="1" si="75"/>
        <v>1.5076487725947514</v>
      </c>
      <c r="X208" s="14">
        <f t="shared" ca="1" si="76"/>
        <v>0.2090178940719154</v>
      </c>
      <c r="Y208" s="28">
        <f t="shared" ca="1" si="77"/>
        <v>0.12175799654674682</v>
      </c>
      <c r="Z208" s="29">
        <f t="shared" ca="1" si="78"/>
        <v>38.091785000000002</v>
      </c>
      <c r="AA208" s="16">
        <f t="shared" ca="1" si="79"/>
        <v>6.1778694581280783E-2</v>
      </c>
      <c r="AB208" s="2"/>
    </row>
    <row r="209" spans="6:28" x14ac:dyDescent="0.25">
      <c r="F209" s="13">
        <v>207</v>
      </c>
      <c r="G209" s="13">
        <f t="shared" si="60"/>
        <v>40.700000000000003</v>
      </c>
      <c r="H209" s="13">
        <f t="shared" si="61"/>
        <v>313.84999999999997</v>
      </c>
      <c r="I209" s="14">
        <f t="shared" si="62"/>
        <v>1.7250000000000001</v>
      </c>
      <c r="J209" s="14">
        <f t="shared" si="63"/>
        <v>5182.4017860000004</v>
      </c>
      <c r="K209" s="14">
        <f t="shared" si="64"/>
        <v>4.2024017860000002</v>
      </c>
      <c r="L209" s="14">
        <f t="shared" si="65"/>
        <v>1777.4956529999999</v>
      </c>
      <c r="M209" s="14">
        <v>1772.8</v>
      </c>
      <c r="N209" s="13">
        <f t="shared" si="66"/>
        <v>1.7774956529999999</v>
      </c>
      <c r="O209" s="13">
        <f t="shared" si="67"/>
        <v>1.7579699999999998</v>
      </c>
      <c r="P209" s="13">
        <f t="shared" si="68"/>
        <v>1.9525653000000087E-2</v>
      </c>
      <c r="Q209" s="16">
        <f t="shared" si="69"/>
        <v>1.1106931858905492E-2</v>
      </c>
      <c r="R209" s="14">
        <f t="shared" ca="1" si="70"/>
        <v>6.4839271370262388</v>
      </c>
      <c r="S209" s="14">
        <f t="shared" si="71"/>
        <v>6.4836958064516121</v>
      </c>
      <c r="T209" s="14">
        <f t="shared" ca="1" si="72"/>
        <v>2.3133057462665363E-4</v>
      </c>
      <c r="U209" s="16">
        <f t="shared" ca="1" si="73"/>
        <v>3.5678813678530037E-5</v>
      </c>
      <c r="V209" s="14">
        <f t="shared" si="74"/>
        <v>1.7250000000000005</v>
      </c>
      <c r="W209" s="14">
        <f t="shared" ca="1" si="75"/>
        <v>1.5160728629737612</v>
      </c>
      <c r="X209" s="14">
        <f t="shared" ca="1" si="76"/>
        <v>0.20892713702623933</v>
      </c>
      <c r="Y209" s="28">
        <f t="shared" ca="1" si="77"/>
        <v>0.12111718088477638</v>
      </c>
      <c r="Z209" s="29">
        <f t="shared" ca="1" si="78"/>
        <v>38.192874000000003</v>
      </c>
      <c r="AA209" s="16">
        <f t="shared" ca="1" si="79"/>
        <v>6.1600147420147404E-2</v>
      </c>
      <c r="AB209" s="2"/>
    </row>
    <row r="210" spans="6:28" x14ac:dyDescent="0.25">
      <c r="F210" s="13">
        <v>208</v>
      </c>
      <c r="G210" s="13">
        <f t="shared" si="60"/>
        <v>40.799999999999997</v>
      </c>
      <c r="H210" s="13">
        <f t="shared" si="61"/>
        <v>313.95</v>
      </c>
      <c r="I210" s="14">
        <f t="shared" si="62"/>
        <v>1.733333</v>
      </c>
      <c r="J210" s="14">
        <f t="shared" si="63"/>
        <v>5161.702655</v>
      </c>
      <c r="K210" s="14">
        <f t="shared" si="64"/>
        <v>4.1817026550000005</v>
      </c>
      <c r="L210" s="14">
        <f t="shared" si="65"/>
        <v>1775.072948</v>
      </c>
      <c r="M210" s="14">
        <v>1770.66</v>
      </c>
      <c r="N210" s="13">
        <f t="shared" si="66"/>
        <v>1.775072948</v>
      </c>
      <c r="O210" s="13">
        <f t="shared" si="67"/>
        <v>1.7556799999999999</v>
      </c>
      <c r="P210" s="13">
        <f t="shared" si="68"/>
        <v>1.9392948000000132E-2</v>
      </c>
      <c r="Q210" s="16">
        <f t="shared" si="69"/>
        <v>1.104583295361349E-2</v>
      </c>
      <c r="R210" s="14">
        <f t="shared" ca="1" si="70"/>
        <v>6.4742978629737618</v>
      </c>
      <c r="S210" s="14">
        <f t="shared" si="71"/>
        <v>6.4752498924731174</v>
      </c>
      <c r="T210" s="14">
        <f t="shared" ca="1" si="72"/>
        <v>9.5202949935568881E-4</v>
      </c>
      <c r="U210" s="16">
        <f t="shared" ca="1" si="73"/>
        <v>1.4702590867764586E-4</v>
      </c>
      <c r="V210" s="14">
        <f t="shared" si="74"/>
        <v>1.7333333333333334</v>
      </c>
      <c r="W210" s="14">
        <f t="shared" ca="1" si="75"/>
        <v>1.5257021370262382</v>
      </c>
      <c r="X210" s="14">
        <f t="shared" ca="1" si="76"/>
        <v>0.20763119630709514</v>
      </c>
      <c r="Y210" s="28">
        <f t="shared" ca="1" si="77"/>
        <v>0.11978722863870873</v>
      </c>
      <c r="Z210" s="29">
        <f t="shared" ca="1" si="78"/>
        <v>38.308425999999997</v>
      </c>
      <c r="AA210" s="16">
        <f t="shared" ca="1" si="79"/>
        <v>6.1067990196078434E-2</v>
      </c>
      <c r="AB210" s="2"/>
    </row>
    <row r="211" spans="6:28" x14ac:dyDescent="0.25">
      <c r="F211" s="13">
        <v>209</v>
      </c>
      <c r="G211" s="13">
        <f t="shared" si="60"/>
        <v>40.900000000000006</v>
      </c>
      <c r="H211" s="13">
        <f t="shared" si="61"/>
        <v>314.04999999999995</v>
      </c>
      <c r="I211" s="14">
        <f t="shared" si="62"/>
        <v>1.7416670000000001</v>
      </c>
      <c r="J211" s="14">
        <f t="shared" si="63"/>
        <v>5141.0977039999998</v>
      </c>
      <c r="K211" s="14">
        <f t="shared" si="64"/>
        <v>4.1610977040000003</v>
      </c>
      <c r="L211" s="14">
        <f t="shared" si="65"/>
        <v>1772.6485949999999</v>
      </c>
      <c r="M211" s="14">
        <v>1768.1</v>
      </c>
      <c r="N211" s="13">
        <f t="shared" si="66"/>
        <v>1.7726485949999999</v>
      </c>
      <c r="O211" s="13">
        <f t="shared" si="67"/>
        <v>1.7533899999999998</v>
      </c>
      <c r="P211" s="13">
        <f t="shared" si="68"/>
        <v>1.9258595000000156E-2</v>
      </c>
      <c r="Q211" s="16">
        <f t="shared" si="69"/>
        <v>1.0983634559339428E-2</v>
      </c>
      <c r="R211" s="14">
        <f t="shared" ca="1" si="70"/>
        <v>6.4654656355685125</v>
      </c>
      <c r="S211" s="14">
        <f t="shared" si="71"/>
        <v>6.4668039784946227</v>
      </c>
      <c r="T211" s="14">
        <f t="shared" ca="1" si="72"/>
        <v>1.3383429261102364E-3</v>
      </c>
      <c r="U211" s="16">
        <f t="shared" ca="1" si="73"/>
        <v>2.0695585184905867E-4</v>
      </c>
      <c r="V211" s="14">
        <f t="shared" si="74"/>
        <v>1.7416666666666671</v>
      </c>
      <c r="W211" s="14">
        <f t="shared" ca="1" si="75"/>
        <v>1.5345343644314875</v>
      </c>
      <c r="X211" s="14">
        <f t="shared" ca="1" si="76"/>
        <v>0.20713230223517964</v>
      </c>
      <c r="Y211" s="28">
        <f t="shared" ca="1" si="77"/>
        <v>0.11892763764699306</v>
      </c>
      <c r="Z211" s="29">
        <f t="shared" ca="1" si="78"/>
        <v>38.414411999999999</v>
      </c>
      <c r="AA211" s="16">
        <f t="shared" ca="1" si="79"/>
        <v>6.0772322738386474E-2</v>
      </c>
      <c r="AB211" s="2"/>
    </row>
    <row r="212" spans="6:28" x14ac:dyDescent="0.25">
      <c r="F212" s="13">
        <v>210</v>
      </c>
      <c r="G212" s="13">
        <f t="shared" si="60"/>
        <v>41</v>
      </c>
      <c r="H212" s="13">
        <f t="shared" si="61"/>
        <v>314.14999999999998</v>
      </c>
      <c r="I212" s="14">
        <f t="shared" si="62"/>
        <v>1.75</v>
      </c>
      <c r="J212" s="14">
        <f t="shared" si="63"/>
        <v>5120.586456</v>
      </c>
      <c r="K212" s="14">
        <f t="shared" si="64"/>
        <v>4.1405864560000003</v>
      </c>
      <c r="L212" s="14">
        <f t="shared" si="65"/>
        <v>1770.2226109999999</v>
      </c>
      <c r="M212" s="14">
        <v>1765.74</v>
      </c>
      <c r="N212" s="13">
        <f t="shared" si="66"/>
        <v>1.7702226109999999</v>
      </c>
      <c r="O212" s="13">
        <f t="shared" si="67"/>
        <v>1.7511000000000001</v>
      </c>
      <c r="P212" s="13">
        <f t="shared" si="68"/>
        <v>1.912261099999979E-2</v>
      </c>
      <c r="Q212" s="16">
        <f t="shared" si="69"/>
        <v>1.0920342070698297E-2</v>
      </c>
      <c r="R212" s="14">
        <f t="shared" ca="1" si="70"/>
        <v>6.4573991370262389</v>
      </c>
      <c r="S212" s="14">
        <f t="shared" si="71"/>
        <v>6.4583580645161289</v>
      </c>
      <c r="T212" s="14">
        <f t="shared" ca="1" si="72"/>
        <v>9.5892748989001575E-4</v>
      </c>
      <c r="U212" s="16">
        <f t="shared" ca="1" si="73"/>
        <v>1.4847852663335727E-4</v>
      </c>
      <c r="V212" s="14">
        <f t="shared" si="74"/>
        <v>1.75</v>
      </c>
      <c r="W212" s="14">
        <f t="shared" ca="1" si="75"/>
        <v>1.5426008629737611</v>
      </c>
      <c r="X212" s="14">
        <f t="shared" ca="1" si="76"/>
        <v>0.20739913702623891</v>
      </c>
      <c r="Y212" s="28">
        <f t="shared" ca="1" si="77"/>
        <v>0.11851379258642224</v>
      </c>
      <c r="Z212" s="29">
        <f t="shared" ca="1" si="78"/>
        <v>38.511209999999998</v>
      </c>
      <c r="AA212" s="16">
        <f t="shared" ca="1" si="79"/>
        <v>6.0702195121951262E-2</v>
      </c>
      <c r="AB212" s="2"/>
    </row>
    <row r="213" spans="6:28" x14ac:dyDescent="0.25">
      <c r="F213" s="13">
        <v>211</v>
      </c>
      <c r="G213" s="13">
        <f t="shared" si="60"/>
        <v>41.1</v>
      </c>
      <c r="H213" s="13">
        <f t="shared" si="61"/>
        <v>314.25</v>
      </c>
      <c r="I213" s="14">
        <f t="shared" si="62"/>
        <v>1.7583329999999999</v>
      </c>
      <c r="J213" s="14">
        <f t="shared" si="63"/>
        <v>5100.1684370000003</v>
      </c>
      <c r="K213" s="14">
        <f t="shared" si="64"/>
        <v>4.1201684370000002</v>
      </c>
      <c r="L213" s="14">
        <f t="shared" si="65"/>
        <v>1767.7950149999999</v>
      </c>
      <c r="M213" s="14">
        <v>1763.37</v>
      </c>
      <c r="N213" s="13">
        <f t="shared" si="66"/>
        <v>1.7677950150000001</v>
      </c>
      <c r="O213" s="13">
        <f t="shared" si="67"/>
        <v>1.7488099999999998</v>
      </c>
      <c r="P213" s="13">
        <f t="shared" si="68"/>
        <v>1.8985015000000383E-2</v>
      </c>
      <c r="Q213" s="16">
        <f t="shared" si="69"/>
        <v>1.0855962054197074E-2</v>
      </c>
      <c r="R213" s="14">
        <f t="shared" ca="1" si="70"/>
        <v>6.4477518629737611</v>
      </c>
      <c r="S213" s="14">
        <f t="shared" si="71"/>
        <v>6.4499121505376333</v>
      </c>
      <c r="T213" s="14">
        <f t="shared" ca="1" si="72"/>
        <v>2.1602875638722097E-3</v>
      </c>
      <c r="U213" s="16">
        <f t="shared" ca="1" si="73"/>
        <v>3.3493286628595998E-4</v>
      </c>
      <c r="V213" s="14">
        <f t="shared" si="74"/>
        <v>1.7583333333333337</v>
      </c>
      <c r="W213" s="14">
        <f t="shared" ca="1" si="75"/>
        <v>1.5522481370262389</v>
      </c>
      <c r="X213" s="14">
        <f t="shared" ca="1" si="76"/>
        <v>0.20608519630709488</v>
      </c>
      <c r="Y213" s="28">
        <f t="shared" ca="1" si="77"/>
        <v>0.1172048509803383</v>
      </c>
      <c r="Z213" s="29">
        <f t="shared" ca="1" si="78"/>
        <v>38.626978000000001</v>
      </c>
      <c r="AA213" s="16">
        <f t="shared" ca="1" si="79"/>
        <v>6.0170851581508519E-2</v>
      </c>
      <c r="AB213" s="2"/>
    </row>
    <row r="214" spans="6:28" x14ac:dyDescent="0.25">
      <c r="F214" s="13">
        <v>212</v>
      </c>
      <c r="G214" s="13">
        <f t="shared" si="60"/>
        <v>41.2</v>
      </c>
      <c r="H214" s="13">
        <f t="shared" si="61"/>
        <v>314.34999999999997</v>
      </c>
      <c r="I214" s="14">
        <f t="shared" si="62"/>
        <v>1.766667</v>
      </c>
      <c r="J214" s="14">
        <f t="shared" si="63"/>
        <v>5079.8431739999996</v>
      </c>
      <c r="K214" s="14">
        <f t="shared" si="64"/>
        <v>4.0998431740000001</v>
      </c>
      <c r="L214" s="14">
        <f t="shared" si="65"/>
        <v>1765.365824</v>
      </c>
      <c r="M214" s="14">
        <v>1760.99</v>
      </c>
      <c r="N214" s="13">
        <f t="shared" si="66"/>
        <v>1.7653658239999999</v>
      </c>
      <c r="O214" s="13">
        <f t="shared" si="67"/>
        <v>1.7465199999999999</v>
      </c>
      <c r="P214" s="13">
        <f t="shared" si="68"/>
        <v>1.8845824000000011E-2</v>
      </c>
      <c r="Q214" s="16">
        <f t="shared" si="69"/>
        <v>1.0790499965645977E-2</v>
      </c>
      <c r="R214" s="14">
        <f t="shared" ca="1" si="70"/>
        <v>6.4388908629737616</v>
      </c>
      <c r="S214" s="14">
        <f t="shared" si="71"/>
        <v>6.4414662365591386</v>
      </c>
      <c r="T214" s="14">
        <f t="shared" ca="1" si="72"/>
        <v>2.5753735853770721E-3</v>
      </c>
      <c r="U214" s="16">
        <f t="shared" ca="1" si="73"/>
        <v>3.9981170292569424E-4</v>
      </c>
      <c r="V214" s="14">
        <f t="shared" si="74"/>
        <v>1.7666666666666675</v>
      </c>
      <c r="W214" s="14">
        <f t="shared" ca="1" si="75"/>
        <v>1.5611091370262384</v>
      </c>
      <c r="X214" s="14">
        <f t="shared" ca="1" si="76"/>
        <v>0.20555752964042906</v>
      </c>
      <c r="Y214" s="28">
        <f t="shared" ca="1" si="77"/>
        <v>0.11635331866439376</v>
      </c>
      <c r="Z214" s="29">
        <f t="shared" ca="1" si="78"/>
        <v>38.733310000000003</v>
      </c>
      <c r="AA214" s="16">
        <f t="shared" ca="1" si="79"/>
        <v>5.9871116504854362E-2</v>
      </c>
      <c r="AB214" s="2"/>
    </row>
    <row r="215" spans="6:28" x14ac:dyDescent="0.25">
      <c r="F215" s="13">
        <v>213</v>
      </c>
      <c r="G215" s="13">
        <f t="shared" si="60"/>
        <v>41.3</v>
      </c>
      <c r="H215" s="13">
        <f t="shared" si="61"/>
        <v>314.45</v>
      </c>
      <c r="I215" s="14">
        <f t="shared" si="62"/>
        <v>1.7749999999999999</v>
      </c>
      <c r="J215" s="14">
        <f t="shared" si="63"/>
        <v>5059.6101989999997</v>
      </c>
      <c r="K215" s="14">
        <f t="shared" si="64"/>
        <v>4.0796101990000002</v>
      </c>
      <c r="L215" s="14">
        <f t="shared" si="65"/>
        <v>1762.9350549999999</v>
      </c>
      <c r="M215" s="14">
        <v>1758.61</v>
      </c>
      <c r="N215" s="13">
        <f t="shared" si="66"/>
        <v>1.7629350549999998</v>
      </c>
      <c r="O215" s="13">
        <f t="shared" si="67"/>
        <v>1.7442299999999999</v>
      </c>
      <c r="P215" s="13">
        <f t="shared" si="68"/>
        <v>1.8705054999999859E-2</v>
      </c>
      <c r="Q215" s="16">
        <f t="shared" si="69"/>
        <v>1.0723961289508758E-2</v>
      </c>
      <c r="R215" s="14">
        <f t="shared" ca="1" si="70"/>
        <v>6.4304209999999999</v>
      </c>
      <c r="S215" s="14">
        <f t="shared" si="71"/>
        <v>6.4330203225806448</v>
      </c>
      <c r="T215" s="14">
        <f t="shared" ca="1" si="72"/>
        <v>2.5993225806448805E-3</v>
      </c>
      <c r="U215" s="16">
        <f t="shared" ca="1" si="73"/>
        <v>4.0405943869335493E-4</v>
      </c>
      <c r="V215" s="14">
        <f t="shared" si="74"/>
        <v>1.7749999999999995</v>
      </c>
      <c r="W215" s="14">
        <f t="shared" ca="1" si="75"/>
        <v>1.5695790000000001</v>
      </c>
      <c r="X215" s="14">
        <f t="shared" ca="1" si="76"/>
        <v>0.20542099999999941</v>
      </c>
      <c r="Y215" s="28">
        <f t="shared" ca="1" si="77"/>
        <v>0.11573014084507012</v>
      </c>
      <c r="Z215" s="29">
        <f t="shared" ca="1" si="78"/>
        <v>38.834947999999997</v>
      </c>
      <c r="AA215" s="16">
        <f t="shared" ca="1" si="79"/>
        <v>5.9686489104116225E-2</v>
      </c>
      <c r="AB215" s="2"/>
    </row>
    <row r="216" spans="6:28" x14ac:dyDescent="0.25">
      <c r="F216" s="13">
        <v>214</v>
      </c>
      <c r="G216" s="13">
        <f t="shared" si="60"/>
        <v>41.400000000000006</v>
      </c>
      <c r="H216" s="13">
        <f t="shared" si="61"/>
        <v>314.54999999999995</v>
      </c>
      <c r="I216" s="14">
        <f t="shared" si="62"/>
        <v>1.7833330000000001</v>
      </c>
      <c r="J216" s="14">
        <f t="shared" si="63"/>
        <v>5039.4690440000004</v>
      </c>
      <c r="K216" s="14">
        <f t="shared" si="64"/>
        <v>4.0594690440000001</v>
      </c>
      <c r="L216" s="14">
        <f t="shared" si="65"/>
        <v>1760.5027279999999</v>
      </c>
      <c r="M216" s="14">
        <v>1755.81</v>
      </c>
      <c r="N216" s="13">
        <f t="shared" si="66"/>
        <v>1.7605027280000001</v>
      </c>
      <c r="O216" s="13">
        <f t="shared" si="67"/>
        <v>1.7419399999999998</v>
      </c>
      <c r="P216" s="13">
        <f t="shared" si="68"/>
        <v>1.856272800000025E-2</v>
      </c>
      <c r="Q216" s="16">
        <f t="shared" si="69"/>
        <v>1.0656353261306505E-2</v>
      </c>
      <c r="R216" s="14">
        <f t="shared" ca="1" si="70"/>
        <v>6.4207674985422738</v>
      </c>
      <c r="S216" s="14">
        <f t="shared" si="71"/>
        <v>6.4245744086021492</v>
      </c>
      <c r="T216" s="14">
        <f t="shared" ca="1" si="72"/>
        <v>3.8069100598754346E-3</v>
      </c>
      <c r="U216" s="16">
        <f t="shared" ca="1" si="73"/>
        <v>5.9255443516666151E-4</v>
      </c>
      <c r="V216" s="14">
        <f t="shared" si="74"/>
        <v>1.7833333333333341</v>
      </c>
      <c r="W216" s="14">
        <f t="shared" ca="1" si="75"/>
        <v>1.5792325014577262</v>
      </c>
      <c r="X216" s="14">
        <f t="shared" ca="1" si="76"/>
        <v>0.2041008318756079</v>
      </c>
      <c r="Y216" s="28">
        <f t="shared" ca="1" si="77"/>
        <v>0.11444906460314457</v>
      </c>
      <c r="Z216" s="29">
        <f t="shared" ca="1" si="78"/>
        <v>38.950789999999998</v>
      </c>
      <c r="AA216" s="16">
        <f t="shared" ca="1" si="79"/>
        <v>5.9159661835748972E-2</v>
      </c>
      <c r="AB216" s="2"/>
    </row>
    <row r="217" spans="6:28" x14ac:dyDescent="0.25">
      <c r="F217" s="13">
        <v>215</v>
      </c>
      <c r="G217" s="13">
        <f t="shared" si="60"/>
        <v>41.5</v>
      </c>
      <c r="H217" s="13">
        <f t="shared" si="61"/>
        <v>314.64999999999998</v>
      </c>
      <c r="I217" s="14">
        <f t="shared" si="62"/>
        <v>1.7916669999999999</v>
      </c>
      <c r="J217" s="14">
        <f t="shared" si="63"/>
        <v>5019.419245</v>
      </c>
      <c r="K217" s="14">
        <f t="shared" si="64"/>
        <v>4.0394192450000004</v>
      </c>
      <c r="L217" s="14">
        <f t="shared" si="65"/>
        <v>1758.068859</v>
      </c>
      <c r="M217" s="14">
        <v>1753.41</v>
      </c>
      <c r="N217" s="13">
        <f t="shared" si="66"/>
        <v>1.758068859</v>
      </c>
      <c r="O217" s="13">
        <f t="shared" si="67"/>
        <v>1.7396499999999999</v>
      </c>
      <c r="P217" s="13">
        <f t="shared" si="68"/>
        <v>1.8418859000000065E-2</v>
      </c>
      <c r="Q217" s="16">
        <f t="shared" si="69"/>
        <v>1.0587680855344504E-2</v>
      </c>
      <c r="R217" s="14">
        <f t="shared" ca="1" si="70"/>
        <v>6.4122748629737609</v>
      </c>
      <c r="S217" s="14">
        <f t="shared" si="71"/>
        <v>6.4161284946236554</v>
      </c>
      <c r="T217" s="14">
        <f t="shared" ca="1" si="72"/>
        <v>3.8536316498944956E-3</v>
      </c>
      <c r="U217" s="16">
        <f t="shared" ca="1" si="73"/>
        <v>6.0061634568628352E-4</v>
      </c>
      <c r="V217" s="14">
        <f t="shared" si="74"/>
        <v>1.791666666666667</v>
      </c>
      <c r="W217" s="14">
        <f t="shared" ca="1" si="75"/>
        <v>1.5877251370262391</v>
      </c>
      <c r="X217" s="14">
        <f t="shared" ca="1" si="76"/>
        <v>0.20394152964042789</v>
      </c>
      <c r="Y217" s="28">
        <f t="shared" ca="1" si="77"/>
        <v>0.11382783049698299</v>
      </c>
      <c r="Z217" s="29">
        <f t="shared" ca="1" si="78"/>
        <v>39.052701999999996</v>
      </c>
      <c r="AA217" s="16">
        <f t="shared" ca="1" si="79"/>
        <v>5.8971036144578395E-2</v>
      </c>
      <c r="AB217" s="2"/>
    </row>
    <row r="218" spans="6:28" x14ac:dyDescent="0.25">
      <c r="F218" s="13">
        <v>216</v>
      </c>
      <c r="G218" s="13">
        <f t="shared" si="60"/>
        <v>41.6</v>
      </c>
      <c r="H218" s="13">
        <f t="shared" si="61"/>
        <v>314.75</v>
      </c>
      <c r="I218" s="14">
        <f t="shared" si="62"/>
        <v>1.8</v>
      </c>
      <c r="J218" s="14">
        <f t="shared" si="63"/>
        <v>4999.460341</v>
      </c>
      <c r="K218" s="14">
        <f t="shared" si="64"/>
        <v>4.0194603410000003</v>
      </c>
      <c r="L218" s="14">
        <f t="shared" si="65"/>
        <v>1755.6334670000001</v>
      </c>
      <c r="M218" s="14">
        <v>1751.01</v>
      </c>
      <c r="N218" s="13">
        <f t="shared" si="66"/>
        <v>1.755633467</v>
      </c>
      <c r="O218" s="13">
        <f t="shared" si="67"/>
        <v>1.7373599999999998</v>
      </c>
      <c r="P218" s="13">
        <f t="shared" si="68"/>
        <v>1.827346700000021E-2</v>
      </c>
      <c r="Q218" s="16">
        <f t="shared" si="69"/>
        <v>1.0517950798913416E-2</v>
      </c>
      <c r="R218" s="14">
        <f t="shared" ca="1" si="70"/>
        <v>6.4030064985422737</v>
      </c>
      <c r="S218" s="14">
        <f t="shared" si="71"/>
        <v>6.4076825806451598</v>
      </c>
      <c r="T218" s="14">
        <f t="shared" ca="1" si="72"/>
        <v>4.6760821028861699E-3</v>
      </c>
      <c r="U218" s="16">
        <f t="shared" ca="1" si="73"/>
        <v>7.2976182013300621E-4</v>
      </c>
      <c r="V218" s="14">
        <f t="shared" si="74"/>
        <v>1.8000000000000007</v>
      </c>
      <c r="W218" s="14">
        <f t="shared" ca="1" si="75"/>
        <v>1.5969935014577263</v>
      </c>
      <c r="X218" s="14">
        <f t="shared" ca="1" si="76"/>
        <v>0.20300649854227437</v>
      </c>
      <c r="Y218" s="28">
        <f t="shared" ca="1" si="77"/>
        <v>0.11278138807904127</v>
      </c>
      <c r="Z218" s="29">
        <f t="shared" ca="1" si="78"/>
        <v>39.163921999999999</v>
      </c>
      <c r="AA218" s="16">
        <f t="shared" ca="1" si="79"/>
        <v>5.8559567307692351E-2</v>
      </c>
      <c r="AB218" s="2"/>
    </row>
    <row r="219" spans="6:28" x14ac:dyDescent="0.25">
      <c r="F219" s="13">
        <v>217</v>
      </c>
      <c r="G219" s="13">
        <f t="shared" si="60"/>
        <v>41.7</v>
      </c>
      <c r="H219" s="13">
        <f t="shared" si="61"/>
        <v>314.84999999999997</v>
      </c>
      <c r="I219" s="14">
        <f t="shared" si="62"/>
        <v>1.808333</v>
      </c>
      <c r="J219" s="14">
        <f t="shared" si="63"/>
        <v>4979.591872</v>
      </c>
      <c r="K219" s="14">
        <f t="shared" si="64"/>
        <v>3.9995918719999999</v>
      </c>
      <c r="L219" s="14">
        <f t="shared" si="65"/>
        <v>1753.196569</v>
      </c>
      <c r="M219" s="14">
        <v>1748.6</v>
      </c>
      <c r="N219" s="13">
        <f t="shared" si="66"/>
        <v>1.753196569</v>
      </c>
      <c r="O219" s="13">
        <f t="shared" si="67"/>
        <v>1.7350699999999999</v>
      </c>
      <c r="P219" s="13">
        <f t="shared" si="68"/>
        <v>1.8126569000000092E-2</v>
      </c>
      <c r="Q219" s="16">
        <f t="shared" si="69"/>
        <v>1.0447168702127346E-2</v>
      </c>
      <c r="R219" s="14">
        <f t="shared" ca="1" si="70"/>
        <v>6.394502862973761</v>
      </c>
      <c r="S219" s="14">
        <f t="shared" si="71"/>
        <v>6.399236666666666</v>
      </c>
      <c r="T219" s="14">
        <f t="shared" ca="1" si="72"/>
        <v>4.733803692904992E-3</v>
      </c>
      <c r="U219" s="16">
        <f t="shared" ca="1" si="73"/>
        <v>7.3974505702581071E-4</v>
      </c>
      <c r="V219" s="14">
        <f t="shared" si="74"/>
        <v>1.8083333333333336</v>
      </c>
      <c r="W219" s="14">
        <f t="shared" ca="1" si="75"/>
        <v>1.605497137026239</v>
      </c>
      <c r="X219" s="14">
        <f t="shared" ca="1" si="76"/>
        <v>0.2028361963070946</v>
      </c>
      <c r="Y219" s="28">
        <f t="shared" ca="1" si="77"/>
        <v>0.11216748182880806</v>
      </c>
      <c r="Z219" s="29">
        <f t="shared" ca="1" si="78"/>
        <v>39.265965999999999</v>
      </c>
      <c r="AA219" s="16">
        <f t="shared" ca="1" si="79"/>
        <v>5.8370119904076832E-2</v>
      </c>
      <c r="AB219" s="2"/>
    </row>
    <row r="220" spans="6:28" x14ac:dyDescent="0.25">
      <c r="F220" s="13">
        <v>218</v>
      </c>
      <c r="G220" s="13">
        <f t="shared" si="60"/>
        <v>41.8</v>
      </c>
      <c r="H220" s="13">
        <f t="shared" si="61"/>
        <v>314.95</v>
      </c>
      <c r="I220" s="14">
        <f t="shared" si="62"/>
        <v>1.816667</v>
      </c>
      <c r="J220" s="14">
        <f t="shared" si="63"/>
        <v>4959.8133820000003</v>
      </c>
      <c r="K220" s="14">
        <f t="shared" si="64"/>
        <v>3.9798133820000006</v>
      </c>
      <c r="L220" s="14">
        <f t="shared" si="65"/>
        <v>1750.758184</v>
      </c>
      <c r="M220" s="14">
        <v>1746.19</v>
      </c>
      <c r="N220" s="13">
        <f t="shared" si="66"/>
        <v>1.7507581840000002</v>
      </c>
      <c r="O220" s="13">
        <f t="shared" si="67"/>
        <v>1.73278</v>
      </c>
      <c r="P220" s="13">
        <f t="shared" si="68"/>
        <v>1.7978184000000175E-2</v>
      </c>
      <c r="Q220" s="16">
        <f t="shared" si="69"/>
        <v>1.0375341358972388E-2</v>
      </c>
      <c r="R220" s="14">
        <f t="shared" ca="1" si="70"/>
        <v>6.3856088629737613</v>
      </c>
      <c r="S220" s="14">
        <f t="shared" si="71"/>
        <v>6.3907907526881713</v>
      </c>
      <c r="T220" s="14">
        <f t="shared" ca="1" si="72"/>
        <v>5.1818897144100262E-3</v>
      </c>
      <c r="U220" s="16">
        <f t="shared" ca="1" si="73"/>
        <v>8.1083701766175922E-4</v>
      </c>
      <c r="V220" s="14">
        <f t="shared" si="74"/>
        <v>1.8166666666666673</v>
      </c>
      <c r="W220" s="14">
        <f t="shared" ca="1" si="75"/>
        <v>1.6143911370262387</v>
      </c>
      <c r="X220" s="14">
        <f t="shared" ca="1" si="76"/>
        <v>0.20227552964042861</v>
      </c>
      <c r="Y220" s="28">
        <f t="shared" ca="1" si="77"/>
        <v>0.11134432824243773</v>
      </c>
      <c r="Z220" s="29">
        <f t="shared" ca="1" si="78"/>
        <v>39.372694000000003</v>
      </c>
      <c r="AA220" s="16">
        <f t="shared" ca="1" si="79"/>
        <v>5.806952153110035E-2</v>
      </c>
      <c r="AB220" s="2"/>
    </row>
    <row r="221" spans="6:28" x14ac:dyDescent="0.25">
      <c r="F221" s="13">
        <v>219</v>
      </c>
      <c r="G221" s="13">
        <f t="shared" si="60"/>
        <v>41.900000000000006</v>
      </c>
      <c r="H221" s="13">
        <f t="shared" si="61"/>
        <v>315.04999999999995</v>
      </c>
      <c r="I221" s="14">
        <f t="shared" si="62"/>
        <v>1.825</v>
      </c>
      <c r="J221" s="14">
        <f t="shared" si="63"/>
        <v>4940.124417</v>
      </c>
      <c r="K221" s="14">
        <f t="shared" si="64"/>
        <v>3.9601244170000003</v>
      </c>
      <c r="L221" s="14">
        <f t="shared" si="65"/>
        <v>1748.3183300000001</v>
      </c>
      <c r="M221" s="14">
        <v>1743.77</v>
      </c>
      <c r="N221" s="13">
        <f t="shared" si="66"/>
        <v>1.7483183300000003</v>
      </c>
      <c r="O221" s="13">
        <f t="shared" si="67"/>
        <v>1.7304899999999999</v>
      </c>
      <c r="P221" s="13">
        <f t="shared" si="68"/>
        <v>1.7828330000000392E-2</v>
      </c>
      <c r="Q221" s="16">
        <f t="shared" si="69"/>
        <v>1.0302475021525922E-2</v>
      </c>
      <c r="R221" s="14">
        <f t="shared" ca="1" si="70"/>
        <v>6.376719635568513</v>
      </c>
      <c r="S221" s="14">
        <f t="shared" si="71"/>
        <v>6.3823448387096766</v>
      </c>
      <c r="T221" s="14">
        <f t="shared" ca="1" si="72"/>
        <v>5.6252031411636594E-3</v>
      </c>
      <c r="U221" s="16">
        <f t="shared" ca="1" si="73"/>
        <v>8.8136935300739893E-4</v>
      </c>
      <c r="V221" s="14">
        <f t="shared" si="74"/>
        <v>1.8250000000000002</v>
      </c>
      <c r="W221" s="14">
        <f t="shared" ca="1" si="75"/>
        <v>1.623280364431487</v>
      </c>
      <c r="X221" s="14">
        <f t="shared" ca="1" si="76"/>
        <v>0.20171963556851313</v>
      </c>
      <c r="Y221" s="28">
        <f t="shared" ca="1" si="77"/>
        <v>0.11053130716082911</v>
      </c>
      <c r="Z221" s="29">
        <f t="shared" ca="1" si="78"/>
        <v>39.479363999999997</v>
      </c>
      <c r="AA221" s="16">
        <f t="shared" ca="1" si="79"/>
        <v>5.7771742243436959E-2</v>
      </c>
      <c r="AB221" s="2"/>
    </row>
    <row r="222" spans="6:28" x14ac:dyDescent="0.25">
      <c r="F222" s="13">
        <v>220</v>
      </c>
      <c r="G222" s="13">
        <f t="shared" si="60"/>
        <v>42</v>
      </c>
      <c r="H222" s="13">
        <f t="shared" si="61"/>
        <v>315.14999999999998</v>
      </c>
      <c r="I222" s="14">
        <f t="shared" si="62"/>
        <v>1.8333330000000001</v>
      </c>
      <c r="J222" s="14">
        <f t="shared" si="63"/>
        <v>4920.5245249999998</v>
      </c>
      <c r="K222" s="14">
        <f t="shared" si="64"/>
        <v>3.9405245249999998</v>
      </c>
      <c r="L222" s="14">
        <f t="shared" si="65"/>
        <v>1745.8770239999999</v>
      </c>
      <c r="M222" s="14">
        <v>1741.34</v>
      </c>
      <c r="N222" s="13">
        <f t="shared" si="66"/>
        <v>1.7458770239999999</v>
      </c>
      <c r="O222" s="13">
        <f t="shared" si="67"/>
        <v>1.7282</v>
      </c>
      <c r="P222" s="13">
        <f t="shared" si="68"/>
        <v>1.767702399999993E-2</v>
      </c>
      <c r="Q222" s="16">
        <f t="shared" si="69"/>
        <v>1.0228575396366121E-2</v>
      </c>
      <c r="R222" s="14">
        <f t="shared" ca="1" si="70"/>
        <v>6.3689815014577258</v>
      </c>
      <c r="S222" s="14">
        <f t="shared" si="71"/>
        <v>6.3738989247311819</v>
      </c>
      <c r="T222" s="14">
        <f t="shared" ca="1" si="72"/>
        <v>4.917423273456123E-3</v>
      </c>
      <c r="U222" s="16">
        <f t="shared" ca="1" si="73"/>
        <v>7.7149376410350187E-4</v>
      </c>
      <c r="V222" s="14">
        <f t="shared" si="74"/>
        <v>1.8333333333333339</v>
      </c>
      <c r="W222" s="14">
        <f t="shared" ca="1" si="75"/>
        <v>1.6310184985422742</v>
      </c>
      <c r="X222" s="14">
        <f t="shared" ca="1" si="76"/>
        <v>0.20231483479105972</v>
      </c>
      <c r="Y222" s="28">
        <f t="shared" ca="1" si="77"/>
        <v>0.11035354624966891</v>
      </c>
      <c r="Z222" s="29">
        <f t="shared" ca="1" si="78"/>
        <v>39.572221999999996</v>
      </c>
      <c r="AA222" s="16">
        <f t="shared" ca="1" si="79"/>
        <v>5.7804238095238179E-2</v>
      </c>
      <c r="AB222" s="2"/>
    </row>
    <row r="223" spans="6:28" x14ac:dyDescent="0.25">
      <c r="F223" s="13">
        <v>221</v>
      </c>
      <c r="G223" s="13">
        <f t="shared" si="60"/>
        <v>42.1</v>
      </c>
      <c r="H223" s="13">
        <f t="shared" si="61"/>
        <v>315.25</v>
      </c>
      <c r="I223" s="14">
        <f t="shared" si="62"/>
        <v>1.8416669999999999</v>
      </c>
      <c r="J223" s="14">
        <f t="shared" si="63"/>
        <v>4901.013258</v>
      </c>
      <c r="K223" s="14">
        <f t="shared" si="64"/>
        <v>3.9210132580000003</v>
      </c>
      <c r="L223" s="14">
        <f t="shared" si="65"/>
        <v>1743.4342839999999</v>
      </c>
      <c r="M223" s="14">
        <v>1738.91</v>
      </c>
      <c r="N223" s="13">
        <f t="shared" si="66"/>
        <v>1.7434342840000001</v>
      </c>
      <c r="O223" s="13">
        <f t="shared" si="67"/>
        <v>1.7259099999999998</v>
      </c>
      <c r="P223" s="13">
        <f t="shared" si="68"/>
        <v>1.7524284000000279E-2</v>
      </c>
      <c r="Q223" s="16">
        <f t="shared" si="69"/>
        <v>1.0153648799763765E-2</v>
      </c>
      <c r="R223" s="14">
        <f t="shared" ca="1" si="70"/>
        <v>6.3592899999999997</v>
      </c>
      <c r="S223" s="14">
        <f t="shared" si="71"/>
        <v>6.3654530107526872</v>
      </c>
      <c r="T223" s="14">
        <f t="shared" ca="1" si="72"/>
        <v>6.1630107526875477E-3</v>
      </c>
      <c r="U223" s="16">
        <f t="shared" ca="1" si="73"/>
        <v>9.6819672414152316E-4</v>
      </c>
      <c r="V223" s="14">
        <f t="shared" si="74"/>
        <v>1.8416666666666668</v>
      </c>
      <c r="W223" s="14">
        <f t="shared" ca="1" si="75"/>
        <v>1.6407100000000003</v>
      </c>
      <c r="X223" s="14">
        <f t="shared" ca="1" si="76"/>
        <v>0.20095666666666645</v>
      </c>
      <c r="Y223" s="28">
        <f t="shared" ca="1" si="77"/>
        <v>0.10911674208144784</v>
      </c>
      <c r="Z223" s="29">
        <f t="shared" ca="1" si="78"/>
        <v>39.688519999999997</v>
      </c>
      <c r="AA223" s="16">
        <f t="shared" ca="1" si="79"/>
        <v>5.7279809976247133E-2</v>
      </c>
      <c r="AB223" s="2"/>
    </row>
    <row r="224" spans="6:28" x14ac:dyDescent="0.25">
      <c r="F224" s="13">
        <v>222</v>
      </c>
      <c r="G224" s="13">
        <f t="shared" si="60"/>
        <v>42.2</v>
      </c>
      <c r="H224" s="13">
        <f t="shared" si="61"/>
        <v>315.34999999999997</v>
      </c>
      <c r="I224" s="14">
        <f t="shared" si="62"/>
        <v>1.85</v>
      </c>
      <c r="J224" s="14">
        <f t="shared" si="63"/>
        <v>4881.5901690000001</v>
      </c>
      <c r="K224" s="14">
        <f t="shared" si="64"/>
        <v>3.9015901690000003</v>
      </c>
      <c r="L224" s="14">
        <f t="shared" si="65"/>
        <v>1740.9901299999999</v>
      </c>
      <c r="M224" s="14">
        <v>1736.06</v>
      </c>
      <c r="N224" s="13">
        <f t="shared" si="66"/>
        <v>1.7409901299999997</v>
      </c>
      <c r="O224" s="13">
        <f t="shared" si="67"/>
        <v>1.7236199999999999</v>
      </c>
      <c r="P224" s="13">
        <f t="shared" si="68"/>
        <v>1.7370129999999762E-2</v>
      </c>
      <c r="Q224" s="16">
        <f t="shared" si="69"/>
        <v>1.0077702741903531E-2</v>
      </c>
      <c r="R224" s="14">
        <f t="shared" ca="1" si="70"/>
        <v>6.3503749999999997</v>
      </c>
      <c r="S224" s="14">
        <f t="shared" si="71"/>
        <v>6.3570070967741934</v>
      </c>
      <c r="T224" s="14">
        <f t="shared" ca="1" si="72"/>
        <v>6.6320967741937409E-3</v>
      </c>
      <c r="U224" s="16">
        <f t="shared" ca="1" si="73"/>
        <v>1.0432734576557479E-3</v>
      </c>
      <c r="V224" s="14">
        <f t="shared" si="74"/>
        <v>1.8499999999999996</v>
      </c>
      <c r="W224" s="14">
        <f t="shared" ca="1" si="75"/>
        <v>1.6496250000000003</v>
      </c>
      <c r="X224" s="14">
        <f t="shared" ca="1" si="76"/>
        <v>0.2003749999999993</v>
      </c>
      <c r="Y224" s="28">
        <f t="shared" ca="1" si="77"/>
        <v>0.10831081081081045</v>
      </c>
      <c r="Z224" s="29">
        <f t="shared" ca="1" si="78"/>
        <v>39.795499999999997</v>
      </c>
      <c r="AA224" s="16">
        <f t="shared" ca="1" si="79"/>
        <v>5.6978672985782124E-2</v>
      </c>
      <c r="AB224" s="2"/>
    </row>
    <row r="225" spans="6:28" x14ac:dyDescent="0.25">
      <c r="F225" s="13">
        <v>223</v>
      </c>
      <c r="G225" s="13">
        <f t="shared" si="60"/>
        <v>42.3</v>
      </c>
      <c r="H225" s="13">
        <f t="shared" si="61"/>
        <v>315.45</v>
      </c>
      <c r="I225" s="14">
        <f t="shared" si="62"/>
        <v>1.858333</v>
      </c>
      <c r="J225" s="14">
        <f t="shared" si="63"/>
        <v>4862.2548139999999</v>
      </c>
      <c r="K225" s="14">
        <f t="shared" si="64"/>
        <v>3.8822548140000004</v>
      </c>
      <c r="L225" s="14">
        <f t="shared" si="65"/>
        <v>1738.544578</v>
      </c>
      <c r="M225" s="14">
        <v>1733.82</v>
      </c>
      <c r="N225" s="13">
        <f t="shared" si="66"/>
        <v>1.738544578</v>
      </c>
      <c r="O225" s="13">
        <f t="shared" si="67"/>
        <v>1.72133</v>
      </c>
      <c r="P225" s="13">
        <f t="shared" si="68"/>
        <v>1.7214577999999925E-2</v>
      </c>
      <c r="Q225" s="16">
        <f t="shared" si="69"/>
        <v>1.0000742449152646E-2</v>
      </c>
      <c r="R225" s="14">
        <f t="shared" ca="1" si="70"/>
        <v>6.3406734985422739</v>
      </c>
      <c r="S225" s="14">
        <f t="shared" si="71"/>
        <v>6.3485611827956987</v>
      </c>
      <c r="T225" s="14">
        <f t="shared" ca="1" si="72"/>
        <v>7.8876842534247871E-3</v>
      </c>
      <c r="U225" s="16">
        <f t="shared" ca="1" si="73"/>
        <v>1.2424365184980873E-3</v>
      </c>
      <c r="V225" s="14">
        <f t="shared" si="74"/>
        <v>1.8583333333333334</v>
      </c>
      <c r="W225" s="14">
        <f t="shared" ca="1" si="75"/>
        <v>1.6593265014577261</v>
      </c>
      <c r="X225" s="14">
        <f t="shared" ca="1" si="76"/>
        <v>0.1990068318756073</v>
      </c>
      <c r="Y225" s="28">
        <f t="shared" ca="1" si="77"/>
        <v>0.10708887813934025</v>
      </c>
      <c r="Z225" s="29">
        <f t="shared" ca="1" si="78"/>
        <v>39.911918</v>
      </c>
      <c r="AA225" s="16">
        <f t="shared" ca="1" si="79"/>
        <v>5.6455839243498757E-2</v>
      </c>
      <c r="AB225" s="2"/>
    </row>
    <row r="226" spans="6:28" x14ac:dyDescent="0.25">
      <c r="F226" s="13">
        <v>224</v>
      </c>
      <c r="G226" s="13">
        <f t="shared" si="60"/>
        <v>42.400000000000006</v>
      </c>
      <c r="H226" s="13">
        <f t="shared" si="61"/>
        <v>315.54999999999995</v>
      </c>
      <c r="I226" s="14">
        <f t="shared" si="62"/>
        <v>1.8666670000000001</v>
      </c>
      <c r="J226" s="14">
        <f t="shared" si="63"/>
        <v>4843.0067509999999</v>
      </c>
      <c r="K226" s="14">
        <f t="shared" si="64"/>
        <v>3.8630067510000003</v>
      </c>
      <c r="L226" s="14">
        <f t="shared" si="65"/>
        <v>1736.0976470000001</v>
      </c>
      <c r="M226" s="14">
        <v>1731.58</v>
      </c>
      <c r="N226" s="13">
        <f t="shared" si="66"/>
        <v>1.736097647</v>
      </c>
      <c r="O226" s="13">
        <f t="shared" si="67"/>
        <v>1.7190399999999997</v>
      </c>
      <c r="P226" s="13">
        <f t="shared" si="68"/>
        <v>1.7057647000000342E-2</v>
      </c>
      <c r="Q226" s="16">
        <f t="shared" si="69"/>
        <v>9.9227749208862775E-3</v>
      </c>
      <c r="R226" s="14">
        <f t="shared" ca="1" si="70"/>
        <v>6.3321436355685128</v>
      </c>
      <c r="S226" s="14">
        <f t="shared" si="71"/>
        <v>6.3401152688172031</v>
      </c>
      <c r="T226" s="14">
        <f t="shared" ca="1" si="72"/>
        <v>7.9716332486903241E-3</v>
      </c>
      <c r="U226" s="16">
        <f t="shared" ca="1" si="73"/>
        <v>1.2573325421853872E-3</v>
      </c>
      <c r="V226" s="14">
        <f t="shared" si="74"/>
        <v>1.8666666666666671</v>
      </c>
      <c r="W226" s="14">
        <f t="shared" ca="1" si="75"/>
        <v>1.6678563644314872</v>
      </c>
      <c r="X226" s="14">
        <f t="shared" ca="1" si="76"/>
        <v>0.19881030223517993</v>
      </c>
      <c r="Y226" s="28">
        <f t="shared" ca="1" si="77"/>
        <v>0.10650551905456064</v>
      </c>
      <c r="Z226" s="29">
        <f t="shared" ca="1" si="78"/>
        <v>40.014276000000002</v>
      </c>
      <c r="AA226" s="16">
        <f t="shared" ca="1" si="79"/>
        <v>5.626707547169818E-2</v>
      </c>
      <c r="AB226" s="2"/>
    </row>
    <row r="227" spans="6:28" x14ac:dyDescent="0.25">
      <c r="F227" s="13">
        <v>225</v>
      </c>
      <c r="G227" s="13">
        <f t="shared" si="60"/>
        <v>42.5</v>
      </c>
      <c r="H227" s="13">
        <f t="shared" si="61"/>
        <v>315.64999999999998</v>
      </c>
      <c r="I227" s="14">
        <f t="shared" si="62"/>
        <v>1.875</v>
      </c>
      <c r="J227" s="14">
        <f t="shared" si="63"/>
        <v>4823.845542</v>
      </c>
      <c r="K227" s="14">
        <f t="shared" si="64"/>
        <v>3.8438455420000004</v>
      </c>
      <c r="L227" s="14">
        <f t="shared" si="65"/>
        <v>1733.6493559999999</v>
      </c>
      <c r="M227" s="14">
        <v>1728.91</v>
      </c>
      <c r="N227" s="13">
        <f t="shared" si="66"/>
        <v>1.7336493560000001</v>
      </c>
      <c r="O227" s="13">
        <f t="shared" si="67"/>
        <v>1.7167499999999998</v>
      </c>
      <c r="P227" s="13">
        <f t="shared" si="68"/>
        <v>1.6899356000000365E-2</v>
      </c>
      <c r="Q227" s="16">
        <f t="shared" si="69"/>
        <v>9.8438071938257571E-3</v>
      </c>
      <c r="R227" s="14">
        <f t="shared" ca="1" si="70"/>
        <v>6.3236097725947511</v>
      </c>
      <c r="S227" s="14">
        <f t="shared" si="71"/>
        <v>6.3316693548387084</v>
      </c>
      <c r="T227" s="14">
        <f t="shared" ca="1" si="72"/>
        <v>8.0595822439573084E-3</v>
      </c>
      <c r="U227" s="16">
        <f t="shared" ca="1" si="73"/>
        <v>1.2729000508843874E-3</v>
      </c>
      <c r="V227" s="14">
        <f t="shared" si="74"/>
        <v>1.8750000000000009</v>
      </c>
      <c r="W227" s="14">
        <f t="shared" ca="1" si="75"/>
        <v>1.6763902274052489</v>
      </c>
      <c r="X227" s="14">
        <f t="shared" ca="1" si="76"/>
        <v>0.19860977259475199</v>
      </c>
      <c r="Y227" s="28">
        <f t="shared" ca="1" si="77"/>
        <v>0.10592521205053435</v>
      </c>
      <c r="Z227" s="29">
        <f t="shared" ca="1" si="78"/>
        <v>40.116683000000002</v>
      </c>
      <c r="AA227" s="16">
        <f t="shared" ca="1" si="79"/>
        <v>5.6078047058823487E-2</v>
      </c>
      <c r="AB227" s="2"/>
    </row>
    <row r="228" spans="6:28" x14ac:dyDescent="0.25">
      <c r="F228" s="13">
        <v>226</v>
      </c>
      <c r="G228" s="13">
        <f t="shared" si="60"/>
        <v>42.6</v>
      </c>
      <c r="H228" s="13">
        <f t="shared" si="61"/>
        <v>315.75</v>
      </c>
      <c r="I228" s="14">
        <f t="shared" si="62"/>
        <v>1.8833329999999999</v>
      </c>
      <c r="J228" s="14">
        <f t="shared" si="63"/>
        <v>4804.7707490000003</v>
      </c>
      <c r="K228" s="14">
        <f t="shared" si="64"/>
        <v>3.8247707490000007</v>
      </c>
      <c r="L228" s="14">
        <f t="shared" si="65"/>
        <v>1731.199721</v>
      </c>
      <c r="M228" s="14">
        <v>1726.65</v>
      </c>
      <c r="N228" s="13">
        <f t="shared" si="66"/>
        <v>1.7311997209999999</v>
      </c>
      <c r="O228" s="13">
        <f t="shared" si="67"/>
        <v>1.7144599999999999</v>
      </c>
      <c r="P228" s="13">
        <f t="shared" si="68"/>
        <v>1.6739720999999985E-2</v>
      </c>
      <c r="Q228" s="16">
        <f t="shared" si="69"/>
        <v>9.7638445924664238E-3</v>
      </c>
      <c r="R228" s="14">
        <f t="shared" ca="1" si="70"/>
        <v>6.3150601370262383</v>
      </c>
      <c r="S228" s="14">
        <f t="shared" si="71"/>
        <v>6.3232234408602146</v>
      </c>
      <c r="T228" s="14">
        <f t="shared" ca="1" si="72"/>
        <v>8.1633038339763431E-3</v>
      </c>
      <c r="U228" s="16">
        <f t="shared" ca="1" si="73"/>
        <v>1.2910035380413194E-3</v>
      </c>
      <c r="V228" s="14">
        <f t="shared" si="74"/>
        <v>1.8833333333333337</v>
      </c>
      <c r="W228" s="14">
        <f t="shared" ca="1" si="75"/>
        <v>1.6849398629737617</v>
      </c>
      <c r="X228" s="14">
        <f t="shared" ca="1" si="76"/>
        <v>0.198393470359572</v>
      </c>
      <c r="Y228" s="28">
        <f t="shared" ca="1" si="77"/>
        <v>0.10534166567764883</v>
      </c>
      <c r="Z228" s="29">
        <f t="shared" ca="1" si="78"/>
        <v>40.219278000000003</v>
      </c>
      <c r="AA228" s="16">
        <f t="shared" ca="1" si="79"/>
        <v>5.5885492957746447E-2</v>
      </c>
      <c r="AB228" s="2"/>
    </row>
    <row r="229" spans="6:28" x14ac:dyDescent="0.25">
      <c r="F229" s="13">
        <v>227</v>
      </c>
      <c r="G229" s="13">
        <f t="shared" si="60"/>
        <v>42.7</v>
      </c>
      <c r="H229" s="13">
        <f t="shared" si="61"/>
        <v>315.84999999999997</v>
      </c>
      <c r="I229" s="14">
        <f t="shared" si="62"/>
        <v>1.891667</v>
      </c>
      <c r="J229" s="14">
        <f t="shared" si="63"/>
        <v>4785.7819380000001</v>
      </c>
      <c r="K229" s="14">
        <f t="shared" si="64"/>
        <v>3.805781938</v>
      </c>
      <c r="L229" s="14">
        <f t="shared" si="65"/>
        <v>1728.7487619999999</v>
      </c>
      <c r="M229" s="14">
        <v>1723.98</v>
      </c>
      <c r="N229" s="13">
        <f t="shared" si="66"/>
        <v>1.7287487620000002</v>
      </c>
      <c r="O229" s="13">
        <f t="shared" si="67"/>
        <v>1.71217</v>
      </c>
      <c r="P229" s="13">
        <f t="shared" si="68"/>
        <v>1.6578762000000191E-2</v>
      </c>
      <c r="Q229" s="16">
        <f t="shared" si="69"/>
        <v>9.6828948060065246E-3</v>
      </c>
      <c r="R229" s="14">
        <f t="shared" ca="1" si="70"/>
        <v>6.305734772594751</v>
      </c>
      <c r="S229" s="14">
        <f t="shared" si="71"/>
        <v>6.3147775268817199</v>
      </c>
      <c r="T229" s="14">
        <f t="shared" ca="1" si="72"/>
        <v>9.0427542869688793E-3</v>
      </c>
      <c r="U229" s="16">
        <f t="shared" ca="1" si="73"/>
        <v>1.4319988706608089E-3</v>
      </c>
      <c r="V229" s="14">
        <f t="shared" si="74"/>
        <v>1.8916666666666666</v>
      </c>
      <c r="W229" s="14">
        <f t="shared" ca="1" si="75"/>
        <v>1.694265227405249</v>
      </c>
      <c r="X229" s="14">
        <f t="shared" ca="1" si="76"/>
        <v>0.19740143926141762</v>
      </c>
      <c r="Y229" s="28">
        <f t="shared" ca="1" si="77"/>
        <v>0.10435318375052914</v>
      </c>
      <c r="Z229" s="29">
        <f t="shared" ca="1" si="78"/>
        <v>40.331183000000003</v>
      </c>
      <c r="AA229" s="16">
        <f t="shared" ca="1" si="79"/>
        <v>5.5475807962529267E-2</v>
      </c>
      <c r="AB229" s="2"/>
    </row>
    <row r="230" spans="6:28" x14ac:dyDescent="0.25">
      <c r="F230" s="13">
        <v>228</v>
      </c>
      <c r="G230" s="13">
        <f t="shared" si="60"/>
        <v>42.8</v>
      </c>
      <c r="H230" s="13">
        <f t="shared" si="61"/>
        <v>315.95</v>
      </c>
      <c r="I230" s="14">
        <f t="shared" si="62"/>
        <v>1.9</v>
      </c>
      <c r="J230" s="14">
        <f t="shared" si="63"/>
        <v>4766.878678</v>
      </c>
      <c r="K230" s="14">
        <f t="shared" si="64"/>
        <v>3.7868786779999999</v>
      </c>
      <c r="L230" s="14">
        <f t="shared" si="65"/>
        <v>1726.2964959999999</v>
      </c>
      <c r="M230" s="14">
        <v>1721.71</v>
      </c>
      <c r="N230" s="13">
        <f t="shared" si="66"/>
        <v>1.7262964959999998</v>
      </c>
      <c r="O230" s="13">
        <f t="shared" si="67"/>
        <v>1.7098800000000001</v>
      </c>
      <c r="P230" s="13">
        <f t="shared" si="68"/>
        <v>1.6416495999999725E-2</v>
      </c>
      <c r="Q230" s="16">
        <f t="shared" si="69"/>
        <v>9.6009638103257099E-3</v>
      </c>
      <c r="R230" s="14">
        <f t="shared" ca="1" si="70"/>
        <v>6.2971751370262385</v>
      </c>
      <c r="S230" s="14">
        <f t="shared" si="71"/>
        <v>6.3063316129032261</v>
      </c>
      <c r="T230" s="14">
        <f t="shared" ca="1" si="72"/>
        <v>9.1564758769875354E-3</v>
      </c>
      <c r="U230" s="16">
        <f t="shared" ca="1" si="73"/>
        <v>1.4519496339603678E-3</v>
      </c>
      <c r="V230" s="14">
        <f t="shared" si="74"/>
        <v>1.8999999999999995</v>
      </c>
      <c r="W230" s="14">
        <f t="shared" ca="1" si="75"/>
        <v>1.7028248629737615</v>
      </c>
      <c r="X230" s="14">
        <f t="shared" ca="1" si="76"/>
        <v>0.19717513702623801</v>
      </c>
      <c r="Y230" s="28">
        <f t="shared" ca="1" si="77"/>
        <v>0.10377638790854635</v>
      </c>
      <c r="Z230" s="29">
        <f t="shared" ca="1" si="78"/>
        <v>40.433897999999999</v>
      </c>
      <c r="AA230" s="16">
        <f t="shared" ca="1" si="79"/>
        <v>5.5282757009345748E-2</v>
      </c>
      <c r="AB230" s="2"/>
    </row>
    <row r="231" spans="6:28" x14ac:dyDescent="0.25">
      <c r="F231" s="13">
        <v>229</v>
      </c>
      <c r="G231" s="13">
        <f t="shared" si="60"/>
        <v>42.900000000000006</v>
      </c>
      <c r="H231" s="13">
        <f t="shared" si="61"/>
        <v>316.04999999999995</v>
      </c>
      <c r="I231" s="14">
        <f t="shared" si="62"/>
        <v>1.9083330000000001</v>
      </c>
      <c r="J231" s="14">
        <f t="shared" si="63"/>
        <v>4748.0605390000001</v>
      </c>
      <c r="K231" s="14">
        <f t="shared" si="64"/>
        <v>3.7680605390000004</v>
      </c>
      <c r="L231" s="14">
        <f t="shared" si="65"/>
        <v>1723.8429430000001</v>
      </c>
      <c r="M231" s="14">
        <v>1719.02</v>
      </c>
      <c r="N231" s="13">
        <f t="shared" si="66"/>
        <v>1.723842943</v>
      </c>
      <c r="O231" s="13">
        <f t="shared" si="67"/>
        <v>1.7075899999999997</v>
      </c>
      <c r="P231" s="13">
        <f t="shared" si="68"/>
        <v>1.6252943000000242E-2</v>
      </c>
      <c r="Q231" s="16">
        <f t="shared" si="69"/>
        <v>9.5180593702236752E-3</v>
      </c>
      <c r="R231" s="14">
        <f t="shared" ca="1" si="70"/>
        <v>6.2882261370262382</v>
      </c>
      <c r="S231" s="14">
        <f t="shared" si="71"/>
        <v>6.2978856989247296</v>
      </c>
      <c r="T231" s="14">
        <f t="shared" ca="1" si="72"/>
        <v>9.6595618984913756E-3</v>
      </c>
      <c r="U231" s="16">
        <f t="shared" ca="1" si="73"/>
        <v>1.5337785346184677E-3</v>
      </c>
      <c r="V231" s="14">
        <f t="shared" si="74"/>
        <v>1.9083333333333341</v>
      </c>
      <c r="W231" s="14">
        <f t="shared" ca="1" si="75"/>
        <v>1.7117738629737618</v>
      </c>
      <c r="X231" s="14">
        <f t="shared" ca="1" si="76"/>
        <v>0.19655947035957233</v>
      </c>
      <c r="Y231" s="28">
        <f t="shared" ca="1" si="77"/>
        <v>0.10300059582160992</v>
      </c>
      <c r="Z231" s="29">
        <f t="shared" ca="1" si="78"/>
        <v>40.541285999999999</v>
      </c>
      <c r="AA231" s="16">
        <f t="shared" ca="1" si="79"/>
        <v>5.4981678321678461E-2</v>
      </c>
      <c r="AB231" s="2"/>
    </row>
    <row r="232" spans="6:28" x14ac:dyDescent="0.25">
      <c r="F232" s="13">
        <v>230</v>
      </c>
      <c r="G232" s="13">
        <f t="shared" si="60"/>
        <v>43</v>
      </c>
      <c r="H232" s="13">
        <f t="shared" si="61"/>
        <v>316.14999999999998</v>
      </c>
      <c r="I232" s="14">
        <f t="shared" si="62"/>
        <v>1.9166669999999999</v>
      </c>
      <c r="J232" s="14">
        <f t="shared" si="63"/>
        <v>4729.3270929999999</v>
      </c>
      <c r="K232" s="14">
        <f t="shared" si="64"/>
        <v>3.7493270929999998</v>
      </c>
      <c r="L232" s="14">
        <f t="shared" si="65"/>
        <v>1721.388119</v>
      </c>
      <c r="M232" s="14">
        <v>1716.74</v>
      </c>
      <c r="N232" s="13">
        <f t="shared" si="66"/>
        <v>1.721388119</v>
      </c>
      <c r="O232" s="13">
        <f t="shared" si="67"/>
        <v>1.7052999999999998</v>
      </c>
      <c r="P232" s="13">
        <f t="shared" si="68"/>
        <v>1.6088119000000178E-2</v>
      </c>
      <c r="Q232" s="16">
        <f t="shared" si="69"/>
        <v>9.4341869465784205E-3</v>
      </c>
      <c r="R232" s="14">
        <f t="shared" ca="1" si="70"/>
        <v>6.2788867725947517</v>
      </c>
      <c r="S232" s="14">
        <f t="shared" si="71"/>
        <v>6.2894397849462358</v>
      </c>
      <c r="T232" s="14">
        <f t="shared" ca="1" si="72"/>
        <v>1.0553012351484092E-2</v>
      </c>
      <c r="U232" s="16">
        <f t="shared" ca="1" si="73"/>
        <v>1.677893852603965E-3</v>
      </c>
      <c r="V232" s="14">
        <f t="shared" si="74"/>
        <v>1.916666666666667</v>
      </c>
      <c r="W232" s="14">
        <f t="shared" ca="1" si="75"/>
        <v>1.7211132274052483</v>
      </c>
      <c r="X232" s="14">
        <f t="shared" ca="1" si="76"/>
        <v>0.19555343926141866</v>
      </c>
      <c r="Y232" s="28">
        <f t="shared" ca="1" si="77"/>
        <v>0.10202788135378363</v>
      </c>
      <c r="Z232" s="29">
        <f t="shared" ca="1" si="78"/>
        <v>40.653359000000002</v>
      </c>
      <c r="AA232" s="16">
        <f t="shared" ca="1" si="79"/>
        <v>5.4573046511627865E-2</v>
      </c>
      <c r="AB232" s="2"/>
    </row>
    <row r="233" spans="6:28" x14ac:dyDescent="0.25">
      <c r="F233" s="13">
        <v>231</v>
      </c>
      <c r="G233" s="13">
        <f t="shared" si="60"/>
        <v>43.1</v>
      </c>
      <c r="H233" s="13">
        <f t="shared" si="61"/>
        <v>316.25</v>
      </c>
      <c r="I233" s="14">
        <f t="shared" si="62"/>
        <v>1.925</v>
      </c>
      <c r="J233" s="14">
        <f t="shared" si="63"/>
        <v>4710.6779159999996</v>
      </c>
      <c r="K233" s="14">
        <f t="shared" si="64"/>
        <v>3.7306779159999994</v>
      </c>
      <c r="L233" s="14">
        <f t="shared" si="65"/>
        <v>1718.932043</v>
      </c>
      <c r="M233" s="14">
        <v>1714.04</v>
      </c>
      <c r="N233" s="13">
        <f t="shared" si="66"/>
        <v>1.7189320429999999</v>
      </c>
      <c r="O233" s="13">
        <f t="shared" si="67"/>
        <v>1.7030099999999999</v>
      </c>
      <c r="P233" s="13">
        <f t="shared" si="68"/>
        <v>1.5922042999999997E-2</v>
      </c>
      <c r="Q233" s="16">
        <f t="shared" si="69"/>
        <v>9.3493537912284711E-3</v>
      </c>
      <c r="R233" s="14">
        <f t="shared" ca="1" si="70"/>
        <v>6.2699062274052491</v>
      </c>
      <c r="S233" s="14">
        <f t="shared" si="71"/>
        <v>6.2809938709677411</v>
      </c>
      <c r="T233" s="14">
        <f t="shared" ca="1" si="72"/>
        <v>1.1087643562492033E-2</v>
      </c>
      <c r="U233" s="16">
        <f t="shared" ca="1" si="73"/>
        <v>1.7652689670247536E-3</v>
      </c>
      <c r="V233" s="14">
        <f t="shared" si="74"/>
        <v>1.9250000000000007</v>
      </c>
      <c r="W233" s="14">
        <f t="shared" ca="1" si="75"/>
        <v>1.7300937725947509</v>
      </c>
      <c r="X233" s="14">
        <f t="shared" ca="1" si="76"/>
        <v>0.19490622740524977</v>
      </c>
      <c r="Y233" s="28">
        <f t="shared" ca="1" si="77"/>
        <v>0.10124998826246738</v>
      </c>
      <c r="Z233" s="29">
        <f t="shared" ca="1" si="78"/>
        <v>40.761125</v>
      </c>
      <c r="AA233" s="16">
        <f t="shared" ca="1" si="79"/>
        <v>5.4266241299303977E-2</v>
      </c>
      <c r="AB233" s="2"/>
    </row>
    <row r="234" spans="6:28" x14ac:dyDescent="0.25">
      <c r="F234" s="13">
        <v>232</v>
      </c>
      <c r="G234" s="13">
        <f t="shared" si="60"/>
        <v>43.2</v>
      </c>
      <c r="H234" s="13">
        <f t="shared" si="61"/>
        <v>316.34999999999997</v>
      </c>
      <c r="I234" s="14">
        <f t="shared" si="62"/>
        <v>1.933333</v>
      </c>
      <c r="J234" s="14">
        <f t="shared" si="63"/>
        <v>4692.1125849999999</v>
      </c>
      <c r="K234" s="14">
        <f t="shared" si="64"/>
        <v>3.7121125849999999</v>
      </c>
      <c r="L234" s="14">
        <f t="shared" si="65"/>
        <v>1716.4747339999999</v>
      </c>
      <c r="M234" s="14">
        <v>1711.74</v>
      </c>
      <c r="N234" s="13">
        <f t="shared" si="66"/>
        <v>1.7164747340000002</v>
      </c>
      <c r="O234" s="13">
        <f t="shared" si="67"/>
        <v>1.70072</v>
      </c>
      <c r="P234" s="13">
        <f t="shared" si="68"/>
        <v>1.5754734000000159E-2</v>
      </c>
      <c r="Q234" s="16">
        <f t="shared" si="69"/>
        <v>9.2635671950704167E-3</v>
      </c>
      <c r="R234" s="14">
        <f t="shared" ca="1" si="70"/>
        <v>6.2605578629737613</v>
      </c>
      <c r="S234" s="14">
        <f t="shared" si="71"/>
        <v>6.2725479569892473</v>
      </c>
      <c r="T234" s="14">
        <f t="shared" ca="1" si="72"/>
        <v>1.1990094015486008E-2</v>
      </c>
      <c r="U234" s="16">
        <f t="shared" ca="1" si="73"/>
        <v>1.9115189071015281E-3</v>
      </c>
      <c r="V234" s="14">
        <f t="shared" si="74"/>
        <v>1.9333333333333327</v>
      </c>
      <c r="W234" s="14">
        <f t="shared" ca="1" si="75"/>
        <v>1.7394421370262387</v>
      </c>
      <c r="X234" s="14">
        <f t="shared" ca="1" si="76"/>
        <v>0.19389119630709395</v>
      </c>
      <c r="Y234" s="28">
        <f t="shared" ca="1" si="77"/>
        <v>0.10028854981401415</v>
      </c>
      <c r="Z234" s="29">
        <f t="shared" ca="1" si="78"/>
        <v>40.873305999999999</v>
      </c>
      <c r="AA234" s="16">
        <f t="shared" ca="1" si="79"/>
        <v>5.385865740740748E-2</v>
      </c>
      <c r="AB234" s="2"/>
    </row>
    <row r="235" spans="6:28" x14ac:dyDescent="0.25">
      <c r="F235" s="13">
        <v>233</v>
      </c>
      <c r="G235" s="13">
        <f t="shared" si="60"/>
        <v>43.3</v>
      </c>
      <c r="H235" s="13">
        <f t="shared" si="61"/>
        <v>316.45</v>
      </c>
      <c r="I235" s="14">
        <f t="shared" si="62"/>
        <v>1.941667</v>
      </c>
      <c r="J235" s="14">
        <f t="shared" si="63"/>
        <v>4673.6306809999996</v>
      </c>
      <c r="K235" s="14">
        <f t="shared" si="64"/>
        <v>3.6936306810000001</v>
      </c>
      <c r="L235" s="14">
        <f t="shared" si="65"/>
        <v>1714.01621</v>
      </c>
      <c r="M235" s="14">
        <v>1709.03</v>
      </c>
      <c r="N235" s="13">
        <f t="shared" si="66"/>
        <v>1.7140162100000003</v>
      </c>
      <c r="O235" s="13">
        <f t="shared" si="67"/>
        <v>1.6984300000000001</v>
      </c>
      <c r="P235" s="13">
        <f t="shared" si="68"/>
        <v>1.5586210000000156E-2</v>
      </c>
      <c r="Q235" s="16">
        <f t="shared" si="69"/>
        <v>9.1768338995426094E-3</v>
      </c>
      <c r="R235" s="14">
        <f t="shared" ca="1" si="70"/>
        <v>6.2519859999999996</v>
      </c>
      <c r="S235" s="14">
        <f t="shared" si="71"/>
        <v>6.2641020430107526</v>
      </c>
      <c r="T235" s="14">
        <f t="shared" ca="1" si="72"/>
        <v>1.2116043010752975E-2</v>
      </c>
      <c r="U235" s="16">
        <f t="shared" ca="1" si="73"/>
        <v>1.9342026882003935E-3</v>
      </c>
      <c r="V235" s="14">
        <f t="shared" si="74"/>
        <v>1.9416666666666664</v>
      </c>
      <c r="W235" s="14">
        <f t="shared" ca="1" si="75"/>
        <v>1.7480140000000004</v>
      </c>
      <c r="X235" s="14">
        <f t="shared" ca="1" si="76"/>
        <v>0.19365266666666603</v>
      </c>
      <c r="Y235" s="28">
        <f t="shared" ca="1" si="77"/>
        <v>9.9735278969956764E-2</v>
      </c>
      <c r="Z235" s="29">
        <f t="shared" ca="1" si="78"/>
        <v>40.976168000000001</v>
      </c>
      <c r="AA235" s="16">
        <f t="shared" ca="1" si="79"/>
        <v>5.3668175519630393E-2</v>
      </c>
      <c r="AB235" s="2"/>
    </row>
    <row r="236" spans="6:28" x14ac:dyDescent="0.25">
      <c r="F236" s="13">
        <v>234</v>
      </c>
      <c r="G236" s="13">
        <f t="shared" si="60"/>
        <v>43.400000000000006</v>
      </c>
      <c r="H236" s="13">
        <f t="shared" si="61"/>
        <v>316.54999999999995</v>
      </c>
      <c r="I236" s="14">
        <f t="shared" si="62"/>
        <v>1.95</v>
      </c>
      <c r="J236" s="14">
        <f t="shared" si="63"/>
        <v>4655.2317849999999</v>
      </c>
      <c r="K236" s="14">
        <f t="shared" si="64"/>
        <v>3.6752317850000003</v>
      </c>
      <c r="L236" s="14">
        <f t="shared" si="65"/>
        <v>1711.5564890000001</v>
      </c>
      <c r="M236" s="14">
        <v>1706.52</v>
      </c>
      <c r="N236" s="13">
        <f t="shared" si="66"/>
        <v>1.7115564890000001</v>
      </c>
      <c r="O236" s="13">
        <f t="shared" si="67"/>
        <v>1.6961399999999998</v>
      </c>
      <c r="P236" s="13">
        <f t="shared" si="68"/>
        <v>1.5416489000000366E-2</v>
      </c>
      <c r="Q236" s="16">
        <f t="shared" si="69"/>
        <v>9.0891606824910487E-3</v>
      </c>
      <c r="R236" s="14">
        <f t="shared" ca="1" si="70"/>
        <v>6.2430032274052483</v>
      </c>
      <c r="S236" s="14">
        <f t="shared" si="71"/>
        <v>6.255656129032257</v>
      </c>
      <c r="T236" s="14">
        <f t="shared" ca="1" si="72"/>
        <v>1.2652901627008717E-2</v>
      </c>
      <c r="U236" s="16">
        <f t="shared" ca="1" si="73"/>
        <v>2.0226338158657879E-3</v>
      </c>
      <c r="V236" s="14">
        <f t="shared" si="74"/>
        <v>1.9500000000000002</v>
      </c>
      <c r="W236" s="14">
        <f t="shared" ca="1" si="75"/>
        <v>1.7569967725947517</v>
      </c>
      <c r="X236" s="14">
        <f t="shared" ca="1" si="76"/>
        <v>0.19300322740524845</v>
      </c>
      <c r="Y236" s="28">
        <f t="shared" ca="1" si="77"/>
        <v>9.8976014053973549E-2</v>
      </c>
      <c r="Z236" s="29">
        <f t="shared" ca="1" si="78"/>
        <v>41.083961000000002</v>
      </c>
      <c r="AA236" s="16">
        <f t="shared" ca="1" si="79"/>
        <v>5.3364953917050768E-2</v>
      </c>
      <c r="AB236" s="2"/>
    </row>
    <row r="237" spans="6:28" x14ac:dyDescent="0.25">
      <c r="F237" s="13">
        <v>235</v>
      </c>
      <c r="G237" s="13">
        <f t="shared" si="60"/>
        <v>43.5</v>
      </c>
      <c r="H237" s="13">
        <f t="shared" si="61"/>
        <v>316.64999999999998</v>
      </c>
      <c r="I237" s="14">
        <f t="shared" si="62"/>
        <v>1.9583330000000001</v>
      </c>
      <c r="J237" s="14">
        <f t="shared" si="63"/>
        <v>4636.9154820000003</v>
      </c>
      <c r="K237" s="14">
        <f t="shared" si="64"/>
        <v>3.6569154820000005</v>
      </c>
      <c r="L237" s="14">
        <f t="shared" si="65"/>
        <v>1709.095589</v>
      </c>
      <c r="M237" s="14">
        <v>1704.4</v>
      </c>
      <c r="N237" s="13">
        <f t="shared" si="66"/>
        <v>1.7090955889999999</v>
      </c>
      <c r="O237" s="13">
        <f t="shared" si="67"/>
        <v>1.6938499999999999</v>
      </c>
      <c r="P237" s="13">
        <f t="shared" si="68"/>
        <v>1.5245589000000059E-2</v>
      </c>
      <c r="Q237" s="16">
        <f t="shared" si="69"/>
        <v>9.0005543584142991E-3</v>
      </c>
      <c r="R237" s="14">
        <f t="shared" ca="1" si="70"/>
        <v>6.233256498542274</v>
      </c>
      <c r="S237" s="14">
        <f t="shared" si="71"/>
        <v>6.2472102150537623</v>
      </c>
      <c r="T237" s="14">
        <f t="shared" ca="1" si="72"/>
        <v>1.3953716511488246E-2</v>
      </c>
      <c r="U237" s="16">
        <f t="shared" ca="1" si="73"/>
        <v>2.2335916402915798E-3</v>
      </c>
      <c r="V237" s="14">
        <f t="shared" si="74"/>
        <v>1.9583333333333339</v>
      </c>
      <c r="W237" s="14">
        <f t="shared" ca="1" si="75"/>
        <v>1.766743501457726</v>
      </c>
      <c r="X237" s="14">
        <f t="shared" ca="1" si="76"/>
        <v>0.19158983187560796</v>
      </c>
      <c r="Y237" s="28">
        <f t="shared" ca="1" si="77"/>
        <v>9.7833105638608295E-2</v>
      </c>
      <c r="Z237" s="29">
        <f t="shared" ca="1" si="78"/>
        <v>41.200921999999998</v>
      </c>
      <c r="AA237" s="16">
        <f t="shared" ca="1" si="79"/>
        <v>5.285236781609199E-2</v>
      </c>
      <c r="AB237" s="2"/>
    </row>
    <row r="238" spans="6:28" x14ac:dyDescent="0.25">
      <c r="F238" s="13">
        <v>236</v>
      </c>
      <c r="G238" s="13">
        <f t="shared" si="60"/>
        <v>43.6</v>
      </c>
      <c r="H238" s="13">
        <f t="shared" si="61"/>
        <v>316.75</v>
      </c>
      <c r="I238" s="14">
        <f t="shared" si="62"/>
        <v>1.9666669999999999</v>
      </c>
      <c r="J238" s="14">
        <f t="shared" si="63"/>
        <v>4618.6813579999998</v>
      </c>
      <c r="K238" s="14">
        <f t="shared" si="64"/>
        <v>3.6386813579999995</v>
      </c>
      <c r="L238" s="14">
        <f t="shared" si="65"/>
        <v>1706.633529</v>
      </c>
      <c r="M238" s="14">
        <v>1701.88</v>
      </c>
      <c r="N238" s="13">
        <f t="shared" si="66"/>
        <v>1.7066335289999999</v>
      </c>
      <c r="O238" s="13">
        <f t="shared" si="67"/>
        <v>1.69156</v>
      </c>
      <c r="P238" s="13">
        <f t="shared" si="68"/>
        <v>1.5073528999999919E-2</v>
      </c>
      <c r="Q238" s="16">
        <f t="shared" si="69"/>
        <v>8.9110223698833733E-3</v>
      </c>
      <c r="R238" s="14">
        <f t="shared" ca="1" si="70"/>
        <v>6.2250569999999996</v>
      </c>
      <c r="S238" s="14">
        <f t="shared" si="71"/>
        <v>6.2387643010752685</v>
      </c>
      <c r="T238" s="14">
        <f t="shared" ca="1" si="72"/>
        <v>1.3707301075268852E-2</v>
      </c>
      <c r="U238" s="16">
        <f t="shared" ca="1" si="73"/>
        <v>2.1971179569816989E-3</v>
      </c>
      <c r="V238" s="14">
        <f t="shared" si="74"/>
        <v>1.9666666666666668</v>
      </c>
      <c r="W238" s="14">
        <f t="shared" ca="1" si="75"/>
        <v>1.7749430000000004</v>
      </c>
      <c r="X238" s="14">
        <f t="shared" ca="1" si="76"/>
        <v>0.1917236666666664</v>
      </c>
      <c r="Y238" s="28">
        <f t="shared" ca="1" si="77"/>
        <v>9.7486610169491381E-2</v>
      </c>
      <c r="Z238" s="29">
        <f t="shared" ca="1" si="78"/>
        <v>41.299315999999997</v>
      </c>
      <c r="AA238" s="16">
        <f t="shared" ca="1" si="79"/>
        <v>5.2767981651376236E-2</v>
      </c>
      <c r="AB238" s="2"/>
    </row>
    <row r="239" spans="6:28" x14ac:dyDescent="0.25">
      <c r="F239" s="13">
        <v>237</v>
      </c>
      <c r="G239" s="13">
        <f t="shared" si="60"/>
        <v>43.7</v>
      </c>
      <c r="H239" s="13">
        <f t="shared" si="61"/>
        <v>316.84999999999997</v>
      </c>
      <c r="I239" s="14">
        <f t="shared" si="62"/>
        <v>1.9750000000000001</v>
      </c>
      <c r="J239" s="14">
        <f t="shared" si="63"/>
        <v>4600.5290029999996</v>
      </c>
      <c r="K239" s="14">
        <f t="shared" si="64"/>
        <v>3.6205290029999997</v>
      </c>
      <c r="L239" s="14">
        <f t="shared" si="65"/>
        <v>1704.170327</v>
      </c>
      <c r="M239" s="14">
        <v>1699.35</v>
      </c>
      <c r="N239" s="13">
        <f t="shared" si="66"/>
        <v>1.7041703269999999</v>
      </c>
      <c r="O239" s="13">
        <f t="shared" si="67"/>
        <v>1.6892699999999998</v>
      </c>
      <c r="P239" s="13">
        <f t="shared" si="68"/>
        <v>1.4900327000000102E-2</v>
      </c>
      <c r="Q239" s="16">
        <f t="shared" si="69"/>
        <v>8.8205716078543408E-3</v>
      </c>
      <c r="R239" s="14">
        <f t="shared" ca="1" si="70"/>
        <v>6.2160612274052482</v>
      </c>
      <c r="S239" s="14">
        <f t="shared" si="71"/>
        <v>6.2303183870967729</v>
      </c>
      <c r="T239" s="14">
        <f t="shared" ca="1" si="72"/>
        <v>1.4257159691524635E-2</v>
      </c>
      <c r="U239" s="16">
        <f t="shared" ca="1" si="73"/>
        <v>2.2883517030288141E-3</v>
      </c>
      <c r="V239" s="14">
        <f t="shared" si="74"/>
        <v>1.9750000000000005</v>
      </c>
      <c r="W239" s="14">
        <f t="shared" ca="1" si="75"/>
        <v>1.7839387725947518</v>
      </c>
      <c r="X239" s="14">
        <f t="shared" ca="1" si="76"/>
        <v>0.19106122740524878</v>
      </c>
      <c r="Y239" s="28">
        <f t="shared" ca="1" si="77"/>
        <v>9.6739861977341121E-2</v>
      </c>
      <c r="Z239" s="29">
        <f t="shared" ca="1" si="78"/>
        <v>41.407265000000002</v>
      </c>
      <c r="AA239" s="16">
        <f t="shared" ca="1" si="79"/>
        <v>5.2465331807780326E-2</v>
      </c>
      <c r="AB239" s="2"/>
    </row>
    <row r="240" spans="6:28" x14ac:dyDescent="0.25">
      <c r="F240" s="13">
        <v>238</v>
      </c>
      <c r="G240" s="13">
        <f t="shared" si="60"/>
        <v>43.8</v>
      </c>
      <c r="H240" s="13">
        <f t="shared" si="61"/>
        <v>316.95</v>
      </c>
      <c r="I240" s="14">
        <f t="shared" si="62"/>
        <v>1.983333</v>
      </c>
      <c r="J240" s="14">
        <f t="shared" si="63"/>
        <v>4582.4580079999996</v>
      </c>
      <c r="K240" s="14">
        <f t="shared" si="64"/>
        <v>3.6024580079999993</v>
      </c>
      <c r="L240" s="14">
        <f t="shared" si="65"/>
        <v>1701.7060019999999</v>
      </c>
      <c r="M240" s="14">
        <v>1696.81</v>
      </c>
      <c r="N240" s="13">
        <f t="shared" si="66"/>
        <v>1.7017060019999999</v>
      </c>
      <c r="O240" s="13">
        <f t="shared" si="67"/>
        <v>1.6869799999999999</v>
      </c>
      <c r="P240" s="13">
        <f t="shared" si="68"/>
        <v>1.472600199999996E-2</v>
      </c>
      <c r="Q240" s="16">
        <f t="shared" si="69"/>
        <v>8.7292095934747068E-3</v>
      </c>
      <c r="R240" s="14">
        <f t="shared" ca="1" si="70"/>
        <v>6.2063024985422741</v>
      </c>
      <c r="S240" s="14">
        <f t="shared" si="71"/>
        <v>6.2218724731182791</v>
      </c>
      <c r="T240" s="14">
        <f t="shared" ca="1" si="72"/>
        <v>1.5569974576004952E-2</v>
      </c>
      <c r="U240" s="16">
        <f t="shared" ca="1" si="73"/>
        <v>2.5024580049294374E-3</v>
      </c>
      <c r="V240" s="14">
        <f t="shared" si="74"/>
        <v>1.9833333333333334</v>
      </c>
      <c r="W240" s="14">
        <f t="shared" ca="1" si="75"/>
        <v>1.7936975014577259</v>
      </c>
      <c r="X240" s="14">
        <f t="shared" ca="1" si="76"/>
        <v>0.18963583187560751</v>
      </c>
      <c r="Y240" s="28">
        <f t="shared" ca="1" si="77"/>
        <v>9.5614705147365128E-2</v>
      </c>
      <c r="Z240" s="29">
        <f t="shared" ca="1" si="78"/>
        <v>41.524369999999998</v>
      </c>
      <c r="AA240" s="16">
        <f t="shared" ca="1" si="79"/>
        <v>5.1955022831050225E-2</v>
      </c>
      <c r="AB240" s="2"/>
    </row>
    <row r="241" spans="6:28" x14ac:dyDescent="0.25">
      <c r="F241" s="13">
        <v>239</v>
      </c>
      <c r="G241" s="13">
        <f t="shared" si="60"/>
        <v>43.900000000000006</v>
      </c>
      <c r="H241" s="13">
        <f t="shared" si="61"/>
        <v>317.04999999999995</v>
      </c>
      <c r="I241" s="14">
        <f t="shared" si="62"/>
        <v>1.9916670000000001</v>
      </c>
      <c r="J241" s="14">
        <f t="shared" si="63"/>
        <v>4564.4679660000002</v>
      </c>
      <c r="K241" s="14">
        <f t="shared" si="64"/>
        <v>3.5844679660000001</v>
      </c>
      <c r="L241" s="14">
        <f t="shared" si="65"/>
        <v>1699.240571</v>
      </c>
      <c r="M241" s="14">
        <v>1694.27</v>
      </c>
      <c r="N241" s="13">
        <f t="shared" si="66"/>
        <v>1.699240571</v>
      </c>
      <c r="O241" s="13">
        <f t="shared" si="67"/>
        <v>1.6846899999999998</v>
      </c>
      <c r="P241" s="13">
        <f t="shared" si="68"/>
        <v>1.4550571000000234E-2</v>
      </c>
      <c r="Q241" s="16">
        <f t="shared" si="69"/>
        <v>8.6369427016247721E-3</v>
      </c>
      <c r="R241" s="14">
        <f t="shared" ca="1" si="70"/>
        <v>6.1984871370262384</v>
      </c>
      <c r="S241" s="14">
        <f t="shared" si="71"/>
        <v>6.2134265591397835</v>
      </c>
      <c r="T241" s="14">
        <f t="shared" ca="1" si="72"/>
        <v>1.4939422113545042E-2</v>
      </c>
      <c r="U241" s="16">
        <f t="shared" ca="1" si="73"/>
        <v>2.4043773546449268E-3</v>
      </c>
      <c r="V241" s="14">
        <f t="shared" si="74"/>
        <v>1.991666666666668</v>
      </c>
      <c r="W241" s="14">
        <f t="shared" ca="1" si="75"/>
        <v>1.8015128629737616</v>
      </c>
      <c r="X241" s="14">
        <f t="shared" ca="1" si="76"/>
        <v>0.19015380369290646</v>
      </c>
      <c r="Y241" s="28">
        <f t="shared" ca="1" si="77"/>
        <v>9.5474713151250043E-2</v>
      </c>
      <c r="Z241" s="29">
        <f t="shared" ca="1" si="78"/>
        <v>41.618153999999997</v>
      </c>
      <c r="AA241" s="16">
        <f t="shared" ca="1" si="79"/>
        <v>5.1978268792710898E-2</v>
      </c>
      <c r="AB241" s="2"/>
    </row>
    <row r="242" spans="6:28" x14ac:dyDescent="0.25">
      <c r="F242" s="13">
        <v>240</v>
      </c>
      <c r="G242" s="13">
        <f t="shared" si="60"/>
        <v>44</v>
      </c>
      <c r="H242" s="13">
        <f t="shared" si="61"/>
        <v>317.14999999999998</v>
      </c>
      <c r="I242" s="14">
        <f t="shared" si="62"/>
        <v>2</v>
      </c>
      <c r="J242" s="14">
        <f t="shared" si="63"/>
        <v>4546.5584740000004</v>
      </c>
      <c r="K242" s="14">
        <f t="shared" si="64"/>
        <v>3.5665584740000007</v>
      </c>
      <c r="L242" s="14">
        <f t="shared" si="65"/>
        <v>1696.774054</v>
      </c>
      <c r="M242" s="14">
        <v>1691.92</v>
      </c>
      <c r="N242" s="13">
        <f t="shared" si="66"/>
        <v>1.696774054</v>
      </c>
      <c r="O242" s="13">
        <f t="shared" si="67"/>
        <v>1.6823999999999999</v>
      </c>
      <c r="P242" s="13">
        <f t="shared" si="68"/>
        <v>1.4374054000000136E-2</v>
      </c>
      <c r="Q242" s="16">
        <f t="shared" si="69"/>
        <v>8.5437791250595196E-3</v>
      </c>
      <c r="R242" s="14">
        <f t="shared" ca="1" si="70"/>
        <v>6.1890832274052485</v>
      </c>
      <c r="S242" s="14">
        <f t="shared" si="71"/>
        <v>6.2049806451612897</v>
      </c>
      <c r="T242" s="14">
        <f t="shared" ca="1" si="72"/>
        <v>1.5897417756041143E-2</v>
      </c>
      <c r="U242" s="16">
        <f t="shared" ca="1" si="73"/>
        <v>2.5620414736407149E-3</v>
      </c>
      <c r="V242" s="14">
        <f t="shared" si="74"/>
        <v>2</v>
      </c>
      <c r="W242" s="14">
        <f t="shared" ca="1" si="75"/>
        <v>1.8109167725947515</v>
      </c>
      <c r="X242" s="14">
        <f t="shared" ca="1" si="76"/>
        <v>0.18908322740524852</v>
      </c>
      <c r="Y242" s="28">
        <f t="shared" ca="1" si="77"/>
        <v>9.4541613702624261E-2</v>
      </c>
      <c r="Z242" s="29">
        <f t="shared" ca="1" si="78"/>
        <v>41.731000999999999</v>
      </c>
      <c r="AA242" s="16">
        <f t="shared" ca="1" si="79"/>
        <v>5.1568159090909109E-2</v>
      </c>
      <c r="AB242" s="2"/>
    </row>
    <row r="243" spans="6:28" x14ac:dyDescent="0.25">
      <c r="F243" s="13">
        <v>241</v>
      </c>
      <c r="G243" s="13">
        <f t="shared" si="60"/>
        <v>44.1</v>
      </c>
      <c r="H243" s="13">
        <f t="shared" si="61"/>
        <v>317.25</v>
      </c>
      <c r="I243" s="14">
        <f t="shared" si="62"/>
        <v>2.0083329999999999</v>
      </c>
      <c r="J243" s="14">
        <f t="shared" si="63"/>
        <v>4528.7291279999999</v>
      </c>
      <c r="K243" s="14">
        <f t="shared" si="64"/>
        <v>3.5487291279999997</v>
      </c>
      <c r="L243" s="14">
        <f t="shared" si="65"/>
        <v>1694.306468</v>
      </c>
      <c r="M243" s="14">
        <v>1689.37</v>
      </c>
      <c r="N243" s="13">
        <f t="shared" si="66"/>
        <v>1.694306468</v>
      </c>
      <c r="O243" s="13">
        <f t="shared" si="67"/>
        <v>1.68011</v>
      </c>
      <c r="P243" s="13">
        <f t="shared" si="68"/>
        <v>1.4196467999999962E-2</v>
      </c>
      <c r="Q243" s="16">
        <f t="shared" si="69"/>
        <v>8.4497253156043135E-3</v>
      </c>
      <c r="R243" s="14">
        <f t="shared" ca="1" si="70"/>
        <v>6.1796968629737616</v>
      </c>
      <c r="S243" s="14">
        <f t="shared" si="71"/>
        <v>6.196534731182795</v>
      </c>
      <c r="T243" s="14">
        <f t="shared" ca="1" si="72"/>
        <v>1.6837868209033324E-2</v>
      </c>
      <c r="U243" s="16">
        <f t="shared" ca="1" si="73"/>
        <v>2.7173039351010481E-3</v>
      </c>
      <c r="V243" s="14">
        <f t="shared" si="74"/>
        <v>2.0083333333333337</v>
      </c>
      <c r="W243" s="14">
        <f t="shared" ca="1" si="75"/>
        <v>1.8203031370262384</v>
      </c>
      <c r="X243" s="14">
        <f t="shared" ca="1" si="76"/>
        <v>0.18803019630709539</v>
      </c>
      <c r="Y243" s="28">
        <f t="shared" ca="1" si="77"/>
        <v>9.3624994011831705E-2</v>
      </c>
      <c r="Z243" s="29">
        <f t="shared" ca="1" si="78"/>
        <v>41.843637999999999</v>
      </c>
      <c r="AA243" s="16">
        <f t="shared" ca="1" si="79"/>
        <v>5.1164671201814123E-2</v>
      </c>
      <c r="AB243" s="2"/>
    </row>
    <row r="244" spans="6:28" x14ac:dyDescent="0.25">
      <c r="F244" s="13">
        <v>242</v>
      </c>
      <c r="G244" s="13">
        <f t="shared" si="60"/>
        <v>44.2</v>
      </c>
      <c r="H244" s="13">
        <f t="shared" si="61"/>
        <v>317.34999999999997</v>
      </c>
      <c r="I244" s="14">
        <f t="shared" si="62"/>
        <v>2.016667</v>
      </c>
      <c r="J244" s="14">
        <f t="shared" si="63"/>
        <v>4510.9795299999996</v>
      </c>
      <c r="K244" s="14">
        <f t="shared" si="64"/>
        <v>3.5309795299999998</v>
      </c>
      <c r="L244" s="14">
        <f t="shared" si="65"/>
        <v>1691.8378319999999</v>
      </c>
      <c r="M244" s="14">
        <v>1686.81</v>
      </c>
      <c r="N244" s="13">
        <f t="shared" si="66"/>
        <v>1.6918378319999998</v>
      </c>
      <c r="O244" s="13">
        <f t="shared" si="67"/>
        <v>1.6778199999999999</v>
      </c>
      <c r="P244" s="13">
        <f t="shared" si="68"/>
        <v>1.4017831999999952E-2</v>
      </c>
      <c r="Q244" s="16">
        <f t="shared" si="69"/>
        <v>8.3547889523309729E-3</v>
      </c>
      <c r="R244" s="14">
        <f t="shared" ca="1" si="70"/>
        <v>6.170703635568513</v>
      </c>
      <c r="S244" s="14">
        <f t="shared" si="71"/>
        <v>6.1880888172043003</v>
      </c>
      <c r="T244" s="14">
        <f t="shared" ca="1" si="72"/>
        <v>1.7385181635787283E-2</v>
      </c>
      <c r="U244" s="16">
        <f t="shared" ca="1" si="73"/>
        <v>2.809458970183574E-3</v>
      </c>
      <c r="V244" s="14">
        <f t="shared" si="74"/>
        <v>2.0166666666666666</v>
      </c>
      <c r="W244" s="14">
        <f t="shared" ca="1" si="75"/>
        <v>1.829296364431487</v>
      </c>
      <c r="X244" s="14">
        <f t="shared" ca="1" si="76"/>
        <v>0.18737030223517959</v>
      </c>
      <c r="Y244" s="28">
        <f t="shared" ca="1" si="77"/>
        <v>9.2910893670336989E-2</v>
      </c>
      <c r="Z244" s="29">
        <f t="shared" ca="1" si="78"/>
        <v>41.951555999999997</v>
      </c>
      <c r="AA244" s="16">
        <f t="shared" ca="1" si="79"/>
        <v>5.0869773755656246E-2</v>
      </c>
      <c r="AB244" s="2"/>
    </row>
    <row r="245" spans="6:28" x14ac:dyDescent="0.25">
      <c r="F245" s="13">
        <v>243</v>
      </c>
      <c r="G245" s="13">
        <f t="shared" si="60"/>
        <v>44.3</v>
      </c>
      <c r="H245" s="13">
        <f t="shared" si="61"/>
        <v>317.45</v>
      </c>
      <c r="I245" s="14">
        <f t="shared" si="62"/>
        <v>2.0249999999999999</v>
      </c>
      <c r="J245" s="14">
        <f t="shared" si="63"/>
        <v>4493.3092820000002</v>
      </c>
      <c r="K245" s="14">
        <f t="shared" si="64"/>
        <v>3.5133092820000007</v>
      </c>
      <c r="L245" s="14">
        <f t="shared" si="65"/>
        <v>1689.368164</v>
      </c>
      <c r="M245" s="14">
        <v>1684.64</v>
      </c>
      <c r="N245" s="13">
        <f t="shared" si="66"/>
        <v>1.6893681640000002</v>
      </c>
      <c r="O245" s="13">
        <f t="shared" si="67"/>
        <v>1.67553</v>
      </c>
      <c r="P245" s="13">
        <f t="shared" si="68"/>
        <v>1.3838164000000264E-2</v>
      </c>
      <c r="Q245" s="16">
        <f t="shared" si="69"/>
        <v>8.2589771594661181E-3</v>
      </c>
      <c r="R245" s="14">
        <f t="shared" ca="1" si="70"/>
        <v>6.162091772594751</v>
      </c>
      <c r="S245" s="14">
        <f t="shared" si="71"/>
        <v>6.1796429032258064</v>
      </c>
      <c r="T245" s="14">
        <f t="shared" ca="1" si="72"/>
        <v>1.75511306310554E-2</v>
      </c>
      <c r="U245" s="16">
        <f t="shared" ca="1" si="73"/>
        <v>2.8401528868105983E-3</v>
      </c>
      <c r="V245" s="14">
        <f t="shared" si="74"/>
        <v>2.0249999999999995</v>
      </c>
      <c r="W245" s="14">
        <f t="shared" ca="1" si="75"/>
        <v>1.837908227405249</v>
      </c>
      <c r="X245" s="14">
        <f t="shared" ca="1" si="76"/>
        <v>0.18709177259475052</v>
      </c>
      <c r="Y245" s="28">
        <f t="shared" ca="1" si="77"/>
        <v>9.23909988122225E-2</v>
      </c>
      <c r="Z245" s="29">
        <f t="shared" ca="1" si="78"/>
        <v>42.054898999999999</v>
      </c>
      <c r="AA245" s="16">
        <f t="shared" ca="1" si="79"/>
        <v>5.0679480812641044E-2</v>
      </c>
      <c r="AB245" s="2"/>
    </row>
    <row r="246" spans="6:28" x14ac:dyDescent="0.25">
      <c r="F246" s="13">
        <v>244</v>
      </c>
      <c r="G246" s="13">
        <f t="shared" si="60"/>
        <v>44.400000000000006</v>
      </c>
      <c r="H246" s="13">
        <f t="shared" si="61"/>
        <v>317.54999999999995</v>
      </c>
      <c r="I246" s="14">
        <f t="shared" si="62"/>
        <v>2.0333329999999998</v>
      </c>
      <c r="J246" s="14">
        <f t="shared" si="63"/>
        <v>4475.717987</v>
      </c>
      <c r="K246" s="14">
        <f t="shared" si="64"/>
        <v>3.4957179869999999</v>
      </c>
      <c r="L246" s="14">
        <f t="shared" si="65"/>
        <v>1686.8974840000001</v>
      </c>
      <c r="M246" s="14">
        <v>1682.07</v>
      </c>
      <c r="N246" s="13">
        <f t="shared" si="66"/>
        <v>1.6868974840000002</v>
      </c>
      <c r="O246" s="13">
        <f t="shared" si="67"/>
        <v>1.6732399999999998</v>
      </c>
      <c r="P246" s="13">
        <f t="shared" si="68"/>
        <v>1.3657484000000331E-2</v>
      </c>
      <c r="Q246" s="16">
        <f t="shared" si="69"/>
        <v>8.1622982955226586E-3</v>
      </c>
      <c r="R246" s="14">
        <f t="shared" ca="1" si="70"/>
        <v>6.1530797725947517</v>
      </c>
      <c r="S246" s="14">
        <f t="shared" si="71"/>
        <v>6.1711969892473109</v>
      </c>
      <c r="T246" s="14">
        <f t="shared" ca="1" si="72"/>
        <v>1.8117216652559165E-2</v>
      </c>
      <c r="U246" s="16">
        <f t="shared" ca="1" si="73"/>
        <v>2.9357702701966232E-3</v>
      </c>
      <c r="V246" s="14">
        <f t="shared" si="74"/>
        <v>2.0333333333333341</v>
      </c>
      <c r="W246" s="14">
        <f t="shared" ca="1" si="75"/>
        <v>1.8469202274052483</v>
      </c>
      <c r="X246" s="14">
        <f t="shared" ca="1" si="76"/>
        <v>0.1864131059280858</v>
      </c>
      <c r="Y246" s="28">
        <f t="shared" ca="1" si="77"/>
        <v>9.1678576685943799E-2</v>
      </c>
      <c r="Z246" s="29">
        <f t="shared" ca="1" si="78"/>
        <v>42.163043000000002</v>
      </c>
      <c r="AA246" s="16">
        <f t="shared" ca="1" si="79"/>
        <v>5.0381914414414496E-2</v>
      </c>
      <c r="AB246" s="2"/>
    </row>
    <row r="247" spans="6:28" x14ac:dyDescent="0.25">
      <c r="F247" s="13">
        <v>245</v>
      </c>
      <c r="G247" s="13">
        <f t="shared" si="60"/>
        <v>44.5</v>
      </c>
      <c r="H247" s="13">
        <f t="shared" si="61"/>
        <v>317.64999999999998</v>
      </c>
      <c r="I247" s="14">
        <f t="shared" si="62"/>
        <v>2.0416669999999999</v>
      </c>
      <c r="J247" s="14">
        <f t="shared" si="63"/>
        <v>4458.2052540000004</v>
      </c>
      <c r="K247" s="14">
        <f t="shared" si="64"/>
        <v>3.4782052540000006</v>
      </c>
      <c r="L247" s="14">
        <f t="shared" si="65"/>
        <v>1684.425808</v>
      </c>
      <c r="M247" s="14">
        <v>1679.49</v>
      </c>
      <c r="N247" s="13">
        <f t="shared" si="66"/>
        <v>1.6844258079999999</v>
      </c>
      <c r="O247" s="13">
        <f t="shared" si="67"/>
        <v>1.6709499999999999</v>
      </c>
      <c r="P247" s="13">
        <f t="shared" si="68"/>
        <v>1.3475807999999923E-2</v>
      </c>
      <c r="Q247" s="16">
        <f t="shared" si="69"/>
        <v>8.0647583709865193E-3</v>
      </c>
      <c r="R247" s="14">
        <f t="shared" ca="1" si="70"/>
        <v>6.1444383644314877</v>
      </c>
      <c r="S247" s="14">
        <f t="shared" si="71"/>
        <v>6.162751075268817</v>
      </c>
      <c r="T247" s="14">
        <f t="shared" ca="1" si="72"/>
        <v>1.8312710837329327E-2</v>
      </c>
      <c r="U247" s="16">
        <f t="shared" ca="1" si="73"/>
        <v>2.9715155802444177E-3</v>
      </c>
      <c r="V247" s="14">
        <f t="shared" si="74"/>
        <v>2.0416666666666661</v>
      </c>
      <c r="W247" s="14">
        <f t="shared" ca="1" si="75"/>
        <v>1.8555616355685123</v>
      </c>
      <c r="X247" s="14">
        <f t="shared" ca="1" si="76"/>
        <v>0.18610503109815379</v>
      </c>
      <c r="Y247" s="28">
        <f t="shared" ca="1" si="77"/>
        <v>9.1153484619503927E-2</v>
      </c>
      <c r="Z247" s="29">
        <f t="shared" ca="1" si="78"/>
        <v>42.266739999999999</v>
      </c>
      <c r="AA247" s="16">
        <f t="shared" ca="1" si="79"/>
        <v>5.0185617977528123E-2</v>
      </c>
      <c r="AB247" s="2"/>
    </row>
    <row r="248" spans="6:28" x14ac:dyDescent="0.25">
      <c r="F248" s="13">
        <v>246</v>
      </c>
      <c r="G248" s="13">
        <f t="shared" si="60"/>
        <v>44.6</v>
      </c>
      <c r="H248" s="13">
        <f t="shared" si="61"/>
        <v>317.75</v>
      </c>
      <c r="I248" s="14">
        <f t="shared" si="62"/>
        <v>2.0499999999999998</v>
      </c>
      <c r="J248" s="14">
        <f t="shared" si="63"/>
        <v>4440.7706900000003</v>
      </c>
      <c r="K248" s="14">
        <f t="shared" si="64"/>
        <v>3.4607706900000004</v>
      </c>
      <c r="L248" s="14">
        <f t="shared" si="65"/>
        <v>1681.953156</v>
      </c>
      <c r="M248" s="14">
        <v>1677.1</v>
      </c>
      <c r="N248" s="13">
        <f t="shared" si="66"/>
        <v>1.6819531560000001</v>
      </c>
      <c r="O248" s="13">
        <f t="shared" si="67"/>
        <v>1.6686599999999998</v>
      </c>
      <c r="P248" s="13">
        <f t="shared" si="68"/>
        <v>1.329315600000025E-2</v>
      </c>
      <c r="Q248" s="16">
        <f t="shared" si="69"/>
        <v>7.966365826471691E-3</v>
      </c>
      <c r="R248" s="14">
        <f t="shared" ca="1" si="70"/>
        <v>6.1350232274052487</v>
      </c>
      <c r="S248" s="14">
        <f t="shared" si="71"/>
        <v>6.1543051612903215</v>
      </c>
      <c r="T248" s="14">
        <f t="shared" ca="1" si="72"/>
        <v>1.9281933885072711E-2</v>
      </c>
      <c r="U248" s="16">
        <f t="shared" ca="1" si="73"/>
        <v>3.1330805638877402E-3</v>
      </c>
      <c r="V248" s="14">
        <f t="shared" si="74"/>
        <v>2.0500000000000007</v>
      </c>
      <c r="W248" s="14">
        <f t="shared" ca="1" si="75"/>
        <v>1.8649767725947513</v>
      </c>
      <c r="X248" s="14">
        <f t="shared" ca="1" si="76"/>
        <v>0.18502322740524946</v>
      </c>
      <c r="Y248" s="28">
        <f t="shared" ca="1" si="77"/>
        <v>9.0255232880609465E-2</v>
      </c>
      <c r="Z248" s="29">
        <f t="shared" ca="1" si="78"/>
        <v>42.379721000000004</v>
      </c>
      <c r="AA248" s="16">
        <f t="shared" ca="1" si="79"/>
        <v>4.9782040358744346E-2</v>
      </c>
      <c r="AB248" s="2"/>
    </row>
    <row r="249" spans="6:28" x14ac:dyDescent="0.25">
      <c r="F249" s="13">
        <v>247</v>
      </c>
      <c r="G249" s="13">
        <f t="shared" si="60"/>
        <v>44.7</v>
      </c>
      <c r="H249" s="13">
        <f t="shared" si="61"/>
        <v>317.84999999999997</v>
      </c>
      <c r="I249" s="14">
        <f t="shared" si="62"/>
        <v>2.0583330000000002</v>
      </c>
      <c r="J249" s="14">
        <f t="shared" si="63"/>
        <v>4423.4139059999998</v>
      </c>
      <c r="K249" s="14">
        <f t="shared" si="64"/>
        <v>3.443413906</v>
      </c>
      <c r="L249" s="14">
        <f t="shared" si="65"/>
        <v>1679.479546</v>
      </c>
      <c r="M249" s="14">
        <v>1674.71</v>
      </c>
      <c r="N249" s="13">
        <f t="shared" si="66"/>
        <v>1.6794795459999998</v>
      </c>
      <c r="O249" s="13">
        <f t="shared" si="67"/>
        <v>1.6663699999999999</v>
      </c>
      <c r="P249" s="13">
        <f t="shared" si="68"/>
        <v>1.3109545999999916E-2</v>
      </c>
      <c r="Q249" s="16">
        <f t="shared" si="69"/>
        <v>7.8671279487748328E-3</v>
      </c>
      <c r="R249" s="14">
        <f t="shared" ca="1" si="70"/>
        <v>6.1256256355685128</v>
      </c>
      <c r="S249" s="14">
        <f t="shared" si="71"/>
        <v>6.1458592473118276</v>
      </c>
      <c r="T249" s="14">
        <f t="shared" ca="1" si="72"/>
        <v>2.0233611743314839E-2</v>
      </c>
      <c r="U249" s="16">
        <f t="shared" ca="1" si="73"/>
        <v>3.2922348086908975E-3</v>
      </c>
      <c r="V249" s="14">
        <f t="shared" si="74"/>
        <v>2.0583333333333336</v>
      </c>
      <c r="W249" s="14">
        <f t="shared" ca="1" si="75"/>
        <v>1.8743743644314872</v>
      </c>
      <c r="X249" s="14">
        <f t="shared" ca="1" si="76"/>
        <v>0.18395896890184638</v>
      </c>
      <c r="Y249" s="28">
        <f t="shared" ca="1" si="77"/>
        <v>8.937277841385248E-2</v>
      </c>
      <c r="Z249" s="29">
        <f t="shared" ca="1" si="78"/>
        <v>42.492491999999999</v>
      </c>
      <c r="AA249" s="16">
        <f t="shared" ca="1" si="79"/>
        <v>4.9384966442953114E-2</v>
      </c>
      <c r="AB249" s="2"/>
    </row>
    <row r="250" spans="6:28" x14ac:dyDescent="0.25">
      <c r="F250" s="13">
        <v>248</v>
      </c>
      <c r="G250" s="13">
        <f t="shared" si="60"/>
        <v>44.8</v>
      </c>
      <c r="H250" s="13">
        <f t="shared" si="61"/>
        <v>317.95</v>
      </c>
      <c r="I250" s="14">
        <f t="shared" si="62"/>
        <v>2.0666669999999998</v>
      </c>
      <c r="J250" s="14">
        <f t="shared" si="63"/>
        <v>4406.1345170000004</v>
      </c>
      <c r="K250" s="14">
        <f t="shared" si="64"/>
        <v>3.4261345170000004</v>
      </c>
      <c r="L250" s="14">
        <f t="shared" si="65"/>
        <v>1677.004997</v>
      </c>
      <c r="M250" s="14">
        <v>1671.92</v>
      </c>
      <c r="N250" s="13">
        <f t="shared" si="66"/>
        <v>1.6770049970000003</v>
      </c>
      <c r="O250" s="13">
        <f t="shared" si="67"/>
        <v>1.66408</v>
      </c>
      <c r="P250" s="13">
        <f t="shared" si="68"/>
        <v>1.2924997000000271E-2</v>
      </c>
      <c r="Q250" s="16">
        <f t="shared" si="69"/>
        <v>7.7670526657373871E-3</v>
      </c>
      <c r="R250" s="14">
        <f t="shared" ca="1" si="70"/>
        <v>6.1169742274052483</v>
      </c>
      <c r="S250" s="14">
        <f t="shared" si="71"/>
        <v>6.1374133333333329</v>
      </c>
      <c r="T250" s="14">
        <f t="shared" ca="1" si="72"/>
        <v>2.0439105928084622E-2</v>
      </c>
      <c r="U250" s="16">
        <f t="shared" ca="1" si="73"/>
        <v>3.3302475844467524E-3</v>
      </c>
      <c r="V250" s="14">
        <f t="shared" si="74"/>
        <v>2.0666666666666664</v>
      </c>
      <c r="W250" s="14">
        <f t="shared" ca="1" si="75"/>
        <v>1.8830257725947517</v>
      </c>
      <c r="X250" s="14">
        <f t="shared" ca="1" si="76"/>
        <v>0.18364089407191475</v>
      </c>
      <c r="Y250" s="28">
        <f t="shared" ca="1" si="77"/>
        <v>8.8858497131571665E-2</v>
      </c>
      <c r="Z250" s="29">
        <f t="shared" ca="1" si="78"/>
        <v>42.596308999999998</v>
      </c>
      <c r="AA250" s="16">
        <f t="shared" ca="1" si="79"/>
        <v>4.9189531249999988E-2</v>
      </c>
      <c r="AB250" s="2"/>
    </row>
    <row r="251" spans="6:28" x14ac:dyDescent="0.25">
      <c r="F251" s="13">
        <v>249</v>
      </c>
      <c r="G251" s="13">
        <f t="shared" si="60"/>
        <v>44.900000000000006</v>
      </c>
      <c r="H251" s="13">
        <f t="shared" si="61"/>
        <v>318.04999999999995</v>
      </c>
      <c r="I251" s="14">
        <f t="shared" si="62"/>
        <v>2.0750000000000002</v>
      </c>
      <c r="J251" s="14">
        <f t="shared" si="63"/>
        <v>4388.9321360000004</v>
      </c>
      <c r="K251" s="14">
        <f t="shared" si="64"/>
        <v>3.4089321360000007</v>
      </c>
      <c r="L251" s="14">
        <f t="shared" si="65"/>
        <v>1674.5295269999999</v>
      </c>
      <c r="M251" s="14">
        <v>1669.51</v>
      </c>
      <c r="N251" s="13">
        <f t="shared" si="66"/>
        <v>1.674529527</v>
      </c>
      <c r="O251" s="13">
        <f t="shared" si="67"/>
        <v>1.6617899999999999</v>
      </c>
      <c r="P251" s="13">
        <f t="shared" si="68"/>
        <v>1.2739527000000139E-2</v>
      </c>
      <c r="Q251" s="16">
        <f t="shared" si="69"/>
        <v>7.6661473471378097E-3</v>
      </c>
      <c r="R251" s="14">
        <f t="shared" ca="1" si="70"/>
        <v>6.1075598629737611</v>
      </c>
      <c r="S251" s="14">
        <f t="shared" si="71"/>
        <v>6.1289674193548382</v>
      </c>
      <c r="T251" s="14">
        <f t="shared" ca="1" si="72"/>
        <v>2.1407556381077164E-2</v>
      </c>
      <c r="U251" s="16">
        <f t="shared" ca="1" si="73"/>
        <v>3.4928487812602234E-3</v>
      </c>
      <c r="V251" s="14">
        <f t="shared" si="74"/>
        <v>2.0750000000000002</v>
      </c>
      <c r="W251" s="14">
        <f t="shared" ca="1" si="75"/>
        <v>1.8924401370262389</v>
      </c>
      <c r="X251" s="14">
        <f t="shared" ca="1" si="76"/>
        <v>0.18255986297376126</v>
      </c>
      <c r="Y251" s="28">
        <f t="shared" ca="1" si="77"/>
        <v>8.7980656854824688E-2</v>
      </c>
      <c r="Z251" s="29">
        <f t="shared" ca="1" si="78"/>
        <v>42.709282000000002</v>
      </c>
      <c r="AA251" s="16">
        <f t="shared" ca="1" si="79"/>
        <v>4.8791046770601421E-2</v>
      </c>
      <c r="AB251" s="2"/>
    </row>
    <row r="252" spans="6:28" x14ac:dyDescent="0.25">
      <c r="F252" s="13">
        <v>250</v>
      </c>
      <c r="G252" s="13">
        <f t="shared" si="60"/>
        <v>45</v>
      </c>
      <c r="H252" s="13">
        <f t="shared" si="61"/>
        <v>318.14999999999998</v>
      </c>
      <c r="I252" s="14">
        <f t="shared" si="62"/>
        <v>2.0833330000000001</v>
      </c>
      <c r="J252" s="14">
        <f t="shared" si="63"/>
        <v>4371.8063819999998</v>
      </c>
      <c r="K252" s="14">
        <f t="shared" si="64"/>
        <v>3.3918063819999995</v>
      </c>
      <c r="L252" s="14">
        <f t="shared" si="65"/>
        <v>1672.0531539999999</v>
      </c>
      <c r="M252" s="14">
        <v>1667.1</v>
      </c>
      <c r="N252" s="13">
        <f t="shared" si="66"/>
        <v>1.6720531540000001</v>
      </c>
      <c r="O252" s="13">
        <f t="shared" si="67"/>
        <v>1.6595</v>
      </c>
      <c r="P252" s="13">
        <f t="shared" si="68"/>
        <v>1.2553154000000122E-2</v>
      </c>
      <c r="Q252" s="16">
        <f t="shared" si="69"/>
        <v>7.564419403434843E-3</v>
      </c>
      <c r="R252" s="14">
        <f t="shared" ca="1" si="70"/>
        <v>6.0985376355685128</v>
      </c>
      <c r="S252" s="14">
        <f t="shared" si="71"/>
        <v>6.1205215053763435</v>
      </c>
      <c r="T252" s="14">
        <f t="shared" ca="1" si="72"/>
        <v>2.1983869807830736E-2</v>
      </c>
      <c r="U252" s="16">
        <f t="shared" ca="1" si="73"/>
        <v>3.5918295178801064E-3</v>
      </c>
      <c r="V252" s="14">
        <f t="shared" si="74"/>
        <v>2.083333333333333</v>
      </c>
      <c r="W252" s="14">
        <f t="shared" ca="1" si="75"/>
        <v>1.9014623644314872</v>
      </c>
      <c r="X252" s="14">
        <f t="shared" ca="1" si="76"/>
        <v>0.18187096890184584</v>
      </c>
      <c r="Y252" s="28">
        <f t="shared" ca="1" si="77"/>
        <v>8.7298065072886011E-2</v>
      </c>
      <c r="Z252" s="29">
        <f t="shared" ca="1" si="78"/>
        <v>42.817548000000002</v>
      </c>
      <c r="AA252" s="16">
        <f t="shared" ca="1" si="79"/>
        <v>4.8498933333333286E-2</v>
      </c>
      <c r="AB252" s="2"/>
    </row>
    <row r="253" spans="6:28" x14ac:dyDescent="0.25">
      <c r="F253" s="13">
        <v>251</v>
      </c>
      <c r="G253" s="13">
        <f t="shared" si="60"/>
        <v>45.1</v>
      </c>
      <c r="H253" s="13">
        <f t="shared" si="61"/>
        <v>318.25</v>
      </c>
      <c r="I253" s="14">
        <f t="shared" si="62"/>
        <v>2.0916670000000002</v>
      </c>
      <c r="J253" s="14">
        <f t="shared" si="63"/>
        <v>4354.7568730000003</v>
      </c>
      <c r="K253" s="14">
        <f t="shared" si="64"/>
        <v>3.3747568729999999</v>
      </c>
      <c r="L253" s="14">
        <f t="shared" si="65"/>
        <v>1669.5758980000001</v>
      </c>
      <c r="M253" s="14">
        <v>1664.29</v>
      </c>
      <c r="N253" s="13">
        <f t="shared" si="66"/>
        <v>1.6695758980000002</v>
      </c>
      <c r="O253" s="13">
        <f t="shared" si="67"/>
        <v>1.6572099999999998</v>
      </c>
      <c r="P253" s="13">
        <f t="shared" si="68"/>
        <v>1.2365898000000319E-2</v>
      </c>
      <c r="Q253" s="16">
        <f t="shared" si="69"/>
        <v>7.4618774928948781E-3</v>
      </c>
      <c r="R253" s="14">
        <f t="shared" ca="1" si="70"/>
        <v>6.0898870000000001</v>
      </c>
      <c r="S253" s="14">
        <f t="shared" si="71"/>
        <v>6.1120755913978488</v>
      </c>
      <c r="T253" s="14">
        <f t="shared" ca="1" si="72"/>
        <v>2.2188591397848789E-2</v>
      </c>
      <c r="U253" s="16">
        <f t="shared" ca="1" si="73"/>
        <v>3.6302874638980366E-3</v>
      </c>
      <c r="V253" s="14">
        <f t="shared" si="74"/>
        <v>2.0916666666666668</v>
      </c>
      <c r="W253" s="14">
        <f t="shared" ca="1" si="75"/>
        <v>1.9101129999999999</v>
      </c>
      <c r="X253" s="14">
        <f t="shared" ca="1" si="76"/>
        <v>0.18155366666666684</v>
      </c>
      <c r="Y253" s="28">
        <f t="shared" ca="1" si="77"/>
        <v>8.6798565737051872E-2</v>
      </c>
      <c r="Z253" s="29">
        <f t="shared" ca="1" si="78"/>
        <v>42.921356000000003</v>
      </c>
      <c r="AA253" s="16">
        <f t="shared" ca="1" si="79"/>
        <v>4.8306962305986662E-2</v>
      </c>
      <c r="AB253" s="2"/>
    </row>
    <row r="254" spans="6:28" x14ac:dyDescent="0.25">
      <c r="F254" s="13">
        <v>252</v>
      </c>
      <c r="G254" s="13">
        <f t="shared" si="60"/>
        <v>45.2</v>
      </c>
      <c r="H254" s="13">
        <f t="shared" si="61"/>
        <v>318.34999999999997</v>
      </c>
      <c r="I254" s="14">
        <f t="shared" si="62"/>
        <v>2.1</v>
      </c>
      <c r="J254" s="14">
        <f t="shared" si="63"/>
        <v>4337.7832319999998</v>
      </c>
      <c r="K254" s="14">
        <f t="shared" si="64"/>
        <v>3.3577832320000001</v>
      </c>
      <c r="L254" s="14">
        <f t="shared" si="65"/>
        <v>1667.0977760000001</v>
      </c>
      <c r="M254" s="14">
        <v>1662.27</v>
      </c>
      <c r="N254" s="13">
        <f t="shared" si="66"/>
        <v>1.6670977760000001</v>
      </c>
      <c r="O254" s="13">
        <f t="shared" si="67"/>
        <v>1.6549199999999999</v>
      </c>
      <c r="P254" s="13">
        <f t="shared" si="68"/>
        <v>1.217777600000014E-2</v>
      </c>
      <c r="Q254" s="16">
        <f t="shared" si="69"/>
        <v>7.3585285089310306E-3</v>
      </c>
      <c r="R254" s="14">
        <f t="shared" ca="1" si="70"/>
        <v>6.0812333644314869</v>
      </c>
      <c r="S254" s="14">
        <f t="shared" si="71"/>
        <v>6.1036296774193541</v>
      </c>
      <c r="T254" s="14">
        <f t="shared" ca="1" si="72"/>
        <v>2.2396312987867262E-2</v>
      </c>
      <c r="U254" s="16">
        <f t="shared" ca="1" si="73"/>
        <v>3.6693433533039207E-3</v>
      </c>
      <c r="V254" s="14">
        <f t="shared" si="74"/>
        <v>2.1000000000000005</v>
      </c>
      <c r="W254" s="14">
        <f t="shared" ca="1" si="75"/>
        <v>1.9187666355685131</v>
      </c>
      <c r="X254" s="14">
        <f t="shared" ca="1" si="76"/>
        <v>0.18123336443148741</v>
      </c>
      <c r="Y254" s="28">
        <f t="shared" ca="1" si="77"/>
        <v>8.6301602110232079E-2</v>
      </c>
      <c r="Z254" s="29">
        <f t="shared" ca="1" si="78"/>
        <v>43.025199999999998</v>
      </c>
      <c r="AA254" s="16">
        <f t="shared" ca="1" si="79"/>
        <v>4.811504424778771E-2</v>
      </c>
      <c r="AB254" s="2"/>
    </row>
    <row r="255" spans="6:28" x14ac:dyDescent="0.25">
      <c r="F255" s="13">
        <v>253</v>
      </c>
      <c r="G255" s="13">
        <f t="shared" si="60"/>
        <v>45.3</v>
      </c>
      <c r="H255" s="13">
        <f t="shared" si="61"/>
        <v>318.45</v>
      </c>
      <c r="I255" s="14">
        <f t="shared" si="62"/>
        <v>2.108333</v>
      </c>
      <c r="J255" s="14">
        <f t="shared" si="63"/>
        <v>4320.8850810000004</v>
      </c>
      <c r="K255" s="14">
        <f t="shared" si="64"/>
        <v>3.3408850810000006</v>
      </c>
      <c r="L255" s="14">
        <f t="shared" si="65"/>
        <v>1664.6188059999999</v>
      </c>
      <c r="M255" s="14">
        <v>1659.44</v>
      </c>
      <c r="N255" s="13">
        <f t="shared" si="66"/>
        <v>1.664618806</v>
      </c>
      <c r="O255" s="13">
        <f t="shared" si="67"/>
        <v>1.65263</v>
      </c>
      <c r="P255" s="13">
        <f t="shared" si="68"/>
        <v>1.1988805999999963E-2</v>
      </c>
      <c r="Q255" s="16">
        <f t="shared" si="69"/>
        <v>7.2543799882611127E-3</v>
      </c>
      <c r="R255" s="14">
        <f t="shared" ca="1" si="70"/>
        <v>6.0714206355685123</v>
      </c>
      <c r="S255" s="14">
        <f t="shared" si="71"/>
        <v>6.0951837634408603</v>
      </c>
      <c r="T255" s="14">
        <f t="shared" ca="1" si="72"/>
        <v>2.3763127872348022E-2</v>
      </c>
      <c r="U255" s="16">
        <f t="shared" ca="1" si="73"/>
        <v>3.8986729185886324E-3</v>
      </c>
      <c r="V255" s="14">
        <f t="shared" si="74"/>
        <v>2.1083333333333325</v>
      </c>
      <c r="W255" s="14">
        <f t="shared" ca="1" si="75"/>
        <v>1.9285793644314877</v>
      </c>
      <c r="X255" s="14">
        <f t="shared" ca="1" si="76"/>
        <v>0.17975396890184481</v>
      </c>
      <c r="Y255" s="28">
        <f t="shared" ca="1" si="77"/>
        <v>8.5258799479135908E-2</v>
      </c>
      <c r="Z255" s="29">
        <f t="shared" ca="1" si="78"/>
        <v>43.142952000000001</v>
      </c>
      <c r="AA255" s="16">
        <f t="shared" ca="1" si="79"/>
        <v>4.7616953642384025E-2</v>
      </c>
      <c r="AB255" s="2"/>
    </row>
    <row r="256" spans="6:28" x14ac:dyDescent="0.25">
      <c r="F256" s="13">
        <v>254</v>
      </c>
      <c r="G256" s="13">
        <f t="shared" si="60"/>
        <v>45.400000000000006</v>
      </c>
      <c r="H256" s="13">
        <f t="shared" si="61"/>
        <v>318.54999999999995</v>
      </c>
      <c r="I256" s="14">
        <f t="shared" si="62"/>
        <v>2.1166670000000001</v>
      </c>
      <c r="J256" s="14">
        <f t="shared" si="63"/>
        <v>4304.0620470000003</v>
      </c>
      <c r="K256" s="14">
        <f t="shared" si="64"/>
        <v>3.3240620470000009</v>
      </c>
      <c r="L256" s="14">
        <f t="shared" si="65"/>
        <v>1662.139009</v>
      </c>
      <c r="M256" s="14">
        <v>1657.01</v>
      </c>
      <c r="N256" s="13">
        <f t="shared" si="66"/>
        <v>1.6621390090000001</v>
      </c>
      <c r="O256" s="13">
        <f t="shared" si="67"/>
        <v>1.6503399999999997</v>
      </c>
      <c r="P256" s="13">
        <f t="shared" si="68"/>
        <v>1.1799009000000416E-2</v>
      </c>
      <c r="Q256" s="16">
        <f t="shared" si="69"/>
        <v>7.1494413272419127E-3</v>
      </c>
      <c r="R256" s="14">
        <f t="shared" ca="1" si="70"/>
        <v>6.0619794985422741</v>
      </c>
      <c r="S256" s="14">
        <f t="shared" si="71"/>
        <v>6.0867378494623638</v>
      </c>
      <c r="T256" s="14">
        <f t="shared" ca="1" si="72"/>
        <v>2.4758350920089711E-2</v>
      </c>
      <c r="U256" s="16">
        <f t="shared" ca="1" si="73"/>
        <v>4.0675894925023912E-3</v>
      </c>
      <c r="V256" s="14">
        <f t="shared" si="74"/>
        <v>2.116666666666668</v>
      </c>
      <c r="W256" s="14">
        <f t="shared" ca="1" si="75"/>
        <v>1.9380205014577259</v>
      </c>
      <c r="X256" s="14">
        <f t="shared" ca="1" si="76"/>
        <v>0.17864616520894216</v>
      </c>
      <c r="Y256" s="28">
        <f t="shared" ca="1" si="77"/>
        <v>8.439976309083877E-2</v>
      </c>
      <c r="Z256" s="29">
        <f t="shared" ca="1" si="78"/>
        <v>43.256245999999997</v>
      </c>
      <c r="AA256" s="16">
        <f t="shared" ca="1" si="79"/>
        <v>4.7219251101321767E-2</v>
      </c>
      <c r="AB256" s="2"/>
    </row>
    <row r="257" spans="6:28" x14ac:dyDescent="0.25">
      <c r="F257" s="13">
        <v>255</v>
      </c>
      <c r="G257" s="13">
        <f t="shared" si="60"/>
        <v>45.5</v>
      </c>
      <c r="H257" s="13">
        <f t="shared" si="61"/>
        <v>318.64999999999998</v>
      </c>
      <c r="I257" s="14">
        <f t="shared" si="62"/>
        <v>2.125</v>
      </c>
      <c r="J257" s="14">
        <f t="shared" si="63"/>
        <v>4287.3137559999996</v>
      </c>
      <c r="K257" s="14">
        <f t="shared" si="64"/>
        <v>3.3073137559999992</v>
      </c>
      <c r="L257" s="14">
        <f t="shared" si="65"/>
        <v>1659.6584009999999</v>
      </c>
      <c r="M257" s="14">
        <v>1654.57</v>
      </c>
      <c r="N257" s="13">
        <f t="shared" si="66"/>
        <v>1.6596584009999999</v>
      </c>
      <c r="O257" s="13">
        <f t="shared" si="67"/>
        <v>1.64805</v>
      </c>
      <c r="P257" s="13">
        <f t="shared" si="68"/>
        <v>1.1608400999999935E-2</v>
      </c>
      <c r="Q257" s="16">
        <f t="shared" si="69"/>
        <v>7.0437189405660842E-3</v>
      </c>
      <c r="R257" s="14">
        <f t="shared" ca="1" si="70"/>
        <v>6.0537012274052486</v>
      </c>
      <c r="S257" s="14">
        <f t="shared" si="71"/>
        <v>6.0782919354838709</v>
      </c>
      <c r="T257" s="14">
        <f t="shared" ca="1" si="72"/>
        <v>2.4590708078622292E-2</v>
      </c>
      <c r="U257" s="16">
        <f t="shared" ca="1" si="73"/>
        <v>4.0456609092871278E-3</v>
      </c>
      <c r="V257" s="14">
        <f t="shared" si="74"/>
        <v>2.125</v>
      </c>
      <c r="W257" s="14">
        <f t="shared" ca="1" si="75"/>
        <v>1.9462987725947514</v>
      </c>
      <c r="X257" s="14">
        <f t="shared" ca="1" si="76"/>
        <v>0.17870122740524863</v>
      </c>
      <c r="Y257" s="28">
        <f t="shared" ca="1" si="77"/>
        <v>8.409469524952877E-2</v>
      </c>
      <c r="Z257" s="29">
        <f t="shared" ca="1" si="78"/>
        <v>43.355584999999998</v>
      </c>
      <c r="AA257" s="16">
        <f t="shared" ca="1" si="79"/>
        <v>4.7130000000000047E-2</v>
      </c>
      <c r="AB257" s="2"/>
    </row>
    <row r="258" spans="6:28" x14ac:dyDescent="0.25">
      <c r="F258" s="13">
        <v>256</v>
      </c>
      <c r="G258" s="13">
        <f t="shared" si="60"/>
        <v>45.6</v>
      </c>
      <c r="H258" s="13">
        <f t="shared" si="61"/>
        <v>318.75</v>
      </c>
      <c r="I258" s="14">
        <f t="shared" si="62"/>
        <v>2.1333329999999999</v>
      </c>
      <c r="J258" s="14">
        <f t="shared" si="63"/>
        <v>4270.6398390000004</v>
      </c>
      <c r="K258" s="14">
        <f t="shared" si="64"/>
        <v>3.2906398390000007</v>
      </c>
      <c r="L258" s="14">
        <f t="shared" si="65"/>
        <v>1657.177001</v>
      </c>
      <c r="M258" s="14">
        <v>1651.93</v>
      </c>
      <c r="N258" s="13">
        <f t="shared" si="66"/>
        <v>1.657177001</v>
      </c>
      <c r="O258" s="13">
        <f t="shared" si="67"/>
        <v>1.6457599999999999</v>
      </c>
      <c r="P258" s="13">
        <f t="shared" si="68"/>
        <v>1.1417001000000093E-2</v>
      </c>
      <c r="Q258" s="16">
        <f t="shared" si="69"/>
        <v>6.9372211014972381E-3</v>
      </c>
      <c r="R258" s="14">
        <f t="shared" ca="1" si="70"/>
        <v>6.0454425014577255</v>
      </c>
      <c r="S258" s="14">
        <f t="shared" si="71"/>
        <v>6.0698460215053753</v>
      </c>
      <c r="T258" s="14">
        <f t="shared" ca="1" si="72"/>
        <v>2.4403520047649785E-2</v>
      </c>
      <c r="U258" s="16">
        <f t="shared" ca="1" si="73"/>
        <v>4.0204512538190382E-3</v>
      </c>
      <c r="V258" s="14">
        <f t="shared" si="74"/>
        <v>2.1333333333333337</v>
      </c>
      <c r="W258" s="14">
        <f t="shared" ca="1" si="75"/>
        <v>1.9545574985422745</v>
      </c>
      <c r="X258" s="14">
        <f t="shared" ca="1" si="76"/>
        <v>0.1787758347910593</v>
      </c>
      <c r="Y258" s="28">
        <f t="shared" ca="1" si="77"/>
        <v>8.3801172558309031E-2</v>
      </c>
      <c r="Z258" s="29">
        <f t="shared" ca="1" si="78"/>
        <v>43.454689999999999</v>
      </c>
      <c r="AA258" s="16">
        <f t="shared" ca="1" si="79"/>
        <v>4.7046271929824607E-2</v>
      </c>
      <c r="AB258" s="2"/>
    </row>
    <row r="259" spans="6:28" x14ac:dyDescent="0.25">
      <c r="F259" s="13">
        <v>257</v>
      </c>
      <c r="G259" s="13">
        <f t="shared" ref="G259:G322" si="80">F259*0.1+20</f>
        <v>45.7</v>
      </c>
      <c r="H259" s="13">
        <f t="shared" ref="H259:H322" si="81">G259+273.15</f>
        <v>318.84999999999997</v>
      </c>
      <c r="I259" s="14">
        <f t="shared" ref="I259:I322" si="82">ROUND(1/12*G259-5/3,6)</f>
        <v>2.141667</v>
      </c>
      <c r="J259" s="14">
        <f t="shared" ref="J259:J322" si="83">ROUND(10000*EXP(($B$3)+($B$4/H259)+($B$5/(H259^2))+($B$6/(H259^3))),6)</f>
        <v>4254.0399280000001</v>
      </c>
      <c r="K259" s="14">
        <f t="shared" ref="K259:K322" si="84">$B$9*(2*$B$8+J259)-$B$9*$B$10</f>
        <v>3.2740399280000005</v>
      </c>
      <c r="L259" s="14">
        <f t="shared" ref="L259:L322" si="85">ROUND(1/(1/(J259+2*$B$8)+1/($B$7)),6)</f>
        <v>1654.694829</v>
      </c>
      <c r="M259" s="14">
        <v>1649.67</v>
      </c>
      <c r="N259" s="13">
        <f t="shared" ref="N259:N322" si="86">$B$9*(L259+$B$10)*(L259/(L259+$B$10))</f>
        <v>1.6546948289999999</v>
      </c>
      <c r="O259" s="13">
        <f t="shared" ref="O259:O322" si="87">$B$11*G259+$B$12</f>
        <v>1.6434699999999998</v>
      </c>
      <c r="P259" s="13">
        <f t="shared" ref="P259:P322" si="88">ABS(N259-O259)</f>
        <v>1.1224829000000103E-2</v>
      </c>
      <c r="Q259" s="16">
        <f t="shared" ref="Q259:Q322" si="89">ABS(O259-N259)/O259</f>
        <v>6.8299567378778464E-3</v>
      </c>
      <c r="R259" s="14">
        <f t="shared" ref="R259:R322" ca="1" si="90">ROUND(N259*$B$29,6)+RANDBETWEEN(-1,1)*$B$24+RANDBETWEEN(-1,1)*$B$25</f>
        <v>6.0355962274052484</v>
      </c>
      <c r="S259" s="14">
        <f t="shared" ref="S259:S322" si="91">O259*$B$23</f>
        <v>6.0614001075268806</v>
      </c>
      <c r="T259" s="14">
        <f t="shared" ref="T259:T322" ca="1" si="92">ABS(R259-S259)</f>
        <v>2.5803880121632261E-2</v>
      </c>
      <c r="U259" s="16">
        <f t="shared" ref="U259:U322" ca="1" si="93">ABS(S259-R259)/S259</f>
        <v>4.2570824667372987E-3</v>
      </c>
      <c r="V259" s="14">
        <f t="shared" ref="V259:V322" si="94">$B$44*S259+$B$45</f>
        <v>2.1416666666666675</v>
      </c>
      <c r="W259" s="14">
        <f t="shared" ref="W259:W322" ca="1" si="95">$B$46*R259+$B$47</f>
        <v>1.9644037725947516</v>
      </c>
      <c r="X259" s="14">
        <f t="shared" ref="X259:X322" ca="1" si="96">ABS(V259-W259)</f>
        <v>0.17726289407191587</v>
      </c>
      <c r="Y259" s="28">
        <f t="shared" ref="Y259:Y322" ca="1" si="97">IF(V259 = 0, ABS(V259-W259)/(V259+0.0001), ABS(V259-W259)/V259)</f>
        <v>8.2768666492723325E-2</v>
      </c>
      <c r="Z259" s="29">
        <f t="shared" ref="Z259:Z322" ca="1" si="98">ROUND((W259+5/3)/(1/12),6)</f>
        <v>43.572845000000001</v>
      </c>
      <c r="AA259" s="16">
        <f t="shared" ref="AA259:AA322" ca="1" si="99">ABS(G259-Z259)/G259</f>
        <v>4.6546061269146649E-2</v>
      </c>
      <c r="AB259" s="2"/>
    </row>
    <row r="260" spans="6:28" x14ac:dyDescent="0.25">
      <c r="F260" s="13">
        <v>258</v>
      </c>
      <c r="G260" s="13">
        <f t="shared" si="80"/>
        <v>45.8</v>
      </c>
      <c r="H260" s="13">
        <f t="shared" si="81"/>
        <v>318.95</v>
      </c>
      <c r="I260" s="14">
        <f t="shared" si="82"/>
        <v>2.15</v>
      </c>
      <c r="J260" s="14">
        <f t="shared" si="83"/>
        <v>4237.5136549999997</v>
      </c>
      <c r="K260" s="14">
        <f t="shared" si="84"/>
        <v>3.2575136549999995</v>
      </c>
      <c r="L260" s="14">
        <f t="shared" si="85"/>
        <v>1652.211902</v>
      </c>
      <c r="M260" s="14">
        <v>1646.83</v>
      </c>
      <c r="N260" s="13">
        <f t="shared" si="86"/>
        <v>1.6522119019999999</v>
      </c>
      <c r="O260" s="13">
        <f t="shared" si="87"/>
        <v>1.6411800000000001</v>
      </c>
      <c r="P260" s="13">
        <f t="shared" si="88"/>
        <v>1.1031901999999816E-2</v>
      </c>
      <c r="Q260" s="16">
        <f t="shared" si="89"/>
        <v>6.7219329994271286E-3</v>
      </c>
      <c r="R260" s="14">
        <f t="shared" ca="1" si="90"/>
        <v>6.0265402274052491</v>
      </c>
      <c r="S260" s="14">
        <f t="shared" si="91"/>
        <v>6.0529541935483868</v>
      </c>
      <c r="T260" s="14">
        <f t="shared" ca="1" si="92"/>
        <v>2.6413966143137735E-2</v>
      </c>
      <c r="U260" s="16">
        <f t="shared" ca="1" si="93"/>
        <v>4.3638139821529417E-3</v>
      </c>
      <c r="V260" s="14">
        <f t="shared" si="94"/>
        <v>2.1499999999999995</v>
      </c>
      <c r="W260" s="14">
        <f t="shared" ca="1" si="95"/>
        <v>1.9734597725947509</v>
      </c>
      <c r="X260" s="14">
        <f t="shared" ca="1" si="96"/>
        <v>0.17654022740524855</v>
      </c>
      <c r="Y260" s="28">
        <f t="shared" ca="1" si="97"/>
        <v>8.2111733676859811E-2</v>
      </c>
      <c r="Z260" s="29">
        <f t="shared" ca="1" si="98"/>
        <v>43.681516999999999</v>
      </c>
      <c r="AA260" s="16">
        <f t="shared" ca="1" si="99"/>
        <v>4.6255087336244491E-2</v>
      </c>
      <c r="AB260" s="2"/>
    </row>
    <row r="261" spans="6:28" x14ac:dyDescent="0.25">
      <c r="F261" s="13">
        <v>259</v>
      </c>
      <c r="G261" s="13">
        <f t="shared" si="80"/>
        <v>45.900000000000006</v>
      </c>
      <c r="H261" s="13">
        <f t="shared" si="81"/>
        <v>319.04999999999995</v>
      </c>
      <c r="I261" s="14">
        <f t="shared" si="82"/>
        <v>2.1583329999999998</v>
      </c>
      <c r="J261" s="14">
        <f t="shared" si="83"/>
        <v>4221.060657</v>
      </c>
      <c r="K261" s="14">
        <f t="shared" si="84"/>
        <v>3.2410606570000002</v>
      </c>
      <c r="L261" s="14">
        <f t="shared" si="85"/>
        <v>1649.728239</v>
      </c>
      <c r="M261" s="14">
        <v>1644.36</v>
      </c>
      <c r="N261" s="13">
        <f t="shared" si="86"/>
        <v>1.6497282390000001</v>
      </c>
      <c r="O261" s="13">
        <f t="shared" si="87"/>
        <v>1.6388899999999997</v>
      </c>
      <c r="P261" s="13">
        <f t="shared" si="88"/>
        <v>1.083823900000036E-2</v>
      </c>
      <c r="Q261" s="16">
        <f t="shared" si="89"/>
        <v>6.6131582961640881E-3</v>
      </c>
      <c r="R261" s="14">
        <f t="shared" ca="1" si="90"/>
        <v>6.0182725014577256</v>
      </c>
      <c r="S261" s="14">
        <f t="shared" si="91"/>
        <v>6.0445082795698912</v>
      </c>
      <c r="T261" s="14">
        <f t="shared" ca="1" si="92"/>
        <v>2.6235778112165598E-2</v>
      </c>
      <c r="U261" s="16">
        <f t="shared" ca="1" si="93"/>
        <v>4.3404321573751658E-3</v>
      </c>
      <c r="V261" s="14">
        <f t="shared" si="94"/>
        <v>2.1583333333333341</v>
      </c>
      <c r="W261" s="14">
        <f t="shared" ca="1" si="95"/>
        <v>1.9817274985422744</v>
      </c>
      <c r="X261" s="14">
        <f t="shared" ca="1" si="96"/>
        <v>0.17660583479105973</v>
      </c>
      <c r="Y261" s="28">
        <f t="shared" ca="1" si="97"/>
        <v>8.182509720049097E-2</v>
      </c>
      <c r="Z261" s="29">
        <f t="shared" ca="1" si="98"/>
        <v>43.780729999999998</v>
      </c>
      <c r="AA261" s="16">
        <f t="shared" ca="1" si="99"/>
        <v>4.6171459694989259E-2</v>
      </c>
      <c r="AB261" s="2"/>
    </row>
    <row r="262" spans="6:28" x14ac:dyDescent="0.25">
      <c r="F262" s="13">
        <v>260</v>
      </c>
      <c r="G262" s="13">
        <f t="shared" si="80"/>
        <v>46</v>
      </c>
      <c r="H262" s="13">
        <f t="shared" si="81"/>
        <v>319.14999999999998</v>
      </c>
      <c r="I262" s="14">
        <f t="shared" si="82"/>
        <v>2.1666669999999999</v>
      </c>
      <c r="J262" s="14">
        <f t="shared" si="83"/>
        <v>4204.6805709999999</v>
      </c>
      <c r="K262" s="14">
        <f t="shared" si="84"/>
        <v>3.2246805710000004</v>
      </c>
      <c r="L262" s="14">
        <f t="shared" si="85"/>
        <v>1647.243858</v>
      </c>
      <c r="M262" s="14">
        <v>1641.9</v>
      </c>
      <c r="N262" s="13">
        <f t="shared" si="86"/>
        <v>1.6472438580000002</v>
      </c>
      <c r="O262" s="13">
        <f t="shared" si="87"/>
        <v>1.6365999999999998</v>
      </c>
      <c r="P262" s="13">
        <f t="shared" si="88"/>
        <v>1.0643858000000339E-2</v>
      </c>
      <c r="Q262" s="16">
        <f t="shared" si="89"/>
        <v>6.5036404741539416E-3</v>
      </c>
      <c r="R262" s="14">
        <f t="shared" ca="1" si="90"/>
        <v>6.0080436355685123</v>
      </c>
      <c r="S262" s="14">
        <f t="shared" si="91"/>
        <v>6.0360623655913965</v>
      </c>
      <c r="T262" s="14">
        <f t="shared" ca="1" si="92"/>
        <v>2.8018730022884242E-2</v>
      </c>
      <c r="U262" s="16">
        <f t="shared" ca="1" si="93"/>
        <v>4.6418887555909217E-3</v>
      </c>
      <c r="V262" s="14">
        <f t="shared" si="94"/>
        <v>2.1666666666666679</v>
      </c>
      <c r="W262" s="14">
        <f t="shared" ca="1" si="95"/>
        <v>1.9919563644314877</v>
      </c>
      <c r="X262" s="14">
        <f t="shared" ca="1" si="96"/>
        <v>0.17471030223518014</v>
      </c>
      <c r="Y262" s="28">
        <f t="shared" ca="1" si="97"/>
        <v>8.0635524108544632E-2</v>
      </c>
      <c r="Z262" s="29">
        <f t="shared" ca="1" si="98"/>
        <v>43.903475999999998</v>
      </c>
      <c r="AA262" s="16">
        <f t="shared" ca="1" si="99"/>
        <v>4.5576608695652221E-2</v>
      </c>
      <c r="AB262" s="2"/>
    </row>
    <row r="263" spans="6:28" x14ac:dyDescent="0.25">
      <c r="F263" s="13">
        <v>261</v>
      </c>
      <c r="G263" s="13">
        <f t="shared" si="80"/>
        <v>46.1</v>
      </c>
      <c r="H263" s="13">
        <f t="shared" si="81"/>
        <v>319.25</v>
      </c>
      <c r="I263" s="14">
        <f t="shared" si="82"/>
        <v>2.1749999999999998</v>
      </c>
      <c r="J263" s="14">
        <f t="shared" si="83"/>
        <v>4188.3730370000003</v>
      </c>
      <c r="K263" s="14">
        <f t="shared" si="84"/>
        <v>3.2083730370000003</v>
      </c>
      <c r="L263" s="14">
        <f t="shared" si="85"/>
        <v>1644.758779</v>
      </c>
      <c r="M263" s="14">
        <v>1639.23</v>
      </c>
      <c r="N263" s="13">
        <f t="shared" si="86"/>
        <v>1.644758779</v>
      </c>
      <c r="O263" s="13">
        <f t="shared" si="87"/>
        <v>1.6343099999999999</v>
      </c>
      <c r="P263" s="13">
        <f t="shared" si="88"/>
        <v>1.0448779000000075E-2</v>
      </c>
      <c r="Q263" s="16">
        <f t="shared" si="89"/>
        <v>6.3933886471967223E-3</v>
      </c>
      <c r="R263" s="14">
        <f t="shared" ca="1" si="90"/>
        <v>5.9993650000000001</v>
      </c>
      <c r="S263" s="14">
        <f t="shared" si="91"/>
        <v>6.0276164516129027</v>
      </c>
      <c r="T263" s="14">
        <f t="shared" ca="1" si="92"/>
        <v>2.8251451612902656E-2</v>
      </c>
      <c r="U263" s="16">
        <f t="shared" ca="1" si="93"/>
        <v>4.6870022072062955E-3</v>
      </c>
      <c r="V263" s="14">
        <f t="shared" si="94"/>
        <v>2.1749999999999998</v>
      </c>
      <c r="W263" s="14">
        <f t="shared" ca="1" si="95"/>
        <v>2.0006349999999999</v>
      </c>
      <c r="X263" s="14">
        <f t="shared" ca="1" si="96"/>
        <v>0.17436499999999988</v>
      </c>
      <c r="Y263" s="28">
        <f t="shared" ca="1" si="97"/>
        <v>8.0167816091953975E-2</v>
      </c>
      <c r="Z263" s="29">
        <f t="shared" ca="1" si="98"/>
        <v>44.007620000000003</v>
      </c>
      <c r="AA263" s="16">
        <f t="shared" ca="1" si="99"/>
        <v>4.5387852494576976E-2</v>
      </c>
      <c r="AB263" s="2"/>
    </row>
    <row r="264" spans="6:28" x14ac:dyDescent="0.25">
      <c r="F264" s="13">
        <v>262</v>
      </c>
      <c r="G264" s="13">
        <f t="shared" si="80"/>
        <v>46.2</v>
      </c>
      <c r="H264" s="13">
        <f t="shared" si="81"/>
        <v>319.34999999999997</v>
      </c>
      <c r="I264" s="14">
        <f t="shared" si="82"/>
        <v>2.1833330000000002</v>
      </c>
      <c r="J264" s="14">
        <f t="shared" si="83"/>
        <v>4172.1376970000001</v>
      </c>
      <c r="K264" s="14">
        <f t="shared" si="84"/>
        <v>3.1921376970000006</v>
      </c>
      <c r="L264" s="14">
        <f t="shared" si="85"/>
        <v>1642.273019</v>
      </c>
      <c r="M264" s="14">
        <v>1636.94</v>
      </c>
      <c r="N264" s="13">
        <f t="shared" si="86"/>
        <v>1.6422730190000001</v>
      </c>
      <c r="O264" s="13">
        <f t="shared" si="87"/>
        <v>1.6320199999999998</v>
      </c>
      <c r="P264" s="13">
        <f t="shared" si="88"/>
        <v>1.0253019000000307E-2</v>
      </c>
      <c r="Q264" s="16">
        <f t="shared" si="89"/>
        <v>6.2824101420327618E-3</v>
      </c>
      <c r="R264" s="14">
        <f t="shared" ca="1" si="90"/>
        <v>5.9899018629737615</v>
      </c>
      <c r="S264" s="14">
        <f t="shared" si="91"/>
        <v>6.019170537634408</v>
      </c>
      <c r="T264" s="14">
        <f t="shared" ca="1" si="92"/>
        <v>2.9268674660646532E-2</v>
      </c>
      <c r="U264" s="16">
        <f t="shared" ca="1" si="93"/>
        <v>4.8625760771598614E-3</v>
      </c>
      <c r="V264" s="14">
        <f t="shared" si="94"/>
        <v>2.1833333333333336</v>
      </c>
      <c r="W264" s="14">
        <f t="shared" ca="1" si="95"/>
        <v>2.0100981370262385</v>
      </c>
      <c r="X264" s="14">
        <f t="shared" ca="1" si="96"/>
        <v>0.17323519630709505</v>
      </c>
      <c r="Y264" s="28">
        <f t="shared" ca="1" si="97"/>
        <v>7.9344364720806887E-2</v>
      </c>
      <c r="Z264" s="29">
        <f t="shared" ca="1" si="98"/>
        <v>44.121178</v>
      </c>
      <c r="AA264" s="16">
        <f t="shared" ca="1" si="99"/>
        <v>4.4996147186147237E-2</v>
      </c>
      <c r="AB264" s="2"/>
    </row>
    <row r="265" spans="6:28" x14ac:dyDescent="0.25">
      <c r="F265" s="13">
        <v>263</v>
      </c>
      <c r="G265" s="13">
        <f t="shared" si="80"/>
        <v>46.3</v>
      </c>
      <c r="H265" s="13">
        <f t="shared" si="81"/>
        <v>319.45</v>
      </c>
      <c r="I265" s="14">
        <f t="shared" si="82"/>
        <v>2.1916669999999998</v>
      </c>
      <c r="J265" s="14">
        <f t="shared" si="83"/>
        <v>4155.9741940000004</v>
      </c>
      <c r="K265" s="14">
        <f t="shared" si="84"/>
        <v>3.1759741940000001</v>
      </c>
      <c r="L265" s="14">
        <f t="shared" si="85"/>
        <v>1639.786597</v>
      </c>
      <c r="M265" s="14">
        <v>1634.65</v>
      </c>
      <c r="N265" s="13">
        <f t="shared" si="86"/>
        <v>1.6397865970000003</v>
      </c>
      <c r="O265" s="13">
        <f t="shared" si="87"/>
        <v>1.6297299999999999</v>
      </c>
      <c r="P265" s="13">
        <f t="shared" si="88"/>
        <v>1.0056597000000389E-2</v>
      </c>
      <c r="Q265" s="16">
        <f t="shared" si="89"/>
        <v>6.1707135537790855E-3</v>
      </c>
      <c r="R265" s="14">
        <f t="shared" ca="1" si="90"/>
        <v>5.9812397725947513</v>
      </c>
      <c r="S265" s="14">
        <f t="shared" si="91"/>
        <v>6.0107246236559133</v>
      </c>
      <c r="T265" s="14">
        <f t="shared" ca="1" si="92"/>
        <v>2.9484851061162054E-2</v>
      </c>
      <c r="U265" s="16">
        <f t="shared" ca="1" si="93"/>
        <v>4.9053737955521964E-3</v>
      </c>
      <c r="V265" s="14">
        <f t="shared" si="94"/>
        <v>2.1916666666666664</v>
      </c>
      <c r="W265" s="14">
        <f t="shared" ca="1" si="95"/>
        <v>2.0187602274052487</v>
      </c>
      <c r="X265" s="14">
        <f t="shared" ca="1" si="96"/>
        <v>0.17290643926141769</v>
      </c>
      <c r="Y265" s="28">
        <f t="shared" ca="1" si="97"/>
        <v>7.8892671906350284E-2</v>
      </c>
      <c r="Z265" s="29">
        <f t="shared" ca="1" si="98"/>
        <v>44.225123000000004</v>
      </c>
      <c r="AA265" s="16">
        <f t="shared" ca="1" si="99"/>
        <v>4.4813758099351918E-2</v>
      </c>
      <c r="AB265" s="2"/>
    </row>
    <row r="266" spans="6:28" x14ac:dyDescent="0.25">
      <c r="F266" s="13">
        <v>264</v>
      </c>
      <c r="G266" s="13">
        <f t="shared" si="80"/>
        <v>46.400000000000006</v>
      </c>
      <c r="H266" s="13">
        <f t="shared" si="81"/>
        <v>319.54999999999995</v>
      </c>
      <c r="I266" s="14">
        <f t="shared" si="82"/>
        <v>2.2000000000000002</v>
      </c>
      <c r="J266" s="14">
        <f t="shared" si="83"/>
        <v>4139.882173</v>
      </c>
      <c r="K266" s="14">
        <f t="shared" si="84"/>
        <v>3.1598821729999997</v>
      </c>
      <c r="L266" s="14">
        <f t="shared" si="85"/>
        <v>1637.2995309999999</v>
      </c>
      <c r="M266" s="14">
        <v>1632.16</v>
      </c>
      <c r="N266" s="13">
        <f t="shared" si="86"/>
        <v>1.6372995309999998</v>
      </c>
      <c r="O266" s="13">
        <f t="shared" si="87"/>
        <v>1.6274399999999998</v>
      </c>
      <c r="P266" s="13">
        <f t="shared" si="88"/>
        <v>9.8595310000000325E-3</v>
      </c>
      <c r="Q266" s="16">
        <f t="shared" si="89"/>
        <v>6.0583069114683395E-3</v>
      </c>
      <c r="R266" s="14">
        <f t="shared" ca="1" si="90"/>
        <v>5.9721570000000002</v>
      </c>
      <c r="S266" s="14">
        <f t="shared" si="91"/>
        <v>6.0022787096774186</v>
      </c>
      <c r="T266" s="14">
        <f t="shared" ca="1" si="92"/>
        <v>3.0121709677418451E-2</v>
      </c>
      <c r="U266" s="16">
        <f t="shared" ca="1" si="93"/>
        <v>5.0183790414219682E-3</v>
      </c>
      <c r="V266" s="14">
        <f t="shared" si="94"/>
        <v>2.2000000000000002</v>
      </c>
      <c r="W266" s="14">
        <f t="shared" ca="1" si="95"/>
        <v>2.0278429999999998</v>
      </c>
      <c r="X266" s="14">
        <f t="shared" ca="1" si="96"/>
        <v>0.17215700000000034</v>
      </c>
      <c r="Y266" s="28">
        <f t="shared" ca="1" si="97"/>
        <v>7.8253181818181972E-2</v>
      </c>
      <c r="Z266" s="29">
        <f t="shared" ca="1" si="98"/>
        <v>44.334116000000002</v>
      </c>
      <c r="AA266" s="16">
        <f t="shared" ca="1" si="99"/>
        <v>4.4523362068965601E-2</v>
      </c>
      <c r="AB266" s="2"/>
    </row>
    <row r="267" spans="6:28" x14ac:dyDescent="0.25">
      <c r="F267" s="13">
        <v>265</v>
      </c>
      <c r="G267" s="13">
        <f t="shared" si="80"/>
        <v>46.5</v>
      </c>
      <c r="H267" s="13">
        <f t="shared" si="81"/>
        <v>319.64999999999998</v>
      </c>
      <c r="I267" s="14">
        <f t="shared" si="82"/>
        <v>2.2083330000000001</v>
      </c>
      <c r="J267" s="14">
        <f t="shared" si="83"/>
        <v>4123.8612810000004</v>
      </c>
      <c r="K267" s="14">
        <f t="shared" si="84"/>
        <v>3.1438612810000004</v>
      </c>
      <c r="L267" s="14">
        <f t="shared" si="85"/>
        <v>1634.811841</v>
      </c>
      <c r="M267" s="14">
        <v>1629.47</v>
      </c>
      <c r="N267" s="13">
        <f t="shared" si="86"/>
        <v>1.6348118410000001</v>
      </c>
      <c r="O267" s="13">
        <f t="shared" si="87"/>
        <v>1.6251499999999999</v>
      </c>
      <c r="P267" s="13">
        <f t="shared" si="88"/>
        <v>9.6618410000002264E-3</v>
      </c>
      <c r="Q267" s="16">
        <f t="shared" si="89"/>
        <v>5.9451995200444432E-3</v>
      </c>
      <c r="R267" s="14">
        <f t="shared" ca="1" si="90"/>
        <v>5.9626976355685128</v>
      </c>
      <c r="S267" s="14">
        <f t="shared" si="91"/>
        <v>5.9938327956989239</v>
      </c>
      <c r="T267" s="14">
        <f t="shared" ca="1" si="92"/>
        <v>3.1135160130411066E-2</v>
      </c>
      <c r="U267" s="16">
        <f t="shared" ca="1" si="93"/>
        <v>5.1945326457476671E-3</v>
      </c>
      <c r="V267" s="14">
        <f t="shared" si="94"/>
        <v>2.2083333333333339</v>
      </c>
      <c r="W267" s="14">
        <f t="shared" ca="1" si="95"/>
        <v>2.0373023644314872</v>
      </c>
      <c r="X267" s="14">
        <f t="shared" ca="1" si="96"/>
        <v>0.17103096890184677</v>
      </c>
      <c r="Y267" s="28">
        <f t="shared" ca="1" si="97"/>
        <v>7.7447985917817389E-2</v>
      </c>
      <c r="Z267" s="29">
        <f t="shared" ca="1" si="98"/>
        <v>44.447628000000002</v>
      </c>
      <c r="AA267" s="16">
        <f t="shared" ca="1" si="99"/>
        <v>4.4137032258064479E-2</v>
      </c>
      <c r="AB267" s="2"/>
    </row>
    <row r="268" spans="6:28" x14ac:dyDescent="0.25">
      <c r="F268" s="13">
        <v>266</v>
      </c>
      <c r="G268" s="13">
        <f t="shared" si="80"/>
        <v>46.6</v>
      </c>
      <c r="H268" s="13">
        <f t="shared" si="81"/>
        <v>319.75</v>
      </c>
      <c r="I268" s="14">
        <f t="shared" si="82"/>
        <v>2.2166670000000002</v>
      </c>
      <c r="J268" s="14">
        <f t="shared" si="83"/>
        <v>4107.911169</v>
      </c>
      <c r="K268" s="14">
        <f t="shared" si="84"/>
        <v>3.1279111689999999</v>
      </c>
      <c r="L268" s="14">
        <f t="shared" si="85"/>
        <v>1632.3235440000001</v>
      </c>
      <c r="M268" s="14">
        <v>1627.15</v>
      </c>
      <c r="N268" s="13">
        <f t="shared" si="86"/>
        <v>1.6323235440000003</v>
      </c>
      <c r="O268" s="13">
        <f t="shared" si="87"/>
        <v>1.62286</v>
      </c>
      <c r="P268" s="13">
        <f t="shared" si="88"/>
        <v>9.463544000000379E-3</v>
      </c>
      <c r="Q268" s="16">
        <f t="shared" si="89"/>
        <v>5.8313988883824724E-3</v>
      </c>
      <c r="R268" s="14">
        <f t="shared" ca="1" si="90"/>
        <v>5.9547885014577258</v>
      </c>
      <c r="S268" s="14">
        <f t="shared" si="91"/>
        <v>5.9853868817204301</v>
      </c>
      <c r="T268" s="14">
        <f t="shared" ca="1" si="92"/>
        <v>3.0598380262704339E-2</v>
      </c>
      <c r="U268" s="16">
        <f t="shared" ca="1" si="93"/>
        <v>5.1121808610488997E-3</v>
      </c>
      <c r="V268" s="14">
        <f t="shared" si="94"/>
        <v>2.2166666666666659</v>
      </c>
      <c r="W268" s="14">
        <f t="shared" ca="1" si="95"/>
        <v>2.0452114985422742</v>
      </c>
      <c r="X268" s="14">
        <f t="shared" ca="1" si="96"/>
        <v>0.17145516812439165</v>
      </c>
      <c r="Y268" s="28">
        <f t="shared" ca="1" si="97"/>
        <v>7.7348196146342127E-2</v>
      </c>
      <c r="Z268" s="29">
        <f t="shared" ca="1" si="98"/>
        <v>44.542538</v>
      </c>
      <c r="AA268" s="16">
        <f t="shared" ca="1" si="99"/>
        <v>4.4151545064377705E-2</v>
      </c>
      <c r="AB268" s="2"/>
    </row>
    <row r="269" spans="6:28" x14ac:dyDescent="0.25">
      <c r="F269" s="13">
        <v>267</v>
      </c>
      <c r="G269" s="13">
        <f t="shared" si="80"/>
        <v>46.7</v>
      </c>
      <c r="H269" s="13">
        <f t="shared" si="81"/>
        <v>319.84999999999997</v>
      </c>
      <c r="I269" s="14">
        <f t="shared" si="82"/>
        <v>2.2250000000000001</v>
      </c>
      <c r="J269" s="14">
        <f t="shared" si="83"/>
        <v>4092.0314880000001</v>
      </c>
      <c r="K269" s="14">
        <f t="shared" si="84"/>
        <v>3.1120314880000004</v>
      </c>
      <c r="L269" s="14">
        <f t="shared" si="85"/>
        <v>1629.8346590000001</v>
      </c>
      <c r="M269" s="14">
        <v>1624.45</v>
      </c>
      <c r="N269" s="13">
        <f t="shared" si="86"/>
        <v>1.6298346590000001</v>
      </c>
      <c r="O269" s="13">
        <f t="shared" si="87"/>
        <v>1.6205699999999998</v>
      </c>
      <c r="P269" s="13">
        <f t="shared" si="88"/>
        <v>9.264659000000286E-3</v>
      </c>
      <c r="Q269" s="16">
        <f t="shared" si="89"/>
        <v>5.7169138019340648E-3</v>
      </c>
      <c r="R269" s="14">
        <f t="shared" ca="1" si="90"/>
        <v>5.9449387725947513</v>
      </c>
      <c r="S269" s="14">
        <f t="shared" si="91"/>
        <v>5.9769409677419345</v>
      </c>
      <c r="T269" s="14">
        <f t="shared" ca="1" si="92"/>
        <v>3.2002195147183166E-2</v>
      </c>
      <c r="U269" s="16">
        <f t="shared" ca="1" si="93"/>
        <v>5.3542765973265873E-3</v>
      </c>
      <c r="V269" s="14">
        <f t="shared" si="94"/>
        <v>2.2250000000000005</v>
      </c>
      <c r="W269" s="14">
        <f t="shared" ca="1" si="95"/>
        <v>2.0550612274052487</v>
      </c>
      <c r="X269" s="14">
        <f t="shared" ca="1" si="96"/>
        <v>0.16993877259475187</v>
      </c>
      <c r="Y269" s="28">
        <f t="shared" ca="1" si="97"/>
        <v>7.637697644707947E-2</v>
      </c>
      <c r="Z269" s="29">
        <f t="shared" ca="1" si="98"/>
        <v>44.660735000000003</v>
      </c>
      <c r="AA269" s="16">
        <f t="shared" ca="1" si="99"/>
        <v>4.3667344753747325E-2</v>
      </c>
      <c r="AB269" s="2"/>
    </row>
    <row r="270" spans="6:28" x14ac:dyDescent="0.25">
      <c r="F270" s="13">
        <v>268</v>
      </c>
      <c r="G270" s="13">
        <f t="shared" si="80"/>
        <v>46.8</v>
      </c>
      <c r="H270" s="13">
        <f t="shared" si="81"/>
        <v>319.95</v>
      </c>
      <c r="I270" s="14">
        <f t="shared" si="82"/>
        <v>2.233333</v>
      </c>
      <c r="J270" s="14">
        <f t="shared" si="83"/>
        <v>4076.2218889999999</v>
      </c>
      <c r="K270" s="14">
        <f t="shared" si="84"/>
        <v>3.0962218890000006</v>
      </c>
      <c r="L270" s="14">
        <f t="shared" si="85"/>
        <v>1627.3452050000001</v>
      </c>
      <c r="M270" s="14">
        <v>1622.13</v>
      </c>
      <c r="N270" s="13">
        <f t="shared" si="86"/>
        <v>1.6273452049999999</v>
      </c>
      <c r="O270" s="13">
        <f t="shared" si="87"/>
        <v>1.6182799999999999</v>
      </c>
      <c r="P270" s="13">
        <f t="shared" si="88"/>
        <v>9.0652049999999651E-3</v>
      </c>
      <c r="Q270" s="16">
        <f t="shared" si="89"/>
        <v>5.6017530958795544E-3</v>
      </c>
      <c r="R270" s="14">
        <f t="shared" ca="1" si="90"/>
        <v>5.9354518629737614</v>
      </c>
      <c r="S270" s="14">
        <f t="shared" si="91"/>
        <v>5.9684950537634407</v>
      </c>
      <c r="T270" s="14">
        <f t="shared" ca="1" si="92"/>
        <v>3.3043190789679322E-2</v>
      </c>
      <c r="U270" s="16">
        <f t="shared" ca="1" si="93"/>
        <v>5.5362684381959747E-3</v>
      </c>
      <c r="V270" s="14">
        <f t="shared" si="94"/>
        <v>2.2333333333333334</v>
      </c>
      <c r="W270" s="14">
        <f t="shared" ca="1" si="95"/>
        <v>2.0645481370262386</v>
      </c>
      <c r="X270" s="14">
        <f t="shared" ca="1" si="96"/>
        <v>0.16878519630709476</v>
      </c>
      <c r="Y270" s="28">
        <f t="shared" ca="1" si="97"/>
        <v>7.5575461033027508E-2</v>
      </c>
      <c r="Z270" s="29">
        <f t="shared" ca="1" si="98"/>
        <v>44.774577999999998</v>
      </c>
      <c r="AA270" s="16">
        <f t="shared" ca="1" si="99"/>
        <v>4.327824786324784E-2</v>
      </c>
      <c r="AB270" s="2"/>
    </row>
    <row r="271" spans="6:28" x14ac:dyDescent="0.25">
      <c r="F271" s="13">
        <v>269</v>
      </c>
      <c r="G271" s="13">
        <f t="shared" si="80"/>
        <v>46.900000000000006</v>
      </c>
      <c r="H271" s="13">
        <f t="shared" si="81"/>
        <v>320.04999999999995</v>
      </c>
      <c r="I271" s="14">
        <f t="shared" si="82"/>
        <v>2.2416670000000001</v>
      </c>
      <c r="J271" s="14">
        <f t="shared" si="83"/>
        <v>4060.4820289999998</v>
      </c>
      <c r="K271" s="14">
        <f t="shared" si="84"/>
        <v>3.0804820289999997</v>
      </c>
      <c r="L271" s="14">
        <f t="shared" si="85"/>
        <v>1624.8551990000001</v>
      </c>
      <c r="M271" s="14">
        <v>1619.23</v>
      </c>
      <c r="N271" s="13">
        <f t="shared" si="86"/>
        <v>1.6248551990000002</v>
      </c>
      <c r="O271" s="13">
        <f t="shared" si="87"/>
        <v>1.6159899999999998</v>
      </c>
      <c r="P271" s="13">
        <f t="shared" si="88"/>
        <v>8.8651990000003789E-3</v>
      </c>
      <c r="Q271" s="16">
        <f t="shared" si="89"/>
        <v>5.4859244178493555E-3</v>
      </c>
      <c r="R271" s="14">
        <f t="shared" ca="1" si="90"/>
        <v>5.9271611370262383</v>
      </c>
      <c r="S271" s="14">
        <f t="shared" si="91"/>
        <v>5.9600491397849451</v>
      </c>
      <c r="T271" s="14">
        <f t="shared" ca="1" si="92"/>
        <v>3.2888002758706847E-2</v>
      </c>
      <c r="U271" s="16">
        <f t="shared" ca="1" si="93"/>
        <v>5.5180757720889421E-3</v>
      </c>
      <c r="V271" s="14">
        <f t="shared" si="94"/>
        <v>2.2416666666666671</v>
      </c>
      <c r="W271" s="14">
        <f t="shared" ca="1" si="95"/>
        <v>2.0728388629737617</v>
      </c>
      <c r="X271" s="14">
        <f t="shared" ca="1" si="96"/>
        <v>0.1688278036929054</v>
      </c>
      <c r="Y271" s="28">
        <f t="shared" ca="1" si="97"/>
        <v>7.5313518376017269E-2</v>
      </c>
      <c r="Z271" s="29">
        <f t="shared" ca="1" si="98"/>
        <v>44.874065999999999</v>
      </c>
      <c r="AA271" s="16">
        <f t="shared" ca="1" si="99"/>
        <v>4.3196886993603544E-2</v>
      </c>
      <c r="AB271" s="2"/>
    </row>
    <row r="272" spans="6:28" x14ac:dyDescent="0.25">
      <c r="F272" s="13">
        <v>270</v>
      </c>
      <c r="G272" s="13">
        <f t="shared" si="80"/>
        <v>47</v>
      </c>
      <c r="H272" s="13">
        <f t="shared" si="81"/>
        <v>320.14999999999998</v>
      </c>
      <c r="I272" s="14">
        <f t="shared" si="82"/>
        <v>2.25</v>
      </c>
      <c r="J272" s="14">
        <f t="shared" si="83"/>
        <v>4044.8115640000001</v>
      </c>
      <c r="K272" s="14">
        <f t="shared" si="84"/>
        <v>3.0648115640000002</v>
      </c>
      <c r="L272" s="14">
        <f t="shared" si="85"/>
        <v>1622.3646610000001</v>
      </c>
      <c r="M272" s="14">
        <v>1616.89</v>
      </c>
      <c r="N272" s="13">
        <f t="shared" si="86"/>
        <v>1.622364661</v>
      </c>
      <c r="O272" s="13">
        <f t="shared" si="87"/>
        <v>1.6136999999999999</v>
      </c>
      <c r="P272" s="13">
        <f t="shared" si="88"/>
        <v>8.6646610000000734E-3</v>
      </c>
      <c r="Q272" s="16">
        <f t="shared" si="89"/>
        <v>5.3694373179649715E-3</v>
      </c>
      <c r="R272" s="14">
        <f t="shared" ca="1" si="90"/>
        <v>5.9176917725947513</v>
      </c>
      <c r="S272" s="14">
        <f t="shared" si="91"/>
        <v>5.9516032258064513</v>
      </c>
      <c r="T272" s="14">
        <f t="shared" ca="1" si="92"/>
        <v>3.3911453211699971E-2</v>
      </c>
      <c r="U272" s="16">
        <f t="shared" ca="1" si="93"/>
        <v>5.6978686120503132E-3</v>
      </c>
      <c r="V272" s="14">
        <f t="shared" si="94"/>
        <v>2.25</v>
      </c>
      <c r="W272" s="14">
        <f t="shared" ca="1" si="95"/>
        <v>2.0823082274052487</v>
      </c>
      <c r="X272" s="14">
        <f t="shared" ca="1" si="96"/>
        <v>0.16769177259475132</v>
      </c>
      <c r="Y272" s="28">
        <f t="shared" ca="1" si="97"/>
        <v>7.4529676708778358E-2</v>
      </c>
      <c r="Z272" s="29">
        <f t="shared" ca="1" si="98"/>
        <v>44.987698999999999</v>
      </c>
      <c r="AA272" s="16">
        <f t="shared" ca="1" si="99"/>
        <v>4.2814914893617037E-2</v>
      </c>
      <c r="AB272" s="2"/>
    </row>
    <row r="273" spans="6:28" x14ac:dyDescent="0.25">
      <c r="F273" s="13">
        <v>271</v>
      </c>
      <c r="G273" s="13">
        <f t="shared" si="80"/>
        <v>47.1</v>
      </c>
      <c r="H273" s="13">
        <f t="shared" si="81"/>
        <v>320.25</v>
      </c>
      <c r="I273" s="14">
        <f t="shared" si="82"/>
        <v>2.2583329999999999</v>
      </c>
      <c r="J273" s="14">
        <f t="shared" si="83"/>
        <v>4029.2101520000001</v>
      </c>
      <c r="K273" s="14">
        <f t="shared" si="84"/>
        <v>3.0492101520000006</v>
      </c>
      <c r="L273" s="14">
        <f t="shared" si="85"/>
        <v>1619.8736100000001</v>
      </c>
      <c r="M273" s="14">
        <v>1614.55</v>
      </c>
      <c r="N273" s="13">
        <f t="shared" si="86"/>
        <v>1.61987361</v>
      </c>
      <c r="O273" s="13">
        <f t="shared" si="87"/>
        <v>1.61141</v>
      </c>
      <c r="P273" s="13">
        <f t="shared" si="88"/>
        <v>8.4636099999999548E-3</v>
      </c>
      <c r="Q273" s="16">
        <f t="shared" si="89"/>
        <v>5.2523007800621534E-3</v>
      </c>
      <c r="R273" s="14">
        <f t="shared" ca="1" si="90"/>
        <v>5.9089803644314873</v>
      </c>
      <c r="S273" s="14">
        <f t="shared" si="91"/>
        <v>5.9431573118279566</v>
      </c>
      <c r="T273" s="14">
        <f t="shared" ca="1" si="92"/>
        <v>3.4176947396469259E-2</v>
      </c>
      <c r="U273" s="16">
        <f t="shared" ca="1" si="93"/>
        <v>5.7506381882995025E-3</v>
      </c>
      <c r="V273" s="14">
        <f t="shared" si="94"/>
        <v>2.2583333333333329</v>
      </c>
      <c r="W273" s="14">
        <f t="shared" ca="1" si="95"/>
        <v>2.0910196355685127</v>
      </c>
      <c r="X273" s="14">
        <f t="shared" ca="1" si="96"/>
        <v>0.16731369776482019</v>
      </c>
      <c r="Y273" s="28">
        <f t="shared" ca="1" si="97"/>
        <v>7.4087246242724822E-2</v>
      </c>
      <c r="Z273" s="29">
        <f t="shared" ca="1" si="98"/>
        <v>45.092236</v>
      </c>
      <c r="AA273" s="16">
        <f t="shared" ca="1" si="99"/>
        <v>4.2627685774946952E-2</v>
      </c>
      <c r="AB273" s="2"/>
    </row>
    <row r="274" spans="6:28" x14ac:dyDescent="0.25">
      <c r="F274" s="13">
        <v>272</v>
      </c>
      <c r="G274" s="13">
        <f t="shared" si="80"/>
        <v>47.2</v>
      </c>
      <c r="H274" s="13">
        <f t="shared" si="81"/>
        <v>320.34999999999997</v>
      </c>
      <c r="I274" s="14">
        <f t="shared" si="82"/>
        <v>2.266667</v>
      </c>
      <c r="J274" s="14">
        <f t="shared" si="83"/>
        <v>4013.677455</v>
      </c>
      <c r="K274" s="14">
        <f t="shared" si="84"/>
        <v>3.0336774550000003</v>
      </c>
      <c r="L274" s="14">
        <f t="shared" si="85"/>
        <v>1617.3820619999999</v>
      </c>
      <c r="M274" s="14">
        <v>1612.01</v>
      </c>
      <c r="N274" s="13">
        <f t="shared" si="86"/>
        <v>1.6173820620000001</v>
      </c>
      <c r="O274" s="13">
        <f t="shared" si="87"/>
        <v>1.6091199999999999</v>
      </c>
      <c r="P274" s="13">
        <f t="shared" si="88"/>
        <v>8.2620620000002365E-3</v>
      </c>
      <c r="Q274" s="16">
        <f t="shared" si="89"/>
        <v>5.134521974744107E-3</v>
      </c>
      <c r="R274" s="14">
        <f t="shared" ca="1" si="90"/>
        <v>5.8991216355685125</v>
      </c>
      <c r="S274" s="14">
        <f t="shared" si="91"/>
        <v>5.9347113978494619</v>
      </c>
      <c r="T274" s="14">
        <f t="shared" ca="1" si="92"/>
        <v>3.5589762280949344E-2</v>
      </c>
      <c r="U274" s="16">
        <f t="shared" ca="1" si="93"/>
        <v>5.9968817175921757E-3</v>
      </c>
      <c r="V274" s="14">
        <f t="shared" si="94"/>
        <v>2.2666666666666666</v>
      </c>
      <c r="W274" s="14">
        <f t="shared" ca="1" si="95"/>
        <v>2.1008783644314875</v>
      </c>
      <c r="X274" s="14">
        <f t="shared" ca="1" si="96"/>
        <v>0.16578830223517915</v>
      </c>
      <c r="Y274" s="28">
        <f t="shared" ca="1" si="97"/>
        <v>7.3141898044931986E-2</v>
      </c>
      <c r="Z274" s="29">
        <f t="shared" ca="1" si="98"/>
        <v>45.210540000000002</v>
      </c>
      <c r="AA274" s="16">
        <f t="shared" ca="1" si="99"/>
        <v>4.2149576271186463E-2</v>
      </c>
      <c r="AB274" s="2"/>
    </row>
    <row r="275" spans="6:28" x14ac:dyDescent="0.25">
      <c r="F275" s="13">
        <v>273</v>
      </c>
      <c r="G275" s="13">
        <f t="shared" si="80"/>
        <v>47.3</v>
      </c>
      <c r="H275" s="13">
        <f t="shared" si="81"/>
        <v>320.45</v>
      </c>
      <c r="I275" s="14">
        <f t="shared" si="82"/>
        <v>2.2749999999999999</v>
      </c>
      <c r="J275" s="14">
        <f t="shared" si="83"/>
        <v>3998.213135</v>
      </c>
      <c r="K275" s="14">
        <f t="shared" si="84"/>
        <v>3.0182131349999999</v>
      </c>
      <c r="L275" s="14">
        <f t="shared" si="85"/>
        <v>1614.890038</v>
      </c>
      <c r="M275" s="14">
        <v>1609.47</v>
      </c>
      <c r="N275" s="13">
        <f t="shared" si="86"/>
        <v>1.6148900380000002</v>
      </c>
      <c r="O275" s="13">
        <f t="shared" si="87"/>
        <v>1.60683</v>
      </c>
      <c r="P275" s="13">
        <f t="shared" si="88"/>
        <v>8.0600380000002136E-3</v>
      </c>
      <c r="Q275" s="16">
        <f t="shared" si="89"/>
        <v>5.016111225207529E-3</v>
      </c>
      <c r="R275" s="14">
        <f t="shared" ca="1" si="90"/>
        <v>5.8908023644314875</v>
      </c>
      <c r="S275" s="14">
        <f t="shared" si="91"/>
        <v>5.9262654838709672</v>
      </c>
      <c r="T275" s="14">
        <f t="shared" ca="1" si="92"/>
        <v>3.5463119439479662E-2</v>
      </c>
      <c r="U275" s="16">
        <f t="shared" ca="1" si="93"/>
        <v>5.9840585164462742E-3</v>
      </c>
      <c r="V275" s="14">
        <f t="shared" si="94"/>
        <v>2.2750000000000004</v>
      </c>
      <c r="W275" s="14">
        <f t="shared" ca="1" si="95"/>
        <v>2.1091976355685125</v>
      </c>
      <c r="X275" s="14">
        <f t="shared" ca="1" si="96"/>
        <v>0.16580236443148788</v>
      </c>
      <c r="Y275" s="28">
        <f t="shared" ca="1" si="97"/>
        <v>7.2880160189664991E-2</v>
      </c>
      <c r="Z275" s="29">
        <f t="shared" ca="1" si="98"/>
        <v>45.310372000000001</v>
      </c>
      <c r="AA275" s="16">
        <f t="shared" ca="1" si="99"/>
        <v>4.2064016913319159E-2</v>
      </c>
      <c r="AB275" s="2"/>
    </row>
    <row r="276" spans="6:28" x14ac:dyDescent="0.25">
      <c r="F276" s="13">
        <v>274</v>
      </c>
      <c r="G276" s="13">
        <f t="shared" si="80"/>
        <v>47.400000000000006</v>
      </c>
      <c r="H276" s="13">
        <f t="shared" si="81"/>
        <v>320.54999999999995</v>
      </c>
      <c r="I276" s="14">
        <f t="shared" si="82"/>
        <v>2.2833329999999998</v>
      </c>
      <c r="J276" s="14">
        <f t="shared" si="83"/>
        <v>3982.816855</v>
      </c>
      <c r="K276" s="14">
        <f t="shared" si="84"/>
        <v>3.0028168549999998</v>
      </c>
      <c r="L276" s="14">
        <f t="shared" si="85"/>
        <v>1612.397555</v>
      </c>
      <c r="M276" s="14">
        <v>1606.92</v>
      </c>
      <c r="N276" s="13">
        <f t="shared" si="86"/>
        <v>1.612397555</v>
      </c>
      <c r="O276" s="13">
        <f t="shared" si="87"/>
        <v>1.6045399999999999</v>
      </c>
      <c r="P276" s="13">
        <f t="shared" si="88"/>
        <v>7.8575550000001826E-3</v>
      </c>
      <c r="Q276" s="16">
        <f t="shared" si="89"/>
        <v>4.897076420656502E-3</v>
      </c>
      <c r="R276" s="14">
        <f t="shared" ca="1" si="90"/>
        <v>5.8817103644314876</v>
      </c>
      <c r="S276" s="14">
        <f t="shared" si="91"/>
        <v>5.9178195698924725</v>
      </c>
      <c r="T276" s="14">
        <f t="shared" ca="1" si="92"/>
        <v>3.6109205460984839E-2</v>
      </c>
      <c r="U276" s="16">
        <f t="shared" ca="1" si="93"/>
        <v>6.1017753303419736E-3</v>
      </c>
      <c r="V276" s="14">
        <f t="shared" si="94"/>
        <v>2.2833333333333332</v>
      </c>
      <c r="W276" s="14">
        <f t="shared" ca="1" si="95"/>
        <v>2.1182896355685124</v>
      </c>
      <c r="X276" s="14">
        <f t="shared" ca="1" si="96"/>
        <v>0.16504369776482086</v>
      </c>
      <c r="Y276" s="28">
        <f t="shared" ca="1" si="97"/>
        <v>7.228191142984855E-2</v>
      </c>
      <c r="Z276" s="29">
        <f t="shared" ca="1" si="98"/>
        <v>45.419476000000003</v>
      </c>
      <c r="AA276" s="16">
        <f t="shared" ca="1" si="99"/>
        <v>4.1783206751054902E-2</v>
      </c>
      <c r="AB276" s="2"/>
    </row>
    <row r="277" spans="6:28" x14ac:dyDescent="0.25">
      <c r="F277" s="13">
        <v>275</v>
      </c>
      <c r="G277" s="13">
        <f t="shared" si="80"/>
        <v>47.5</v>
      </c>
      <c r="H277" s="13">
        <f t="shared" si="81"/>
        <v>320.64999999999998</v>
      </c>
      <c r="I277" s="14">
        <f t="shared" si="82"/>
        <v>2.2916669999999999</v>
      </c>
      <c r="J277" s="14">
        <f t="shared" si="83"/>
        <v>3967.4882819999998</v>
      </c>
      <c r="K277" s="14">
        <f t="shared" si="84"/>
        <v>2.9874882819999997</v>
      </c>
      <c r="L277" s="14">
        <f t="shared" si="85"/>
        <v>1609.904632</v>
      </c>
      <c r="M277" s="14">
        <v>1604.37</v>
      </c>
      <c r="N277" s="13">
        <f t="shared" si="86"/>
        <v>1.6099046320000001</v>
      </c>
      <c r="O277" s="13">
        <f t="shared" si="87"/>
        <v>1.60225</v>
      </c>
      <c r="P277" s="13">
        <f t="shared" si="88"/>
        <v>7.6546320000001611E-3</v>
      </c>
      <c r="Q277" s="16">
        <f t="shared" si="89"/>
        <v>4.7774267436418542E-3</v>
      </c>
      <c r="R277" s="14">
        <f t="shared" ca="1" si="90"/>
        <v>5.8718358629737617</v>
      </c>
      <c r="S277" s="14">
        <f t="shared" si="91"/>
        <v>5.9093736559139778</v>
      </c>
      <c r="T277" s="14">
        <f t="shared" ca="1" si="92"/>
        <v>3.7537792940216086E-2</v>
      </c>
      <c r="U277" s="16">
        <f t="shared" ca="1" si="93"/>
        <v>6.3522456229602349E-3</v>
      </c>
      <c r="V277" s="14">
        <f t="shared" si="94"/>
        <v>2.291666666666667</v>
      </c>
      <c r="W277" s="14">
        <f t="shared" ca="1" si="95"/>
        <v>2.1281641370262383</v>
      </c>
      <c r="X277" s="14">
        <f t="shared" ca="1" si="96"/>
        <v>0.16350252964042866</v>
      </c>
      <c r="Y277" s="28">
        <f t="shared" ca="1" si="97"/>
        <v>7.1346558388550682E-2</v>
      </c>
      <c r="Z277" s="29">
        <f t="shared" ca="1" si="98"/>
        <v>45.537970000000001</v>
      </c>
      <c r="AA277" s="16">
        <f t="shared" ca="1" si="99"/>
        <v>4.1305894736842076E-2</v>
      </c>
      <c r="AB277" s="2"/>
    </row>
    <row r="278" spans="6:28" x14ac:dyDescent="0.25">
      <c r="F278" s="13">
        <v>276</v>
      </c>
      <c r="G278" s="13">
        <f t="shared" si="80"/>
        <v>47.6</v>
      </c>
      <c r="H278" s="13">
        <f t="shared" si="81"/>
        <v>320.75</v>
      </c>
      <c r="I278" s="14">
        <f t="shared" si="82"/>
        <v>2.2999999999999998</v>
      </c>
      <c r="J278" s="14">
        <f t="shared" si="83"/>
        <v>3952.2270840000001</v>
      </c>
      <c r="K278" s="14">
        <f t="shared" si="84"/>
        <v>2.972227084</v>
      </c>
      <c r="L278" s="14">
        <f t="shared" si="85"/>
        <v>1607.4112869999999</v>
      </c>
      <c r="M278" s="14">
        <v>1601.81</v>
      </c>
      <c r="N278" s="13">
        <f t="shared" si="86"/>
        <v>1.6074112869999999</v>
      </c>
      <c r="O278" s="13">
        <f t="shared" si="87"/>
        <v>1.5999599999999998</v>
      </c>
      <c r="P278" s="13">
        <f t="shared" si="88"/>
        <v>7.4512870000000841E-3</v>
      </c>
      <c r="Q278" s="16">
        <f t="shared" si="89"/>
        <v>4.6571708042701596E-3</v>
      </c>
      <c r="R278" s="14">
        <f t="shared" ca="1" si="90"/>
        <v>5.8631272274052488</v>
      </c>
      <c r="S278" s="14">
        <f t="shared" si="91"/>
        <v>5.9009277419354831</v>
      </c>
      <c r="T278" s="14">
        <f t="shared" ca="1" si="92"/>
        <v>3.7800514530234253E-2</v>
      </c>
      <c r="U278" s="16">
        <f t="shared" ca="1" si="93"/>
        <v>6.4058595840110763E-3</v>
      </c>
      <c r="V278" s="14">
        <f t="shared" si="94"/>
        <v>2.3000000000000007</v>
      </c>
      <c r="W278" s="14">
        <f t="shared" ca="1" si="95"/>
        <v>2.1368727725947512</v>
      </c>
      <c r="X278" s="14">
        <f t="shared" ca="1" si="96"/>
        <v>0.16312722740524954</v>
      </c>
      <c r="Y278" s="28">
        <f t="shared" ca="1" si="97"/>
        <v>7.0924881480543253E-2</v>
      </c>
      <c r="Z278" s="29">
        <f t="shared" ca="1" si="98"/>
        <v>45.642473000000003</v>
      </c>
      <c r="AA278" s="16">
        <f t="shared" ca="1" si="99"/>
        <v>4.1124516806722668E-2</v>
      </c>
      <c r="AB278" s="2"/>
    </row>
    <row r="279" spans="6:28" x14ac:dyDescent="0.25">
      <c r="F279" s="13">
        <v>277</v>
      </c>
      <c r="G279" s="13">
        <f t="shared" si="80"/>
        <v>47.7</v>
      </c>
      <c r="H279" s="13">
        <f t="shared" si="81"/>
        <v>320.84999999999997</v>
      </c>
      <c r="I279" s="14">
        <f t="shared" si="82"/>
        <v>2.3083330000000002</v>
      </c>
      <c r="J279" s="14">
        <f t="shared" si="83"/>
        <v>3937.032929</v>
      </c>
      <c r="K279" s="14">
        <f t="shared" si="84"/>
        <v>2.9570329289999999</v>
      </c>
      <c r="L279" s="14">
        <f t="shared" si="85"/>
        <v>1604.917539</v>
      </c>
      <c r="M279" s="14">
        <v>1599.25</v>
      </c>
      <c r="N279" s="13">
        <f t="shared" si="86"/>
        <v>1.6049175390000001</v>
      </c>
      <c r="O279" s="13">
        <f t="shared" si="87"/>
        <v>1.5976699999999999</v>
      </c>
      <c r="P279" s="13">
        <f t="shared" si="88"/>
        <v>7.2475390000001916E-3</v>
      </c>
      <c r="Q279" s="16">
        <f t="shared" si="89"/>
        <v>4.53631788792441E-3</v>
      </c>
      <c r="R279" s="14">
        <f t="shared" ca="1" si="90"/>
        <v>5.8540409999999996</v>
      </c>
      <c r="S279" s="14">
        <f t="shared" si="91"/>
        <v>5.8924818279569884</v>
      </c>
      <c r="T279" s="14">
        <f t="shared" ca="1" si="92"/>
        <v>3.8440827956988777E-2</v>
      </c>
      <c r="U279" s="16">
        <f t="shared" ca="1" si="93"/>
        <v>6.5237075105782361E-3</v>
      </c>
      <c r="V279" s="14">
        <f t="shared" si="94"/>
        <v>2.3083333333333336</v>
      </c>
      <c r="W279" s="14">
        <f t="shared" ca="1" si="95"/>
        <v>2.1459590000000004</v>
      </c>
      <c r="X279" s="14">
        <f t="shared" ca="1" si="96"/>
        <v>0.16237433333333318</v>
      </c>
      <c r="Y279" s="28">
        <f t="shared" ca="1" si="97"/>
        <v>7.0342671480144323E-2</v>
      </c>
      <c r="Z279" s="29">
        <f t="shared" ca="1" si="98"/>
        <v>45.751508000000001</v>
      </c>
      <c r="AA279" s="16">
        <f t="shared" ca="1" si="99"/>
        <v>4.0848888888888921E-2</v>
      </c>
      <c r="AB279" s="2"/>
    </row>
    <row r="280" spans="6:28" x14ac:dyDescent="0.25">
      <c r="F280" s="13">
        <v>278</v>
      </c>
      <c r="G280" s="13">
        <f t="shared" si="80"/>
        <v>47.8</v>
      </c>
      <c r="H280" s="13">
        <f t="shared" si="81"/>
        <v>320.95</v>
      </c>
      <c r="I280" s="14">
        <f t="shared" si="82"/>
        <v>2.3166669999999998</v>
      </c>
      <c r="J280" s="14">
        <f t="shared" si="83"/>
        <v>3921.9054900000001</v>
      </c>
      <c r="K280" s="14">
        <f t="shared" si="84"/>
        <v>2.9419054900000003</v>
      </c>
      <c r="L280" s="14">
        <f t="shared" si="85"/>
        <v>1602.423407</v>
      </c>
      <c r="M280" s="14">
        <v>1596.87</v>
      </c>
      <c r="N280" s="13">
        <f t="shared" si="86"/>
        <v>1.6024234070000001</v>
      </c>
      <c r="O280" s="13">
        <f t="shared" si="87"/>
        <v>1.59538</v>
      </c>
      <c r="P280" s="13">
        <f t="shared" si="88"/>
        <v>7.043407000000057E-3</v>
      </c>
      <c r="Q280" s="16">
        <f t="shared" si="89"/>
        <v>4.4148773332999391E-3</v>
      </c>
      <c r="R280" s="14">
        <f t="shared" ca="1" si="90"/>
        <v>5.844162498542274</v>
      </c>
      <c r="S280" s="14">
        <f t="shared" si="91"/>
        <v>5.8840359139784946</v>
      </c>
      <c r="T280" s="14">
        <f t="shared" ca="1" si="92"/>
        <v>3.9873415436220583E-2</v>
      </c>
      <c r="U280" s="16">
        <f t="shared" ca="1" si="93"/>
        <v>6.7765418191100312E-3</v>
      </c>
      <c r="V280" s="14">
        <f t="shared" si="94"/>
        <v>2.3166666666666664</v>
      </c>
      <c r="W280" s="14">
        <f t="shared" ca="1" si="95"/>
        <v>2.155837501457726</v>
      </c>
      <c r="X280" s="14">
        <f t="shared" ca="1" si="96"/>
        <v>0.16082916520894042</v>
      </c>
      <c r="Y280" s="28">
        <f t="shared" ca="1" si="97"/>
        <v>6.9422661241269251E-2</v>
      </c>
      <c r="Z280" s="29">
        <f t="shared" ca="1" si="98"/>
        <v>45.870049999999999</v>
      </c>
      <c r="AA280" s="16">
        <f t="shared" ca="1" si="99"/>
        <v>4.0375523012552261E-2</v>
      </c>
      <c r="AB280" s="2"/>
    </row>
    <row r="281" spans="6:28" x14ac:dyDescent="0.25">
      <c r="F281" s="13">
        <v>279</v>
      </c>
      <c r="G281" s="13">
        <f t="shared" si="80"/>
        <v>47.900000000000006</v>
      </c>
      <c r="H281" s="13">
        <f t="shared" si="81"/>
        <v>321.04999999999995</v>
      </c>
      <c r="I281" s="14">
        <f t="shared" si="82"/>
        <v>2.3250000000000002</v>
      </c>
      <c r="J281" s="14">
        <f t="shared" si="83"/>
        <v>3906.8444399999998</v>
      </c>
      <c r="K281" s="14">
        <f t="shared" si="84"/>
        <v>2.92684444</v>
      </c>
      <c r="L281" s="14">
        <f t="shared" si="85"/>
        <v>1599.9289080000001</v>
      </c>
      <c r="M281" s="14">
        <v>1594.48</v>
      </c>
      <c r="N281" s="13">
        <f t="shared" si="86"/>
        <v>1.5999289080000001</v>
      </c>
      <c r="O281" s="13">
        <f t="shared" si="87"/>
        <v>1.5930899999999999</v>
      </c>
      <c r="P281" s="13">
        <f t="shared" si="88"/>
        <v>6.8389080000001989E-3</v>
      </c>
      <c r="Q281" s="16">
        <f t="shared" si="89"/>
        <v>4.2928572773667526E-3</v>
      </c>
      <c r="R281" s="14">
        <f t="shared" ca="1" si="90"/>
        <v>5.8354488629737613</v>
      </c>
      <c r="S281" s="14">
        <f t="shared" si="91"/>
        <v>5.875589999999999</v>
      </c>
      <c r="T281" s="14">
        <f t="shared" ca="1" si="92"/>
        <v>4.0141137026237672E-2</v>
      </c>
      <c r="U281" s="16">
        <f t="shared" ca="1" si="93"/>
        <v>6.8318478699564943E-3</v>
      </c>
      <c r="V281" s="14">
        <f t="shared" si="94"/>
        <v>2.3250000000000002</v>
      </c>
      <c r="W281" s="14">
        <f t="shared" ca="1" si="95"/>
        <v>2.1645511370262387</v>
      </c>
      <c r="X281" s="14">
        <f t="shared" ca="1" si="96"/>
        <v>0.16044886297376149</v>
      </c>
      <c r="Y281" s="28">
        <f t="shared" ca="1" si="97"/>
        <v>6.9010263644628589E-2</v>
      </c>
      <c r="Z281" s="29">
        <f t="shared" ca="1" si="98"/>
        <v>45.974614000000003</v>
      </c>
      <c r="AA281" s="16">
        <f t="shared" ca="1" si="99"/>
        <v>4.019594989561593E-2</v>
      </c>
      <c r="AB281" s="2"/>
    </row>
    <row r="282" spans="6:28" x14ac:dyDescent="0.25">
      <c r="F282" s="13">
        <v>280</v>
      </c>
      <c r="G282" s="13">
        <f t="shared" si="80"/>
        <v>48</v>
      </c>
      <c r="H282" s="13">
        <f t="shared" si="81"/>
        <v>321.14999999999998</v>
      </c>
      <c r="I282" s="14">
        <f t="shared" si="82"/>
        <v>2.3333330000000001</v>
      </c>
      <c r="J282" s="14">
        <f t="shared" si="83"/>
        <v>3891.8494529999998</v>
      </c>
      <c r="K282" s="14">
        <f t="shared" si="84"/>
        <v>2.9118494529999999</v>
      </c>
      <c r="L282" s="14">
        <f t="shared" si="85"/>
        <v>1597.4340609999999</v>
      </c>
      <c r="M282" s="14">
        <v>1591.9</v>
      </c>
      <c r="N282" s="13">
        <f t="shared" si="86"/>
        <v>1.597434061</v>
      </c>
      <c r="O282" s="13">
        <f t="shared" si="87"/>
        <v>1.5908</v>
      </c>
      <c r="P282" s="13">
        <f t="shared" si="88"/>
        <v>6.6340609999999689E-3</v>
      </c>
      <c r="Q282" s="16">
        <f t="shared" si="89"/>
        <v>4.1702671611767465E-3</v>
      </c>
      <c r="R282" s="14">
        <f t="shared" ca="1" si="90"/>
        <v>5.8267342274052485</v>
      </c>
      <c r="S282" s="14">
        <f t="shared" si="91"/>
        <v>5.8671440860215052</v>
      </c>
      <c r="T282" s="14">
        <f t="shared" ca="1" si="92"/>
        <v>4.0409858616256678E-2</v>
      </c>
      <c r="U282" s="16">
        <f t="shared" ca="1" si="93"/>
        <v>6.8874835906166561E-3</v>
      </c>
      <c r="V282" s="14">
        <f t="shared" si="94"/>
        <v>2.333333333333333</v>
      </c>
      <c r="W282" s="14">
        <f t="shared" ca="1" si="95"/>
        <v>2.1732657725947515</v>
      </c>
      <c r="X282" s="14">
        <f t="shared" ca="1" si="96"/>
        <v>0.16006756073858153</v>
      </c>
      <c r="Y282" s="28">
        <f t="shared" ca="1" si="97"/>
        <v>6.8600383173677809E-2</v>
      </c>
      <c r="Z282" s="29">
        <f t="shared" ca="1" si="98"/>
        <v>46.079189</v>
      </c>
      <c r="AA282" s="16">
        <f t="shared" ca="1" si="99"/>
        <v>4.0016895833333344E-2</v>
      </c>
      <c r="AB282" s="2"/>
    </row>
    <row r="283" spans="6:28" x14ac:dyDescent="0.25">
      <c r="F283" s="13">
        <v>281</v>
      </c>
      <c r="G283" s="13">
        <f t="shared" si="80"/>
        <v>48.1</v>
      </c>
      <c r="H283" s="13">
        <f t="shared" si="81"/>
        <v>321.25</v>
      </c>
      <c r="I283" s="14">
        <f t="shared" si="82"/>
        <v>2.3416670000000002</v>
      </c>
      <c r="J283" s="14">
        <f t="shared" si="83"/>
        <v>3876.9202059999998</v>
      </c>
      <c r="K283" s="14">
        <f t="shared" si="84"/>
        <v>2.8969202059999999</v>
      </c>
      <c r="L283" s="14">
        <f t="shared" si="85"/>
        <v>1594.938885</v>
      </c>
      <c r="M283" s="14">
        <v>1589.5</v>
      </c>
      <c r="N283" s="13">
        <f t="shared" si="86"/>
        <v>1.5949388849999999</v>
      </c>
      <c r="O283" s="13">
        <f t="shared" si="87"/>
        <v>1.5885099999999999</v>
      </c>
      <c r="P283" s="13">
        <f t="shared" si="88"/>
        <v>6.4288850000000508E-3</v>
      </c>
      <c r="Q283" s="16">
        <f t="shared" si="89"/>
        <v>4.0471164802236377E-3</v>
      </c>
      <c r="R283" s="14">
        <f t="shared" ca="1" si="90"/>
        <v>5.8176439999999996</v>
      </c>
      <c r="S283" s="14">
        <f t="shared" si="91"/>
        <v>5.8586981720430096</v>
      </c>
      <c r="T283" s="14">
        <f t="shared" ca="1" si="92"/>
        <v>4.1054172043009984E-2</v>
      </c>
      <c r="U283" s="16">
        <f t="shared" ca="1" si="93"/>
        <v>7.007388132557411E-3</v>
      </c>
      <c r="V283" s="14">
        <f t="shared" si="94"/>
        <v>2.3416666666666677</v>
      </c>
      <c r="W283" s="14">
        <f t="shared" ca="1" si="95"/>
        <v>2.1823560000000004</v>
      </c>
      <c r="X283" s="14">
        <f t="shared" ca="1" si="96"/>
        <v>0.15931066666666727</v>
      </c>
      <c r="Y283" s="28">
        <f t="shared" ca="1" si="97"/>
        <v>6.8033024911032261E-2</v>
      </c>
      <c r="Z283" s="29">
        <f t="shared" ca="1" si="98"/>
        <v>46.188271999999998</v>
      </c>
      <c r="AA283" s="16">
        <f t="shared" ca="1" si="99"/>
        <v>3.9744864864864941E-2</v>
      </c>
      <c r="AB283" s="2"/>
    </row>
    <row r="284" spans="6:28" x14ac:dyDescent="0.25">
      <c r="F284" s="13">
        <v>282</v>
      </c>
      <c r="G284" s="13">
        <f t="shared" si="80"/>
        <v>48.2</v>
      </c>
      <c r="H284" s="13">
        <f t="shared" si="81"/>
        <v>321.34999999999997</v>
      </c>
      <c r="I284" s="14">
        <f t="shared" si="82"/>
        <v>2.35</v>
      </c>
      <c r="J284" s="14">
        <f t="shared" si="83"/>
        <v>3862.0563780000002</v>
      </c>
      <c r="K284" s="14">
        <f t="shared" si="84"/>
        <v>2.8820563780000001</v>
      </c>
      <c r="L284" s="14">
        <f t="shared" si="85"/>
        <v>1592.443397</v>
      </c>
      <c r="M284" s="14">
        <v>1587.09</v>
      </c>
      <c r="N284" s="13">
        <f t="shared" si="86"/>
        <v>1.592443397</v>
      </c>
      <c r="O284" s="13">
        <f t="shared" si="87"/>
        <v>1.58622</v>
      </c>
      <c r="P284" s="13">
        <f t="shared" si="88"/>
        <v>6.2233970000000749E-3</v>
      </c>
      <c r="Q284" s="16">
        <f t="shared" si="89"/>
        <v>3.9234135239752839E-3</v>
      </c>
      <c r="R284" s="14">
        <f t="shared" ca="1" si="90"/>
        <v>5.8089263644314872</v>
      </c>
      <c r="S284" s="14">
        <f t="shared" si="91"/>
        <v>5.8502522580645158</v>
      </c>
      <c r="T284" s="14">
        <f t="shared" ca="1" si="92"/>
        <v>4.1325893633028521E-2</v>
      </c>
      <c r="U284" s="16">
        <f t="shared" ca="1" si="93"/>
        <v>7.0639507170073184E-3</v>
      </c>
      <c r="V284" s="14">
        <f t="shared" si="94"/>
        <v>2.3499999999999996</v>
      </c>
      <c r="W284" s="14">
        <f t="shared" ca="1" si="95"/>
        <v>2.1910736355685128</v>
      </c>
      <c r="X284" s="14">
        <f t="shared" ca="1" si="96"/>
        <v>0.15892636443148689</v>
      </c>
      <c r="Y284" s="28">
        <f t="shared" ca="1" si="97"/>
        <v>6.7628240183611452E-2</v>
      </c>
      <c r="Z284" s="29">
        <f t="shared" ca="1" si="98"/>
        <v>46.292884000000001</v>
      </c>
      <c r="AA284" s="16">
        <f t="shared" ca="1" si="99"/>
        <v>3.9566721991701283E-2</v>
      </c>
      <c r="AB284" s="2"/>
    </row>
    <row r="285" spans="6:28" x14ac:dyDescent="0.25">
      <c r="F285" s="13">
        <v>283</v>
      </c>
      <c r="G285" s="13">
        <f t="shared" si="80"/>
        <v>48.3</v>
      </c>
      <c r="H285" s="13">
        <f t="shared" si="81"/>
        <v>321.45</v>
      </c>
      <c r="I285" s="14">
        <f t="shared" si="82"/>
        <v>2.358333</v>
      </c>
      <c r="J285" s="14">
        <f t="shared" si="83"/>
        <v>3847.2576479999998</v>
      </c>
      <c r="K285" s="14">
        <f t="shared" si="84"/>
        <v>2.8672576479999998</v>
      </c>
      <c r="L285" s="14">
        <f t="shared" si="85"/>
        <v>1589.947617</v>
      </c>
      <c r="M285" s="14">
        <v>1584.31</v>
      </c>
      <c r="N285" s="13">
        <f t="shared" si="86"/>
        <v>1.5899476170000002</v>
      </c>
      <c r="O285" s="13">
        <f t="shared" si="87"/>
        <v>1.5839300000000001</v>
      </c>
      <c r="P285" s="13">
        <f t="shared" si="88"/>
        <v>6.0176170000001417E-3</v>
      </c>
      <c r="Q285" s="16">
        <f t="shared" si="89"/>
        <v>3.7991685238616237E-3</v>
      </c>
      <c r="R285" s="14">
        <f t="shared" ca="1" si="90"/>
        <v>5.799427227405249</v>
      </c>
      <c r="S285" s="14">
        <f t="shared" si="91"/>
        <v>5.8418063440860211</v>
      </c>
      <c r="T285" s="14">
        <f t="shared" ca="1" si="92"/>
        <v>4.23791166807721E-2</v>
      </c>
      <c r="U285" s="16">
        <f t="shared" ca="1" si="93"/>
        <v>7.2544542192287476E-3</v>
      </c>
      <c r="V285" s="14">
        <f t="shared" si="94"/>
        <v>2.3583333333333334</v>
      </c>
      <c r="W285" s="14">
        <f t="shared" ca="1" si="95"/>
        <v>2.200572772594751</v>
      </c>
      <c r="X285" s="14">
        <f t="shared" ca="1" si="96"/>
        <v>0.15776056073858236</v>
      </c>
      <c r="Y285" s="28">
        <f t="shared" ca="1" si="97"/>
        <v>6.6894937415653291E-2</v>
      </c>
      <c r="Z285" s="29">
        <f t="shared" ca="1" si="98"/>
        <v>46.406872999999997</v>
      </c>
      <c r="AA285" s="16">
        <f t="shared" ca="1" si="99"/>
        <v>3.9195175983436852E-2</v>
      </c>
      <c r="AB285" s="2"/>
    </row>
    <row r="286" spans="6:28" x14ac:dyDescent="0.25">
      <c r="F286" s="13">
        <v>284</v>
      </c>
      <c r="G286" s="13">
        <f t="shared" si="80"/>
        <v>48.400000000000006</v>
      </c>
      <c r="H286" s="13">
        <f t="shared" si="81"/>
        <v>321.54999999999995</v>
      </c>
      <c r="I286" s="14">
        <f t="shared" si="82"/>
        <v>2.3666670000000001</v>
      </c>
      <c r="J286" s="14">
        <f t="shared" si="83"/>
        <v>3832.5236989999999</v>
      </c>
      <c r="K286" s="14">
        <f t="shared" si="84"/>
        <v>2.8525236989999998</v>
      </c>
      <c r="L286" s="14">
        <f t="shared" si="85"/>
        <v>1587.4515630000001</v>
      </c>
      <c r="M286" s="14">
        <v>1581.71</v>
      </c>
      <c r="N286" s="13">
        <f t="shared" si="86"/>
        <v>1.5874515629999999</v>
      </c>
      <c r="O286" s="13">
        <f t="shared" si="87"/>
        <v>1.5816399999999997</v>
      </c>
      <c r="P286" s="13">
        <f t="shared" si="88"/>
        <v>5.8115630000001861E-3</v>
      </c>
      <c r="Q286" s="16">
        <f t="shared" si="89"/>
        <v>3.6743905060571225E-3</v>
      </c>
      <c r="R286" s="14">
        <f t="shared" ca="1" si="90"/>
        <v>5.790322227405249</v>
      </c>
      <c r="S286" s="14">
        <f t="shared" si="91"/>
        <v>5.8333604301075255</v>
      </c>
      <c r="T286" s="14">
        <f t="shared" ca="1" si="92"/>
        <v>4.3038202702276429E-2</v>
      </c>
      <c r="U286" s="16">
        <f t="shared" ca="1" si="93"/>
        <v>7.3779433343677536E-3</v>
      </c>
      <c r="V286" s="14">
        <f t="shared" si="94"/>
        <v>2.3666666666666671</v>
      </c>
      <c r="W286" s="14">
        <f t="shared" ca="1" si="95"/>
        <v>2.209677772594751</v>
      </c>
      <c r="X286" s="14">
        <f t="shared" ca="1" si="96"/>
        <v>0.15698889407191619</v>
      </c>
      <c r="Y286" s="28">
        <f t="shared" ca="1" si="97"/>
        <v>6.6333335523344847E-2</v>
      </c>
      <c r="Z286" s="29">
        <f t="shared" ca="1" si="98"/>
        <v>46.516133000000004</v>
      </c>
      <c r="AA286" s="16">
        <f t="shared" ca="1" si="99"/>
        <v>3.8922871900826488E-2</v>
      </c>
      <c r="AB286" s="2"/>
    </row>
    <row r="287" spans="6:28" x14ac:dyDescent="0.25">
      <c r="F287" s="13">
        <v>285</v>
      </c>
      <c r="G287" s="13">
        <f t="shared" si="80"/>
        <v>48.5</v>
      </c>
      <c r="H287" s="13">
        <f t="shared" si="81"/>
        <v>321.64999999999998</v>
      </c>
      <c r="I287" s="14">
        <f t="shared" si="82"/>
        <v>2.375</v>
      </c>
      <c r="J287" s="14">
        <f t="shared" si="83"/>
        <v>3817.8542130000001</v>
      </c>
      <c r="K287" s="14">
        <f t="shared" si="84"/>
        <v>2.837854213</v>
      </c>
      <c r="L287" s="14">
        <f t="shared" si="85"/>
        <v>1584.9552530000001</v>
      </c>
      <c r="M287" s="14">
        <v>1579.29</v>
      </c>
      <c r="N287" s="13">
        <f t="shared" si="86"/>
        <v>1.584955253</v>
      </c>
      <c r="O287" s="13">
        <f t="shared" si="87"/>
        <v>1.57935</v>
      </c>
      <c r="P287" s="13">
        <f t="shared" si="88"/>
        <v>5.6052529999999212E-3</v>
      </c>
      <c r="Q287" s="16">
        <f t="shared" si="89"/>
        <v>3.5490885490865997E-3</v>
      </c>
      <c r="R287" s="14">
        <f t="shared" ca="1" si="90"/>
        <v>5.7808318629737609</v>
      </c>
      <c r="S287" s="14">
        <f t="shared" si="91"/>
        <v>5.8249145161290325</v>
      </c>
      <c r="T287" s="14">
        <f t="shared" ca="1" si="92"/>
        <v>4.4082653155271601E-2</v>
      </c>
      <c r="U287" s="16">
        <f t="shared" ca="1" si="93"/>
        <v>7.5679485137864107E-3</v>
      </c>
      <c r="V287" s="14">
        <f t="shared" si="94"/>
        <v>2.3749999999999991</v>
      </c>
      <c r="W287" s="14">
        <f t="shared" ca="1" si="95"/>
        <v>2.2191681370262391</v>
      </c>
      <c r="X287" s="14">
        <f t="shared" ca="1" si="96"/>
        <v>0.15583186297376006</v>
      </c>
      <c r="Y287" s="28">
        <f t="shared" ca="1" si="97"/>
        <v>6.5613415988951623E-2</v>
      </c>
      <c r="Z287" s="29">
        <f t="shared" ca="1" si="98"/>
        <v>46.630018</v>
      </c>
      <c r="AA287" s="16">
        <f t="shared" ca="1" si="99"/>
        <v>3.8556329896907222E-2</v>
      </c>
      <c r="AB287" s="2"/>
    </row>
    <row r="288" spans="6:28" x14ac:dyDescent="0.25">
      <c r="F288" s="13">
        <v>286</v>
      </c>
      <c r="G288" s="13">
        <f t="shared" si="80"/>
        <v>48.6</v>
      </c>
      <c r="H288" s="13">
        <f t="shared" si="81"/>
        <v>321.75</v>
      </c>
      <c r="I288" s="14">
        <f t="shared" si="82"/>
        <v>2.3833329999999999</v>
      </c>
      <c r="J288" s="14">
        <f t="shared" si="83"/>
        <v>3803.248877</v>
      </c>
      <c r="K288" s="14">
        <f t="shared" si="84"/>
        <v>2.8232488770000002</v>
      </c>
      <c r="L288" s="14">
        <f t="shared" si="85"/>
        <v>1582.458705</v>
      </c>
      <c r="M288" s="14">
        <v>1576.86</v>
      </c>
      <c r="N288" s="13">
        <f t="shared" si="86"/>
        <v>1.5824587049999999</v>
      </c>
      <c r="O288" s="13">
        <f t="shared" si="87"/>
        <v>1.5770599999999999</v>
      </c>
      <c r="P288" s="13">
        <f t="shared" si="88"/>
        <v>5.3987049999999481E-3</v>
      </c>
      <c r="Q288" s="16">
        <f t="shared" si="89"/>
        <v>3.4232717842060216E-3</v>
      </c>
      <c r="R288" s="14">
        <f t="shared" ca="1" si="90"/>
        <v>5.7725171370262389</v>
      </c>
      <c r="S288" s="14">
        <f t="shared" si="91"/>
        <v>5.816468602150537</v>
      </c>
      <c r="T288" s="14">
        <f t="shared" ca="1" si="92"/>
        <v>4.3951465124298039E-2</v>
      </c>
      <c r="U288" s="16">
        <f t="shared" ca="1" si="93"/>
        <v>7.5563831132945099E-3</v>
      </c>
      <c r="V288" s="14">
        <f t="shared" si="94"/>
        <v>2.3833333333333337</v>
      </c>
      <c r="W288" s="14">
        <f t="shared" ca="1" si="95"/>
        <v>2.2274828629737611</v>
      </c>
      <c r="X288" s="14">
        <f t="shared" ca="1" si="96"/>
        <v>0.15585047035957267</v>
      </c>
      <c r="Y288" s="28">
        <f t="shared" ca="1" si="97"/>
        <v>6.5391805745275228E-2</v>
      </c>
      <c r="Z288" s="29">
        <f t="shared" ca="1" si="98"/>
        <v>46.729793999999998</v>
      </c>
      <c r="AA288" s="16">
        <f t="shared" ca="1" si="99"/>
        <v>3.8481604938271671E-2</v>
      </c>
      <c r="AB288" s="2"/>
    </row>
    <row r="289" spans="6:28" x14ac:dyDescent="0.25">
      <c r="F289" s="13">
        <v>287</v>
      </c>
      <c r="G289" s="13">
        <f t="shared" si="80"/>
        <v>48.7</v>
      </c>
      <c r="H289" s="13">
        <f t="shared" si="81"/>
        <v>321.84999999999997</v>
      </c>
      <c r="I289" s="14">
        <f t="shared" si="82"/>
        <v>2.391667</v>
      </c>
      <c r="J289" s="14">
        <f t="shared" si="83"/>
        <v>3788.7073759999998</v>
      </c>
      <c r="K289" s="14">
        <f t="shared" si="84"/>
        <v>2.8087073760000001</v>
      </c>
      <c r="L289" s="14">
        <f t="shared" si="85"/>
        <v>1579.961937</v>
      </c>
      <c r="M289" s="14">
        <v>1574.24</v>
      </c>
      <c r="N289" s="13">
        <f t="shared" si="86"/>
        <v>1.579961937</v>
      </c>
      <c r="O289" s="13">
        <f t="shared" si="87"/>
        <v>1.5747699999999998</v>
      </c>
      <c r="P289" s="13">
        <f t="shared" si="88"/>
        <v>5.1919370000002019E-3</v>
      </c>
      <c r="Q289" s="16">
        <f t="shared" si="89"/>
        <v>3.29694939578491E-3</v>
      </c>
      <c r="R289" s="14">
        <f t="shared" ca="1" si="90"/>
        <v>5.7634101370262387</v>
      </c>
      <c r="S289" s="14">
        <f t="shared" si="91"/>
        <v>5.8080226881720423</v>
      </c>
      <c r="T289" s="14">
        <f t="shared" ca="1" si="92"/>
        <v>4.4612551145803536E-2</v>
      </c>
      <c r="U289" s="16">
        <f t="shared" ca="1" si="93"/>
        <v>7.6811943652796639E-3</v>
      </c>
      <c r="V289" s="14">
        <f t="shared" si="94"/>
        <v>2.3916666666666666</v>
      </c>
      <c r="W289" s="14">
        <f t="shared" ca="1" si="95"/>
        <v>2.2365898629737613</v>
      </c>
      <c r="X289" s="14">
        <f t="shared" ca="1" si="96"/>
        <v>0.15507680369290533</v>
      </c>
      <c r="Y289" s="28">
        <f t="shared" ca="1" si="97"/>
        <v>6.4840475411667736E-2</v>
      </c>
      <c r="Z289" s="29">
        <f t="shared" ca="1" si="98"/>
        <v>46.839078000000001</v>
      </c>
      <c r="AA289" s="16">
        <f t="shared" ca="1" si="99"/>
        <v>3.8211950718685876E-2</v>
      </c>
      <c r="AB289" s="2"/>
    </row>
    <row r="290" spans="6:28" x14ac:dyDescent="0.25">
      <c r="F290" s="13">
        <v>288</v>
      </c>
      <c r="G290" s="13">
        <f t="shared" si="80"/>
        <v>48.8</v>
      </c>
      <c r="H290" s="13">
        <f t="shared" si="81"/>
        <v>321.95</v>
      </c>
      <c r="I290" s="14">
        <f t="shared" si="82"/>
        <v>2.4</v>
      </c>
      <c r="J290" s="14">
        <f t="shared" si="83"/>
        <v>3774.2294000000002</v>
      </c>
      <c r="K290" s="14">
        <f t="shared" si="84"/>
        <v>2.7942294000000003</v>
      </c>
      <c r="L290" s="14">
        <f t="shared" si="85"/>
        <v>1577.4649690000001</v>
      </c>
      <c r="M290" s="14">
        <v>1571.8</v>
      </c>
      <c r="N290" s="13">
        <f t="shared" si="86"/>
        <v>1.577464969</v>
      </c>
      <c r="O290" s="13">
        <f t="shared" si="87"/>
        <v>1.5724800000000001</v>
      </c>
      <c r="P290" s="13">
        <f t="shared" si="88"/>
        <v>4.9849689999998947E-3</v>
      </c>
      <c r="Q290" s="16">
        <f t="shared" si="89"/>
        <v>3.1701318935693262E-3</v>
      </c>
      <c r="R290" s="14">
        <f t="shared" ca="1" si="90"/>
        <v>5.7539167725947511</v>
      </c>
      <c r="S290" s="14">
        <f t="shared" si="91"/>
        <v>5.7995767741935484</v>
      </c>
      <c r="T290" s="14">
        <f t="shared" ca="1" si="92"/>
        <v>4.5660001598797351E-2</v>
      </c>
      <c r="U290" s="16">
        <f t="shared" ca="1" si="93"/>
        <v>7.8729885604706968E-3</v>
      </c>
      <c r="V290" s="14">
        <f t="shared" si="94"/>
        <v>2.3999999999999995</v>
      </c>
      <c r="W290" s="14">
        <f t="shared" ca="1" si="95"/>
        <v>2.2460832274052489</v>
      </c>
      <c r="X290" s="14">
        <f t="shared" ca="1" si="96"/>
        <v>0.15391677259475056</v>
      </c>
      <c r="Y290" s="28">
        <f t="shared" ca="1" si="97"/>
        <v>6.4131988581146077E-2</v>
      </c>
      <c r="Z290" s="29">
        <f t="shared" ca="1" si="98"/>
        <v>46.952998999999998</v>
      </c>
      <c r="AA290" s="16">
        <f t="shared" ca="1" si="99"/>
        <v>3.7848381147540959E-2</v>
      </c>
      <c r="AB290" s="2"/>
    </row>
    <row r="291" spans="6:28" x14ac:dyDescent="0.25">
      <c r="F291" s="13">
        <v>289</v>
      </c>
      <c r="G291" s="13">
        <f t="shared" si="80"/>
        <v>48.900000000000006</v>
      </c>
      <c r="H291" s="13">
        <f t="shared" si="81"/>
        <v>322.04999999999995</v>
      </c>
      <c r="I291" s="14">
        <f t="shared" si="82"/>
        <v>2.4083329999999998</v>
      </c>
      <c r="J291" s="14">
        <f t="shared" si="83"/>
        <v>3759.8146390000002</v>
      </c>
      <c r="K291" s="14">
        <f t="shared" si="84"/>
        <v>2.779814639</v>
      </c>
      <c r="L291" s="14">
        <f t="shared" si="85"/>
        <v>1574.9678180000001</v>
      </c>
      <c r="M291" s="14">
        <v>1569.36</v>
      </c>
      <c r="N291" s="13">
        <f t="shared" si="86"/>
        <v>1.5749678180000002</v>
      </c>
      <c r="O291" s="13">
        <f t="shared" si="87"/>
        <v>1.5701899999999998</v>
      </c>
      <c r="P291" s="13">
        <f t="shared" si="88"/>
        <v>4.7778180000004333E-3</v>
      </c>
      <c r="Q291" s="16">
        <f t="shared" si="89"/>
        <v>3.042827938020516E-3</v>
      </c>
      <c r="R291" s="14">
        <f t="shared" ca="1" si="90"/>
        <v>5.744412635568513</v>
      </c>
      <c r="S291" s="14">
        <f t="shared" si="91"/>
        <v>5.7911308602150529</v>
      </c>
      <c r="T291" s="14">
        <f t="shared" ca="1" si="92"/>
        <v>4.6718224646539852E-2</v>
      </c>
      <c r="U291" s="16">
        <f t="shared" ca="1" si="93"/>
        <v>8.0672023779488518E-3</v>
      </c>
      <c r="V291" s="14">
        <f t="shared" si="94"/>
        <v>2.4083333333333341</v>
      </c>
      <c r="W291" s="14">
        <f t="shared" ca="1" si="95"/>
        <v>2.255587364431487</v>
      </c>
      <c r="X291" s="14">
        <f t="shared" ca="1" si="96"/>
        <v>0.15274596890184711</v>
      </c>
      <c r="Y291" s="28">
        <f t="shared" ca="1" si="97"/>
        <v>6.3423931723950333E-2</v>
      </c>
      <c r="Z291" s="29">
        <f t="shared" ca="1" si="98"/>
        <v>47.067048</v>
      </c>
      <c r="AA291" s="16">
        <f t="shared" ca="1" si="99"/>
        <v>3.7483680981595206E-2</v>
      </c>
      <c r="AB291" s="2"/>
    </row>
    <row r="292" spans="6:28" x14ac:dyDescent="0.25">
      <c r="F292" s="13">
        <v>290</v>
      </c>
      <c r="G292" s="13">
        <f t="shared" si="80"/>
        <v>49</v>
      </c>
      <c r="H292" s="13">
        <f t="shared" si="81"/>
        <v>322.14999999999998</v>
      </c>
      <c r="I292" s="14">
        <f t="shared" si="82"/>
        <v>2.4166669999999999</v>
      </c>
      <c r="J292" s="14">
        <f t="shared" si="83"/>
        <v>3745.4627850000002</v>
      </c>
      <c r="K292" s="14">
        <f t="shared" si="84"/>
        <v>2.7654627850000004</v>
      </c>
      <c r="L292" s="14">
        <f t="shared" si="85"/>
        <v>1572.470503</v>
      </c>
      <c r="M292" s="14">
        <v>1566.73</v>
      </c>
      <c r="N292" s="13">
        <f t="shared" si="86"/>
        <v>1.5724705029999999</v>
      </c>
      <c r="O292" s="13">
        <f t="shared" si="87"/>
        <v>1.5678999999999998</v>
      </c>
      <c r="P292" s="13">
        <f t="shared" si="88"/>
        <v>4.570503000000059E-3</v>
      </c>
      <c r="Q292" s="16">
        <f t="shared" si="89"/>
        <v>2.9150475157854834E-3</v>
      </c>
      <c r="R292" s="14">
        <f t="shared" ca="1" si="90"/>
        <v>5.7349074985422739</v>
      </c>
      <c r="S292" s="14">
        <f t="shared" si="91"/>
        <v>5.7826849462365582</v>
      </c>
      <c r="T292" s="14">
        <f t="shared" ca="1" si="92"/>
        <v>4.777744769428427E-2</v>
      </c>
      <c r="U292" s="16">
        <f t="shared" ca="1" si="93"/>
        <v>8.2621564443655909E-3</v>
      </c>
      <c r="V292" s="14">
        <f t="shared" si="94"/>
        <v>2.416666666666667</v>
      </c>
      <c r="W292" s="14">
        <f t="shared" ca="1" si="95"/>
        <v>2.2650925014577261</v>
      </c>
      <c r="X292" s="14">
        <f t="shared" ca="1" si="96"/>
        <v>0.15157416520894085</v>
      </c>
      <c r="Y292" s="28">
        <f t="shared" ca="1" si="97"/>
        <v>6.272034422438931E-2</v>
      </c>
      <c r="Z292" s="29">
        <f t="shared" ca="1" si="98"/>
        <v>47.181109999999997</v>
      </c>
      <c r="AA292" s="16">
        <f t="shared" ca="1" si="99"/>
        <v>3.7120204081632718E-2</v>
      </c>
      <c r="AB292" s="2"/>
    </row>
    <row r="293" spans="6:28" x14ac:dyDescent="0.25">
      <c r="F293" s="13">
        <v>291</v>
      </c>
      <c r="G293" s="13">
        <f t="shared" si="80"/>
        <v>49.1</v>
      </c>
      <c r="H293" s="13">
        <f t="shared" si="81"/>
        <v>322.25</v>
      </c>
      <c r="I293" s="14">
        <f t="shared" si="82"/>
        <v>2.4249999999999998</v>
      </c>
      <c r="J293" s="14">
        <f t="shared" si="83"/>
        <v>3731.1735309999999</v>
      </c>
      <c r="K293" s="14">
        <f t="shared" si="84"/>
        <v>2.7511735310000001</v>
      </c>
      <c r="L293" s="14">
        <f t="shared" si="85"/>
        <v>1569.9730420000001</v>
      </c>
      <c r="M293" s="14">
        <v>1563.9</v>
      </c>
      <c r="N293" s="13">
        <f t="shared" si="86"/>
        <v>1.569973042</v>
      </c>
      <c r="O293" s="13">
        <f t="shared" si="87"/>
        <v>1.5656099999999999</v>
      </c>
      <c r="P293" s="13">
        <f t="shared" si="88"/>
        <v>4.3630420000000392E-3</v>
      </c>
      <c r="Q293" s="16">
        <f t="shared" si="89"/>
        <v>2.7868000332139163E-3</v>
      </c>
      <c r="R293" s="14">
        <f t="shared" ca="1" si="90"/>
        <v>5.7261936355685128</v>
      </c>
      <c r="S293" s="14">
        <f t="shared" si="91"/>
        <v>5.7742390322580643</v>
      </c>
      <c r="T293" s="14">
        <f t="shared" ca="1" si="92"/>
        <v>4.8045396689551545E-2</v>
      </c>
      <c r="U293" s="16">
        <f t="shared" ca="1" si="93"/>
        <v>8.3206456160099408E-3</v>
      </c>
      <c r="V293" s="14">
        <f t="shared" si="94"/>
        <v>2.4249999999999998</v>
      </c>
      <c r="W293" s="14">
        <f t="shared" ca="1" si="95"/>
        <v>2.2738063644314872</v>
      </c>
      <c r="X293" s="14">
        <f t="shared" ca="1" si="96"/>
        <v>0.15119363556851262</v>
      </c>
      <c r="Y293" s="28">
        <f t="shared" ca="1" si="97"/>
        <v>6.2347890956087684E-2</v>
      </c>
      <c r="Z293" s="29">
        <f t="shared" ca="1" si="98"/>
        <v>47.285676000000002</v>
      </c>
      <c r="AA293" s="16">
        <f t="shared" ca="1" si="99"/>
        <v>3.6951608961303443E-2</v>
      </c>
      <c r="AB293" s="2"/>
    </row>
    <row r="294" spans="6:28" x14ac:dyDescent="0.25">
      <c r="F294" s="13">
        <v>292</v>
      </c>
      <c r="G294" s="13">
        <f t="shared" si="80"/>
        <v>49.2</v>
      </c>
      <c r="H294" s="13">
        <f t="shared" si="81"/>
        <v>322.34999999999997</v>
      </c>
      <c r="I294" s="14">
        <f t="shared" si="82"/>
        <v>2.4333330000000002</v>
      </c>
      <c r="J294" s="14">
        <f t="shared" si="83"/>
        <v>3716.9465730000002</v>
      </c>
      <c r="K294" s="14">
        <f t="shared" si="84"/>
        <v>2.7369465730000004</v>
      </c>
      <c r="L294" s="14">
        <f t="shared" si="85"/>
        <v>1567.475453</v>
      </c>
      <c r="M294" s="14">
        <v>1561.81</v>
      </c>
      <c r="N294" s="13">
        <f t="shared" si="86"/>
        <v>1.5674754530000001</v>
      </c>
      <c r="O294" s="13">
        <f t="shared" si="87"/>
        <v>1.5633199999999998</v>
      </c>
      <c r="P294" s="13">
        <f t="shared" si="88"/>
        <v>4.1554530000003087E-3</v>
      </c>
      <c r="Q294" s="16">
        <f t="shared" si="89"/>
        <v>2.6580949517695093E-3</v>
      </c>
      <c r="R294" s="14">
        <f t="shared" ca="1" si="90"/>
        <v>5.7166874985422744</v>
      </c>
      <c r="S294" s="14">
        <f t="shared" si="91"/>
        <v>5.7657931182795688</v>
      </c>
      <c r="T294" s="14">
        <f t="shared" ca="1" si="92"/>
        <v>4.9105619737294326E-2</v>
      </c>
      <c r="U294" s="16">
        <f t="shared" ca="1" si="93"/>
        <v>8.5167155203006578E-3</v>
      </c>
      <c r="V294" s="14">
        <f t="shared" si="94"/>
        <v>2.4333333333333336</v>
      </c>
      <c r="W294" s="14">
        <f t="shared" ca="1" si="95"/>
        <v>2.2833125014577256</v>
      </c>
      <c r="X294" s="14">
        <f t="shared" ca="1" si="96"/>
        <v>0.150020831875608</v>
      </c>
      <c r="Y294" s="28">
        <f t="shared" ca="1" si="97"/>
        <v>6.165239666120876E-2</v>
      </c>
      <c r="Z294" s="29">
        <f t="shared" ca="1" si="98"/>
        <v>47.399749999999997</v>
      </c>
      <c r="AA294" s="16">
        <f t="shared" ca="1" si="99"/>
        <v>3.6590447154471656E-2</v>
      </c>
      <c r="AB294" s="2"/>
    </row>
    <row r="295" spans="6:28" x14ac:dyDescent="0.25">
      <c r="F295" s="13">
        <v>293</v>
      </c>
      <c r="G295" s="13">
        <f t="shared" si="80"/>
        <v>49.3</v>
      </c>
      <c r="H295" s="13">
        <f t="shared" si="81"/>
        <v>322.45</v>
      </c>
      <c r="I295" s="14">
        <f t="shared" si="82"/>
        <v>2.4416669999999998</v>
      </c>
      <c r="J295" s="14">
        <f t="shared" si="83"/>
        <v>3702.7816069999999</v>
      </c>
      <c r="K295" s="14">
        <f t="shared" si="84"/>
        <v>2.7227816069999999</v>
      </c>
      <c r="L295" s="14">
        <f t="shared" si="85"/>
        <v>1564.9777549999999</v>
      </c>
      <c r="M295" s="14">
        <v>1559.16</v>
      </c>
      <c r="N295" s="13">
        <f t="shared" si="86"/>
        <v>1.5649777550000001</v>
      </c>
      <c r="O295" s="13">
        <f t="shared" si="87"/>
        <v>1.5610299999999999</v>
      </c>
      <c r="P295" s="13">
        <f t="shared" si="88"/>
        <v>3.9477550000002193E-3</v>
      </c>
      <c r="Q295" s="16">
        <f t="shared" si="89"/>
        <v>2.5289424290373787E-3</v>
      </c>
      <c r="R295" s="14">
        <f t="shared" ca="1" si="90"/>
        <v>5.7083697725947511</v>
      </c>
      <c r="S295" s="14">
        <f t="shared" si="91"/>
        <v>5.7573472043010749</v>
      </c>
      <c r="T295" s="14">
        <f t="shared" ca="1" si="92"/>
        <v>4.8977431706323848E-2</v>
      </c>
      <c r="U295" s="16">
        <f t="shared" ca="1" si="93"/>
        <v>8.5069442519872425E-3</v>
      </c>
      <c r="V295" s="14">
        <f t="shared" si="94"/>
        <v>2.4416666666666664</v>
      </c>
      <c r="W295" s="14">
        <f t="shared" ca="1" si="95"/>
        <v>2.2916302274052489</v>
      </c>
      <c r="X295" s="14">
        <f t="shared" ca="1" si="96"/>
        <v>0.15003643926141752</v>
      </c>
      <c r="Y295" s="28">
        <f t="shared" ca="1" si="97"/>
        <v>6.1448371028566907E-2</v>
      </c>
      <c r="Z295" s="29">
        <f t="shared" ca="1" si="98"/>
        <v>47.499563000000002</v>
      </c>
      <c r="AA295" s="16">
        <f t="shared" ca="1" si="99"/>
        <v>3.6520020283975566E-2</v>
      </c>
      <c r="AB295" s="2"/>
    </row>
    <row r="296" spans="6:28" x14ac:dyDescent="0.25">
      <c r="F296" s="13">
        <v>294</v>
      </c>
      <c r="G296" s="13">
        <f t="shared" si="80"/>
        <v>49.400000000000006</v>
      </c>
      <c r="H296" s="13">
        <f t="shared" si="81"/>
        <v>322.54999999999995</v>
      </c>
      <c r="I296" s="14">
        <f t="shared" si="82"/>
        <v>2.4500000000000002</v>
      </c>
      <c r="J296" s="14">
        <f t="shared" si="83"/>
        <v>3688.6783310000001</v>
      </c>
      <c r="K296" s="14">
        <f t="shared" si="84"/>
        <v>2.7086783310000002</v>
      </c>
      <c r="L296" s="14">
        <f t="shared" si="85"/>
        <v>1562.479965</v>
      </c>
      <c r="M296" s="14">
        <v>1556.51</v>
      </c>
      <c r="N296" s="13">
        <f t="shared" si="86"/>
        <v>1.5624799650000001</v>
      </c>
      <c r="O296" s="13">
        <f t="shared" si="87"/>
        <v>1.5587399999999998</v>
      </c>
      <c r="P296" s="13">
        <f t="shared" si="88"/>
        <v>3.7399650000002893E-3</v>
      </c>
      <c r="Q296" s="16">
        <f t="shared" si="89"/>
        <v>2.3993513992072377E-3</v>
      </c>
      <c r="R296" s="14">
        <f t="shared" ca="1" si="90"/>
        <v>5.6992479999999999</v>
      </c>
      <c r="S296" s="14">
        <f t="shared" si="91"/>
        <v>5.7489012903225793</v>
      </c>
      <c r="T296" s="14">
        <f t="shared" ca="1" si="92"/>
        <v>4.965329032257948E-2</v>
      </c>
      <c r="U296" s="16">
        <f t="shared" ca="1" si="93"/>
        <v>8.6370051971780097E-3</v>
      </c>
      <c r="V296" s="14">
        <f t="shared" si="94"/>
        <v>2.4500000000000011</v>
      </c>
      <c r="W296" s="14">
        <f t="shared" ca="1" si="95"/>
        <v>2.3007520000000001</v>
      </c>
      <c r="X296" s="14">
        <f t="shared" ca="1" si="96"/>
        <v>0.14924800000000094</v>
      </c>
      <c r="Y296" s="28">
        <f t="shared" ca="1" si="97"/>
        <v>6.0917551020408515E-2</v>
      </c>
      <c r="Z296" s="29">
        <f t="shared" ca="1" si="98"/>
        <v>47.609023999999998</v>
      </c>
      <c r="AA296" s="16">
        <f t="shared" ca="1" si="99"/>
        <v>3.6254574898785578E-2</v>
      </c>
      <c r="AB296" s="2"/>
    </row>
    <row r="297" spans="6:28" x14ac:dyDescent="0.25">
      <c r="F297" s="13">
        <v>295</v>
      </c>
      <c r="G297" s="13">
        <f t="shared" si="80"/>
        <v>49.5</v>
      </c>
      <c r="H297" s="13">
        <f t="shared" si="81"/>
        <v>322.64999999999998</v>
      </c>
      <c r="I297" s="14">
        <f t="shared" si="82"/>
        <v>2.4583330000000001</v>
      </c>
      <c r="J297" s="14">
        <f t="shared" si="83"/>
        <v>3674.6364469999999</v>
      </c>
      <c r="K297" s="14">
        <f t="shared" si="84"/>
        <v>2.6946364470000002</v>
      </c>
      <c r="L297" s="14">
        <f t="shared" si="85"/>
        <v>1559.9821019999999</v>
      </c>
      <c r="M297" s="14">
        <v>1554.22</v>
      </c>
      <c r="N297" s="13">
        <f t="shared" si="86"/>
        <v>1.5599821020000002</v>
      </c>
      <c r="O297" s="13">
        <f t="shared" si="87"/>
        <v>1.5564499999999999</v>
      </c>
      <c r="P297" s="13">
        <f t="shared" si="88"/>
        <v>3.5321020000003145E-3</v>
      </c>
      <c r="Q297" s="16">
        <f t="shared" si="89"/>
        <v>2.2693321340231391E-3</v>
      </c>
      <c r="R297" s="14">
        <f t="shared" ca="1" si="90"/>
        <v>5.6897516355685127</v>
      </c>
      <c r="S297" s="14">
        <f t="shared" si="91"/>
        <v>5.7404553763440855</v>
      </c>
      <c r="T297" s="14">
        <f t="shared" ca="1" si="92"/>
        <v>5.0703740775572825E-2</v>
      </c>
      <c r="U297" s="16">
        <f t="shared" ca="1" si="93"/>
        <v>8.8327035838512927E-3</v>
      </c>
      <c r="V297" s="14">
        <f t="shared" si="94"/>
        <v>2.458333333333333</v>
      </c>
      <c r="W297" s="14">
        <f t="shared" ca="1" si="95"/>
        <v>2.3102483644314873</v>
      </c>
      <c r="X297" s="14">
        <f t="shared" ca="1" si="96"/>
        <v>0.14808496890184575</v>
      </c>
      <c r="Y297" s="28">
        <f t="shared" ca="1" si="97"/>
        <v>6.0237953451598276E-2</v>
      </c>
      <c r="Z297" s="29">
        <f t="shared" ca="1" si="98"/>
        <v>47.72298</v>
      </c>
      <c r="AA297" s="16">
        <f t="shared" ca="1" si="99"/>
        <v>3.5899393939393946E-2</v>
      </c>
      <c r="AB297" s="2"/>
    </row>
    <row r="298" spans="6:28" x14ac:dyDescent="0.25">
      <c r="F298" s="13">
        <v>296</v>
      </c>
      <c r="G298" s="13">
        <f t="shared" si="80"/>
        <v>49.6</v>
      </c>
      <c r="H298" s="13">
        <f t="shared" si="81"/>
        <v>322.75</v>
      </c>
      <c r="I298" s="14">
        <f t="shared" si="82"/>
        <v>2.4666670000000002</v>
      </c>
      <c r="J298" s="14">
        <f t="shared" si="83"/>
        <v>3660.655655</v>
      </c>
      <c r="K298" s="14">
        <f t="shared" si="84"/>
        <v>2.6806556550000002</v>
      </c>
      <c r="L298" s="14">
        <f t="shared" si="85"/>
        <v>1557.4841839999999</v>
      </c>
      <c r="M298" s="14">
        <v>1551.55</v>
      </c>
      <c r="N298" s="13">
        <f t="shared" si="86"/>
        <v>1.557484184</v>
      </c>
      <c r="O298" s="13">
        <f t="shared" si="87"/>
        <v>1.55416</v>
      </c>
      <c r="P298" s="13">
        <f t="shared" si="88"/>
        <v>3.3241840000000078E-3</v>
      </c>
      <c r="Q298" s="16">
        <f t="shared" si="89"/>
        <v>2.1388943223348998E-3</v>
      </c>
      <c r="R298" s="14">
        <f t="shared" ca="1" si="90"/>
        <v>5.6810357725947513</v>
      </c>
      <c r="S298" s="14">
        <f t="shared" si="91"/>
        <v>5.7320094623655908</v>
      </c>
      <c r="T298" s="14">
        <f t="shared" ca="1" si="92"/>
        <v>5.0973689770839492E-2</v>
      </c>
      <c r="U298" s="16">
        <f t="shared" ca="1" si="93"/>
        <v>8.8928132630476733E-3</v>
      </c>
      <c r="V298" s="14">
        <f t="shared" si="94"/>
        <v>2.4666666666666668</v>
      </c>
      <c r="W298" s="14">
        <f t="shared" ca="1" si="95"/>
        <v>2.3189642274052487</v>
      </c>
      <c r="X298" s="14">
        <f t="shared" ca="1" si="96"/>
        <v>0.14770243926141813</v>
      </c>
      <c r="Y298" s="28">
        <f t="shared" ca="1" si="97"/>
        <v>5.9879367268142483E-2</v>
      </c>
      <c r="Z298" s="29">
        <f t="shared" ca="1" si="98"/>
        <v>47.827570999999999</v>
      </c>
      <c r="AA298" s="16">
        <f t="shared" ca="1" si="99"/>
        <v>3.5734455645161339E-2</v>
      </c>
      <c r="AB298" s="2"/>
    </row>
    <row r="299" spans="6:28" x14ac:dyDescent="0.25">
      <c r="F299" s="13">
        <v>297</v>
      </c>
      <c r="G299" s="13">
        <f t="shared" si="80"/>
        <v>49.7</v>
      </c>
      <c r="H299" s="13">
        <f t="shared" si="81"/>
        <v>322.84999999999997</v>
      </c>
      <c r="I299" s="14">
        <f t="shared" si="82"/>
        <v>2.4750000000000001</v>
      </c>
      <c r="J299" s="14">
        <f t="shared" si="83"/>
        <v>3646.7356589999999</v>
      </c>
      <c r="K299" s="14">
        <f t="shared" si="84"/>
        <v>2.666735659</v>
      </c>
      <c r="L299" s="14">
        <f t="shared" si="85"/>
        <v>1554.98623</v>
      </c>
      <c r="M299" s="14">
        <v>1549.25</v>
      </c>
      <c r="N299" s="13">
        <f t="shared" si="86"/>
        <v>1.5549862299999999</v>
      </c>
      <c r="O299" s="13">
        <f t="shared" si="87"/>
        <v>1.5518699999999999</v>
      </c>
      <c r="P299" s="13">
        <f t="shared" si="88"/>
        <v>3.1162300000000531E-3</v>
      </c>
      <c r="Q299" s="16">
        <f t="shared" si="89"/>
        <v>2.0080483545658165E-3</v>
      </c>
      <c r="R299" s="14">
        <f t="shared" ca="1" si="90"/>
        <v>5.6719032274052488</v>
      </c>
      <c r="S299" s="14">
        <f t="shared" si="91"/>
        <v>5.7235635483870961</v>
      </c>
      <c r="T299" s="14">
        <f t="shared" ca="1" si="92"/>
        <v>5.1660320981847363E-2</v>
      </c>
      <c r="U299" s="16">
        <f t="shared" ca="1" si="93"/>
        <v>9.025901528848277E-3</v>
      </c>
      <c r="V299" s="14">
        <f t="shared" si="94"/>
        <v>2.4750000000000005</v>
      </c>
      <c r="W299" s="14">
        <f t="shared" ca="1" si="95"/>
        <v>2.3280967725947512</v>
      </c>
      <c r="X299" s="14">
        <f t="shared" ca="1" si="96"/>
        <v>0.1469032274052493</v>
      </c>
      <c r="Y299" s="28">
        <f t="shared" ca="1" si="97"/>
        <v>5.9354839355656275E-2</v>
      </c>
      <c r="Z299" s="29">
        <f t="shared" ca="1" si="98"/>
        <v>47.937161000000003</v>
      </c>
      <c r="AA299" s="16">
        <f t="shared" ca="1" si="99"/>
        <v>3.5469597585513067E-2</v>
      </c>
      <c r="AB299" s="2"/>
    </row>
    <row r="300" spans="6:28" x14ac:dyDescent="0.25">
      <c r="F300" s="13">
        <v>298</v>
      </c>
      <c r="G300" s="13">
        <f t="shared" si="80"/>
        <v>49.8</v>
      </c>
      <c r="H300" s="13">
        <f t="shared" si="81"/>
        <v>322.95</v>
      </c>
      <c r="I300" s="14">
        <f t="shared" si="82"/>
        <v>2.483333</v>
      </c>
      <c r="J300" s="14">
        <f t="shared" si="83"/>
        <v>3632.8761639999998</v>
      </c>
      <c r="K300" s="14">
        <f t="shared" si="84"/>
        <v>2.6528761639999998</v>
      </c>
      <c r="L300" s="14">
        <f t="shared" si="85"/>
        <v>1552.488257</v>
      </c>
      <c r="M300" s="14">
        <v>1546.58</v>
      </c>
      <c r="N300" s="13">
        <f t="shared" si="86"/>
        <v>1.552488257</v>
      </c>
      <c r="O300" s="13">
        <f t="shared" si="87"/>
        <v>1.54958</v>
      </c>
      <c r="P300" s="13">
        <f t="shared" si="88"/>
        <v>2.9082570000000807E-3</v>
      </c>
      <c r="Q300" s="16">
        <f t="shared" si="89"/>
        <v>1.876803391886886E-3</v>
      </c>
      <c r="R300" s="14">
        <f t="shared" ca="1" si="90"/>
        <v>5.6627912274052488</v>
      </c>
      <c r="S300" s="14">
        <f t="shared" si="91"/>
        <v>5.7151176344086014</v>
      </c>
      <c r="T300" s="14">
        <f t="shared" ca="1" si="92"/>
        <v>5.2326407003352671E-2</v>
      </c>
      <c r="U300" s="16">
        <f t="shared" ca="1" si="93"/>
        <v>9.1557882707986281E-3</v>
      </c>
      <c r="V300" s="14">
        <f t="shared" si="94"/>
        <v>2.4833333333333334</v>
      </c>
      <c r="W300" s="14">
        <f t="shared" ca="1" si="95"/>
        <v>2.3372087725947512</v>
      </c>
      <c r="X300" s="14">
        <f t="shared" ca="1" si="96"/>
        <v>0.14612456073858215</v>
      </c>
      <c r="Y300" s="28">
        <f t="shared" ca="1" si="97"/>
        <v>5.8842104995402211E-2</v>
      </c>
      <c r="Z300" s="29">
        <f t="shared" ca="1" si="98"/>
        <v>48.046505000000003</v>
      </c>
      <c r="AA300" s="16">
        <f t="shared" ca="1" si="99"/>
        <v>3.5210742971887428E-2</v>
      </c>
      <c r="AB300" s="2"/>
    </row>
    <row r="301" spans="6:28" x14ac:dyDescent="0.25">
      <c r="F301" s="13">
        <v>299</v>
      </c>
      <c r="G301" s="13">
        <f t="shared" si="80"/>
        <v>49.900000000000006</v>
      </c>
      <c r="H301" s="13">
        <f t="shared" si="81"/>
        <v>323.04999999999995</v>
      </c>
      <c r="I301" s="14">
        <f t="shared" si="82"/>
        <v>2.4916670000000001</v>
      </c>
      <c r="J301" s="14">
        <f t="shared" si="83"/>
        <v>3619.0768760000001</v>
      </c>
      <c r="K301" s="14">
        <f t="shared" si="84"/>
        <v>2.6390768760000003</v>
      </c>
      <c r="L301" s="14">
        <f t="shared" si="85"/>
        <v>1549.990284</v>
      </c>
      <c r="M301" s="14">
        <v>1543.9</v>
      </c>
      <c r="N301" s="13">
        <f t="shared" si="86"/>
        <v>1.5499902839999999</v>
      </c>
      <c r="O301" s="13">
        <f t="shared" si="87"/>
        <v>1.5472899999999998</v>
      </c>
      <c r="P301" s="13">
        <f t="shared" si="88"/>
        <v>2.7002840000001083E-3</v>
      </c>
      <c r="Q301" s="16">
        <f t="shared" si="89"/>
        <v>1.7451699422862609E-3</v>
      </c>
      <c r="R301" s="14">
        <f t="shared" ca="1" si="90"/>
        <v>5.6536910000000002</v>
      </c>
      <c r="S301" s="14">
        <f t="shared" si="91"/>
        <v>5.7066717204301067</v>
      </c>
      <c r="T301" s="14">
        <f t="shared" ca="1" si="92"/>
        <v>5.2980720430106487E-2</v>
      </c>
      <c r="U301" s="16">
        <f t="shared" ca="1" si="93"/>
        <v>9.2839965264575226E-3</v>
      </c>
      <c r="V301" s="14">
        <f t="shared" si="94"/>
        <v>2.4916666666666671</v>
      </c>
      <c r="W301" s="14">
        <f t="shared" ca="1" si="95"/>
        <v>2.3463089999999998</v>
      </c>
      <c r="X301" s="14">
        <f t="shared" ca="1" si="96"/>
        <v>0.14535766666666738</v>
      </c>
      <c r="Y301" s="28">
        <f t="shared" ca="1" si="97"/>
        <v>5.833752508361232E-2</v>
      </c>
      <c r="Z301" s="29">
        <f t="shared" ca="1" si="98"/>
        <v>48.155707999999997</v>
      </c>
      <c r="AA301" s="16">
        <f t="shared" ca="1" si="99"/>
        <v>3.4955751503006179E-2</v>
      </c>
      <c r="AB301" s="2"/>
    </row>
    <row r="302" spans="6:28" x14ac:dyDescent="0.25">
      <c r="F302" s="13">
        <v>300</v>
      </c>
      <c r="G302" s="13">
        <f t="shared" si="80"/>
        <v>50</v>
      </c>
      <c r="H302" s="13">
        <f t="shared" si="81"/>
        <v>323.14999999999998</v>
      </c>
      <c r="I302" s="14">
        <f t="shared" si="82"/>
        <v>2.5</v>
      </c>
      <c r="J302" s="14">
        <f t="shared" si="83"/>
        <v>3605.3375030000002</v>
      </c>
      <c r="K302" s="14">
        <f t="shared" si="84"/>
        <v>2.6253375030000003</v>
      </c>
      <c r="L302" s="14">
        <f t="shared" si="85"/>
        <v>1547.492328</v>
      </c>
      <c r="M302" s="14">
        <v>1541.76</v>
      </c>
      <c r="N302" s="13">
        <f t="shared" si="86"/>
        <v>1.5474923280000001</v>
      </c>
      <c r="O302" s="13">
        <f t="shared" si="87"/>
        <v>1.5449999999999999</v>
      </c>
      <c r="P302" s="13">
        <f t="shared" si="88"/>
        <v>2.4923280000002102E-3</v>
      </c>
      <c r="Q302" s="16">
        <f t="shared" si="89"/>
        <v>1.6131572815535342E-3</v>
      </c>
      <c r="R302" s="14">
        <f t="shared" ca="1" si="90"/>
        <v>5.6445682274052489</v>
      </c>
      <c r="S302" s="14">
        <f t="shared" si="91"/>
        <v>5.698225806451612</v>
      </c>
      <c r="T302" s="14">
        <f t="shared" ca="1" si="92"/>
        <v>5.3657579046363146E-2</v>
      </c>
      <c r="U302" s="16">
        <f t="shared" ca="1" si="93"/>
        <v>9.4165413707563636E-3</v>
      </c>
      <c r="V302" s="14">
        <f t="shared" si="94"/>
        <v>2.5</v>
      </c>
      <c r="W302" s="14">
        <f t="shared" ca="1" si="95"/>
        <v>2.3554317725947511</v>
      </c>
      <c r="X302" s="14">
        <f t="shared" ca="1" si="96"/>
        <v>0.14456822740524888</v>
      </c>
      <c r="Y302" s="28">
        <f t="shared" ca="1" si="97"/>
        <v>5.7827290962099556E-2</v>
      </c>
      <c r="Z302" s="29">
        <f t="shared" ca="1" si="98"/>
        <v>48.265180999999998</v>
      </c>
      <c r="AA302" s="16">
        <f t="shared" ca="1" si="99"/>
        <v>3.4696380000000034E-2</v>
      </c>
      <c r="AB302" s="2"/>
    </row>
    <row r="303" spans="6:28" x14ac:dyDescent="0.25">
      <c r="F303" s="13">
        <v>301</v>
      </c>
      <c r="G303" s="13">
        <f t="shared" si="80"/>
        <v>50.1</v>
      </c>
      <c r="H303" s="13">
        <f t="shared" si="81"/>
        <v>323.25</v>
      </c>
      <c r="I303" s="14">
        <f t="shared" si="82"/>
        <v>2.5083329999999999</v>
      </c>
      <c r="J303" s="14">
        <f t="shared" si="83"/>
        <v>3591.6577550000002</v>
      </c>
      <c r="K303" s="14">
        <f t="shared" si="84"/>
        <v>2.6116577550000004</v>
      </c>
      <c r="L303" s="14">
        <f t="shared" si="85"/>
        <v>1544.994408</v>
      </c>
      <c r="M303" s="14">
        <v>1539.25</v>
      </c>
      <c r="N303" s="13">
        <f t="shared" si="86"/>
        <v>1.544994408</v>
      </c>
      <c r="O303" s="13">
        <f t="shared" si="87"/>
        <v>1.5427099999999998</v>
      </c>
      <c r="P303" s="13">
        <f t="shared" si="88"/>
        <v>2.2844080000001821E-3</v>
      </c>
      <c r="Q303" s="16">
        <f t="shared" si="89"/>
        <v>1.4807760369740148E-3</v>
      </c>
      <c r="R303" s="14">
        <f t="shared" ca="1" si="90"/>
        <v>5.635864137026239</v>
      </c>
      <c r="S303" s="14">
        <f t="shared" si="91"/>
        <v>5.6897798924731173</v>
      </c>
      <c r="T303" s="14">
        <f t="shared" ca="1" si="92"/>
        <v>5.3915755446878322E-2</v>
      </c>
      <c r="U303" s="16">
        <f t="shared" ca="1" si="93"/>
        <v>9.4758947561754143E-3</v>
      </c>
      <c r="V303" s="14">
        <f t="shared" si="94"/>
        <v>2.5083333333333337</v>
      </c>
      <c r="W303" s="14">
        <f t="shared" ca="1" si="95"/>
        <v>2.364135862973761</v>
      </c>
      <c r="X303" s="14">
        <f t="shared" ca="1" si="96"/>
        <v>0.14419747035957275</v>
      </c>
      <c r="Y303" s="28">
        <f t="shared" ca="1" si="97"/>
        <v>5.7487363598500756E-2</v>
      </c>
      <c r="Z303" s="29">
        <f t="shared" ca="1" si="98"/>
        <v>48.369630000000001</v>
      </c>
      <c r="AA303" s="16">
        <f t="shared" ca="1" si="99"/>
        <v>3.4538323353293425E-2</v>
      </c>
      <c r="AB303" s="2"/>
    </row>
    <row r="304" spans="6:28" x14ac:dyDescent="0.25">
      <c r="F304" s="13">
        <v>302</v>
      </c>
      <c r="G304" s="13">
        <f t="shared" si="80"/>
        <v>50.2</v>
      </c>
      <c r="H304" s="13">
        <f t="shared" si="81"/>
        <v>323.34999999999997</v>
      </c>
      <c r="I304" s="14">
        <f t="shared" si="82"/>
        <v>2.516667</v>
      </c>
      <c r="J304" s="14">
        <f t="shared" si="83"/>
        <v>3578.0373420000001</v>
      </c>
      <c r="K304" s="14">
        <f t="shared" si="84"/>
        <v>2.598037342</v>
      </c>
      <c r="L304" s="14">
        <f t="shared" si="85"/>
        <v>1542.4965420000001</v>
      </c>
      <c r="M304" s="14">
        <v>1536.56</v>
      </c>
      <c r="N304" s="13">
        <f t="shared" si="86"/>
        <v>1.5424965420000001</v>
      </c>
      <c r="O304" s="13">
        <f t="shared" si="87"/>
        <v>1.5404199999999999</v>
      </c>
      <c r="P304" s="13">
        <f t="shared" si="88"/>
        <v>2.0765420000001811E-3</v>
      </c>
      <c r="Q304" s="16">
        <f t="shared" si="89"/>
        <v>1.3480362498540536E-3</v>
      </c>
      <c r="R304" s="14">
        <f t="shared" ca="1" si="90"/>
        <v>5.6271385014577255</v>
      </c>
      <c r="S304" s="14">
        <f t="shared" si="91"/>
        <v>5.6813339784946226</v>
      </c>
      <c r="T304" s="14">
        <f t="shared" ca="1" si="92"/>
        <v>5.4195477036897088E-2</v>
      </c>
      <c r="U304" s="16">
        <f t="shared" ca="1" si="93"/>
        <v>9.5392168885056836E-3</v>
      </c>
      <c r="V304" s="14">
        <f t="shared" si="94"/>
        <v>2.5166666666666675</v>
      </c>
      <c r="W304" s="14">
        <f t="shared" ca="1" si="95"/>
        <v>2.3728614985422745</v>
      </c>
      <c r="X304" s="14">
        <f t="shared" ca="1" si="96"/>
        <v>0.14380516812439303</v>
      </c>
      <c r="Y304" s="28">
        <f t="shared" ca="1" si="97"/>
        <v>5.7141126407043573E-2</v>
      </c>
      <c r="Z304" s="29">
        <f t="shared" ca="1" si="98"/>
        <v>48.474338000000003</v>
      </c>
      <c r="AA304" s="16">
        <f t="shared" ca="1" si="99"/>
        <v>3.4375737051792823E-2</v>
      </c>
      <c r="AB304" s="2"/>
    </row>
    <row r="305" spans="6:28" x14ac:dyDescent="0.25">
      <c r="F305" s="13">
        <v>303</v>
      </c>
      <c r="G305" s="13">
        <f t="shared" si="80"/>
        <v>50.3</v>
      </c>
      <c r="H305" s="13">
        <f t="shared" si="81"/>
        <v>323.45</v>
      </c>
      <c r="I305" s="14">
        <f t="shared" si="82"/>
        <v>2.5249999999999999</v>
      </c>
      <c r="J305" s="14">
        <f t="shared" si="83"/>
        <v>3564.4759779999999</v>
      </c>
      <c r="K305" s="14">
        <f t="shared" si="84"/>
        <v>2.584475978</v>
      </c>
      <c r="L305" s="14">
        <f t="shared" si="85"/>
        <v>1539.998748</v>
      </c>
      <c r="M305" s="14">
        <v>1534.04</v>
      </c>
      <c r="N305" s="13">
        <f t="shared" si="86"/>
        <v>1.5399987479999999</v>
      </c>
      <c r="O305" s="13">
        <f t="shared" si="87"/>
        <v>1.53813</v>
      </c>
      <c r="P305" s="13">
        <f t="shared" si="88"/>
        <v>1.8687479999999201E-3</v>
      </c>
      <c r="Q305" s="16">
        <f t="shared" si="89"/>
        <v>1.214948021298538E-3</v>
      </c>
      <c r="R305" s="14">
        <f t="shared" ca="1" si="90"/>
        <v>5.6172352274052484</v>
      </c>
      <c r="S305" s="14">
        <f t="shared" si="91"/>
        <v>5.6728880645161288</v>
      </c>
      <c r="T305" s="14">
        <f t="shared" ca="1" si="92"/>
        <v>5.5652837110880427E-2</v>
      </c>
      <c r="U305" s="16">
        <f t="shared" ca="1" si="93"/>
        <v>9.8103182149826811E-3</v>
      </c>
      <c r="V305" s="14">
        <f t="shared" si="94"/>
        <v>2.5249999999999995</v>
      </c>
      <c r="W305" s="14">
        <f t="shared" ca="1" si="95"/>
        <v>2.3827647725947516</v>
      </c>
      <c r="X305" s="14">
        <f t="shared" ca="1" si="96"/>
        <v>0.14223522740524785</v>
      </c>
      <c r="Y305" s="28">
        <f t="shared" ca="1" si="97"/>
        <v>5.6330783130791241E-2</v>
      </c>
      <c r="Z305" s="29">
        <f t="shared" ca="1" si="98"/>
        <v>48.593176999999997</v>
      </c>
      <c r="AA305" s="16">
        <f t="shared" ca="1" si="99"/>
        <v>3.3932862823061634E-2</v>
      </c>
      <c r="AB305" s="2"/>
    </row>
    <row r="306" spans="6:28" x14ac:dyDescent="0.25">
      <c r="F306" s="13">
        <v>304</v>
      </c>
      <c r="G306" s="13">
        <f t="shared" si="80"/>
        <v>50.400000000000006</v>
      </c>
      <c r="H306" s="13">
        <f t="shared" si="81"/>
        <v>323.54999999999995</v>
      </c>
      <c r="I306" s="14">
        <f t="shared" si="82"/>
        <v>2.5333329999999998</v>
      </c>
      <c r="J306" s="14">
        <f t="shared" si="83"/>
        <v>3550.9733769999998</v>
      </c>
      <c r="K306" s="14">
        <f t="shared" si="84"/>
        <v>2.5709733770000001</v>
      </c>
      <c r="L306" s="14">
        <f t="shared" si="85"/>
        <v>1537.501045</v>
      </c>
      <c r="M306" s="14">
        <v>1531.51</v>
      </c>
      <c r="N306" s="13">
        <f t="shared" si="86"/>
        <v>1.5375010449999997</v>
      </c>
      <c r="O306" s="13">
        <f t="shared" si="87"/>
        <v>1.5358399999999999</v>
      </c>
      <c r="P306" s="13">
        <f t="shared" si="88"/>
        <v>1.6610449999998611E-3</v>
      </c>
      <c r="Q306" s="16">
        <f t="shared" si="89"/>
        <v>1.0815221637669686E-3</v>
      </c>
      <c r="R306" s="14">
        <f t="shared" ca="1" si="90"/>
        <v>5.6085311370262385</v>
      </c>
      <c r="S306" s="14">
        <f t="shared" si="91"/>
        <v>5.6644421505376341</v>
      </c>
      <c r="T306" s="14">
        <f t="shared" ca="1" si="92"/>
        <v>5.5911013511395602E-2</v>
      </c>
      <c r="U306" s="16">
        <f t="shared" ca="1" si="93"/>
        <v>9.8705242326623237E-3</v>
      </c>
      <c r="V306" s="14">
        <f t="shared" si="94"/>
        <v>2.5333333333333332</v>
      </c>
      <c r="W306" s="14">
        <f t="shared" ca="1" si="95"/>
        <v>2.3914688629737615</v>
      </c>
      <c r="X306" s="14">
        <f t="shared" ca="1" si="96"/>
        <v>0.14186447035957173</v>
      </c>
      <c r="Y306" s="28">
        <f t="shared" ca="1" si="97"/>
        <v>5.5999133036673053E-2</v>
      </c>
      <c r="Z306" s="29">
        <f t="shared" ca="1" si="98"/>
        <v>48.697626</v>
      </c>
      <c r="AA306" s="16">
        <f t="shared" ca="1" si="99"/>
        <v>3.3777261904762018E-2</v>
      </c>
      <c r="AB306" s="2"/>
    </row>
    <row r="307" spans="6:28" x14ac:dyDescent="0.25">
      <c r="F307" s="13">
        <v>305</v>
      </c>
      <c r="G307" s="13">
        <f t="shared" si="80"/>
        <v>50.5</v>
      </c>
      <c r="H307" s="13">
        <f t="shared" si="81"/>
        <v>323.64999999999998</v>
      </c>
      <c r="I307" s="14">
        <f t="shared" si="82"/>
        <v>2.5416669999999999</v>
      </c>
      <c r="J307" s="14">
        <f t="shared" si="83"/>
        <v>3537.5292530000002</v>
      </c>
      <c r="K307" s="14">
        <f t="shared" si="84"/>
        <v>2.5575292530000002</v>
      </c>
      <c r="L307" s="14">
        <f t="shared" si="85"/>
        <v>1535.003449</v>
      </c>
      <c r="M307" s="14">
        <v>1529.17</v>
      </c>
      <c r="N307" s="13">
        <f t="shared" si="86"/>
        <v>1.535003449</v>
      </c>
      <c r="O307" s="13">
        <f t="shared" si="87"/>
        <v>1.53355</v>
      </c>
      <c r="P307" s="13">
        <f t="shared" si="88"/>
        <v>1.4534489999999956E-3</v>
      </c>
      <c r="Q307" s="16">
        <f t="shared" si="89"/>
        <v>9.477675980567934E-4</v>
      </c>
      <c r="R307" s="14">
        <f t="shared" ca="1" si="90"/>
        <v>5.5982434985422742</v>
      </c>
      <c r="S307" s="14">
        <f t="shared" si="91"/>
        <v>5.6559962365591394</v>
      </c>
      <c r="T307" s="14">
        <f t="shared" ca="1" si="92"/>
        <v>5.7752738016865202E-2</v>
      </c>
      <c r="U307" s="16">
        <f t="shared" ca="1" si="93"/>
        <v>1.021088692449333E-2</v>
      </c>
      <c r="V307" s="14">
        <f t="shared" si="94"/>
        <v>2.5416666666666661</v>
      </c>
      <c r="W307" s="14">
        <f t="shared" ca="1" si="95"/>
        <v>2.4017565014577258</v>
      </c>
      <c r="X307" s="14">
        <f t="shared" ca="1" si="96"/>
        <v>0.13991016520894028</v>
      </c>
      <c r="Y307" s="28">
        <f t="shared" ca="1" si="97"/>
        <v>5.5046622377287996E-2</v>
      </c>
      <c r="Z307" s="29">
        <f t="shared" ca="1" si="98"/>
        <v>48.821078</v>
      </c>
      <c r="AA307" s="16">
        <f t="shared" ca="1" si="99"/>
        <v>3.3245980198019803E-2</v>
      </c>
      <c r="AB307" s="2"/>
    </row>
    <row r="308" spans="6:28" x14ac:dyDescent="0.25">
      <c r="F308" s="13">
        <v>306</v>
      </c>
      <c r="G308" s="13">
        <f t="shared" si="80"/>
        <v>50.6</v>
      </c>
      <c r="H308" s="13">
        <f t="shared" si="81"/>
        <v>323.75</v>
      </c>
      <c r="I308" s="14">
        <f t="shared" si="82"/>
        <v>2.5499999999999998</v>
      </c>
      <c r="J308" s="14">
        <f t="shared" si="83"/>
        <v>3524.143325</v>
      </c>
      <c r="K308" s="14">
        <f t="shared" si="84"/>
        <v>2.5441433250000003</v>
      </c>
      <c r="L308" s="14">
        <f t="shared" si="85"/>
        <v>1532.505979</v>
      </c>
      <c r="M308" s="14">
        <v>1526.63</v>
      </c>
      <c r="N308" s="13">
        <f t="shared" si="86"/>
        <v>1.532505979</v>
      </c>
      <c r="O308" s="13">
        <f t="shared" si="87"/>
        <v>1.5312599999999998</v>
      </c>
      <c r="P308" s="13">
        <f t="shared" si="88"/>
        <v>1.2459790000001192E-3</v>
      </c>
      <c r="Q308" s="16">
        <f t="shared" si="89"/>
        <v>8.1369525750043712E-4</v>
      </c>
      <c r="R308" s="14">
        <f t="shared" ca="1" si="90"/>
        <v>5.590301364431487</v>
      </c>
      <c r="S308" s="14">
        <f t="shared" si="91"/>
        <v>5.6475503225806447</v>
      </c>
      <c r="T308" s="14">
        <f t="shared" ca="1" si="92"/>
        <v>5.7248958149157758E-2</v>
      </c>
      <c r="U308" s="16">
        <f t="shared" ca="1" si="93"/>
        <v>1.0136954056037146E-2</v>
      </c>
      <c r="V308" s="14">
        <f t="shared" si="94"/>
        <v>2.5499999999999998</v>
      </c>
      <c r="W308" s="14">
        <f t="shared" ca="1" si="95"/>
        <v>2.409698635568513</v>
      </c>
      <c r="X308" s="14">
        <f t="shared" ca="1" si="96"/>
        <v>0.14030136443148677</v>
      </c>
      <c r="Y308" s="28">
        <f t="shared" ca="1" si="97"/>
        <v>5.502014291430854E-2</v>
      </c>
      <c r="Z308" s="29">
        <f t="shared" ca="1" si="98"/>
        <v>48.916384000000001</v>
      </c>
      <c r="AA308" s="16">
        <f t="shared" ca="1" si="99"/>
        <v>3.3273043478260884E-2</v>
      </c>
      <c r="AB308" s="2"/>
    </row>
    <row r="309" spans="6:28" x14ac:dyDescent="0.25">
      <c r="F309" s="13">
        <v>307</v>
      </c>
      <c r="G309" s="13">
        <f t="shared" si="80"/>
        <v>50.7</v>
      </c>
      <c r="H309" s="13">
        <f t="shared" si="81"/>
        <v>323.84999999999997</v>
      </c>
      <c r="I309" s="14">
        <f t="shared" si="82"/>
        <v>2.5583330000000002</v>
      </c>
      <c r="J309" s="14">
        <f t="shared" si="83"/>
        <v>3510.8153109999998</v>
      </c>
      <c r="K309" s="14">
        <f t="shared" si="84"/>
        <v>2.530815311</v>
      </c>
      <c r="L309" s="14">
        <f t="shared" si="85"/>
        <v>1530.0086530000001</v>
      </c>
      <c r="M309" s="14">
        <v>1523.91</v>
      </c>
      <c r="N309" s="13">
        <f t="shared" si="86"/>
        <v>1.5300086530000001</v>
      </c>
      <c r="O309" s="13">
        <f t="shared" si="87"/>
        <v>1.5289699999999999</v>
      </c>
      <c r="P309" s="13">
        <f t="shared" si="88"/>
        <v>1.038653000000167E-3</v>
      </c>
      <c r="Q309" s="16">
        <f t="shared" si="89"/>
        <v>6.793154868965167E-4</v>
      </c>
      <c r="R309" s="14">
        <f t="shared" ca="1" si="90"/>
        <v>5.580024498542274</v>
      </c>
      <c r="S309" s="14">
        <f t="shared" si="91"/>
        <v>5.63910440860215</v>
      </c>
      <c r="T309" s="14">
        <f t="shared" ca="1" si="92"/>
        <v>5.9079910059876006E-2</v>
      </c>
      <c r="U309" s="16">
        <f t="shared" ca="1" si="93"/>
        <v>1.047682500252217E-2</v>
      </c>
      <c r="V309" s="14">
        <f t="shared" si="94"/>
        <v>2.5583333333333336</v>
      </c>
      <c r="W309" s="14">
        <f t="shared" ca="1" si="95"/>
        <v>2.419975501457726</v>
      </c>
      <c r="X309" s="14">
        <f t="shared" ca="1" si="96"/>
        <v>0.13835783187560757</v>
      </c>
      <c r="Y309" s="28">
        <f t="shared" ca="1" si="97"/>
        <v>5.4081237215221199E-2</v>
      </c>
      <c r="Z309" s="29">
        <f t="shared" ca="1" si="98"/>
        <v>49.039706000000002</v>
      </c>
      <c r="AA309" s="16">
        <f t="shared" ca="1" si="99"/>
        <v>3.2747416173570028E-2</v>
      </c>
      <c r="AB309" s="2"/>
    </row>
    <row r="310" spans="6:28" x14ac:dyDescent="0.25">
      <c r="F310" s="13">
        <v>308</v>
      </c>
      <c r="G310" s="13">
        <f t="shared" si="80"/>
        <v>50.8</v>
      </c>
      <c r="H310" s="13">
        <f t="shared" si="81"/>
        <v>323.95</v>
      </c>
      <c r="I310" s="14">
        <f t="shared" si="82"/>
        <v>2.5666669999999998</v>
      </c>
      <c r="J310" s="14">
        <f t="shared" si="83"/>
        <v>3497.5449319999998</v>
      </c>
      <c r="K310" s="14">
        <f t="shared" si="84"/>
        <v>2.5175449319999998</v>
      </c>
      <c r="L310" s="14">
        <f t="shared" si="85"/>
        <v>1527.511489</v>
      </c>
      <c r="M310" s="14">
        <v>1521.37</v>
      </c>
      <c r="N310" s="13">
        <f t="shared" si="86"/>
        <v>1.5275114889999999</v>
      </c>
      <c r="O310" s="13">
        <f t="shared" si="87"/>
        <v>1.52668</v>
      </c>
      <c r="P310" s="13">
        <f t="shared" si="88"/>
        <v>8.3148899999985204E-4</v>
      </c>
      <c r="Q310" s="16">
        <f t="shared" si="89"/>
        <v>5.446386931117536E-4</v>
      </c>
      <c r="R310" s="14">
        <f t="shared" ca="1" si="90"/>
        <v>5.5716979999999996</v>
      </c>
      <c r="S310" s="14">
        <f t="shared" si="91"/>
        <v>5.6306584946236562</v>
      </c>
      <c r="T310" s="14">
        <f t="shared" ca="1" si="92"/>
        <v>5.8960494623656601E-2</v>
      </c>
      <c r="U310" s="16">
        <f t="shared" ca="1" si="93"/>
        <v>1.0471332026254847E-2</v>
      </c>
      <c r="V310" s="14">
        <f t="shared" si="94"/>
        <v>2.5666666666666655</v>
      </c>
      <c r="W310" s="14">
        <f t="shared" ca="1" si="95"/>
        <v>2.4283020000000004</v>
      </c>
      <c r="X310" s="14">
        <f t="shared" ca="1" si="96"/>
        <v>0.13836466666666514</v>
      </c>
      <c r="Y310" s="28">
        <f t="shared" ca="1" si="97"/>
        <v>5.3908311688311117E-2</v>
      </c>
      <c r="Z310" s="29">
        <f t="shared" ca="1" si="98"/>
        <v>49.139623999999998</v>
      </c>
      <c r="AA310" s="16">
        <f t="shared" ca="1" si="99"/>
        <v>3.2684566929133851E-2</v>
      </c>
      <c r="AB310" s="2"/>
    </row>
    <row r="311" spans="6:28" x14ac:dyDescent="0.25">
      <c r="F311" s="13">
        <v>309</v>
      </c>
      <c r="G311" s="13">
        <f t="shared" si="80"/>
        <v>50.900000000000006</v>
      </c>
      <c r="H311" s="13">
        <f t="shared" si="81"/>
        <v>324.04999999999995</v>
      </c>
      <c r="I311" s="14">
        <f t="shared" si="82"/>
        <v>2.5750000000000002</v>
      </c>
      <c r="J311" s="14">
        <f t="shared" si="83"/>
        <v>3484.3319080000001</v>
      </c>
      <c r="K311" s="14">
        <f t="shared" si="84"/>
        <v>2.5043319080000002</v>
      </c>
      <c r="L311" s="14">
        <f t="shared" si="85"/>
        <v>1525.0145050000001</v>
      </c>
      <c r="M311" s="14">
        <v>1518.82</v>
      </c>
      <c r="N311" s="13">
        <f t="shared" si="86"/>
        <v>1.5250145050000001</v>
      </c>
      <c r="O311" s="13">
        <f t="shared" si="87"/>
        <v>1.5243899999999999</v>
      </c>
      <c r="P311" s="13">
        <f t="shared" si="88"/>
        <v>6.2450500000021947E-4</v>
      </c>
      <c r="Q311" s="16">
        <f t="shared" si="89"/>
        <v>4.0967534554819929E-4</v>
      </c>
      <c r="R311" s="14">
        <f t="shared" ca="1" si="90"/>
        <v>5.5618084985422742</v>
      </c>
      <c r="S311" s="14">
        <f t="shared" si="91"/>
        <v>5.6222125806451606</v>
      </c>
      <c r="T311" s="14">
        <f t="shared" ca="1" si="92"/>
        <v>6.0404082102886392E-2</v>
      </c>
      <c r="U311" s="16">
        <f t="shared" ca="1" si="93"/>
        <v>1.0743827494326957E-2</v>
      </c>
      <c r="V311" s="14">
        <f t="shared" si="94"/>
        <v>2.5750000000000002</v>
      </c>
      <c r="W311" s="14">
        <f t="shared" ca="1" si="95"/>
        <v>2.4381915014577258</v>
      </c>
      <c r="X311" s="14">
        <f t="shared" ca="1" si="96"/>
        <v>0.13680849854227439</v>
      </c>
      <c r="Y311" s="28">
        <f t="shared" ca="1" si="97"/>
        <v>5.3129513996999764E-2</v>
      </c>
      <c r="Z311" s="29">
        <f t="shared" ca="1" si="98"/>
        <v>49.258298000000003</v>
      </c>
      <c r="AA311" s="16">
        <f t="shared" ca="1" si="99"/>
        <v>3.2253477406679804E-2</v>
      </c>
      <c r="AB311" s="2"/>
    </row>
    <row r="312" spans="6:28" x14ac:dyDescent="0.25">
      <c r="F312" s="13">
        <v>310</v>
      </c>
      <c r="G312" s="13">
        <f t="shared" si="80"/>
        <v>51</v>
      </c>
      <c r="H312" s="13">
        <f t="shared" si="81"/>
        <v>324.14999999999998</v>
      </c>
      <c r="I312" s="14">
        <f t="shared" si="82"/>
        <v>2.5833330000000001</v>
      </c>
      <c r="J312" s="14">
        <f t="shared" si="83"/>
        <v>3471.175964</v>
      </c>
      <c r="K312" s="14">
        <f t="shared" si="84"/>
        <v>2.491175964</v>
      </c>
      <c r="L312" s="14">
        <f t="shared" si="85"/>
        <v>1522.5177180000001</v>
      </c>
      <c r="M312" s="14">
        <v>1516.09</v>
      </c>
      <c r="N312" s="13">
        <f t="shared" si="86"/>
        <v>1.522517718</v>
      </c>
      <c r="O312" s="13">
        <f t="shared" si="87"/>
        <v>1.5221</v>
      </c>
      <c r="P312" s="13">
        <f t="shared" si="88"/>
        <v>4.1771800000001136E-4</v>
      </c>
      <c r="Q312" s="16">
        <f t="shared" si="89"/>
        <v>2.7443531962421084E-4</v>
      </c>
      <c r="R312" s="14">
        <f t="shared" ca="1" si="90"/>
        <v>5.5530868629737613</v>
      </c>
      <c r="S312" s="14">
        <f t="shared" si="91"/>
        <v>5.6137666666666668</v>
      </c>
      <c r="T312" s="14">
        <f t="shared" ca="1" si="92"/>
        <v>6.0679803692905487E-2</v>
      </c>
      <c r="U312" s="16">
        <f t="shared" ca="1" si="93"/>
        <v>1.0809106843219731E-2</v>
      </c>
      <c r="V312" s="14">
        <f t="shared" si="94"/>
        <v>2.583333333333333</v>
      </c>
      <c r="W312" s="14">
        <f t="shared" ca="1" si="95"/>
        <v>2.4469131370262387</v>
      </c>
      <c r="X312" s="14">
        <f t="shared" ca="1" si="96"/>
        <v>0.13642019630709434</v>
      </c>
      <c r="Y312" s="28">
        <f t="shared" ca="1" si="97"/>
        <v>5.280781792532685E-2</v>
      </c>
      <c r="Z312" s="29">
        <f t="shared" ca="1" si="98"/>
        <v>49.362957999999999</v>
      </c>
      <c r="AA312" s="16">
        <f t="shared" ca="1" si="99"/>
        <v>3.2098862745098058E-2</v>
      </c>
      <c r="AB312" s="2"/>
    </row>
    <row r="313" spans="6:28" x14ac:dyDescent="0.25">
      <c r="F313" s="13">
        <v>311</v>
      </c>
      <c r="G313" s="13">
        <f t="shared" si="80"/>
        <v>51.1</v>
      </c>
      <c r="H313" s="13">
        <f t="shared" si="81"/>
        <v>324.25</v>
      </c>
      <c r="I313" s="14">
        <f t="shared" si="82"/>
        <v>2.5916670000000002</v>
      </c>
      <c r="J313" s="14">
        <f t="shared" si="83"/>
        <v>3458.0768229999999</v>
      </c>
      <c r="K313" s="14">
        <f t="shared" si="84"/>
        <v>2.4780768229999999</v>
      </c>
      <c r="L313" s="14">
        <f t="shared" si="85"/>
        <v>1520.021148</v>
      </c>
      <c r="M313" s="14">
        <v>1514.07</v>
      </c>
      <c r="N313" s="13">
        <f t="shared" si="86"/>
        <v>1.5200211479999999</v>
      </c>
      <c r="O313" s="13">
        <f t="shared" si="87"/>
        <v>1.5198099999999999</v>
      </c>
      <c r="P313" s="13">
        <f t="shared" si="88"/>
        <v>2.1114799999999434E-4</v>
      </c>
      <c r="Q313" s="16">
        <f t="shared" si="89"/>
        <v>1.389305242102594E-4</v>
      </c>
      <c r="R313" s="14">
        <f t="shared" ca="1" si="90"/>
        <v>5.5435944985422738</v>
      </c>
      <c r="S313" s="14">
        <f t="shared" si="91"/>
        <v>5.6053207526881712</v>
      </c>
      <c r="T313" s="14">
        <f t="shared" ca="1" si="92"/>
        <v>6.1726254145897386E-2</v>
      </c>
      <c r="U313" s="16">
        <f t="shared" ca="1" si="93"/>
        <v>1.1012082424773823E-2</v>
      </c>
      <c r="V313" s="14">
        <f t="shared" si="94"/>
        <v>2.5916666666666668</v>
      </c>
      <c r="W313" s="14">
        <f t="shared" ca="1" si="95"/>
        <v>2.4564055014577262</v>
      </c>
      <c r="X313" s="14">
        <f t="shared" ca="1" si="96"/>
        <v>0.1352611652089406</v>
      </c>
      <c r="Y313" s="28">
        <f t="shared" ca="1" si="97"/>
        <v>5.2190803296054251E-2</v>
      </c>
      <c r="Z313" s="29">
        <f t="shared" ca="1" si="98"/>
        <v>49.476866000000001</v>
      </c>
      <c r="AA313" s="16">
        <f t="shared" ca="1" si="99"/>
        <v>3.1763874755381609E-2</v>
      </c>
      <c r="AB313" s="2"/>
    </row>
    <row r="314" spans="6:28" x14ac:dyDescent="0.25">
      <c r="F314" s="13">
        <v>312</v>
      </c>
      <c r="G314" s="13">
        <f t="shared" si="80"/>
        <v>51.2</v>
      </c>
      <c r="H314" s="13">
        <f t="shared" si="81"/>
        <v>324.34999999999997</v>
      </c>
      <c r="I314" s="14">
        <f t="shared" si="82"/>
        <v>2.6</v>
      </c>
      <c r="J314" s="14">
        <f t="shared" si="83"/>
        <v>3445.034212</v>
      </c>
      <c r="K314" s="14">
        <f t="shared" si="84"/>
        <v>2.4650342119999999</v>
      </c>
      <c r="L314" s="14">
        <f t="shared" si="85"/>
        <v>1517.5248099999999</v>
      </c>
      <c r="M314" s="14">
        <v>1511.5</v>
      </c>
      <c r="N314" s="13">
        <f t="shared" si="86"/>
        <v>1.5175248100000001</v>
      </c>
      <c r="O314" s="13">
        <f t="shared" si="87"/>
        <v>1.51752</v>
      </c>
      <c r="P314" s="13">
        <f t="shared" si="88"/>
        <v>4.8100000000772525E-6</v>
      </c>
      <c r="Q314" s="16">
        <f t="shared" si="89"/>
        <v>3.1696452106576868E-6</v>
      </c>
      <c r="R314" s="14">
        <f t="shared" ca="1" si="90"/>
        <v>5.5348748629737612</v>
      </c>
      <c r="S314" s="14">
        <f t="shared" si="91"/>
        <v>5.5968748387096774</v>
      </c>
      <c r="T314" s="14">
        <f t="shared" ca="1" si="92"/>
        <v>6.1999975735916202E-2</v>
      </c>
      <c r="U314" s="16">
        <f t="shared" ca="1" si="93"/>
        <v>1.1077606257532442E-2</v>
      </c>
      <c r="V314" s="14">
        <f t="shared" si="94"/>
        <v>2.5999999999999996</v>
      </c>
      <c r="W314" s="14">
        <f t="shared" ca="1" si="95"/>
        <v>2.4651251370262388</v>
      </c>
      <c r="X314" s="14">
        <f t="shared" ca="1" si="96"/>
        <v>0.13487486297376083</v>
      </c>
      <c r="Y314" s="28">
        <f t="shared" ca="1" si="97"/>
        <v>5.1874947297600331E-2</v>
      </c>
      <c r="Z314" s="29">
        <f t="shared" ca="1" si="98"/>
        <v>49.581502</v>
      </c>
      <c r="AA314" s="16">
        <f t="shared" ca="1" si="99"/>
        <v>3.1611289062500048E-2</v>
      </c>
      <c r="AB314" s="2"/>
    </row>
    <row r="315" spans="6:28" x14ac:dyDescent="0.25">
      <c r="F315" s="13">
        <v>313</v>
      </c>
      <c r="G315" s="13">
        <f t="shared" si="80"/>
        <v>51.3</v>
      </c>
      <c r="H315" s="13">
        <f t="shared" si="81"/>
        <v>324.45</v>
      </c>
      <c r="I315" s="14">
        <f t="shared" si="82"/>
        <v>2.608333</v>
      </c>
      <c r="J315" s="14">
        <f t="shared" si="83"/>
        <v>3432.0478589999998</v>
      </c>
      <c r="K315" s="14">
        <f t="shared" si="84"/>
        <v>2.4520478589999999</v>
      </c>
      <c r="L315" s="14">
        <f t="shared" si="85"/>
        <v>1515.028724</v>
      </c>
      <c r="M315" s="14">
        <v>1508.93</v>
      </c>
      <c r="N315" s="13">
        <f t="shared" si="86"/>
        <v>1.515028724</v>
      </c>
      <c r="O315" s="13">
        <f t="shared" si="87"/>
        <v>1.5152300000000001</v>
      </c>
      <c r="P315" s="13">
        <f t="shared" si="88"/>
        <v>2.012760000000835E-4</v>
      </c>
      <c r="Q315" s="16">
        <f t="shared" si="89"/>
        <v>1.3283527913259604E-4</v>
      </c>
      <c r="R315" s="14">
        <f t="shared" ca="1" si="90"/>
        <v>5.525384498542274</v>
      </c>
      <c r="S315" s="14">
        <f t="shared" si="91"/>
        <v>5.5884289247311827</v>
      </c>
      <c r="T315" s="14">
        <f t="shared" ca="1" si="92"/>
        <v>6.3044426188908709E-2</v>
      </c>
      <c r="U315" s="16">
        <f t="shared" ca="1" si="93"/>
        <v>1.1281243268552673E-2</v>
      </c>
      <c r="V315" s="14">
        <f t="shared" si="94"/>
        <v>2.6083333333333325</v>
      </c>
      <c r="W315" s="14">
        <f t="shared" ca="1" si="95"/>
        <v>2.474615501457726</v>
      </c>
      <c r="X315" s="14">
        <f t="shared" ca="1" si="96"/>
        <v>0.13371783187560649</v>
      </c>
      <c r="Y315" s="28">
        <f t="shared" ca="1" si="97"/>
        <v>5.1265622444321993E-2</v>
      </c>
      <c r="Z315" s="29">
        <f t="shared" ca="1" si="98"/>
        <v>49.695385999999999</v>
      </c>
      <c r="AA315" s="16">
        <f t="shared" ca="1" si="99"/>
        <v>3.127902534113057E-2</v>
      </c>
      <c r="AB315" s="2"/>
    </row>
    <row r="316" spans="6:28" x14ac:dyDescent="0.25">
      <c r="F316" s="13">
        <v>314</v>
      </c>
      <c r="G316" s="13">
        <f t="shared" si="80"/>
        <v>51.400000000000006</v>
      </c>
      <c r="H316" s="13">
        <f t="shared" si="81"/>
        <v>324.54999999999995</v>
      </c>
      <c r="I316" s="14">
        <f t="shared" si="82"/>
        <v>2.6166670000000001</v>
      </c>
      <c r="J316" s="14">
        <f t="shared" si="83"/>
        <v>3419.1174919999999</v>
      </c>
      <c r="K316" s="14">
        <f t="shared" si="84"/>
        <v>2.4391174919999998</v>
      </c>
      <c r="L316" s="14">
        <f t="shared" si="85"/>
        <v>1512.532907</v>
      </c>
      <c r="M316" s="14">
        <v>1506.18</v>
      </c>
      <c r="N316" s="13">
        <f t="shared" si="86"/>
        <v>1.512532907</v>
      </c>
      <c r="O316" s="13">
        <f t="shared" si="87"/>
        <v>1.5129399999999997</v>
      </c>
      <c r="P316" s="13">
        <f t="shared" si="88"/>
        <v>4.0709299999974746E-4</v>
      </c>
      <c r="Q316" s="16">
        <f t="shared" si="89"/>
        <v>2.6907412058624103E-4</v>
      </c>
      <c r="R316" s="14">
        <f t="shared" ca="1" si="90"/>
        <v>5.5162804985422742</v>
      </c>
      <c r="S316" s="14">
        <f t="shared" si="91"/>
        <v>5.5799830107526871</v>
      </c>
      <c r="T316" s="14">
        <f t="shared" ca="1" si="92"/>
        <v>6.3702512210412898E-2</v>
      </c>
      <c r="U316" s="16">
        <f t="shared" ca="1" si="93"/>
        <v>1.1416255584946669E-2</v>
      </c>
      <c r="V316" s="14">
        <f t="shared" si="94"/>
        <v>2.6166666666666671</v>
      </c>
      <c r="W316" s="14">
        <f t="shared" ca="1" si="95"/>
        <v>2.4837195014577258</v>
      </c>
      <c r="X316" s="14">
        <f t="shared" ca="1" si="96"/>
        <v>0.13294716520894134</v>
      </c>
      <c r="Y316" s="28">
        <f t="shared" ca="1" si="97"/>
        <v>5.0807833837811969E-2</v>
      </c>
      <c r="Z316" s="29">
        <f t="shared" ca="1" si="98"/>
        <v>49.804634</v>
      </c>
      <c r="AA316" s="16">
        <f t="shared" ca="1" si="99"/>
        <v>3.1038249027237459E-2</v>
      </c>
      <c r="AB316" s="2"/>
    </row>
    <row r="317" spans="6:28" x14ac:dyDescent="0.25">
      <c r="F317" s="13">
        <v>315</v>
      </c>
      <c r="G317" s="13">
        <f t="shared" si="80"/>
        <v>51.5</v>
      </c>
      <c r="H317" s="13">
        <f t="shared" si="81"/>
        <v>324.64999999999998</v>
      </c>
      <c r="I317" s="14">
        <f t="shared" si="82"/>
        <v>2.625</v>
      </c>
      <c r="J317" s="14">
        <f t="shared" si="83"/>
        <v>3406.2428410000002</v>
      </c>
      <c r="K317" s="14">
        <f t="shared" si="84"/>
        <v>2.4262428410000001</v>
      </c>
      <c r="L317" s="14">
        <f t="shared" si="85"/>
        <v>1510.0373770000001</v>
      </c>
      <c r="M317" s="14">
        <v>1503.78</v>
      </c>
      <c r="N317" s="13">
        <f t="shared" si="86"/>
        <v>1.510037377</v>
      </c>
      <c r="O317" s="13">
        <f t="shared" si="87"/>
        <v>1.5106499999999998</v>
      </c>
      <c r="P317" s="13">
        <f t="shared" si="88"/>
        <v>6.126229999998678E-4</v>
      </c>
      <c r="Q317" s="16">
        <f t="shared" si="89"/>
        <v>4.0553602753772738E-4</v>
      </c>
      <c r="R317" s="14">
        <f t="shared" ca="1" si="90"/>
        <v>5.5083561370262384</v>
      </c>
      <c r="S317" s="14">
        <f t="shared" si="91"/>
        <v>5.5715370967741924</v>
      </c>
      <c r="T317" s="14">
        <f t="shared" ca="1" si="92"/>
        <v>6.3180959747954013E-2</v>
      </c>
      <c r="U317" s="16">
        <f t="shared" ca="1" si="93"/>
        <v>1.1339951372581637E-2</v>
      </c>
      <c r="V317" s="14">
        <f t="shared" si="94"/>
        <v>2.6250000000000009</v>
      </c>
      <c r="W317" s="14">
        <f t="shared" ca="1" si="95"/>
        <v>2.4916438629737616</v>
      </c>
      <c r="X317" s="14">
        <f t="shared" ca="1" si="96"/>
        <v>0.13335613702623927</v>
      </c>
      <c r="Y317" s="28">
        <f t="shared" ca="1" si="97"/>
        <v>5.08023379147578E-2</v>
      </c>
      <c r="Z317" s="29">
        <f t="shared" ca="1" si="98"/>
        <v>49.899726000000001</v>
      </c>
      <c r="AA317" s="16">
        <f t="shared" ca="1" si="99"/>
        <v>3.1073281553398037E-2</v>
      </c>
      <c r="AB317" s="2"/>
    </row>
    <row r="318" spans="6:28" x14ac:dyDescent="0.25">
      <c r="F318" s="13">
        <v>316</v>
      </c>
      <c r="G318" s="13">
        <f t="shared" si="80"/>
        <v>51.6</v>
      </c>
      <c r="H318" s="13">
        <f t="shared" si="81"/>
        <v>324.75</v>
      </c>
      <c r="I318" s="14">
        <f t="shared" si="82"/>
        <v>2.6333329999999999</v>
      </c>
      <c r="J318" s="14">
        <f t="shared" si="83"/>
        <v>3393.42364</v>
      </c>
      <c r="K318" s="14">
        <f t="shared" si="84"/>
        <v>2.41342364</v>
      </c>
      <c r="L318" s="14">
        <f t="shared" si="85"/>
        <v>1507.542152</v>
      </c>
      <c r="M318" s="14">
        <v>1501.38</v>
      </c>
      <c r="N318" s="13">
        <f t="shared" si="86"/>
        <v>1.5075421520000001</v>
      </c>
      <c r="O318" s="13">
        <f t="shared" si="87"/>
        <v>1.5083599999999999</v>
      </c>
      <c r="P318" s="13">
        <f t="shared" si="88"/>
        <v>8.1784799999984337E-4</v>
      </c>
      <c r="Q318" s="16">
        <f t="shared" si="89"/>
        <v>5.4221008247357625E-4</v>
      </c>
      <c r="R318" s="14">
        <f t="shared" ca="1" si="90"/>
        <v>5.4988687725947516</v>
      </c>
      <c r="S318" s="14">
        <f t="shared" si="91"/>
        <v>5.5630911827956986</v>
      </c>
      <c r="T318" s="14">
        <f t="shared" ca="1" si="92"/>
        <v>6.4222410200946989E-2</v>
      </c>
      <c r="U318" s="16">
        <f t="shared" ca="1" si="93"/>
        <v>1.1544374897100355E-2</v>
      </c>
      <c r="V318" s="14">
        <f t="shared" si="94"/>
        <v>2.6333333333333329</v>
      </c>
      <c r="W318" s="14">
        <f t="shared" ca="1" si="95"/>
        <v>2.5011312274052484</v>
      </c>
      <c r="X318" s="14">
        <f t="shared" ca="1" si="96"/>
        <v>0.13220210592808446</v>
      </c>
      <c r="Y318" s="28">
        <f t="shared" ca="1" si="97"/>
        <v>5.0203331365095374E-2</v>
      </c>
      <c r="Z318" s="29">
        <f t="shared" ca="1" si="98"/>
        <v>50.013575000000003</v>
      </c>
      <c r="AA318" s="16">
        <f t="shared" ca="1" si="99"/>
        <v>3.0744670542635629E-2</v>
      </c>
      <c r="AB318" s="2"/>
    </row>
    <row r="319" spans="6:28" x14ac:dyDescent="0.25">
      <c r="F319" s="13">
        <v>317</v>
      </c>
      <c r="G319" s="13">
        <f t="shared" si="80"/>
        <v>51.7</v>
      </c>
      <c r="H319" s="13">
        <f t="shared" si="81"/>
        <v>324.84999999999997</v>
      </c>
      <c r="I319" s="14">
        <f t="shared" si="82"/>
        <v>2.641667</v>
      </c>
      <c r="J319" s="14">
        <f t="shared" si="83"/>
        <v>3380.6596199999999</v>
      </c>
      <c r="K319" s="14">
        <f t="shared" si="84"/>
        <v>2.4006596199999999</v>
      </c>
      <c r="L319" s="14">
        <f t="shared" si="85"/>
        <v>1505.0472480000001</v>
      </c>
      <c r="M319" s="14">
        <v>1498.61</v>
      </c>
      <c r="N319" s="13">
        <f t="shared" si="86"/>
        <v>1.5050472479999999</v>
      </c>
      <c r="O319" s="13">
        <f t="shared" si="87"/>
        <v>1.5060699999999998</v>
      </c>
      <c r="P319" s="13">
        <f t="shared" si="88"/>
        <v>1.0227519999999046E-3</v>
      </c>
      <c r="Q319" s="16">
        <f t="shared" si="89"/>
        <v>6.7908662943947143E-4</v>
      </c>
      <c r="R319" s="14">
        <f t="shared" ca="1" si="90"/>
        <v>5.4897472274052488</v>
      </c>
      <c r="S319" s="14">
        <f t="shared" si="91"/>
        <v>5.554645268817203</v>
      </c>
      <c r="T319" s="14">
        <f t="shared" ca="1" si="92"/>
        <v>6.489804141195421E-2</v>
      </c>
      <c r="U319" s="16">
        <f t="shared" ca="1" si="93"/>
        <v>1.1683561824601176E-2</v>
      </c>
      <c r="V319" s="14">
        <f t="shared" si="94"/>
        <v>2.6416666666666675</v>
      </c>
      <c r="W319" s="14">
        <f t="shared" ca="1" si="95"/>
        <v>2.5102527725947512</v>
      </c>
      <c r="X319" s="14">
        <f t="shared" ca="1" si="96"/>
        <v>0.13141389407191628</v>
      </c>
      <c r="Y319" s="28">
        <f t="shared" ca="1" si="97"/>
        <v>4.974658450671908E-2</v>
      </c>
      <c r="Z319" s="29">
        <f t="shared" ca="1" si="98"/>
        <v>50.123033</v>
      </c>
      <c r="AA319" s="16">
        <f t="shared" ca="1" si="99"/>
        <v>3.0502263056092906E-2</v>
      </c>
      <c r="AB319" s="2"/>
    </row>
    <row r="320" spans="6:28" x14ac:dyDescent="0.25">
      <c r="F320" s="13">
        <v>318</v>
      </c>
      <c r="G320" s="13">
        <f t="shared" si="80"/>
        <v>51.8</v>
      </c>
      <c r="H320" s="13">
        <f t="shared" si="81"/>
        <v>324.95</v>
      </c>
      <c r="I320" s="14">
        <f t="shared" si="82"/>
        <v>2.65</v>
      </c>
      <c r="J320" s="14">
        <f t="shared" si="83"/>
        <v>3367.9505170000002</v>
      </c>
      <c r="K320" s="14">
        <f t="shared" si="84"/>
        <v>2.3879505170000002</v>
      </c>
      <c r="L320" s="14">
        <f t="shared" si="85"/>
        <v>1502.5526850000001</v>
      </c>
      <c r="M320" s="14">
        <v>1496.19</v>
      </c>
      <c r="N320" s="13">
        <f t="shared" si="86"/>
        <v>1.5025526849999999</v>
      </c>
      <c r="O320" s="13">
        <f t="shared" si="87"/>
        <v>1.5037799999999999</v>
      </c>
      <c r="P320" s="13">
        <f t="shared" si="88"/>
        <v>1.2273149999999511E-3</v>
      </c>
      <c r="Q320" s="16">
        <f t="shared" si="89"/>
        <v>8.1615329369984387E-4</v>
      </c>
      <c r="R320" s="14">
        <f t="shared" ca="1" si="90"/>
        <v>5.4806590000000002</v>
      </c>
      <c r="S320" s="14">
        <f t="shared" si="91"/>
        <v>5.5461993548387092</v>
      </c>
      <c r="T320" s="14">
        <f t="shared" ca="1" si="92"/>
        <v>6.5540354838709014E-2</v>
      </c>
      <c r="U320" s="16">
        <f t="shared" ca="1" si="93"/>
        <v>1.1817165349732549E-2</v>
      </c>
      <c r="V320" s="14">
        <f t="shared" si="94"/>
        <v>2.6500000000000004</v>
      </c>
      <c r="W320" s="14">
        <f t="shared" ca="1" si="95"/>
        <v>2.5193409999999998</v>
      </c>
      <c r="X320" s="14">
        <f t="shared" ca="1" si="96"/>
        <v>0.13065900000000052</v>
      </c>
      <c r="Y320" s="28">
        <f t="shared" ca="1" si="97"/>
        <v>4.9305283018868114E-2</v>
      </c>
      <c r="Z320" s="29">
        <f t="shared" ca="1" si="98"/>
        <v>50.232092000000002</v>
      </c>
      <c r="AA320" s="16">
        <f t="shared" ca="1" si="99"/>
        <v>3.0268494208494125E-2</v>
      </c>
      <c r="AB320" s="2"/>
    </row>
    <row r="321" spans="6:28" x14ac:dyDescent="0.25">
      <c r="F321" s="13">
        <v>319</v>
      </c>
      <c r="G321" s="13">
        <f t="shared" si="80"/>
        <v>51.900000000000006</v>
      </c>
      <c r="H321" s="13">
        <f t="shared" si="81"/>
        <v>325.04999999999995</v>
      </c>
      <c r="I321" s="14">
        <f t="shared" si="82"/>
        <v>2.6583329999999998</v>
      </c>
      <c r="J321" s="14">
        <f t="shared" si="83"/>
        <v>3355.2960659999999</v>
      </c>
      <c r="K321" s="14">
        <f t="shared" si="84"/>
        <v>2.3752960659999998</v>
      </c>
      <c r="L321" s="14">
        <f t="shared" si="85"/>
        <v>1500.058479</v>
      </c>
      <c r="M321" s="14">
        <v>1493.77</v>
      </c>
      <c r="N321" s="13">
        <f t="shared" si="86"/>
        <v>1.500058479</v>
      </c>
      <c r="O321" s="13">
        <f t="shared" si="87"/>
        <v>1.5014899999999998</v>
      </c>
      <c r="P321" s="13">
        <f t="shared" si="88"/>
        <v>1.4315209999997691E-3</v>
      </c>
      <c r="Q321" s="16">
        <f t="shared" si="89"/>
        <v>9.534002890460605E-4</v>
      </c>
      <c r="R321" s="14">
        <f t="shared" ca="1" si="90"/>
        <v>5.471957137026239</v>
      </c>
      <c r="S321" s="14">
        <f t="shared" si="91"/>
        <v>5.5377534408602136</v>
      </c>
      <c r="T321" s="14">
        <f t="shared" ca="1" si="92"/>
        <v>6.5796303833974612E-2</v>
      </c>
      <c r="U321" s="16">
        <f t="shared" ca="1" si="93"/>
        <v>1.1881407241517431E-2</v>
      </c>
      <c r="V321" s="14">
        <f t="shared" si="94"/>
        <v>2.6583333333333341</v>
      </c>
      <c r="W321" s="14">
        <f t="shared" ca="1" si="95"/>
        <v>2.528042862973761</v>
      </c>
      <c r="X321" s="14">
        <f t="shared" ca="1" si="96"/>
        <v>0.13029047035957309</v>
      </c>
      <c r="Y321" s="28">
        <f t="shared" ca="1" si="97"/>
        <v>4.9012089163475756E-2</v>
      </c>
      <c r="Z321" s="29">
        <f t="shared" ca="1" si="98"/>
        <v>50.336514000000001</v>
      </c>
      <c r="AA321" s="16">
        <f t="shared" ca="1" si="99"/>
        <v>3.0124971098265983E-2</v>
      </c>
      <c r="AB321" s="2"/>
    </row>
    <row r="322" spans="6:28" x14ac:dyDescent="0.25">
      <c r="F322" s="13">
        <v>320</v>
      </c>
      <c r="G322" s="13">
        <f t="shared" si="80"/>
        <v>52</v>
      </c>
      <c r="H322" s="13">
        <f t="shared" si="81"/>
        <v>325.14999999999998</v>
      </c>
      <c r="I322" s="14">
        <f t="shared" si="82"/>
        <v>2.6666669999999999</v>
      </c>
      <c r="J322" s="14">
        <f t="shared" si="83"/>
        <v>3342.6960049999998</v>
      </c>
      <c r="K322" s="14">
        <f t="shared" si="84"/>
        <v>2.3626960049999997</v>
      </c>
      <c r="L322" s="14">
        <f t="shared" si="85"/>
        <v>1497.5646489999999</v>
      </c>
      <c r="M322" s="14">
        <v>1491.35</v>
      </c>
      <c r="N322" s="13">
        <f t="shared" si="86"/>
        <v>1.4975646489999999</v>
      </c>
      <c r="O322" s="13">
        <f t="shared" si="87"/>
        <v>1.4991999999999999</v>
      </c>
      <c r="P322" s="13">
        <f t="shared" si="88"/>
        <v>1.6353510000000071E-3</v>
      </c>
      <c r="Q322" s="16">
        <f t="shared" si="89"/>
        <v>1.0908157684098234E-3</v>
      </c>
      <c r="R322" s="14">
        <f t="shared" ca="1" si="90"/>
        <v>5.4632465014577258</v>
      </c>
      <c r="S322" s="14">
        <f t="shared" si="91"/>
        <v>5.5293075268817198</v>
      </c>
      <c r="T322" s="14">
        <f t="shared" ca="1" si="92"/>
        <v>6.6061025423993947E-2</v>
      </c>
      <c r="U322" s="16">
        <f t="shared" ca="1" si="93"/>
        <v>1.1947431952884955E-2</v>
      </c>
      <c r="V322" s="14">
        <f t="shared" si="94"/>
        <v>2.666666666666667</v>
      </c>
      <c r="W322" s="14">
        <f t="shared" ca="1" si="95"/>
        <v>2.5367534985422742</v>
      </c>
      <c r="X322" s="14">
        <f t="shared" ca="1" si="96"/>
        <v>0.1299131681243928</v>
      </c>
      <c r="Y322" s="28">
        <f t="shared" ca="1" si="97"/>
        <v>4.8717438046647292E-2</v>
      </c>
      <c r="Z322" s="29">
        <f t="shared" ca="1" si="98"/>
        <v>50.441042000000003</v>
      </c>
      <c r="AA322" s="16">
        <f t="shared" ca="1" si="99"/>
        <v>2.997996153846148E-2</v>
      </c>
      <c r="AB322" s="2"/>
    </row>
    <row r="323" spans="6:28" x14ac:dyDescent="0.25">
      <c r="F323" s="13">
        <v>321</v>
      </c>
      <c r="G323" s="13">
        <f t="shared" ref="G323:G386" si="100">F323*0.1+20</f>
        <v>52.1</v>
      </c>
      <c r="H323" s="13">
        <f t="shared" ref="H323:H386" si="101">G323+273.15</f>
        <v>325.25</v>
      </c>
      <c r="I323" s="14">
        <f t="shared" ref="I323:I386" si="102">ROUND(1/12*G323-5/3,6)</f>
        <v>2.6749999999999998</v>
      </c>
      <c r="J323" s="14">
        <f t="shared" ref="J323:J386" si="103">ROUND(10000*EXP(($B$3)+($B$4/H323)+($B$5/(H323^2))+($B$6/(H323^3))),6)</f>
        <v>3330.1500740000001</v>
      </c>
      <c r="K323" s="14">
        <f t="shared" ref="K323:K386" si="104">$B$9*(2*$B$8+J323)-$B$9*$B$10</f>
        <v>2.3501500740000001</v>
      </c>
      <c r="L323" s="14">
        <f t="shared" ref="L323:L386" si="105">ROUND(1/(1/(J323+2*$B$8)+1/($B$7)),6)</f>
        <v>1495.0712109999999</v>
      </c>
      <c r="M323" s="14">
        <v>1488.56</v>
      </c>
      <c r="N323" s="13">
        <f t="shared" ref="N323:N386" si="106">$B$9*(L323+$B$10)*(L323/(L323+$B$10))</f>
        <v>1.495071211</v>
      </c>
      <c r="O323" s="13">
        <f t="shared" ref="O323:O386" si="107">$B$11*G323+$B$12</f>
        <v>1.49691</v>
      </c>
      <c r="P323" s="13">
        <f t="shared" ref="P323:P386" si="108">ABS(N323-O323)</f>
        <v>1.8387890000000073E-3</v>
      </c>
      <c r="Q323" s="16">
        <f t="shared" ref="Q323:Q386" si="109">ABS(O323-N323)/O323</f>
        <v>1.2283898163550297E-3</v>
      </c>
      <c r="R323" s="14">
        <f t="shared" ref="R323:R386" ca="1" si="110">ROUND(N323*$B$29,6)+RANDBETWEEN(-1,1)*$B$24+RANDBETWEEN(-1,1)*$B$25</f>
        <v>5.4525884985422737</v>
      </c>
      <c r="S323" s="14">
        <f t="shared" ref="S323:S386" si="111">O323*$B$23</f>
        <v>5.5208616129032251</v>
      </c>
      <c r="T323" s="14">
        <f t="shared" ref="T323:T386" ca="1" si="112">ABS(R323-S323)</f>
        <v>6.8273114360951404E-2</v>
      </c>
      <c r="U323" s="16">
        <f t="shared" ref="U323:U386" ca="1" si="113">ABS(S323-R323)/S323</f>
        <v>1.2366387558308855E-2</v>
      </c>
      <c r="V323" s="14">
        <f t="shared" ref="V323:V386" si="114">$B$44*S323+$B$45</f>
        <v>2.6749999999999998</v>
      </c>
      <c r="W323" s="14">
        <f t="shared" ref="W323:W386" ca="1" si="115">$B$46*R323+$B$47</f>
        <v>2.5474115014577263</v>
      </c>
      <c r="X323" s="14">
        <f t="shared" ref="X323:X386" ca="1" si="116">ABS(V323-W323)</f>
        <v>0.1275884985422735</v>
      </c>
      <c r="Y323" s="28">
        <f t="shared" ref="Y323:Y386" ca="1" si="117">IF(V323 = 0, ABS(V323-W323)/(V323+0.0001), ABS(V323-W323)/V323)</f>
        <v>4.7696634969074211E-2</v>
      </c>
      <c r="Z323" s="29">
        <f t="shared" ref="Z323:Z386" ca="1" si="118">ROUND((W323+5/3)/(1/12),6)</f>
        <v>50.568938000000003</v>
      </c>
      <c r="AA323" s="16">
        <f t="shared" ref="AA323:AA386" ca="1" si="119">ABS(G323-Z323)/G323</f>
        <v>2.9386986564299396E-2</v>
      </c>
      <c r="AB323" s="2"/>
    </row>
    <row r="324" spans="6:28" x14ac:dyDescent="0.25">
      <c r="F324" s="13">
        <v>322</v>
      </c>
      <c r="G324" s="13">
        <f t="shared" si="100"/>
        <v>52.2</v>
      </c>
      <c r="H324" s="13">
        <f t="shared" si="101"/>
        <v>325.34999999999997</v>
      </c>
      <c r="I324" s="14">
        <f t="shared" si="102"/>
        <v>2.6833330000000002</v>
      </c>
      <c r="J324" s="14">
        <f t="shared" si="103"/>
        <v>3317.658011</v>
      </c>
      <c r="K324" s="14">
        <f t="shared" si="104"/>
        <v>2.3376580110000003</v>
      </c>
      <c r="L324" s="14">
        <f t="shared" si="105"/>
        <v>1492.578184</v>
      </c>
      <c r="M324" s="14">
        <v>1486.3</v>
      </c>
      <c r="N324" s="13">
        <f t="shared" si="106"/>
        <v>1.4925781840000001</v>
      </c>
      <c r="O324" s="13">
        <f t="shared" si="107"/>
        <v>1.4946199999999998</v>
      </c>
      <c r="P324" s="13">
        <f t="shared" si="108"/>
        <v>2.0418159999997521E-3</v>
      </c>
      <c r="Q324" s="16">
        <f t="shared" si="109"/>
        <v>1.3661104494786316E-3</v>
      </c>
      <c r="R324" s="14">
        <f t="shared" ca="1" si="110"/>
        <v>5.4438798629737617</v>
      </c>
      <c r="S324" s="14">
        <f t="shared" si="111"/>
        <v>5.5124156989247304</v>
      </c>
      <c r="T324" s="14">
        <f t="shared" ca="1" si="112"/>
        <v>6.8535835950968682E-2</v>
      </c>
      <c r="U324" s="16">
        <f t="shared" ca="1" si="113"/>
        <v>1.2432994841868966E-2</v>
      </c>
      <c r="V324" s="14">
        <f t="shared" si="114"/>
        <v>2.6833333333333336</v>
      </c>
      <c r="W324" s="14">
        <f t="shared" ca="1" si="115"/>
        <v>2.5561201370262383</v>
      </c>
      <c r="X324" s="14">
        <f t="shared" ca="1" si="116"/>
        <v>0.12721319630709527</v>
      </c>
      <c r="Y324" s="28">
        <f t="shared" ca="1" si="117"/>
        <v>4.7408644586495123E-2</v>
      </c>
      <c r="Z324" s="29">
        <f t="shared" ca="1" si="118"/>
        <v>50.673442000000001</v>
      </c>
      <c r="AA324" s="16">
        <f t="shared" ca="1" si="119"/>
        <v>2.9244406130268224E-2</v>
      </c>
      <c r="AB324" s="2"/>
    </row>
    <row r="325" spans="6:28" x14ac:dyDescent="0.25">
      <c r="F325" s="13">
        <v>323</v>
      </c>
      <c r="G325" s="13">
        <f t="shared" si="100"/>
        <v>52.300000000000004</v>
      </c>
      <c r="H325" s="13">
        <f t="shared" si="101"/>
        <v>325.45</v>
      </c>
      <c r="I325" s="14">
        <f t="shared" si="102"/>
        <v>2.6916669999999998</v>
      </c>
      <c r="J325" s="14">
        <f t="shared" si="103"/>
        <v>3305.2195590000001</v>
      </c>
      <c r="K325" s="14">
        <f t="shared" si="104"/>
        <v>2.3252195590000002</v>
      </c>
      <c r="L325" s="14">
        <f t="shared" si="105"/>
        <v>1490.085585</v>
      </c>
      <c r="M325" s="14">
        <v>1483.68</v>
      </c>
      <c r="N325" s="13">
        <f t="shared" si="106"/>
        <v>1.4900855849999999</v>
      </c>
      <c r="O325" s="13">
        <f t="shared" si="107"/>
        <v>1.4923299999999999</v>
      </c>
      <c r="P325" s="13">
        <f t="shared" si="108"/>
        <v>2.2444150000000551E-3</v>
      </c>
      <c r="Q325" s="16">
        <f t="shared" si="109"/>
        <v>1.5039669510095322E-3</v>
      </c>
      <c r="R325" s="14">
        <f t="shared" ca="1" si="110"/>
        <v>5.4344024985422736</v>
      </c>
      <c r="S325" s="14">
        <f t="shared" si="111"/>
        <v>5.5039697849462357</v>
      </c>
      <c r="T325" s="14">
        <f t="shared" ca="1" si="112"/>
        <v>6.9567286403962036E-2</v>
      </c>
      <c r="U325" s="16">
        <f t="shared" ca="1" si="113"/>
        <v>1.2639474619616137E-2</v>
      </c>
      <c r="V325" s="14">
        <f t="shared" si="114"/>
        <v>2.6916666666666673</v>
      </c>
      <c r="W325" s="14">
        <f t="shared" ca="1" si="115"/>
        <v>2.5655975014577264</v>
      </c>
      <c r="X325" s="14">
        <f t="shared" ca="1" si="116"/>
        <v>0.12606916520894096</v>
      </c>
      <c r="Y325" s="28">
        <f t="shared" ca="1" si="117"/>
        <v>4.6836841563693221E-2</v>
      </c>
      <c r="Z325" s="29">
        <f t="shared" ca="1" si="118"/>
        <v>50.787170000000003</v>
      </c>
      <c r="AA325" s="16">
        <f t="shared" ca="1" si="119"/>
        <v>2.8926003824091794E-2</v>
      </c>
      <c r="AB325" s="2"/>
    </row>
    <row r="326" spans="6:28" x14ac:dyDescent="0.25">
      <c r="F326" s="13">
        <v>324</v>
      </c>
      <c r="G326" s="13">
        <f t="shared" si="100"/>
        <v>52.4</v>
      </c>
      <c r="H326" s="13">
        <f t="shared" si="101"/>
        <v>325.54999999999995</v>
      </c>
      <c r="I326" s="14">
        <f t="shared" si="102"/>
        <v>2.7</v>
      </c>
      <c r="J326" s="14">
        <f t="shared" si="103"/>
        <v>3292.8344619999998</v>
      </c>
      <c r="K326" s="14">
        <f t="shared" si="104"/>
        <v>2.3128344620000001</v>
      </c>
      <c r="L326" s="14">
        <f t="shared" si="105"/>
        <v>1487.593431</v>
      </c>
      <c r="M326" s="14">
        <v>1481.24</v>
      </c>
      <c r="N326" s="13">
        <f t="shared" si="106"/>
        <v>1.4875934309999999</v>
      </c>
      <c r="O326" s="13">
        <f t="shared" si="107"/>
        <v>1.49004</v>
      </c>
      <c r="P326" s="13">
        <f t="shared" si="108"/>
        <v>2.4465690000001761E-3</v>
      </c>
      <c r="Q326" s="16">
        <f t="shared" si="109"/>
        <v>1.6419485382943922E-3</v>
      </c>
      <c r="R326" s="14">
        <f t="shared" ca="1" si="110"/>
        <v>5.4261047725947513</v>
      </c>
      <c r="S326" s="14">
        <f t="shared" si="111"/>
        <v>5.4955238709677419</v>
      </c>
      <c r="T326" s="14">
        <f t="shared" ca="1" si="112"/>
        <v>6.941909837299054E-2</v>
      </c>
      <c r="U326" s="16">
        <f t="shared" ca="1" si="113"/>
        <v>1.2631934644069899E-2</v>
      </c>
      <c r="V326" s="14">
        <f t="shared" si="114"/>
        <v>2.6999999999999993</v>
      </c>
      <c r="W326" s="14">
        <f t="shared" ca="1" si="115"/>
        <v>2.5738952274052487</v>
      </c>
      <c r="X326" s="14">
        <f t="shared" ca="1" si="116"/>
        <v>0.12610477259475061</v>
      </c>
      <c r="Y326" s="28">
        <f t="shared" ca="1" si="117"/>
        <v>4.670547133138913E-2</v>
      </c>
      <c r="Z326" s="29">
        <f t="shared" ca="1" si="118"/>
        <v>50.886743000000003</v>
      </c>
      <c r="AA326" s="16">
        <f t="shared" ca="1" si="119"/>
        <v>2.887895038167931E-2</v>
      </c>
      <c r="AB326" s="2"/>
    </row>
    <row r="327" spans="6:28" x14ac:dyDescent="0.25">
      <c r="F327" s="13">
        <v>325</v>
      </c>
      <c r="G327" s="13">
        <f t="shared" si="100"/>
        <v>52.5</v>
      </c>
      <c r="H327" s="13">
        <f t="shared" si="101"/>
        <v>325.64999999999998</v>
      </c>
      <c r="I327" s="14">
        <f t="shared" si="102"/>
        <v>2.7083330000000001</v>
      </c>
      <c r="J327" s="14">
        <f t="shared" si="103"/>
        <v>3280.5024619999999</v>
      </c>
      <c r="K327" s="14">
        <f t="shared" si="104"/>
        <v>2.3005024619999999</v>
      </c>
      <c r="L327" s="14">
        <f t="shared" si="105"/>
        <v>1485.1017400000001</v>
      </c>
      <c r="M327" s="14">
        <v>1478.44</v>
      </c>
      <c r="N327" s="13">
        <f t="shared" si="106"/>
        <v>1.4851017399999999</v>
      </c>
      <c r="O327" s="13">
        <f t="shared" si="107"/>
        <v>1.4877499999999999</v>
      </c>
      <c r="P327" s="13">
        <f t="shared" si="108"/>
        <v>2.6482599999999579E-3</v>
      </c>
      <c r="Q327" s="16">
        <f t="shared" si="109"/>
        <v>1.7800436901360833E-3</v>
      </c>
      <c r="R327" s="14">
        <f t="shared" ca="1" si="110"/>
        <v>5.4166206355685125</v>
      </c>
      <c r="S327" s="14">
        <f t="shared" si="111"/>
        <v>5.4870779569892463</v>
      </c>
      <c r="T327" s="14">
        <f t="shared" ca="1" si="112"/>
        <v>7.0457321420733798E-2</v>
      </c>
      <c r="U327" s="16">
        <f t="shared" ca="1" si="113"/>
        <v>1.2840590560771558E-2</v>
      </c>
      <c r="V327" s="14">
        <f t="shared" si="114"/>
        <v>2.7083333333333339</v>
      </c>
      <c r="W327" s="14">
        <f t="shared" ca="1" si="115"/>
        <v>2.5833793644314875</v>
      </c>
      <c r="X327" s="14">
        <f t="shared" ca="1" si="116"/>
        <v>0.1249539689018464</v>
      </c>
      <c r="Y327" s="28">
        <f t="shared" ca="1" si="117"/>
        <v>4.6136850056066353E-2</v>
      </c>
      <c r="Z327" s="29">
        <f t="shared" ca="1" si="118"/>
        <v>51.000551999999999</v>
      </c>
      <c r="AA327" s="16">
        <f t="shared" ca="1" si="119"/>
        <v>2.8560914285714306E-2</v>
      </c>
      <c r="AB327" s="2"/>
    </row>
    <row r="328" spans="6:28" x14ac:dyDescent="0.25">
      <c r="F328" s="13">
        <v>326</v>
      </c>
      <c r="G328" s="13">
        <f t="shared" si="100"/>
        <v>52.6</v>
      </c>
      <c r="H328" s="13">
        <f t="shared" si="101"/>
        <v>325.75</v>
      </c>
      <c r="I328" s="14">
        <f t="shared" si="102"/>
        <v>2.7166670000000002</v>
      </c>
      <c r="J328" s="14">
        <f t="shared" si="103"/>
        <v>3268.2233059999999</v>
      </c>
      <c r="K328" s="14">
        <f t="shared" si="104"/>
        <v>2.2882233059999999</v>
      </c>
      <c r="L328" s="14">
        <f t="shared" si="105"/>
        <v>1482.610529</v>
      </c>
      <c r="M328" s="14">
        <v>1476.5</v>
      </c>
      <c r="N328" s="13">
        <f t="shared" si="106"/>
        <v>1.4826105290000002</v>
      </c>
      <c r="O328" s="13">
        <f t="shared" si="107"/>
        <v>1.48546</v>
      </c>
      <c r="P328" s="13">
        <f t="shared" si="108"/>
        <v>2.8494709999997703E-3</v>
      </c>
      <c r="Q328" s="16">
        <f t="shared" si="109"/>
        <v>1.9182414874852035E-3</v>
      </c>
      <c r="R328" s="14">
        <f t="shared" ca="1" si="110"/>
        <v>5.4075336355685124</v>
      </c>
      <c r="S328" s="14">
        <f t="shared" si="111"/>
        <v>5.4786320430107525</v>
      </c>
      <c r="T328" s="14">
        <f t="shared" ca="1" si="112"/>
        <v>7.1098407442240052E-2</v>
      </c>
      <c r="U328" s="16">
        <f t="shared" ca="1" si="113"/>
        <v>1.2977401454244829E-2</v>
      </c>
      <c r="V328" s="14">
        <f t="shared" si="114"/>
        <v>2.7166666666666668</v>
      </c>
      <c r="W328" s="14">
        <f t="shared" ca="1" si="115"/>
        <v>2.5924663644314876</v>
      </c>
      <c r="X328" s="14">
        <f t="shared" ca="1" si="116"/>
        <v>0.12420030223517919</v>
      </c>
      <c r="Y328" s="28">
        <f t="shared" ca="1" si="117"/>
        <v>4.5717902663256142E-2</v>
      </c>
      <c r="Z328" s="29">
        <f t="shared" ca="1" si="118"/>
        <v>51.109596000000003</v>
      </c>
      <c r="AA328" s="16">
        <f t="shared" ca="1" si="119"/>
        <v>2.8334676806083613E-2</v>
      </c>
      <c r="AB328" s="2"/>
    </row>
    <row r="329" spans="6:28" x14ac:dyDescent="0.25">
      <c r="F329" s="13">
        <v>327</v>
      </c>
      <c r="G329" s="13">
        <f t="shared" si="100"/>
        <v>52.7</v>
      </c>
      <c r="H329" s="13">
        <f t="shared" si="101"/>
        <v>325.84999999999997</v>
      </c>
      <c r="I329" s="14">
        <f t="shared" si="102"/>
        <v>2.7250000000000001</v>
      </c>
      <c r="J329" s="14">
        <f t="shared" si="103"/>
        <v>3255.99674</v>
      </c>
      <c r="K329" s="14">
        <f t="shared" si="104"/>
        <v>2.2759967400000001</v>
      </c>
      <c r="L329" s="14">
        <f t="shared" si="105"/>
        <v>1480.1198159999999</v>
      </c>
      <c r="M329" s="14">
        <v>1473.69</v>
      </c>
      <c r="N329" s="13">
        <f t="shared" si="106"/>
        <v>1.480119816</v>
      </c>
      <c r="O329" s="13">
        <f t="shared" si="107"/>
        <v>1.4831699999999999</v>
      </c>
      <c r="P329" s="13">
        <f t="shared" si="108"/>
        <v>3.0501839999999003E-3</v>
      </c>
      <c r="Q329" s="16">
        <f t="shared" si="109"/>
        <v>2.0565302696251278E-3</v>
      </c>
      <c r="R329" s="14">
        <f t="shared" ca="1" si="110"/>
        <v>5.3984486355685126</v>
      </c>
      <c r="S329" s="14">
        <f t="shared" si="111"/>
        <v>5.4701861290322578</v>
      </c>
      <c r="T329" s="14">
        <f t="shared" ca="1" si="112"/>
        <v>7.1737493463745139E-2</v>
      </c>
      <c r="U329" s="16">
        <f t="shared" ca="1" si="113"/>
        <v>1.3114269198813601E-2</v>
      </c>
      <c r="V329" s="14">
        <f t="shared" si="114"/>
        <v>2.7249999999999996</v>
      </c>
      <c r="W329" s="14">
        <f t="shared" ca="1" si="115"/>
        <v>2.6015513644314874</v>
      </c>
      <c r="X329" s="14">
        <f t="shared" ca="1" si="116"/>
        <v>0.12344863556851227</v>
      </c>
      <c r="Y329" s="28">
        <f t="shared" ca="1" si="117"/>
        <v>4.5302251584775147E-2</v>
      </c>
      <c r="Z329" s="29">
        <f t="shared" ca="1" si="118"/>
        <v>51.218615999999997</v>
      </c>
      <c r="AA329" s="16">
        <f t="shared" ca="1" si="119"/>
        <v>2.8109753320683217E-2</v>
      </c>
      <c r="AB329" s="2"/>
    </row>
    <row r="330" spans="6:28" x14ac:dyDescent="0.25">
      <c r="F330" s="13">
        <v>328</v>
      </c>
      <c r="G330" s="13">
        <f t="shared" si="100"/>
        <v>52.800000000000004</v>
      </c>
      <c r="H330" s="13">
        <f t="shared" si="101"/>
        <v>325.95</v>
      </c>
      <c r="I330" s="14">
        <f t="shared" si="102"/>
        <v>2.733333</v>
      </c>
      <c r="J330" s="14">
        <f t="shared" si="103"/>
        <v>3243.822514</v>
      </c>
      <c r="K330" s="14">
        <f t="shared" si="104"/>
        <v>2.2638225140000001</v>
      </c>
      <c r="L330" s="14">
        <f t="shared" si="105"/>
        <v>1477.629619</v>
      </c>
      <c r="M330" s="14">
        <v>1471.4</v>
      </c>
      <c r="N330" s="13">
        <f t="shared" si="106"/>
        <v>1.4776296190000002</v>
      </c>
      <c r="O330" s="13">
        <f t="shared" si="107"/>
        <v>1.4808799999999998</v>
      </c>
      <c r="P330" s="13">
        <f t="shared" si="108"/>
        <v>3.2503809999995248E-3</v>
      </c>
      <c r="Q330" s="16">
        <f t="shared" si="109"/>
        <v>2.1948983037109863E-3</v>
      </c>
      <c r="R330" s="14">
        <f t="shared" ca="1" si="110"/>
        <v>5.3889684985422743</v>
      </c>
      <c r="S330" s="14">
        <f t="shared" si="111"/>
        <v>5.4617402150537622</v>
      </c>
      <c r="T330" s="14">
        <f t="shared" ca="1" si="112"/>
        <v>7.2771716511487838E-2</v>
      </c>
      <c r="U330" s="16">
        <f t="shared" ca="1" si="113"/>
        <v>1.3323906602315671E-2</v>
      </c>
      <c r="V330" s="14">
        <f t="shared" si="114"/>
        <v>2.7333333333333343</v>
      </c>
      <c r="W330" s="14">
        <f t="shared" ca="1" si="115"/>
        <v>2.6110315014577257</v>
      </c>
      <c r="X330" s="14">
        <f t="shared" ca="1" si="116"/>
        <v>0.12230183187560861</v>
      </c>
      <c r="Y330" s="28">
        <f t="shared" ca="1" si="117"/>
        <v>4.4744572637417768E-2</v>
      </c>
      <c r="Z330" s="29">
        <f t="shared" ca="1" si="118"/>
        <v>51.332377999999999</v>
      </c>
      <c r="AA330" s="16">
        <f t="shared" ca="1" si="119"/>
        <v>2.779587121212132E-2</v>
      </c>
      <c r="AB330" s="2"/>
    </row>
    <row r="331" spans="6:28" x14ac:dyDescent="0.25">
      <c r="F331" s="13">
        <v>329</v>
      </c>
      <c r="G331" s="13">
        <f t="shared" si="100"/>
        <v>52.9</v>
      </c>
      <c r="H331" s="13">
        <f t="shared" si="101"/>
        <v>326.04999999999995</v>
      </c>
      <c r="I331" s="14">
        <f t="shared" si="102"/>
        <v>2.7416670000000001</v>
      </c>
      <c r="J331" s="14">
        <f t="shared" si="103"/>
        <v>3231.7003759999998</v>
      </c>
      <c r="K331" s="14">
        <f t="shared" si="104"/>
        <v>2.2517003760000001</v>
      </c>
      <c r="L331" s="14">
        <f t="shared" si="105"/>
        <v>1475.1399530000001</v>
      </c>
      <c r="M331" s="14">
        <v>1468.75</v>
      </c>
      <c r="N331" s="13">
        <f t="shared" si="106"/>
        <v>1.475139953</v>
      </c>
      <c r="O331" s="13">
        <f t="shared" si="107"/>
        <v>1.4785900000000001</v>
      </c>
      <c r="P331" s="13">
        <f t="shared" si="108"/>
        <v>3.4500470000000671E-3</v>
      </c>
      <c r="Q331" s="16">
        <f t="shared" si="109"/>
        <v>2.3333358131734064E-3</v>
      </c>
      <c r="R331" s="14">
        <f t="shared" ca="1" si="110"/>
        <v>5.3806797725947515</v>
      </c>
      <c r="S331" s="14">
        <f t="shared" si="111"/>
        <v>5.4532943010752692</v>
      </c>
      <c r="T331" s="14">
        <f t="shared" ca="1" si="112"/>
        <v>7.2614528480517748E-2</v>
      </c>
      <c r="U331" s="16">
        <f t="shared" ca="1" si="113"/>
        <v>1.3315717889313211E-2</v>
      </c>
      <c r="V331" s="14">
        <f t="shared" si="114"/>
        <v>2.7416666666666654</v>
      </c>
      <c r="W331" s="14">
        <f t="shared" ca="1" si="115"/>
        <v>2.6193202274052485</v>
      </c>
      <c r="X331" s="14">
        <f t="shared" ca="1" si="116"/>
        <v>0.12234643926141686</v>
      </c>
      <c r="Y331" s="28">
        <f t="shared" ca="1" si="117"/>
        <v>4.4624841067994012E-2</v>
      </c>
      <c r="Z331" s="29">
        <f t="shared" ca="1" si="118"/>
        <v>51.431843000000001</v>
      </c>
      <c r="AA331" s="16">
        <f t="shared" ca="1" si="119"/>
        <v>2.7753440453686162E-2</v>
      </c>
      <c r="AB331" s="2"/>
    </row>
    <row r="332" spans="6:28" x14ac:dyDescent="0.25">
      <c r="F332" s="13">
        <v>330</v>
      </c>
      <c r="G332" s="13">
        <f t="shared" si="100"/>
        <v>53</v>
      </c>
      <c r="H332" s="13">
        <f t="shared" si="101"/>
        <v>326.14999999999998</v>
      </c>
      <c r="I332" s="14">
        <f t="shared" si="102"/>
        <v>2.75</v>
      </c>
      <c r="J332" s="14">
        <f t="shared" si="103"/>
        <v>3219.6300780000001</v>
      </c>
      <c r="K332" s="14">
        <f t="shared" si="104"/>
        <v>2.2396300780000002</v>
      </c>
      <c r="L332" s="14">
        <f t="shared" si="105"/>
        <v>1472.650838</v>
      </c>
      <c r="M332" s="14">
        <v>1466.27</v>
      </c>
      <c r="N332" s="13">
        <f t="shared" si="106"/>
        <v>1.4726508379999999</v>
      </c>
      <c r="O332" s="13">
        <f t="shared" si="107"/>
        <v>1.4762999999999999</v>
      </c>
      <c r="P332" s="13">
        <f t="shared" si="108"/>
        <v>3.6491620000000946E-3</v>
      </c>
      <c r="Q332" s="16">
        <f t="shared" si="109"/>
        <v>2.4718295739349014E-3</v>
      </c>
      <c r="R332" s="14">
        <f t="shared" ca="1" si="110"/>
        <v>5.3711938629737617</v>
      </c>
      <c r="S332" s="14">
        <f t="shared" si="111"/>
        <v>5.4448483870967737</v>
      </c>
      <c r="T332" s="14">
        <f t="shared" ca="1" si="112"/>
        <v>7.3654524123011988E-2</v>
      </c>
      <c r="U332" s="16">
        <f t="shared" ca="1" si="113"/>
        <v>1.3527378337578473E-2</v>
      </c>
      <c r="V332" s="14">
        <f t="shared" si="114"/>
        <v>2.75</v>
      </c>
      <c r="W332" s="14">
        <f t="shared" ca="1" si="115"/>
        <v>2.6288061370262383</v>
      </c>
      <c r="X332" s="14">
        <f t="shared" ca="1" si="116"/>
        <v>0.12119386297376167</v>
      </c>
      <c r="Y332" s="28">
        <f t="shared" ca="1" si="117"/>
        <v>4.4070495626822422E-2</v>
      </c>
      <c r="Z332" s="29">
        <f t="shared" ca="1" si="118"/>
        <v>51.545673999999998</v>
      </c>
      <c r="AA332" s="16">
        <f t="shared" ca="1" si="119"/>
        <v>2.7440113207547204E-2</v>
      </c>
      <c r="AB332" s="2"/>
    </row>
    <row r="333" spans="6:28" x14ac:dyDescent="0.25">
      <c r="F333" s="13">
        <v>331</v>
      </c>
      <c r="G333" s="13">
        <f t="shared" si="100"/>
        <v>53.1</v>
      </c>
      <c r="H333" s="13">
        <f t="shared" si="101"/>
        <v>326.25</v>
      </c>
      <c r="I333" s="14">
        <f t="shared" si="102"/>
        <v>2.7583329999999999</v>
      </c>
      <c r="J333" s="14">
        <f t="shared" si="103"/>
        <v>3207.6113730000002</v>
      </c>
      <c r="K333" s="14">
        <f t="shared" si="104"/>
        <v>2.2276113730000002</v>
      </c>
      <c r="L333" s="14">
        <f t="shared" si="105"/>
        <v>1470.1622890000001</v>
      </c>
      <c r="M333" s="14">
        <v>1463.79</v>
      </c>
      <c r="N333" s="13">
        <f t="shared" si="106"/>
        <v>1.4701622890000001</v>
      </c>
      <c r="O333" s="13">
        <f t="shared" si="107"/>
        <v>1.4740099999999998</v>
      </c>
      <c r="P333" s="13">
        <f t="shared" si="108"/>
        <v>3.8477109999996983E-3</v>
      </c>
      <c r="Q333" s="16">
        <f t="shared" si="109"/>
        <v>2.6103696718473408E-3</v>
      </c>
      <c r="R333" s="14">
        <f t="shared" ca="1" si="110"/>
        <v>5.3625129999999999</v>
      </c>
      <c r="S333" s="14">
        <f t="shared" si="111"/>
        <v>5.436402473118279</v>
      </c>
      <c r="T333" s="14">
        <f t="shared" ca="1" si="112"/>
        <v>7.3889473118279092E-2</v>
      </c>
      <c r="U333" s="16">
        <f t="shared" ca="1" si="113"/>
        <v>1.3591612005116438E-2</v>
      </c>
      <c r="V333" s="14">
        <f t="shared" si="114"/>
        <v>2.7583333333333337</v>
      </c>
      <c r="W333" s="14">
        <f t="shared" ca="1" si="115"/>
        <v>2.6374870000000001</v>
      </c>
      <c r="X333" s="14">
        <f t="shared" ca="1" si="116"/>
        <v>0.12084633333333361</v>
      </c>
      <c r="Y333" s="28">
        <f t="shared" ca="1" si="117"/>
        <v>4.381135951661641E-2</v>
      </c>
      <c r="Z333" s="29">
        <f t="shared" ca="1" si="118"/>
        <v>51.649844000000002</v>
      </c>
      <c r="AA333" s="16">
        <f t="shared" ca="1" si="119"/>
        <v>2.7309905838041427E-2</v>
      </c>
      <c r="AB333" s="2"/>
    </row>
    <row r="334" spans="6:28" x14ac:dyDescent="0.25">
      <c r="F334" s="13">
        <v>332</v>
      </c>
      <c r="G334" s="13">
        <f t="shared" si="100"/>
        <v>53.2</v>
      </c>
      <c r="H334" s="13">
        <f t="shared" si="101"/>
        <v>326.34999999999997</v>
      </c>
      <c r="I334" s="14">
        <f t="shared" si="102"/>
        <v>2.766667</v>
      </c>
      <c r="J334" s="14">
        <f t="shared" si="103"/>
        <v>3195.6440120000002</v>
      </c>
      <c r="K334" s="14">
        <f t="shared" si="104"/>
        <v>2.2156440120000003</v>
      </c>
      <c r="L334" s="14">
        <f t="shared" si="105"/>
        <v>1467.674325</v>
      </c>
      <c r="M334" s="14">
        <v>1460.96</v>
      </c>
      <c r="N334" s="13">
        <f t="shared" si="106"/>
        <v>1.4676743249999999</v>
      </c>
      <c r="O334" s="13">
        <f t="shared" si="107"/>
        <v>1.4717199999999999</v>
      </c>
      <c r="P334" s="13">
        <f t="shared" si="108"/>
        <v>4.0456749999999708E-3</v>
      </c>
      <c r="Q334" s="16">
        <f t="shared" si="109"/>
        <v>2.7489434131492208E-3</v>
      </c>
      <c r="R334" s="14">
        <f t="shared" ca="1" si="110"/>
        <v>5.3538341370262383</v>
      </c>
      <c r="S334" s="14">
        <f t="shared" si="111"/>
        <v>5.4279565591397843</v>
      </c>
      <c r="T334" s="14">
        <f t="shared" ca="1" si="112"/>
        <v>7.4122422113545916E-2</v>
      </c>
      <c r="U334" s="16">
        <f t="shared" ca="1" si="113"/>
        <v>1.3655677105362233E-2</v>
      </c>
      <c r="V334" s="14">
        <f t="shared" si="114"/>
        <v>2.7666666666666666</v>
      </c>
      <c r="W334" s="14">
        <f t="shared" ca="1" si="115"/>
        <v>2.6461658629737617</v>
      </c>
      <c r="X334" s="14">
        <f t="shared" ca="1" si="116"/>
        <v>0.12050080369290495</v>
      </c>
      <c r="Y334" s="28">
        <f t="shared" ca="1" si="117"/>
        <v>4.3554507358881306E-2</v>
      </c>
      <c r="Z334" s="29">
        <f t="shared" ca="1" si="118"/>
        <v>51.753990000000002</v>
      </c>
      <c r="AA334" s="16">
        <f t="shared" ca="1" si="119"/>
        <v>2.7180639097744382E-2</v>
      </c>
      <c r="AB334" s="2"/>
    </row>
    <row r="335" spans="6:28" x14ac:dyDescent="0.25">
      <c r="F335" s="13">
        <v>333</v>
      </c>
      <c r="G335" s="13">
        <f t="shared" si="100"/>
        <v>53.300000000000004</v>
      </c>
      <c r="H335" s="13">
        <f t="shared" si="101"/>
        <v>326.45</v>
      </c>
      <c r="I335" s="14">
        <f t="shared" si="102"/>
        <v>2.7749999999999999</v>
      </c>
      <c r="J335" s="14">
        <f t="shared" si="103"/>
        <v>3183.7277530000001</v>
      </c>
      <c r="K335" s="14">
        <f t="shared" si="104"/>
        <v>2.2037277530000003</v>
      </c>
      <c r="L335" s="14">
        <f t="shared" si="105"/>
        <v>1465.186962</v>
      </c>
      <c r="M335" s="14">
        <v>1458.81</v>
      </c>
      <c r="N335" s="13">
        <f t="shared" si="106"/>
        <v>1.4651869620000002</v>
      </c>
      <c r="O335" s="13">
        <f t="shared" si="107"/>
        <v>1.4694299999999998</v>
      </c>
      <c r="P335" s="13">
        <f t="shared" si="108"/>
        <v>4.2430379999995882E-3</v>
      </c>
      <c r="Q335" s="16">
        <f t="shared" si="109"/>
        <v>2.88754006655614E-3</v>
      </c>
      <c r="R335" s="14">
        <f t="shared" ca="1" si="110"/>
        <v>5.3443757725947512</v>
      </c>
      <c r="S335" s="14">
        <f t="shared" si="111"/>
        <v>5.4195106451612896</v>
      </c>
      <c r="T335" s="14">
        <f t="shared" ca="1" si="112"/>
        <v>7.5134872566538391E-2</v>
      </c>
      <c r="U335" s="16">
        <f t="shared" ca="1" si="113"/>
        <v>1.386377433055163E-2</v>
      </c>
      <c r="V335" s="14">
        <f t="shared" si="114"/>
        <v>2.7750000000000004</v>
      </c>
      <c r="W335" s="14">
        <f t="shared" ca="1" si="115"/>
        <v>2.6556242274052488</v>
      </c>
      <c r="X335" s="14">
        <f t="shared" ca="1" si="116"/>
        <v>0.11937577259475152</v>
      </c>
      <c r="Y335" s="28">
        <f t="shared" ca="1" si="117"/>
        <v>4.3018296430541079E-2</v>
      </c>
      <c r="Z335" s="29">
        <f t="shared" ca="1" si="118"/>
        <v>51.867491000000001</v>
      </c>
      <c r="AA335" s="16">
        <f t="shared" ca="1" si="119"/>
        <v>2.687634146341469E-2</v>
      </c>
      <c r="AB335" s="2"/>
    </row>
    <row r="336" spans="6:28" x14ac:dyDescent="0.25">
      <c r="F336" s="13">
        <v>334</v>
      </c>
      <c r="G336" s="13">
        <f t="shared" si="100"/>
        <v>53.4</v>
      </c>
      <c r="H336" s="13">
        <f t="shared" si="101"/>
        <v>326.54999999999995</v>
      </c>
      <c r="I336" s="14">
        <f t="shared" si="102"/>
        <v>2.7833329999999998</v>
      </c>
      <c r="J336" s="14">
        <f t="shared" si="103"/>
        <v>3171.8623499999999</v>
      </c>
      <c r="K336" s="14">
        <f t="shared" si="104"/>
        <v>2.1918623500000001</v>
      </c>
      <c r="L336" s="14">
        <f t="shared" si="105"/>
        <v>1462.7002179999999</v>
      </c>
      <c r="M336" s="14">
        <v>1456.32</v>
      </c>
      <c r="N336" s="13">
        <f t="shared" si="106"/>
        <v>1.4627002180000002</v>
      </c>
      <c r="O336" s="13">
        <f t="shared" si="107"/>
        <v>1.4671399999999999</v>
      </c>
      <c r="P336" s="13">
        <f t="shared" si="108"/>
        <v>4.4397819999997257E-3</v>
      </c>
      <c r="Q336" s="16">
        <f t="shared" si="109"/>
        <v>3.0261474705888503E-3</v>
      </c>
      <c r="R336" s="14">
        <f t="shared" ca="1" si="110"/>
        <v>5.3356803644314876</v>
      </c>
      <c r="S336" s="14">
        <f t="shared" si="111"/>
        <v>5.4110647311827949</v>
      </c>
      <c r="T336" s="14">
        <f t="shared" ca="1" si="112"/>
        <v>7.5384366751307219E-2</v>
      </c>
      <c r="U336" s="16">
        <f t="shared" ca="1" si="113"/>
        <v>1.3931521890115902E-2</v>
      </c>
      <c r="V336" s="14">
        <f t="shared" si="114"/>
        <v>2.7833333333333332</v>
      </c>
      <c r="W336" s="14">
        <f t="shared" ca="1" si="115"/>
        <v>2.6643196355685124</v>
      </c>
      <c r="X336" s="14">
        <f t="shared" ca="1" si="116"/>
        <v>0.11901369776482085</v>
      </c>
      <c r="Y336" s="28">
        <f t="shared" ca="1" si="117"/>
        <v>4.2759412370594316E-2</v>
      </c>
      <c r="Z336" s="29">
        <f t="shared" ca="1" si="118"/>
        <v>51.971836000000003</v>
      </c>
      <c r="AA336" s="16">
        <f t="shared" ca="1" si="119"/>
        <v>2.6744644194756466E-2</v>
      </c>
      <c r="AB336" s="2"/>
    </row>
    <row r="337" spans="6:28" x14ac:dyDescent="0.25">
      <c r="F337" s="13">
        <v>335</v>
      </c>
      <c r="G337" s="13">
        <f t="shared" si="100"/>
        <v>53.5</v>
      </c>
      <c r="H337" s="13">
        <f t="shared" si="101"/>
        <v>326.64999999999998</v>
      </c>
      <c r="I337" s="14">
        <f t="shared" si="102"/>
        <v>2.7916669999999999</v>
      </c>
      <c r="J337" s="14">
        <f t="shared" si="103"/>
        <v>3160.0475609999999</v>
      </c>
      <c r="K337" s="14">
        <f t="shared" si="104"/>
        <v>2.1800475609999999</v>
      </c>
      <c r="L337" s="14">
        <f t="shared" si="105"/>
        <v>1460.2141099999999</v>
      </c>
      <c r="M337" s="14">
        <v>1453.47</v>
      </c>
      <c r="N337" s="13">
        <f t="shared" si="106"/>
        <v>1.4602141099999999</v>
      </c>
      <c r="O337" s="13">
        <f t="shared" si="107"/>
        <v>1.46485</v>
      </c>
      <c r="P337" s="13">
        <f t="shared" si="108"/>
        <v>4.6358900000000869E-3</v>
      </c>
      <c r="Q337" s="16">
        <f t="shared" si="109"/>
        <v>3.1647540703826924E-3</v>
      </c>
      <c r="R337" s="14">
        <f t="shared" ca="1" si="110"/>
        <v>5.3262260000000001</v>
      </c>
      <c r="S337" s="14">
        <f t="shared" si="111"/>
        <v>5.402618817204301</v>
      </c>
      <c r="T337" s="14">
        <f t="shared" ca="1" si="112"/>
        <v>7.6392817204300911E-2</v>
      </c>
      <c r="U337" s="16">
        <f t="shared" ca="1" si="113"/>
        <v>1.4139960598558753E-2</v>
      </c>
      <c r="V337" s="14">
        <f t="shared" si="114"/>
        <v>2.7916666666666661</v>
      </c>
      <c r="W337" s="14">
        <f t="shared" ca="1" si="115"/>
        <v>2.6737739999999999</v>
      </c>
      <c r="X337" s="14">
        <f t="shared" ca="1" si="116"/>
        <v>0.1178926666666662</v>
      </c>
      <c r="Y337" s="28">
        <f t="shared" ca="1" si="117"/>
        <v>4.2230208955223725E-2</v>
      </c>
      <c r="Z337" s="29">
        <f t="shared" ca="1" si="118"/>
        <v>52.085287999999998</v>
      </c>
      <c r="AA337" s="16">
        <f t="shared" ca="1" si="119"/>
        <v>2.6443214953271055E-2</v>
      </c>
      <c r="AB337" s="2"/>
    </row>
    <row r="338" spans="6:28" x14ac:dyDescent="0.25">
      <c r="F338" s="13">
        <v>336</v>
      </c>
      <c r="G338" s="13">
        <f t="shared" si="100"/>
        <v>53.6</v>
      </c>
      <c r="H338" s="13">
        <f t="shared" si="101"/>
        <v>326.75</v>
      </c>
      <c r="I338" s="14">
        <f t="shared" si="102"/>
        <v>2.8</v>
      </c>
      <c r="J338" s="14">
        <f t="shared" si="103"/>
        <v>3148.2831449999999</v>
      </c>
      <c r="K338" s="14">
        <f t="shared" si="104"/>
        <v>2.1682831449999997</v>
      </c>
      <c r="L338" s="14">
        <f t="shared" si="105"/>
        <v>1457.728654</v>
      </c>
      <c r="M338" s="14">
        <v>1450.97</v>
      </c>
      <c r="N338" s="13">
        <f t="shared" si="106"/>
        <v>1.4577286540000001</v>
      </c>
      <c r="O338" s="13">
        <f t="shared" si="107"/>
        <v>1.4625599999999999</v>
      </c>
      <c r="P338" s="13">
        <f t="shared" si="108"/>
        <v>4.8313459999997921E-3</v>
      </c>
      <c r="Q338" s="16">
        <f t="shared" si="109"/>
        <v>3.3033489224372284E-3</v>
      </c>
      <c r="R338" s="14">
        <f t="shared" ca="1" si="110"/>
        <v>5.3163784985422744</v>
      </c>
      <c r="S338" s="14">
        <f t="shared" si="111"/>
        <v>5.3941729032258054</v>
      </c>
      <c r="T338" s="14">
        <f t="shared" ca="1" si="112"/>
        <v>7.7794404683531049E-2</v>
      </c>
      <c r="U338" s="16">
        <f t="shared" ca="1" si="113"/>
        <v>1.4421933831043624E-2</v>
      </c>
      <c r="V338" s="14">
        <f t="shared" si="114"/>
        <v>2.8000000000000007</v>
      </c>
      <c r="W338" s="14">
        <f t="shared" ca="1" si="115"/>
        <v>2.6836215014577256</v>
      </c>
      <c r="X338" s="14">
        <f t="shared" ca="1" si="116"/>
        <v>0.11637849854227511</v>
      </c>
      <c r="Y338" s="28">
        <f t="shared" ca="1" si="117"/>
        <v>4.156374947938396E-2</v>
      </c>
      <c r="Z338" s="29">
        <f t="shared" ca="1" si="118"/>
        <v>52.203457999999998</v>
      </c>
      <c r="AA338" s="16">
        <f t="shared" ca="1" si="119"/>
        <v>2.6054888059701561E-2</v>
      </c>
      <c r="AB338" s="2"/>
    </row>
    <row r="339" spans="6:28" x14ac:dyDescent="0.25">
      <c r="F339" s="13">
        <v>337</v>
      </c>
      <c r="G339" s="13">
        <f t="shared" si="100"/>
        <v>53.7</v>
      </c>
      <c r="H339" s="13">
        <f t="shared" si="101"/>
        <v>326.84999999999997</v>
      </c>
      <c r="I339" s="14">
        <f t="shared" si="102"/>
        <v>2.8083330000000002</v>
      </c>
      <c r="J339" s="14">
        <f t="shared" si="103"/>
        <v>3136.5688610000002</v>
      </c>
      <c r="K339" s="14">
        <f t="shared" si="104"/>
        <v>2.1565688610000002</v>
      </c>
      <c r="L339" s="14">
        <f t="shared" si="105"/>
        <v>1455.243868</v>
      </c>
      <c r="M339" s="14">
        <v>1448.8</v>
      </c>
      <c r="N339" s="13">
        <f t="shared" si="106"/>
        <v>1.4552438679999999</v>
      </c>
      <c r="O339" s="13">
        <f t="shared" si="107"/>
        <v>1.46027</v>
      </c>
      <c r="P339" s="13">
        <f t="shared" si="108"/>
        <v>5.0261320000000165E-3</v>
      </c>
      <c r="Q339" s="16">
        <f t="shared" si="109"/>
        <v>3.4419196449971693E-3</v>
      </c>
      <c r="R339" s="14">
        <f t="shared" ca="1" si="110"/>
        <v>5.3081077725947514</v>
      </c>
      <c r="S339" s="14">
        <f t="shared" si="111"/>
        <v>5.3857269892473116</v>
      </c>
      <c r="T339" s="14">
        <f t="shared" ca="1" si="112"/>
        <v>7.7619216652560219E-2</v>
      </c>
      <c r="U339" s="16">
        <f t="shared" ca="1" si="113"/>
        <v>1.4412022148082924E-2</v>
      </c>
      <c r="V339" s="14">
        <f t="shared" si="114"/>
        <v>2.8083333333333327</v>
      </c>
      <c r="W339" s="14">
        <f t="shared" ca="1" si="115"/>
        <v>2.6918922274052486</v>
      </c>
      <c r="X339" s="14">
        <f t="shared" ca="1" si="116"/>
        <v>0.1164411059280841</v>
      </c>
      <c r="Y339" s="28">
        <f t="shared" ca="1" si="117"/>
        <v>4.1462708342344494E-2</v>
      </c>
      <c r="Z339" s="29">
        <f t="shared" ca="1" si="118"/>
        <v>52.302706999999998</v>
      </c>
      <c r="AA339" s="16">
        <f t="shared" ca="1" si="119"/>
        <v>2.6020353817504744E-2</v>
      </c>
      <c r="AB339" s="2"/>
    </row>
    <row r="340" spans="6:28" x14ac:dyDescent="0.25">
      <c r="F340" s="13">
        <v>338</v>
      </c>
      <c r="G340" s="13">
        <f t="shared" si="100"/>
        <v>53.800000000000004</v>
      </c>
      <c r="H340" s="13">
        <f t="shared" si="101"/>
        <v>326.95</v>
      </c>
      <c r="I340" s="14">
        <f t="shared" si="102"/>
        <v>2.8166669999999998</v>
      </c>
      <c r="J340" s="14">
        <f t="shared" si="103"/>
        <v>3124.9044720000002</v>
      </c>
      <c r="K340" s="14">
        <f t="shared" si="104"/>
        <v>2.1449044720000003</v>
      </c>
      <c r="L340" s="14">
        <f t="shared" si="105"/>
        <v>1452.7597699999999</v>
      </c>
      <c r="M340" s="14">
        <v>1446.28</v>
      </c>
      <c r="N340" s="13">
        <f t="shared" si="106"/>
        <v>1.4527597699999999</v>
      </c>
      <c r="O340" s="13">
        <f t="shared" si="107"/>
        <v>1.4579799999999998</v>
      </c>
      <c r="P340" s="13">
        <f t="shared" si="108"/>
        <v>5.2202299999999369E-3</v>
      </c>
      <c r="Q340" s="16">
        <f t="shared" si="109"/>
        <v>3.5804537785154374E-3</v>
      </c>
      <c r="R340" s="14">
        <f t="shared" ca="1" si="110"/>
        <v>5.2986398629737614</v>
      </c>
      <c r="S340" s="14">
        <f t="shared" si="111"/>
        <v>5.377281075268816</v>
      </c>
      <c r="T340" s="14">
        <f t="shared" ca="1" si="112"/>
        <v>7.8641212295054608E-2</v>
      </c>
      <c r="U340" s="16">
        <f t="shared" ca="1" si="113"/>
        <v>1.4624716691255209E-2</v>
      </c>
      <c r="V340" s="14">
        <f t="shared" si="114"/>
        <v>2.8166666666666673</v>
      </c>
      <c r="W340" s="14">
        <f t="shared" ca="1" si="115"/>
        <v>2.7013601370262386</v>
      </c>
      <c r="X340" s="14">
        <f t="shared" ca="1" si="116"/>
        <v>0.11530652964042876</v>
      </c>
      <c r="Y340" s="28">
        <f t="shared" ca="1" si="117"/>
        <v>4.0937229458140378E-2</v>
      </c>
      <c r="Z340" s="29">
        <f t="shared" ca="1" si="118"/>
        <v>52.416322000000001</v>
      </c>
      <c r="AA340" s="16">
        <f t="shared" ca="1" si="119"/>
        <v>2.5718921933085562E-2</v>
      </c>
      <c r="AB340" s="2"/>
    </row>
    <row r="341" spans="6:28" x14ac:dyDescent="0.25">
      <c r="F341" s="13">
        <v>339</v>
      </c>
      <c r="G341" s="13">
        <f t="shared" si="100"/>
        <v>53.9</v>
      </c>
      <c r="H341" s="13">
        <f t="shared" si="101"/>
        <v>327.04999999999995</v>
      </c>
      <c r="I341" s="14">
        <f t="shared" si="102"/>
        <v>2.8250000000000002</v>
      </c>
      <c r="J341" s="14">
        <f t="shared" si="103"/>
        <v>3113.2897389999998</v>
      </c>
      <c r="K341" s="14">
        <f t="shared" si="104"/>
        <v>2.1332897389999999</v>
      </c>
      <c r="L341" s="14">
        <f t="shared" si="105"/>
        <v>1450.2763749999999</v>
      </c>
      <c r="M341" s="14">
        <v>1443.42</v>
      </c>
      <c r="N341" s="13">
        <f t="shared" si="106"/>
        <v>1.4502763750000001</v>
      </c>
      <c r="O341" s="13">
        <f t="shared" si="107"/>
        <v>1.4556899999999999</v>
      </c>
      <c r="P341" s="13">
        <f t="shared" si="108"/>
        <v>5.4136249999998665E-3</v>
      </c>
      <c r="Q341" s="16">
        <f t="shared" si="109"/>
        <v>3.7189408459217736E-3</v>
      </c>
      <c r="R341" s="14">
        <f t="shared" ca="1" si="110"/>
        <v>5.2899672274052483</v>
      </c>
      <c r="S341" s="14">
        <f t="shared" si="111"/>
        <v>5.3688351612903222</v>
      </c>
      <c r="T341" s="14">
        <f t="shared" ca="1" si="112"/>
        <v>7.886793388507396E-2</v>
      </c>
      <c r="U341" s="16">
        <f t="shared" ca="1" si="113"/>
        <v>1.4689952571782664E-2</v>
      </c>
      <c r="V341" s="14">
        <f t="shared" si="114"/>
        <v>2.8250000000000002</v>
      </c>
      <c r="W341" s="14">
        <f t="shared" ca="1" si="115"/>
        <v>2.7100327725947517</v>
      </c>
      <c r="X341" s="14">
        <f t="shared" ca="1" si="116"/>
        <v>0.11496722740524845</v>
      </c>
      <c r="Y341" s="28">
        <f t="shared" ca="1" si="117"/>
        <v>4.0696363683273784E-2</v>
      </c>
      <c r="Z341" s="29">
        <f t="shared" ca="1" si="118"/>
        <v>52.520392999999999</v>
      </c>
      <c r="AA341" s="16">
        <f t="shared" ca="1" si="119"/>
        <v>2.5595677179962896E-2</v>
      </c>
      <c r="AB341" s="2"/>
    </row>
    <row r="342" spans="6:28" x14ac:dyDescent="0.25">
      <c r="F342" s="13">
        <v>340</v>
      </c>
      <c r="G342" s="13">
        <f t="shared" si="100"/>
        <v>54</v>
      </c>
      <c r="H342" s="13">
        <f t="shared" si="101"/>
        <v>327.14999999999998</v>
      </c>
      <c r="I342" s="14">
        <f t="shared" si="102"/>
        <v>2.8333330000000001</v>
      </c>
      <c r="J342" s="14">
        <f t="shared" si="103"/>
        <v>3101.7244270000001</v>
      </c>
      <c r="K342" s="14">
        <f t="shared" si="104"/>
        <v>2.1217244270000002</v>
      </c>
      <c r="L342" s="14">
        <f t="shared" si="105"/>
        <v>1447.7937010000001</v>
      </c>
      <c r="M342" s="14">
        <v>1441.07</v>
      </c>
      <c r="N342" s="13">
        <f t="shared" si="106"/>
        <v>1.4477937010000002</v>
      </c>
      <c r="O342" s="13">
        <f t="shared" si="107"/>
        <v>1.4534</v>
      </c>
      <c r="P342" s="13">
        <f t="shared" si="108"/>
        <v>5.6062989999998702E-3</v>
      </c>
      <c r="Q342" s="16">
        <f t="shared" si="109"/>
        <v>3.8573682399889019E-3</v>
      </c>
      <c r="R342" s="14">
        <f t="shared" ca="1" si="110"/>
        <v>5.280911227405249</v>
      </c>
      <c r="S342" s="14">
        <f t="shared" si="111"/>
        <v>5.3603892473118275</v>
      </c>
      <c r="T342" s="14">
        <f t="shared" ca="1" si="112"/>
        <v>7.9478019906578545E-2</v>
      </c>
      <c r="U342" s="16">
        <f t="shared" ca="1" si="113"/>
        <v>1.4826912046813735E-2</v>
      </c>
      <c r="V342" s="14">
        <f t="shared" si="114"/>
        <v>2.833333333333333</v>
      </c>
      <c r="W342" s="14">
        <f t="shared" ca="1" si="115"/>
        <v>2.719088772594751</v>
      </c>
      <c r="X342" s="14">
        <f t="shared" ca="1" si="116"/>
        <v>0.11424456073858202</v>
      </c>
      <c r="Y342" s="28">
        <f t="shared" ca="1" si="117"/>
        <v>4.0321609672440716E-2</v>
      </c>
      <c r="Z342" s="29">
        <f t="shared" ca="1" si="118"/>
        <v>52.629064999999997</v>
      </c>
      <c r="AA342" s="16">
        <f t="shared" ca="1" si="119"/>
        <v>2.5387685185185239E-2</v>
      </c>
      <c r="AB342" s="2"/>
    </row>
    <row r="343" spans="6:28" x14ac:dyDescent="0.25">
      <c r="F343" s="13">
        <v>341</v>
      </c>
      <c r="G343" s="13">
        <f t="shared" si="100"/>
        <v>54.1</v>
      </c>
      <c r="H343" s="13">
        <f t="shared" si="101"/>
        <v>327.25</v>
      </c>
      <c r="I343" s="14">
        <f t="shared" si="102"/>
        <v>2.8416670000000002</v>
      </c>
      <c r="J343" s="14">
        <f t="shared" si="103"/>
        <v>3090.2082999999998</v>
      </c>
      <c r="K343" s="14">
        <f t="shared" si="104"/>
        <v>2.1102083</v>
      </c>
      <c r="L343" s="14">
        <f t="shared" si="105"/>
        <v>1445.311764</v>
      </c>
      <c r="M343" s="14">
        <v>1438.88</v>
      </c>
      <c r="N343" s="13">
        <f t="shared" si="106"/>
        <v>1.4453117639999999</v>
      </c>
      <c r="O343" s="13">
        <f t="shared" si="107"/>
        <v>1.4511099999999999</v>
      </c>
      <c r="P343" s="13">
        <f t="shared" si="108"/>
        <v>5.7982359999999566E-3</v>
      </c>
      <c r="Q343" s="16">
        <f t="shared" si="109"/>
        <v>3.9957246521627977E-3</v>
      </c>
      <c r="R343" s="14">
        <f t="shared" ca="1" si="110"/>
        <v>5.2714728629737611</v>
      </c>
      <c r="S343" s="14">
        <f t="shared" si="111"/>
        <v>5.3519433333333328</v>
      </c>
      <c r="T343" s="14">
        <f t="shared" ca="1" si="112"/>
        <v>8.0470470359571777E-2</v>
      </c>
      <c r="U343" s="16">
        <f t="shared" ca="1" si="113"/>
        <v>1.5035747829835976E-2</v>
      </c>
      <c r="V343" s="14">
        <f t="shared" si="114"/>
        <v>2.8416666666666668</v>
      </c>
      <c r="W343" s="14">
        <f t="shared" ca="1" si="115"/>
        <v>2.7285271370262389</v>
      </c>
      <c r="X343" s="14">
        <f t="shared" ca="1" si="116"/>
        <v>0.11313952964042784</v>
      </c>
      <c r="Y343" s="28">
        <f t="shared" ca="1" si="117"/>
        <v>3.9814497234168154E-2</v>
      </c>
      <c r="Z343" s="29">
        <f t="shared" ca="1" si="118"/>
        <v>52.742325999999998</v>
      </c>
      <c r="AA343" s="16">
        <f t="shared" ca="1" si="119"/>
        <v>2.5095637707948298E-2</v>
      </c>
      <c r="AB343" s="2"/>
    </row>
    <row r="344" spans="6:28" x14ac:dyDescent="0.25">
      <c r="F344" s="13">
        <v>342</v>
      </c>
      <c r="G344" s="13">
        <f t="shared" si="100"/>
        <v>54.2</v>
      </c>
      <c r="H344" s="13">
        <f t="shared" si="101"/>
        <v>327.34999999999997</v>
      </c>
      <c r="I344" s="14">
        <f t="shared" si="102"/>
        <v>2.85</v>
      </c>
      <c r="J344" s="14">
        <f t="shared" si="103"/>
        <v>3078.741125</v>
      </c>
      <c r="K344" s="14">
        <f t="shared" si="104"/>
        <v>2.0987411250000001</v>
      </c>
      <c r="L344" s="14">
        <f t="shared" si="105"/>
        <v>1442.8305829999999</v>
      </c>
      <c r="M344" s="14">
        <v>1436.17</v>
      </c>
      <c r="N344" s="13">
        <f t="shared" si="106"/>
        <v>1.4428305830000001</v>
      </c>
      <c r="O344" s="13">
        <f t="shared" si="107"/>
        <v>1.4488199999999998</v>
      </c>
      <c r="P344" s="13">
        <f t="shared" si="108"/>
        <v>5.9894169999996638E-3</v>
      </c>
      <c r="Q344" s="16">
        <f t="shared" si="109"/>
        <v>4.1339966317414621E-3</v>
      </c>
      <c r="R344" s="14">
        <f t="shared" ca="1" si="110"/>
        <v>5.262808227405249</v>
      </c>
      <c r="S344" s="14">
        <f t="shared" si="111"/>
        <v>5.3434974193548372</v>
      </c>
      <c r="T344" s="14">
        <f t="shared" ca="1" si="112"/>
        <v>8.0689191949588235E-2</v>
      </c>
      <c r="U344" s="16">
        <f t="shared" ca="1" si="113"/>
        <v>1.5100445572841781E-2</v>
      </c>
      <c r="V344" s="14">
        <f t="shared" si="114"/>
        <v>2.8500000000000005</v>
      </c>
      <c r="W344" s="14">
        <f t="shared" ca="1" si="115"/>
        <v>2.737191772594751</v>
      </c>
      <c r="X344" s="14">
        <f t="shared" ca="1" si="116"/>
        <v>0.11280822740524954</v>
      </c>
      <c r="Y344" s="28">
        <f t="shared" ca="1" si="117"/>
        <v>3.9581834177280534E-2</v>
      </c>
      <c r="Z344" s="29">
        <f t="shared" ca="1" si="118"/>
        <v>52.846300999999997</v>
      </c>
      <c r="AA344" s="16">
        <f t="shared" ca="1" si="119"/>
        <v>2.4975996309963208E-2</v>
      </c>
      <c r="AB344" s="2"/>
    </row>
    <row r="345" spans="6:28" x14ac:dyDescent="0.25">
      <c r="F345" s="13">
        <v>343</v>
      </c>
      <c r="G345" s="13">
        <f t="shared" si="100"/>
        <v>54.300000000000004</v>
      </c>
      <c r="H345" s="13">
        <f t="shared" si="101"/>
        <v>327.45</v>
      </c>
      <c r="I345" s="14">
        <f t="shared" si="102"/>
        <v>2.858333</v>
      </c>
      <c r="J345" s="14">
        <f t="shared" si="103"/>
        <v>3067.3226679999998</v>
      </c>
      <c r="K345" s="14">
        <f t="shared" si="104"/>
        <v>2.0873226679999997</v>
      </c>
      <c r="L345" s="14">
        <f t="shared" si="105"/>
        <v>1440.350173</v>
      </c>
      <c r="M345" s="14">
        <v>1433.97</v>
      </c>
      <c r="N345" s="13">
        <f t="shared" si="106"/>
        <v>1.4403501729999999</v>
      </c>
      <c r="O345" s="13">
        <f t="shared" si="107"/>
        <v>1.4465299999999999</v>
      </c>
      <c r="P345" s="13">
        <f t="shared" si="108"/>
        <v>6.1798269999999711E-3</v>
      </c>
      <c r="Q345" s="16">
        <f t="shared" si="109"/>
        <v>4.2721734080869191E-3</v>
      </c>
      <c r="R345" s="14">
        <f t="shared" ca="1" si="110"/>
        <v>5.2533856355685131</v>
      </c>
      <c r="S345" s="14">
        <f t="shared" si="111"/>
        <v>5.3350515053763434</v>
      </c>
      <c r="T345" s="14">
        <f t="shared" ca="1" si="112"/>
        <v>8.1665869807830305E-2</v>
      </c>
      <c r="U345" s="16">
        <f t="shared" ca="1" si="113"/>
        <v>1.5307419192772996E-2</v>
      </c>
      <c r="V345" s="14">
        <f t="shared" si="114"/>
        <v>2.8583333333333334</v>
      </c>
      <c r="W345" s="14">
        <f t="shared" ca="1" si="115"/>
        <v>2.7466143644314869</v>
      </c>
      <c r="X345" s="14">
        <f t="shared" ca="1" si="116"/>
        <v>0.11171896890184652</v>
      </c>
      <c r="Y345" s="28">
        <f t="shared" ca="1" si="117"/>
        <v>3.9085353551666417E-2</v>
      </c>
      <c r="Z345" s="29">
        <f t="shared" ca="1" si="118"/>
        <v>52.959372000000002</v>
      </c>
      <c r="AA345" s="16">
        <f t="shared" ca="1" si="119"/>
        <v>2.4689281767955842E-2</v>
      </c>
      <c r="AB345" s="2"/>
    </row>
    <row r="346" spans="6:28" x14ac:dyDescent="0.25">
      <c r="F346" s="13">
        <v>344</v>
      </c>
      <c r="G346" s="13">
        <f t="shared" si="100"/>
        <v>54.4</v>
      </c>
      <c r="H346" s="13">
        <f t="shared" si="101"/>
        <v>327.54999999999995</v>
      </c>
      <c r="I346" s="14">
        <f t="shared" si="102"/>
        <v>2.8666670000000001</v>
      </c>
      <c r="J346" s="14">
        <f t="shared" si="103"/>
        <v>3055.9526989999999</v>
      </c>
      <c r="K346" s="14">
        <f t="shared" si="104"/>
        <v>2.0759526990000001</v>
      </c>
      <c r="L346" s="14">
        <f t="shared" si="105"/>
        <v>1437.870551</v>
      </c>
      <c r="M346" s="14">
        <v>1431.09</v>
      </c>
      <c r="N346" s="13">
        <f t="shared" si="106"/>
        <v>1.4378705510000001</v>
      </c>
      <c r="O346" s="13">
        <f t="shared" si="107"/>
        <v>1.44424</v>
      </c>
      <c r="P346" s="13">
        <f t="shared" si="108"/>
        <v>6.369448999999916E-3</v>
      </c>
      <c r="Q346" s="16">
        <f t="shared" si="109"/>
        <v>4.4102427574363792E-3</v>
      </c>
      <c r="R346" s="14">
        <f t="shared" ca="1" si="110"/>
        <v>5.2455085014577261</v>
      </c>
      <c r="S346" s="14">
        <f t="shared" si="111"/>
        <v>5.3266055913978487</v>
      </c>
      <c r="T346" s="14">
        <f t="shared" ca="1" si="112"/>
        <v>8.1097089940122657E-2</v>
      </c>
      <c r="U346" s="16">
        <f t="shared" ca="1" si="113"/>
        <v>1.5224909850860675E-2</v>
      </c>
      <c r="V346" s="14">
        <f t="shared" si="114"/>
        <v>2.8666666666666671</v>
      </c>
      <c r="W346" s="14">
        <f t="shared" ca="1" si="115"/>
        <v>2.7544914985422739</v>
      </c>
      <c r="X346" s="14">
        <f t="shared" ca="1" si="116"/>
        <v>0.11217516812439321</v>
      </c>
      <c r="Y346" s="28">
        <f t="shared" ca="1" si="117"/>
        <v>3.9130872601532508E-2</v>
      </c>
      <c r="Z346" s="29">
        <f t="shared" ca="1" si="118"/>
        <v>53.053897999999997</v>
      </c>
      <c r="AA346" s="16">
        <f t="shared" ca="1" si="119"/>
        <v>2.4744522058823566E-2</v>
      </c>
      <c r="AB346" s="2"/>
    </row>
    <row r="347" spans="6:28" x14ac:dyDescent="0.25">
      <c r="F347" s="13">
        <v>345</v>
      </c>
      <c r="G347" s="13">
        <f t="shared" si="100"/>
        <v>54.5</v>
      </c>
      <c r="H347" s="13">
        <f t="shared" si="101"/>
        <v>327.64999999999998</v>
      </c>
      <c r="I347" s="14">
        <f t="shared" si="102"/>
        <v>2.875</v>
      </c>
      <c r="J347" s="14">
        <f t="shared" si="103"/>
        <v>3044.630987</v>
      </c>
      <c r="K347" s="14">
        <f t="shared" si="104"/>
        <v>2.0646309870000001</v>
      </c>
      <c r="L347" s="14">
        <f t="shared" si="105"/>
        <v>1435.3917329999999</v>
      </c>
      <c r="M347" s="14">
        <v>1428.71</v>
      </c>
      <c r="N347" s="13">
        <f t="shared" si="106"/>
        <v>1.4353917329999999</v>
      </c>
      <c r="O347" s="13">
        <f t="shared" si="107"/>
        <v>1.4419499999999998</v>
      </c>
      <c r="P347" s="13">
        <f t="shared" si="108"/>
        <v>6.558266999999951E-3</v>
      </c>
      <c r="Q347" s="16">
        <f t="shared" si="109"/>
        <v>4.5481930718817929E-3</v>
      </c>
      <c r="R347" s="14">
        <f t="shared" ca="1" si="110"/>
        <v>5.2352888629737615</v>
      </c>
      <c r="S347" s="14">
        <f t="shared" si="111"/>
        <v>5.318159677419354</v>
      </c>
      <c r="T347" s="14">
        <f t="shared" ca="1" si="112"/>
        <v>8.2870814445592522E-2</v>
      </c>
      <c r="U347" s="16">
        <f t="shared" ca="1" si="113"/>
        <v>1.5582611179851923E-2</v>
      </c>
      <c r="V347" s="14">
        <f t="shared" si="114"/>
        <v>2.875</v>
      </c>
      <c r="W347" s="14">
        <f t="shared" ca="1" si="115"/>
        <v>2.7647111370262385</v>
      </c>
      <c r="X347" s="14">
        <f t="shared" ca="1" si="116"/>
        <v>0.1102888629737615</v>
      </c>
      <c r="Y347" s="28">
        <f t="shared" ca="1" si="117"/>
        <v>3.8361343643047482E-2</v>
      </c>
      <c r="Z347" s="29">
        <f t="shared" ca="1" si="118"/>
        <v>53.176533999999997</v>
      </c>
      <c r="AA347" s="16">
        <f t="shared" ca="1" si="119"/>
        <v>2.4283779816513824E-2</v>
      </c>
      <c r="AB347" s="2"/>
    </row>
    <row r="348" spans="6:28" x14ac:dyDescent="0.25">
      <c r="F348" s="13">
        <v>346</v>
      </c>
      <c r="G348" s="13">
        <f t="shared" si="100"/>
        <v>54.6</v>
      </c>
      <c r="H348" s="13">
        <f t="shared" si="101"/>
        <v>327.75</v>
      </c>
      <c r="I348" s="14">
        <f t="shared" si="102"/>
        <v>2.8833329999999999</v>
      </c>
      <c r="J348" s="14">
        <f t="shared" si="103"/>
        <v>3033.3573040000001</v>
      </c>
      <c r="K348" s="14">
        <f t="shared" si="104"/>
        <v>2.0533573040000004</v>
      </c>
      <c r="L348" s="14">
        <f t="shared" si="105"/>
        <v>1432.913738</v>
      </c>
      <c r="M348" s="14">
        <v>1426.16</v>
      </c>
      <c r="N348" s="13">
        <f t="shared" si="106"/>
        <v>1.4329137380000001</v>
      </c>
      <c r="O348" s="13">
        <f t="shared" si="107"/>
        <v>1.4396599999999999</v>
      </c>
      <c r="P348" s="13">
        <f t="shared" si="108"/>
        <v>6.7462619999998363E-3</v>
      </c>
      <c r="Q348" s="16">
        <f t="shared" si="109"/>
        <v>4.6860105858326524E-3</v>
      </c>
      <c r="R348" s="14">
        <f t="shared" ca="1" si="110"/>
        <v>5.2258644985422738</v>
      </c>
      <c r="S348" s="14">
        <f t="shared" si="111"/>
        <v>5.3097137634408593</v>
      </c>
      <c r="T348" s="14">
        <f t="shared" ca="1" si="112"/>
        <v>8.3849264898585574E-2</v>
      </c>
      <c r="U348" s="16">
        <f t="shared" ca="1" si="113"/>
        <v>1.5791673267948187E-2</v>
      </c>
      <c r="V348" s="14">
        <f t="shared" si="114"/>
        <v>2.8833333333333337</v>
      </c>
      <c r="W348" s="14">
        <f t="shared" ca="1" si="115"/>
        <v>2.7741355014577262</v>
      </c>
      <c r="X348" s="14">
        <f t="shared" ca="1" si="116"/>
        <v>0.1091978318756075</v>
      </c>
      <c r="Y348" s="28">
        <f t="shared" ca="1" si="117"/>
        <v>3.7872080419285831E-2</v>
      </c>
      <c r="Z348" s="29">
        <f t="shared" ca="1" si="118"/>
        <v>53.289625999999998</v>
      </c>
      <c r="AA348" s="16">
        <f t="shared" ca="1" si="119"/>
        <v>2.3999523809523863E-2</v>
      </c>
      <c r="AB348" s="2"/>
    </row>
    <row r="349" spans="6:28" x14ac:dyDescent="0.25">
      <c r="F349" s="13">
        <v>347</v>
      </c>
      <c r="G349" s="13">
        <f t="shared" si="100"/>
        <v>54.7</v>
      </c>
      <c r="H349" s="13">
        <f t="shared" si="101"/>
        <v>327.84999999999997</v>
      </c>
      <c r="I349" s="14">
        <f t="shared" si="102"/>
        <v>2.891667</v>
      </c>
      <c r="J349" s="14">
        <f t="shared" si="103"/>
        <v>3022.131421</v>
      </c>
      <c r="K349" s="14">
        <f t="shared" si="104"/>
        <v>2.0421314210000001</v>
      </c>
      <c r="L349" s="14">
        <f t="shared" si="105"/>
        <v>1430.4365809999999</v>
      </c>
      <c r="M349" s="14">
        <v>1423.6</v>
      </c>
      <c r="N349" s="13">
        <f t="shared" si="106"/>
        <v>1.4304365809999999</v>
      </c>
      <c r="O349" s="13">
        <f t="shared" si="107"/>
        <v>1.4373699999999998</v>
      </c>
      <c r="P349" s="13">
        <f t="shared" si="108"/>
        <v>6.9334189999998852E-3</v>
      </c>
      <c r="Q349" s="16">
        <f t="shared" si="109"/>
        <v>4.8236842288345285E-3</v>
      </c>
      <c r="R349" s="14">
        <f t="shared" ca="1" si="110"/>
        <v>5.2172148629737611</v>
      </c>
      <c r="S349" s="14">
        <f t="shared" si="111"/>
        <v>5.3012678494623646</v>
      </c>
      <c r="T349" s="14">
        <f t="shared" ca="1" si="112"/>
        <v>8.4052986488603487E-2</v>
      </c>
      <c r="U349" s="16">
        <f t="shared" ca="1" si="113"/>
        <v>1.5855261208340535E-2</v>
      </c>
      <c r="V349" s="14">
        <f t="shared" si="114"/>
        <v>2.8916666666666675</v>
      </c>
      <c r="W349" s="14">
        <f t="shared" ca="1" si="115"/>
        <v>2.7827851370262389</v>
      </c>
      <c r="X349" s="14">
        <f t="shared" ca="1" si="116"/>
        <v>0.10888152964042863</v>
      </c>
      <c r="Y349" s="28">
        <f t="shared" ca="1" si="117"/>
        <v>3.7653554918880207E-2</v>
      </c>
      <c r="Z349" s="29">
        <f t="shared" ca="1" si="118"/>
        <v>53.393422000000001</v>
      </c>
      <c r="AA349" s="16">
        <f t="shared" ca="1" si="119"/>
        <v>2.3886252285191988E-2</v>
      </c>
      <c r="AB349" s="2"/>
    </row>
    <row r="350" spans="6:28" x14ac:dyDescent="0.25">
      <c r="F350" s="13">
        <v>348</v>
      </c>
      <c r="G350" s="13">
        <f t="shared" si="100"/>
        <v>54.800000000000004</v>
      </c>
      <c r="H350" s="13">
        <f t="shared" si="101"/>
        <v>327.95</v>
      </c>
      <c r="I350" s="14">
        <f t="shared" si="102"/>
        <v>2.9</v>
      </c>
      <c r="J350" s="14">
        <f t="shared" si="103"/>
        <v>3010.953113</v>
      </c>
      <c r="K350" s="14">
        <f t="shared" si="104"/>
        <v>2.0309531130000003</v>
      </c>
      <c r="L350" s="14">
        <f t="shared" si="105"/>
        <v>1427.9602789999999</v>
      </c>
      <c r="M350" s="14">
        <v>1421.21</v>
      </c>
      <c r="N350" s="13">
        <f t="shared" si="106"/>
        <v>1.4279602789999999</v>
      </c>
      <c r="O350" s="13">
        <f t="shared" si="107"/>
        <v>1.4350799999999999</v>
      </c>
      <c r="P350" s="13">
        <f t="shared" si="108"/>
        <v>7.1197210000000233E-3</v>
      </c>
      <c r="Q350" s="16">
        <f t="shared" si="109"/>
        <v>4.9612014661203725E-3</v>
      </c>
      <c r="R350" s="14">
        <f t="shared" ca="1" si="110"/>
        <v>5.2085672274052488</v>
      </c>
      <c r="S350" s="14">
        <f t="shared" si="111"/>
        <v>5.2928219354838708</v>
      </c>
      <c r="T350" s="14">
        <f t="shared" ca="1" si="112"/>
        <v>8.4254708078622009E-2</v>
      </c>
      <c r="U350" s="16">
        <f t="shared" ca="1" si="113"/>
        <v>1.5918674216822946E-2</v>
      </c>
      <c r="V350" s="14">
        <f t="shared" si="114"/>
        <v>2.8999999999999995</v>
      </c>
      <c r="W350" s="14">
        <f t="shared" ca="1" si="115"/>
        <v>2.7914327725947512</v>
      </c>
      <c r="X350" s="14">
        <f t="shared" ca="1" si="116"/>
        <v>0.10856722740524827</v>
      </c>
      <c r="Y350" s="28">
        <f t="shared" ca="1" si="117"/>
        <v>3.7436974967326994E-2</v>
      </c>
      <c r="Z350" s="29">
        <f t="shared" ca="1" si="118"/>
        <v>53.497193000000003</v>
      </c>
      <c r="AA350" s="16">
        <f t="shared" ca="1" si="119"/>
        <v>2.3773850364963527E-2</v>
      </c>
      <c r="AB350" s="2"/>
    </row>
    <row r="351" spans="6:28" x14ac:dyDescent="0.25">
      <c r="F351" s="13">
        <v>349</v>
      </c>
      <c r="G351" s="13">
        <f t="shared" si="100"/>
        <v>54.9</v>
      </c>
      <c r="H351" s="13">
        <f t="shared" si="101"/>
        <v>328.04999999999995</v>
      </c>
      <c r="I351" s="14">
        <f t="shared" si="102"/>
        <v>2.9083329999999998</v>
      </c>
      <c r="J351" s="14">
        <f t="shared" si="103"/>
        <v>2999.8221530000001</v>
      </c>
      <c r="K351" s="14">
        <f t="shared" si="104"/>
        <v>2.0198221530000002</v>
      </c>
      <c r="L351" s="14">
        <f t="shared" si="105"/>
        <v>1425.4848480000001</v>
      </c>
      <c r="M351" s="14">
        <v>1418.81</v>
      </c>
      <c r="N351" s="13">
        <f t="shared" si="106"/>
        <v>1.425484848</v>
      </c>
      <c r="O351" s="13">
        <f t="shared" si="107"/>
        <v>1.43279</v>
      </c>
      <c r="P351" s="13">
        <f t="shared" si="108"/>
        <v>7.3051520000000369E-3</v>
      </c>
      <c r="Q351" s="16">
        <f t="shared" si="109"/>
        <v>5.0985503807257429E-3</v>
      </c>
      <c r="R351" s="14">
        <f t="shared" ca="1" si="110"/>
        <v>5.1991636355685129</v>
      </c>
      <c r="S351" s="14">
        <f t="shared" si="111"/>
        <v>5.2843760215053761</v>
      </c>
      <c r="T351" s="14">
        <f t="shared" ca="1" si="112"/>
        <v>8.52123859368632E-2</v>
      </c>
      <c r="U351" s="16">
        <f t="shared" ca="1" si="113"/>
        <v>1.6125344901665135E-2</v>
      </c>
      <c r="V351" s="14">
        <f t="shared" si="114"/>
        <v>2.9083333333333332</v>
      </c>
      <c r="W351" s="14">
        <f t="shared" ca="1" si="115"/>
        <v>2.8008363644314871</v>
      </c>
      <c r="X351" s="14">
        <f t="shared" ca="1" si="116"/>
        <v>0.10749696890184612</v>
      </c>
      <c r="Y351" s="28">
        <f t="shared" ca="1" si="117"/>
        <v>3.6961708504932765E-2</v>
      </c>
      <c r="Z351" s="29">
        <f t="shared" ca="1" si="118"/>
        <v>53.610036000000001</v>
      </c>
      <c r="AA351" s="16">
        <f t="shared" ca="1" si="119"/>
        <v>2.349661202185788E-2</v>
      </c>
      <c r="AB351" s="2"/>
    </row>
    <row r="352" spans="6:28" x14ac:dyDescent="0.25">
      <c r="F352" s="13">
        <v>350</v>
      </c>
      <c r="G352" s="13">
        <f t="shared" si="100"/>
        <v>55</v>
      </c>
      <c r="H352" s="13">
        <f t="shared" si="101"/>
        <v>328.15</v>
      </c>
      <c r="I352" s="14">
        <f t="shared" si="102"/>
        <v>2.9166669999999999</v>
      </c>
      <c r="J352" s="14">
        <f t="shared" si="103"/>
        <v>2988.7383180000002</v>
      </c>
      <c r="K352" s="14">
        <f t="shared" si="104"/>
        <v>2.0087383180000002</v>
      </c>
      <c r="L352" s="14">
        <f t="shared" si="105"/>
        <v>1423.0103059999999</v>
      </c>
      <c r="M352" s="14">
        <v>1416.24</v>
      </c>
      <c r="N352" s="13">
        <f t="shared" si="106"/>
        <v>1.4230103060000001</v>
      </c>
      <c r="O352" s="13">
        <f t="shared" si="107"/>
        <v>1.4304999999999999</v>
      </c>
      <c r="P352" s="13">
        <f t="shared" si="108"/>
        <v>7.4896939999997691E-3</v>
      </c>
      <c r="Q352" s="16">
        <f t="shared" si="109"/>
        <v>5.2357175812651306E-3</v>
      </c>
      <c r="R352" s="14">
        <f t="shared" ca="1" si="110"/>
        <v>5.1913045014577257</v>
      </c>
      <c r="S352" s="14">
        <f t="shared" si="111"/>
        <v>5.2759301075268814</v>
      </c>
      <c r="T352" s="14">
        <f t="shared" ca="1" si="112"/>
        <v>8.4625606069155701E-2</v>
      </c>
      <c r="U352" s="16">
        <f t="shared" ca="1" si="113"/>
        <v>1.6039940701341925E-2</v>
      </c>
      <c r="V352" s="14">
        <f t="shared" si="114"/>
        <v>2.9166666666666661</v>
      </c>
      <c r="W352" s="14">
        <f t="shared" ca="1" si="115"/>
        <v>2.8086954985422743</v>
      </c>
      <c r="X352" s="14">
        <f t="shared" ca="1" si="116"/>
        <v>0.10797116812439178</v>
      </c>
      <c r="Y352" s="28">
        <f t="shared" ca="1" si="117"/>
        <v>3.7018686214077189E-2</v>
      </c>
      <c r="Z352" s="29">
        <f t="shared" ca="1" si="118"/>
        <v>53.704346000000001</v>
      </c>
      <c r="AA352" s="16">
        <f t="shared" ca="1" si="119"/>
        <v>2.3557345454545436E-2</v>
      </c>
      <c r="AB352" s="2"/>
    </row>
    <row r="353" spans="6:28" x14ac:dyDescent="0.25">
      <c r="F353" s="13">
        <v>351</v>
      </c>
      <c r="G353" s="13">
        <f t="shared" si="100"/>
        <v>55.1</v>
      </c>
      <c r="H353" s="13">
        <f t="shared" si="101"/>
        <v>328.25</v>
      </c>
      <c r="I353" s="14">
        <f t="shared" si="102"/>
        <v>2.9249999999999998</v>
      </c>
      <c r="J353" s="14">
        <f t="shared" si="103"/>
        <v>2977.7013849999998</v>
      </c>
      <c r="K353" s="14">
        <f t="shared" si="104"/>
        <v>1.9977013850000001</v>
      </c>
      <c r="L353" s="14">
        <f t="shared" si="105"/>
        <v>1420.536668</v>
      </c>
      <c r="M353" s="14">
        <v>1413.67</v>
      </c>
      <c r="N353" s="13">
        <f t="shared" si="106"/>
        <v>1.420536668</v>
      </c>
      <c r="O353" s="13">
        <f t="shared" si="107"/>
        <v>1.42821</v>
      </c>
      <c r="P353" s="13">
        <f t="shared" si="108"/>
        <v>7.6733319999999772E-3</v>
      </c>
      <c r="Q353" s="16">
        <f t="shared" si="109"/>
        <v>5.3726916909978065E-3</v>
      </c>
      <c r="R353" s="14">
        <f t="shared" ca="1" si="110"/>
        <v>5.1814892274052484</v>
      </c>
      <c r="S353" s="14">
        <f t="shared" si="111"/>
        <v>5.2674841935483867</v>
      </c>
      <c r="T353" s="14">
        <f t="shared" ca="1" si="112"/>
        <v>8.5994966143138285E-2</v>
      </c>
      <c r="U353" s="16">
        <f t="shared" ca="1" si="113"/>
        <v>1.6325623956966951E-2</v>
      </c>
      <c r="V353" s="14">
        <f t="shared" si="114"/>
        <v>2.9249999999999998</v>
      </c>
      <c r="W353" s="14">
        <f t="shared" ca="1" si="115"/>
        <v>2.8185107725947516</v>
      </c>
      <c r="X353" s="14">
        <f t="shared" ca="1" si="116"/>
        <v>0.10648922740524824</v>
      </c>
      <c r="Y353" s="28">
        <f t="shared" ca="1" si="117"/>
        <v>3.6406573471879741E-2</v>
      </c>
      <c r="Z353" s="29">
        <f t="shared" ca="1" si="118"/>
        <v>53.822128999999997</v>
      </c>
      <c r="AA353" s="16">
        <f t="shared" ca="1" si="119"/>
        <v>2.3191851179673404E-2</v>
      </c>
      <c r="AB353" s="2"/>
    </row>
    <row r="354" spans="6:28" x14ac:dyDescent="0.25">
      <c r="F354" s="13">
        <v>352</v>
      </c>
      <c r="G354" s="13">
        <f t="shared" si="100"/>
        <v>55.2</v>
      </c>
      <c r="H354" s="13">
        <f t="shared" si="101"/>
        <v>328.34999999999997</v>
      </c>
      <c r="I354" s="14">
        <f t="shared" si="102"/>
        <v>2.9333330000000002</v>
      </c>
      <c r="J354" s="14">
        <f t="shared" si="103"/>
        <v>2966.711131</v>
      </c>
      <c r="K354" s="14">
        <f t="shared" si="104"/>
        <v>1.9867111310000003</v>
      </c>
      <c r="L354" s="14">
        <f t="shared" si="105"/>
        <v>1418.0639510000001</v>
      </c>
      <c r="M354" s="14">
        <v>1411.09</v>
      </c>
      <c r="N354" s="13">
        <f t="shared" si="106"/>
        <v>1.4180639510000002</v>
      </c>
      <c r="O354" s="13">
        <f t="shared" si="107"/>
        <v>1.4259199999999999</v>
      </c>
      <c r="P354" s="13">
        <f t="shared" si="108"/>
        <v>7.8560489999996985E-3</v>
      </c>
      <c r="Q354" s="16">
        <f t="shared" si="109"/>
        <v>5.5094598574953009E-3</v>
      </c>
      <c r="R354" s="14">
        <f t="shared" ca="1" si="110"/>
        <v>5.172877137026239</v>
      </c>
      <c r="S354" s="14">
        <f t="shared" si="111"/>
        <v>5.259038279569892</v>
      </c>
      <c r="T354" s="14">
        <f t="shared" ca="1" si="112"/>
        <v>8.6161142543653035E-2</v>
      </c>
      <c r="U354" s="16">
        <f t="shared" ca="1" si="113"/>
        <v>1.638344084285686E-2</v>
      </c>
      <c r="V354" s="14">
        <f t="shared" si="114"/>
        <v>2.9333333333333336</v>
      </c>
      <c r="W354" s="14">
        <f t="shared" ca="1" si="115"/>
        <v>2.827122862973761</v>
      </c>
      <c r="X354" s="14">
        <f t="shared" ca="1" si="116"/>
        <v>0.10621047035957254</v>
      </c>
      <c r="Y354" s="28">
        <f t="shared" ca="1" si="117"/>
        <v>3.620811489530882E-2</v>
      </c>
      <c r="Z354" s="29">
        <f t="shared" ca="1" si="118"/>
        <v>53.925474000000001</v>
      </c>
      <c r="AA354" s="16">
        <f t="shared" ca="1" si="119"/>
        <v>2.308923913043481E-2</v>
      </c>
      <c r="AB354" s="2"/>
    </row>
    <row r="355" spans="6:28" x14ac:dyDescent="0.25">
      <c r="F355" s="13">
        <v>353</v>
      </c>
      <c r="G355" s="13">
        <f t="shared" si="100"/>
        <v>55.300000000000004</v>
      </c>
      <c r="H355" s="13">
        <f t="shared" si="101"/>
        <v>328.45</v>
      </c>
      <c r="I355" s="14">
        <f t="shared" si="102"/>
        <v>2.9416669999999998</v>
      </c>
      <c r="J355" s="14">
        <f t="shared" si="103"/>
        <v>2955.7673359999999</v>
      </c>
      <c r="K355" s="14">
        <f t="shared" si="104"/>
        <v>1.9757673360000001</v>
      </c>
      <c r="L355" s="14">
        <f t="shared" si="105"/>
        <v>1415.592171</v>
      </c>
      <c r="M355" s="14">
        <v>1408.67</v>
      </c>
      <c r="N355" s="13">
        <f t="shared" si="106"/>
        <v>1.4155921709999999</v>
      </c>
      <c r="O355" s="13">
        <f t="shared" si="107"/>
        <v>1.4236299999999997</v>
      </c>
      <c r="P355" s="13">
        <f t="shared" si="108"/>
        <v>8.0378289999998298E-3</v>
      </c>
      <c r="Q355" s="16">
        <f t="shared" si="109"/>
        <v>5.6460098480643362E-3</v>
      </c>
      <c r="R355" s="14">
        <f t="shared" ca="1" si="110"/>
        <v>5.1634542274052491</v>
      </c>
      <c r="S355" s="14">
        <f t="shared" si="111"/>
        <v>5.2505923655913964</v>
      </c>
      <c r="T355" s="14">
        <f t="shared" ca="1" si="112"/>
        <v>8.7138138186147351E-2</v>
      </c>
      <c r="U355" s="16">
        <f t="shared" ca="1" si="113"/>
        <v>1.6595868069513069E-2</v>
      </c>
      <c r="V355" s="14">
        <f t="shared" si="114"/>
        <v>2.9416666666666673</v>
      </c>
      <c r="W355" s="14">
        <f t="shared" ca="1" si="115"/>
        <v>2.8365457725947509</v>
      </c>
      <c r="X355" s="14">
        <f t="shared" ca="1" si="116"/>
        <v>0.10512089407191638</v>
      </c>
      <c r="Y355" s="28">
        <f t="shared" ca="1" si="117"/>
        <v>3.5735148126430492E-2</v>
      </c>
      <c r="Z355" s="29">
        <f t="shared" ca="1" si="118"/>
        <v>54.038549000000003</v>
      </c>
      <c r="AA355" s="16">
        <f t="shared" ca="1" si="119"/>
        <v>2.2811048824593144E-2</v>
      </c>
      <c r="AB355" s="2"/>
    </row>
    <row r="356" spans="6:28" x14ac:dyDescent="0.25">
      <c r="F356" s="13">
        <v>354</v>
      </c>
      <c r="G356" s="13">
        <f t="shared" si="100"/>
        <v>55.4</v>
      </c>
      <c r="H356" s="13">
        <f t="shared" si="101"/>
        <v>328.54999999999995</v>
      </c>
      <c r="I356" s="14">
        <f t="shared" si="102"/>
        <v>2.95</v>
      </c>
      <c r="J356" s="14">
        <f t="shared" si="103"/>
        <v>2944.86978</v>
      </c>
      <c r="K356" s="14">
        <f t="shared" si="104"/>
        <v>1.9648697799999999</v>
      </c>
      <c r="L356" s="14">
        <f t="shared" si="105"/>
        <v>1413.1213459999999</v>
      </c>
      <c r="M356" s="14">
        <v>1406.25</v>
      </c>
      <c r="N356" s="13">
        <f t="shared" si="106"/>
        <v>1.4131213460000001</v>
      </c>
      <c r="O356" s="13">
        <f t="shared" si="107"/>
        <v>1.42134</v>
      </c>
      <c r="P356" s="13">
        <f t="shared" si="108"/>
        <v>8.2186539999999919E-3</v>
      </c>
      <c r="Q356" s="16">
        <f t="shared" si="109"/>
        <v>5.7823279440527894E-3</v>
      </c>
      <c r="R356" s="14">
        <f t="shared" ca="1" si="110"/>
        <v>5.1540666355685127</v>
      </c>
      <c r="S356" s="14">
        <f t="shared" si="111"/>
        <v>5.2421464516129035</v>
      </c>
      <c r="T356" s="14">
        <f t="shared" ca="1" si="112"/>
        <v>8.8079816044390746E-2</v>
      </c>
      <c r="U356" s="16">
        <f t="shared" ca="1" si="113"/>
        <v>1.6802242527446051E-2</v>
      </c>
      <c r="V356" s="14">
        <f t="shared" si="114"/>
        <v>2.9499999999999993</v>
      </c>
      <c r="W356" s="14">
        <f t="shared" ca="1" si="115"/>
        <v>2.8459333644314873</v>
      </c>
      <c r="X356" s="14">
        <f t="shared" ca="1" si="116"/>
        <v>0.10406663556851203</v>
      </c>
      <c r="Y356" s="28">
        <f t="shared" ca="1" si="117"/>
        <v>3.5276825616444768E-2</v>
      </c>
      <c r="Z356" s="29">
        <f t="shared" ca="1" si="118"/>
        <v>54.151200000000003</v>
      </c>
      <c r="AA356" s="16">
        <f t="shared" ca="1" si="119"/>
        <v>2.2541516245487288E-2</v>
      </c>
      <c r="AB356" s="2"/>
    </row>
    <row r="357" spans="6:28" x14ac:dyDescent="0.25">
      <c r="F357" s="13">
        <v>355</v>
      </c>
      <c r="G357" s="13">
        <f t="shared" si="100"/>
        <v>55.5</v>
      </c>
      <c r="H357" s="13">
        <f t="shared" si="101"/>
        <v>328.65</v>
      </c>
      <c r="I357" s="14">
        <f t="shared" si="102"/>
        <v>2.9583330000000001</v>
      </c>
      <c r="J357" s="14">
        <f t="shared" si="103"/>
        <v>2934.0182460000001</v>
      </c>
      <c r="K357" s="14">
        <f t="shared" si="104"/>
        <v>1.954018246</v>
      </c>
      <c r="L357" s="14">
        <f t="shared" si="105"/>
        <v>1410.65149</v>
      </c>
      <c r="M357" s="14">
        <v>1403.66</v>
      </c>
      <c r="N357" s="13">
        <f t="shared" si="106"/>
        <v>1.41065149</v>
      </c>
      <c r="O357" s="13">
        <f t="shared" si="107"/>
        <v>1.4190499999999999</v>
      </c>
      <c r="P357" s="13">
        <f t="shared" si="108"/>
        <v>8.3985099999999147E-3</v>
      </c>
      <c r="Q357" s="16">
        <f t="shared" si="109"/>
        <v>5.9184031570416228E-3</v>
      </c>
      <c r="R357" s="14">
        <f t="shared" ca="1" si="110"/>
        <v>5.1454430000000002</v>
      </c>
      <c r="S357" s="14">
        <f t="shared" si="111"/>
        <v>5.2337005376344079</v>
      </c>
      <c r="T357" s="14">
        <f t="shared" ca="1" si="112"/>
        <v>8.825753763440769E-2</v>
      </c>
      <c r="U357" s="16">
        <f t="shared" ca="1" si="113"/>
        <v>1.6863314398629963E-2</v>
      </c>
      <c r="V357" s="14">
        <f t="shared" si="114"/>
        <v>2.958333333333333</v>
      </c>
      <c r="W357" s="14">
        <f t="shared" ca="1" si="115"/>
        <v>2.8545569999999998</v>
      </c>
      <c r="X357" s="14">
        <f t="shared" ca="1" si="116"/>
        <v>0.10377633333333325</v>
      </c>
      <c r="Y357" s="28">
        <f t="shared" ca="1" si="117"/>
        <v>3.507932394366195E-2</v>
      </c>
      <c r="Z357" s="29">
        <f t="shared" ca="1" si="118"/>
        <v>54.254683999999997</v>
      </c>
      <c r="AA357" s="16">
        <f t="shared" ca="1" si="119"/>
        <v>2.2438126126126171E-2</v>
      </c>
      <c r="AB357" s="2"/>
    </row>
    <row r="358" spans="6:28" x14ac:dyDescent="0.25">
      <c r="F358" s="13">
        <v>356</v>
      </c>
      <c r="G358" s="13">
        <f t="shared" si="100"/>
        <v>55.6</v>
      </c>
      <c r="H358" s="13">
        <f t="shared" si="101"/>
        <v>328.75</v>
      </c>
      <c r="I358" s="14">
        <f t="shared" si="102"/>
        <v>2.9666670000000002</v>
      </c>
      <c r="J358" s="14">
        <f t="shared" si="103"/>
        <v>2923.2125139999998</v>
      </c>
      <c r="K358" s="14">
        <f t="shared" si="104"/>
        <v>1.9432125139999998</v>
      </c>
      <c r="L358" s="14">
        <f t="shared" si="105"/>
        <v>1408.1826209999999</v>
      </c>
      <c r="M358" s="14">
        <v>1401.39</v>
      </c>
      <c r="N358" s="13">
        <f t="shared" si="106"/>
        <v>1.4081826209999999</v>
      </c>
      <c r="O358" s="13">
        <f t="shared" si="107"/>
        <v>1.4167599999999998</v>
      </c>
      <c r="P358" s="13">
        <f t="shared" si="108"/>
        <v>8.5773789999998851E-3</v>
      </c>
      <c r="Q358" s="16">
        <f t="shared" si="109"/>
        <v>6.0542216042236419E-3</v>
      </c>
      <c r="R358" s="14">
        <f t="shared" ca="1" si="110"/>
        <v>5.1364487725947514</v>
      </c>
      <c r="S358" s="14">
        <f t="shared" si="111"/>
        <v>5.2252546236559132</v>
      </c>
      <c r="T358" s="14">
        <f t="shared" ca="1" si="112"/>
        <v>8.8805851061161789E-2</v>
      </c>
      <c r="U358" s="16">
        <f t="shared" ca="1" si="113"/>
        <v>1.6995506909676238E-2</v>
      </c>
      <c r="V358" s="14">
        <f t="shared" si="114"/>
        <v>2.9666666666666668</v>
      </c>
      <c r="W358" s="14">
        <f t="shared" ca="1" si="115"/>
        <v>2.8635512274052486</v>
      </c>
      <c r="X358" s="14">
        <f t="shared" ca="1" si="116"/>
        <v>0.1031154392614182</v>
      </c>
      <c r="Y358" s="28">
        <f t="shared" ca="1" si="117"/>
        <v>3.4758013234185904E-2</v>
      </c>
      <c r="Z358" s="29">
        <f t="shared" ca="1" si="118"/>
        <v>54.362614999999998</v>
      </c>
      <c r="AA358" s="16">
        <f t="shared" ca="1" si="119"/>
        <v>2.2255125899280633E-2</v>
      </c>
      <c r="AB358" s="2"/>
    </row>
    <row r="359" spans="6:28" x14ac:dyDescent="0.25">
      <c r="F359" s="13">
        <v>357</v>
      </c>
      <c r="G359" s="13">
        <f t="shared" si="100"/>
        <v>55.7</v>
      </c>
      <c r="H359" s="13">
        <f t="shared" si="101"/>
        <v>328.84999999999997</v>
      </c>
      <c r="I359" s="14">
        <f t="shared" si="102"/>
        <v>2.9750000000000001</v>
      </c>
      <c r="J359" s="14">
        <f t="shared" si="103"/>
        <v>2912.4523709999999</v>
      </c>
      <c r="K359" s="14">
        <f t="shared" si="104"/>
        <v>1.9324523710000001</v>
      </c>
      <c r="L359" s="14">
        <f t="shared" si="105"/>
        <v>1405.7147540000001</v>
      </c>
      <c r="M359" s="14">
        <v>1398.79</v>
      </c>
      <c r="N359" s="13">
        <f t="shared" si="106"/>
        <v>1.4057147540000001</v>
      </c>
      <c r="O359" s="13">
        <f t="shared" si="107"/>
        <v>1.4144699999999999</v>
      </c>
      <c r="P359" s="13">
        <f t="shared" si="108"/>
        <v>8.7552459999997723E-3</v>
      </c>
      <c r="Q359" s="16">
        <f t="shared" si="109"/>
        <v>6.1897714338231087E-3</v>
      </c>
      <c r="R359" s="14">
        <f t="shared" ca="1" si="110"/>
        <v>5.1274467725947517</v>
      </c>
      <c r="S359" s="14">
        <f t="shared" si="111"/>
        <v>5.2168087096774185</v>
      </c>
      <c r="T359" s="14">
        <f t="shared" ca="1" si="112"/>
        <v>8.936193708266682E-2</v>
      </c>
      <c r="U359" s="16">
        <f t="shared" ca="1" si="113"/>
        <v>1.7129617368736628E-2</v>
      </c>
      <c r="V359" s="14">
        <f t="shared" si="114"/>
        <v>2.9750000000000005</v>
      </c>
      <c r="W359" s="14">
        <f t="shared" ca="1" si="115"/>
        <v>2.8725532274052483</v>
      </c>
      <c r="X359" s="14">
        <f t="shared" ca="1" si="116"/>
        <v>0.10244677259475221</v>
      </c>
      <c r="Y359" s="28">
        <f t="shared" ca="1" si="117"/>
        <v>3.4435889947815865E-2</v>
      </c>
      <c r="Z359" s="29">
        <f t="shared" ca="1" si="118"/>
        <v>54.470638999999998</v>
      </c>
      <c r="AA359" s="16">
        <f t="shared" ca="1" si="119"/>
        <v>2.2071113105924672E-2</v>
      </c>
      <c r="AB359" s="2"/>
    </row>
    <row r="360" spans="6:28" x14ac:dyDescent="0.25">
      <c r="F360" s="13">
        <v>358</v>
      </c>
      <c r="G360" s="13">
        <f t="shared" si="100"/>
        <v>55.800000000000004</v>
      </c>
      <c r="H360" s="13">
        <f t="shared" si="101"/>
        <v>328.95</v>
      </c>
      <c r="I360" s="14">
        <f t="shared" si="102"/>
        <v>2.983333</v>
      </c>
      <c r="J360" s="14">
        <f t="shared" si="103"/>
        <v>2901.737599</v>
      </c>
      <c r="K360" s="14">
        <f t="shared" si="104"/>
        <v>1.9217375990000001</v>
      </c>
      <c r="L360" s="14">
        <f t="shared" si="105"/>
        <v>1403.2479069999999</v>
      </c>
      <c r="M360" s="14">
        <v>1396.35</v>
      </c>
      <c r="N360" s="13">
        <f t="shared" si="106"/>
        <v>1.4032479069999999</v>
      </c>
      <c r="O360" s="13">
        <f t="shared" si="107"/>
        <v>1.4121799999999998</v>
      </c>
      <c r="P360" s="13">
        <f t="shared" si="108"/>
        <v>8.9320929999998633E-3</v>
      </c>
      <c r="Q360" s="16">
        <f t="shared" si="109"/>
        <v>6.3250385928138517E-3</v>
      </c>
      <c r="R360" s="14">
        <f t="shared" ca="1" si="110"/>
        <v>5.1188341370262389</v>
      </c>
      <c r="S360" s="14">
        <f t="shared" si="111"/>
        <v>5.2083627956989238</v>
      </c>
      <c r="T360" s="14">
        <f t="shared" ca="1" si="112"/>
        <v>8.9528658672684891E-2</v>
      </c>
      <c r="U360" s="16">
        <f t="shared" ca="1" si="113"/>
        <v>1.7189405228571604E-2</v>
      </c>
      <c r="V360" s="14">
        <f t="shared" si="114"/>
        <v>2.9833333333333334</v>
      </c>
      <c r="W360" s="14">
        <f t="shared" ca="1" si="115"/>
        <v>2.8811658629737611</v>
      </c>
      <c r="X360" s="14">
        <f t="shared" ca="1" si="116"/>
        <v>0.1021674703595723</v>
      </c>
      <c r="Y360" s="28">
        <f t="shared" ca="1" si="117"/>
        <v>3.4246079450135969E-2</v>
      </c>
      <c r="Z360" s="29">
        <f t="shared" ca="1" si="118"/>
        <v>54.573990000000002</v>
      </c>
      <c r="AA360" s="16">
        <f t="shared" ca="1" si="119"/>
        <v>2.1971505376344125E-2</v>
      </c>
      <c r="AB360" s="2"/>
    </row>
    <row r="361" spans="6:28" x14ac:dyDescent="0.25">
      <c r="F361" s="13">
        <v>359</v>
      </c>
      <c r="G361" s="13">
        <f t="shared" si="100"/>
        <v>55.9</v>
      </c>
      <c r="H361" s="13">
        <f t="shared" si="101"/>
        <v>329.04999999999995</v>
      </c>
      <c r="I361" s="14">
        <f t="shared" si="102"/>
        <v>2.9916670000000001</v>
      </c>
      <c r="J361" s="14">
        <f t="shared" si="103"/>
        <v>2891.067986</v>
      </c>
      <c r="K361" s="14">
        <f t="shared" si="104"/>
        <v>1.9110679859999999</v>
      </c>
      <c r="L361" s="14">
        <f t="shared" si="105"/>
        <v>1400.7820939999999</v>
      </c>
      <c r="M361" s="14">
        <v>1393.74</v>
      </c>
      <c r="N361" s="13">
        <f t="shared" si="106"/>
        <v>1.400782094</v>
      </c>
      <c r="O361" s="13">
        <f t="shared" si="107"/>
        <v>1.4098899999999999</v>
      </c>
      <c r="P361" s="13">
        <f t="shared" si="108"/>
        <v>9.1079059999998879E-3</v>
      </c>
      <c r="Q361" s="16">
        <f t="shared" si="109"/>
        <v>6.460011773968103E-3</v>
      </c>
      <c r="R361" s="14">
        <f t="shared" ca="1" si="110"/>
        <v>5.1102255014577258</v>
      </c>
      <c r="S361" s="14">
        <f t="shared" si="111"/>
        <v>5.1999168817204291</v>
      </c>
      <c r="T361" s="14">
        <f t="shared" ca="1" si="112"/>
        <v>8.9691380262703291E-2</v>
      </c>
      <c r="U361" s="16">
        <f t="shared" ca="1" si="113"/>
        <v>1.7248618065031123E-2</v>
      </c>
      <c r="V361" s="14">
        <f t="shared" si="114"/>
        <v>2.9916666666666671</v>
      </c>
      <c r="W361" s="14">
        <f t="shared" ca="1" si="115"/>
        <v>2.8897744985422742</v>
      </c>
      <c r="X361" s="14">
        <f t="shared" ca="1" si="116"/>
        <v>0.10189216812439295</v>
      </c>
      <c r="Y361" s="28">
        <f t="shared" ca="1" si="117"/>
        <v>3.4058663439908501E-2</v>
      </c>
      <c r="Z361" s="29">
        <f t="shared" ca="1" si="118"/>
        <v>54.677294000000003</v>
      </c>
      <c r="AA361" s="16">
        <f t="shared" ca="1" si="119"/>
        <v>2.1873094812164495E-2</v>
      </c>
      <c r="AB361" s="2"/>
    </row>
    <row r="362" spans="6:28" x14ac:dyDescent="0.25">
      <c r="F362" s="13">
        <v>360</v>
      </c>
      <c r="G362" s="13">
        <f t="shared" si="100"/>
        <v>56</v>
      </c>
      <c r="H362" s="13">
        <f t="shared" si="101"/>
        <v>329.15</v>
      </c>
      <c r="I362" s="14">
        <f t="shared" si="102"/>
        <v>3</v>
      </c>
      <c r="J362" s="14">
        <f t="shared" si="103"/>
        <v>2880.443319</v>
      </c>
      <c r="K362" s="14">
        <f t="shared" si="104"/>
        <v>1.9004433189999999</v>
      </c>
      <c r="L362" s="14">
        <f t="shared" si="105"/>
        <v>1398.3173320000001</v>
      </c>
      <c r="M362" s="14">
        <v>1391.45</v>
      </c>
      <c r="N362" s="13">
        <f t="shared" si="106"/>
        <v>1.398317332</v>
      </c>
      <c r="O362" s="13">
        <f t="shared" si="107"/>
        <v>1.4076</v>
      </c>
      <c r="P362" s="13">
        <f t="shared" si="108"/>
        <v>9.2826679999999939E-3</v>
      </c>
      <c r="Q362" s="16">
        <f t="shared" si="109"/>
        <v>6.59467746518897E-3</v>
      </c>
      <c r="R362" s="14">
        <f t="shared" ca="1" si="110"/>
        <v>5.1004647725947514</v>
      </c>
      <c r="S362" s="14">
        <f t="shared" si="111"/>
        <v>5.1914709677419353</v>
      </c>
      <c r="T362" s="14">
        <f t="shared" ca="1" si="112"/>
        <v>9.1006195147183888E-2</v>
      </c>
      <c r="U362" s="16">
        <f t="shared" ca="1" si="113"/>
        <v>1.7529943962446472E-2</v>
      </c>
      <c r="V362" s="14">
        <f t="shared" si="114"/>
        <v>3</v>
      </c>
      <c r="W362" s="14">
        <f t="shared" ca="1" si="115"/>
        <v>2.8995352274052486</v>
      </c>
      <c r="X362" s="14">
        <f t="shared" ca="1" si="116"/>
        <v>0.10046477259475139</v>
      </c>
      <c r="Y362" s="28">
        <f t="shared" ca="1" si="117"/>
        <v>3.3488257531583798E-2</v>
      </c>
      <c r="Z362" s="29">
        <f t="shared" ca="1" si="118"/>
        <v>54.794423000000002</v>
      </c>
      <c r="AA362" s="16">
        <f t="shared" ca="1" si="119"/>
        <v>2.152816071428568E-2</v>
      </c>
      <c r="AB362" s="2"/>
    </row>
    <row r="363" spans="6:28" x14ac:dyDescent="0.25">
      <c r="F363" s="13">
        <v>361</v>
      </c>
      <c r="G363" s="13">
        <f t="shared" si="100"/>
        <v>56.1</v>
      </c>
      <c r="H363" s="13">
        <f t="shared" si="101"/>
        <v>329.25</v>
      </c>
      <c r="I363" s="14">
        <f t="shared" si="102"/>
        <v>3.0083329999999999</v>
      </c>
      <c r="J363" s="14">
        <f t="shared" si="103"/>
        <v>2869.863386</v>
      </c>
      <c r="K363" s="14">
        <f t="shared" si="104"/>
        <v>1.889863386</v>
      </c>
      <c r="L363" s="14">
        <f t="shared" si="105"/>
        <v>1395.853638</v>
      </c>
      <c r="M363" s="14">
        <v>1389</v>
      </c>
      <c r="N363" s="13">
        <f t="shared" si="106"/>
        <v>1.3958536380000002</v>
      </c>
      <c r="O363" s="13">
        <f t="shared" si="107"/>
        <v>1.4053099999999998</v>
      </c>
      <c r="P363" s="13">
        <f t="shared" si="108"/>
        <v>9.4563619999996629E-3</v>
      </c>
      <c r="Q363" s="16">
        <f t="shared" si="109"/>
        <v>6.7290220663054155E-3</v>
      </c>
      <c r="R363" s="14">
        <f t="shared" ca="1" si="110"/>
        <v>5.0914777725947511</v>
      </c>
      <c r="S363" s="14">
        <f t="shared" si="111"/>
        <v>5.1830250537634397</v>
      </c>
      <c r="T363" s="14">
        <f t="shared" ca="1" si="112"/>
        <v>9.1547281168688599E-2</v>
      </c>
      <c r="U363" s="16">
        <f t="shared" ca="1" si="113"/>
        <v>1.7662905391941975E-2</v>
      </c>
      <c r="V363" s="14">
        <f t="shared" si="114"/>
        <v>3.0083333333333337</v>
      </c>
      <c r="W363" s="14">
        <f t="shared" ca="1" si="115"/>
        <v>2.9085222274052489</v>
      </c>
      <c r="X363" s="14">
        <f t="shared" ca="1" si="116"/>
        <v>9.9811105928084842E-2</v>
      </c>
      <c r="Y363" s="28">
        <f t="shared" ca="1" si="117"/>
        <v>3.31782069567041E-2</v>
      </c>
      <c r="Z363" s="29">
        <f t="shared" ca="1" si="118"/>
        <v>54.902267000000002</v>
      </c>
      <c r="AA363" s="16">
        <f t="shared" ca="1" si="119"/>
        <v>2.1349964349376103E-2</v>
      </c>
      <c r="AB363" s="2"/>
    </row>
    <row r="364" spans="6:28" x14ac:dyDescent="0.25">
      <c r="F364" s="13">
        <v>362</v>
      </c>
      <c r="G364" s="13">
        <f t="shared" si="100"/>
        <v>56.2</v>
      </c>
      <c r="H364" s="13">
        <f t="shared" si="101"/>
        <v>329.34999999999997</v>
      </c>
      <c r="I364" s="14">
        <f t="shared" si="102"/>
        <v>3.016667</v>
      </c>
      <c r="J364" s="14">
        <f t="shared" si="103"/>
        <v>2859.327976</v>
      </c>
      <c r="K364" s="14">
        <f t="shared" si="104"/>
        <v>1.8793279759999999</v>
      </c>
      <c r="L364" s="14">
        <f t="shared" si="105"/>
        <v>1393.391026</v>
      </c>
      <c r="M364" s="14">
        <v>1386.38</v>
      </c>
      <c r="N364" s="13">
        <f t="shared" si="106"/>
        <v>1.3933910260000002</v>
      </c>
      <c r="O364" s="13">
        <f t="shared" si="107"/>
        <v>1.4030199999999999</v>
      </c>
      <c r="P364" s="13">
        <f t="shared" si="108"/>
        <v>9.6289739999997348E-3</v>
      </c>
      <c r="Q364" s="16">
        <f t="shared" si="109"/>
        <v>6.8630340265995746E-3</v>
      </c>
      <c r="R364" s="14">
        <f t="shared" ca="1" si="110"/>
        <v>5.0817034985422742</v>
      </c>
      <c r="S364" s="14">
        <f t="shared" si="111"/>
        <v>5.1745791397849459</v>
      </c>
      <c r="T364" s="14">
        <f t="shared" ca="1" si="112"/>
        <v>9.2875641242671669E-2</v>
      </c>
      <c r="U364" s="16">
        <f t="shared" ca="1" si="113"/>
        <v>1.7948443483759638E-2</v>
      </c>
      <c r="V364" s="14">
        <f t="shared" si="114"/>
        <v>3.0166666666666666</v>
      </c>
      <c r="W364" s="14">
        <f t="shared" ca="1" si="115"/>
        <v>2.9182965014577258</v>
      </c>
      <c r="X364" s="14">
        <f t="shared" ca="1" si="116"/>
        <v>9.8370165208940819E-2</v>
      </c>
      <c r="Y364" s="28">
        <f t="shared" ca="1" si="117"/>
        <v>3.2608894544400274E-2</v>
      </c>
      <c r="Z364" s="29">
        <f t="shared" ca="1" si="118"/>
        <v>55.019558000000004</v>
      </c>
      <c r="AA364" s="16">
        <f t="shared" ca="1" si="119"/>
        <v>2.100430604982205E-2</v>
      </c>
      <c r="AB364" s="2"/>
    </row>
    <row r="365" spans="6:28" x14ac:dyDescent="0.25">
      <c r="F365" s="13">
        <v>363</v>
      </c>
      <c r="G365" s="13">
        <f t="shared" si="100"/>
        <v>56.300000000000004</v>
      </c>
      <c r="H365" s="13">
        <f t="shared" si="101"/>
        <v>329.45</v>
      </c>
      <c r="I365" s="14">
        <f t="shared" si="102"/>
        <v>3.0249999999999999</v>
      </c>
      <c r="J365" s="14">
        <f t="shared" si="103"/>
        <v>2848.836879</v>
      </c>
      <c r="K365" s="14">
        <f t="shared" si="104"/>
        <v>1.8688368789999998</v>
      </c>
      <c r="L365" s="14">
        <f t="shared" si="105"/>
        <v>1390.9295139999999</v>
      </c>
      <c r="M365" s="14">
        <v>1383.91</v>
      </c>
      <c r="N365" s="13">
        <f t="shared" si="106"/>
        <v>1.390929514</v>
      </c>
      <c r="O365" s="13">
        <f t="shared" si="107"/>
        <v>1.4007299999999998</v>
      </c>
      <c r="P365" s="13">
        <f t="shared" si="108"/>
        <v>9.8004859999998306E-3</v>
      </c>
      <c r="Q365" s="16">
        <f t="shared" si="109"/>
        <v>6.9966988641635662E-3</v>
      </c>
      <c r="R365" s="14">
        <f t="shared" ca="1" si="110"/>
        <v>5.0727244985422741</v>
      </c>
      <c r="S365" s="14">
        <f t="shared" si="111"/>
        <v>5.1661332258064503</v>
      </c>
      <c r="T365" s="14">
        <f t="shared" ca="1" si="112"/>
        <v>9.340872726417615E-2</v>
      </c>
      <c r="U365" s="16">
        <f t="shared" ca="1" si="113"/>
        <v>1.8080975302295799E-2</v>
      </c>
      <c r="V365" s="14">
        <f t="shared" si="114"/>
        <v>3.0250000000000004</v>
      </c>
      <c r="W365" s="14">
        <f t="shared" ca="1" si="115"/>
        <v>2.9272755014577259</v>
      </c>
      <c r="X365" s="14">
        <f t="shared" ca="1" si="116"/>
        <v>9.7724498542274496E-2</v>
      </c>
      <c r="Y365" s="28">
        <f t="shared" ca="1" si="117"/>
        <v>3.2305619352818012E-2</v>
      </c>
      <c r="Z365" s="29">
        <f t="shared" ca="1" si="118"/>
        <v>55.127305999999997</v>
      </c>
      <c r="AA365" s="16">
        <f t="shared" ca="1" si="119"/>
        <v>2.0829378330373124E-2</v>
      </c>
      <c r="AB365" s="2"/>
    </row>
    <row r="366" spans="6:28" x14ac:dyDescent="0.25">
      <c r="F366" s="13">
        <v>364</v>
      </c>
      <c r="G366" s="13">
        <f t="shared" si="100"/>
        <v>56.4</v>
      </c>
      <c r="H366" s="13">
        <f t="shared" si="101"/>
        <v>329.54999999999995</v>
      </c>
      <c r="I366" s="14">
        <f t="shared" si="102"/>
        <v>3.0333329999999998</v>
      </c>
      <c r="J366" s="14">
        <f t="shared" si="103"/>
        <v>2838.3898880000002</v>
      </c>
      <c r="K366" s="14">
        <f t="shared" si="104"/>
        <v>1.858389888</v>
      </c>
      <c r="L366" s="14">
        <f t="shared" si="105"/>
        <v>1388.4691170000001</v>
      </c>
      <c r="M366" s="14">
        <v>1381.61</v>
      </c>
      <c r="N366" s="13">
        <f t="shared" si="106"/>
        <v>1.3884691170000001</v>
      </c>
      <c r="O366" s="13">
        <f t="shared" si="107"/>
        <v>1.3984399999999999</v>
      </c>
      <c r="P366" s="13">
        <f t="shared" si="108"/>
        <v>9.9708829999998194E-3</v>
      </c>
      <c r="Q366" s="16">
        <f t="shared" si="109"/>
        <v>7.13000414747849E-3</v>
      </c>
      <c r="R366" s="14">
        <f t="shared" ca="1" si="110"/>
        <v>5.0649281370262385</v>
      </c>
      <c r="S366" s="14">
        <f t="shared" si="111"/>
        <v>5.1576873118279565</v>
      </c>
      <c r="T366" s="14">
        <f t="shared" ca="1" si="112"/>
        <v>9.2759174801718025E-2</v>
      </c>
      <c r="U366" s="16">
        <f t="shared" ca="1" si="113"/>
        <v>1.7984644898692566E-2</v>
      </c>
      <c r="V366" s="14">
        <f t="shared" si="114"/>
        <v>3.0333333333333332</v>
      </c>
      <c r="W366" s="14">
        <f t="shared" ca="1" si="115"/>
        <v>2.9350718629737615</v>
      </c>
      <c r="X366" s="14">
        <f t="shared" ca="1" si="116"/>
        <v>9.8261470359571668E-2</v>
      </c>
      <c r="Y366" s="28">
        <f t="shared" ca="1" si="117"/>
        <v>3.2393891327331323E-2</v>
      </c>
      <c r="Z366" s="29">
        <f t="shared" ca="1" si="118"/>
        <v>55.220861999999997</v>
      </c>
      <c r="AA366" s="16">
        <f t="shared" ca="1" si="119"/>
        <v>2.0906702127659608E-2</v>
      </c>
      <c r="AB366" s="2"/>
    </row>
    <row r="367" spans="6:28" x14ac:dyDescent="0.25">
      <c r="F367" s="13">
        <v>365</v>
      </c>
      <c r="G367" s="13">
        <f t="shared" si="100"/>
        <v>56.5</v>
      </c>
      <c r="H367" s="13">
        <f t="shared" si="101"/>
        <v>329.65</v>
      </c>
      <c r="I367" s="14">
        <f t="shared" si="102"/>
        <v>3.0416669999999999</v>
      </c>
      <c r="J367" s="14">
        <f t="shared" si="103"/>
        <v>2827.9867949999998</v>
      </c>
      <c r="K367" s="14">
        <f t="shared" si="104"/>
        <v>1.8479867949999997</v>
      </c>
      <c r="L367" s="14">
        <f t="shared" si="105"/>
        <v>1386.0098499999999</v>
      </c>
      <c r="M367" s="14">
        <v>1378.97</v>
      </c>
      <c r="N367" s="13">
        <f t="shared" si="106"/>
        <v>1.3860098499999998</v>
      </c>
      <c r="O367" s="13">
        <f t="shared" si="107"/>
        <v>1.39615</v>
      </c>
      <c r="P367" s="13">
        <f t="shared" si="108"/>
        <v>1.0140150000000236E-2</v>
      </c>
      <c r="Q367" s="16">
        <f t="shared" si="109"/>
        <v>7.2629373634639808E-3</v>
      </c>
      <c r="R367" s="14">
        <f t="shared" ca="1" si="110"/>
        <v>5.0555502274052486</v>
      </c>
      <c r="S367" s="14">
        <f t="shared" si="111"/>
        <v>5.1492413978494618</v>
      </c>
      <c r="T367" s="14">
        <f t="shared" ca="1" si="112"/>
        <v>9.3691170444213157E-2</v>
      </c>
      <c r="U367" s="16">
        <f t="shared" ca="1" si="113"/>
        <v>1.8195140449881124E-2</v>
      </c>
      <c r="V367" s="14">
        <f t="shared" si="114"/>
        <v>3.041666666666667</v>
      </c>
      <c r="W367" s="14">
        <f t="shared" ca="1" si="115"/>
        <v>2.9444497725947514</v>
      </c>
      <c r="X367" s="14">
        <f t="shared" ca="1" si="116"/>
        <v>9.7216894071915583E-2</v>
      </c>
      <c r="Y367" s="28">
        <f t="shared" ca="1" si="117"/>
        <v>3.1961718598985944E-2</v>
      </c>
      <c r="Z367" s="29">
        <f t="shared" ca="1" si="118"/>
        <v>55.333396999999998</v>
      </c>
      <c r="AA367" s="16">
        <f t="shared" ca="1" si="119"/>
        <v>2.0647840707964639E-2</v>
      </c>
      <c r="AB367" s="2"/>
    </row>
    <row r="368" spans="6:28" x14ac:dyDescent="0.25">
      <c r="F368" s="13">
        <v>366</v>
      </c>
      <c r="G368" s="13">
        <f t="shared" si="100"/>
        <v>56.6</v>
      </c>
      <c r="H368" s="13">
        <f t="shared" si="101"/>
        <v>329.75</v>
      </c>
      <c r="I368" s="14">
        <f t="shared" si="102"/>
        <v>3.05</v>
      </c>
      <c r="J368" s="14">
        <f t="shared" si="103"/>
        <v>2817.6273940000001</v>
      </c>
      <c r="K368" s="14">
        <f t="shared" si="104"/>
        <v>1.8376273940000001</v>
      </c>
      <c r="L368" s="14">
        <f t="shared" si="105"/>
        <v>1383.5517299999999</v>
      </c>
      <c r="M368" s="14">
        <v>1376.33</v>
      </c>
      <c r="N368" s="13">
        <f t="shared" si="106"/>
        <v>1.3835517299999998</v>
      </c>
      <c r="O368" s="13">
        <f t="shared" si="107"/>
        <v>1.3938599999999999</v>
      </c>
      <c r="P368" s="13">
        <f t="shared" si="108"/>
        <v>1.0308270000000119E-2</v>
      </c>
      <c r="Q368" s="16">
        <f t="shared" si="109"/>
        <v>7.3954844819423184E-3</v>
      </c>
      <c r="R368" s="14">
        <f t="shared" ca="1" si="110"/>
        <v>5.0469911370262386</v>
      </c>
      <c r="S368" s="14">
        <f t="shared" si="111"/>
        <v>5.1407954838709671</v>
      </c>
      <c r="T368" s="14">
        <f t="shared" ca="1" si="112"/>
        <v>9.3804346844728492E-2</v>
      </c>
      <c r="U368" s="16">
        <f t="shared" ca="1" si="113"/>
        <v>1.8247048951672118E-2</v>
      </c>
      <c r="V368" s="14">
        <f t="shared" si="114"/>
        <v>3.05</v>
      </c>
      <c r="W368" s="14">
        <f t="shared" ca="1" si="115"/>
        <v>2.9530088629737614</v>
      </c>
      <c r="X368" s="14">
        <f t="shared" ca="1" si="116"/>
        <v>9.6991137026238405E-2</v>
      </c>
      <c r="Y368" s="28">
        <f t="shared" ca="1" si="117"/>
        <v>3.1800372795488002E-2</v>
      </c>
      <c r="Z368" s="29">
        <f t="shared" ca="1" si="118"/>
        <v>55.436106000000002</v>
      </c>
      <c r="AA368" s="16">
        <f t="shared" ca="1" si="119"/>
        <v>2.056349823321553E-2</v>
      </c>
      <c r="AB368" s="2"/>
    </row>
    <row r="369" spans="6:28" x14ac:dyDescent="0.25">
      <c r="F369" s="13">
        <v>367</v>
      </c>
      <c r="G369" s="13">
        <f t="shared" si="100"/>
        <v>56.7</v>
      </c>
      <c r="H369" s="13">
        <f t="shared" si="101"/>
        <v>329.84999999999997</v>
      </c>
      <c r="I369" s="14">
        <f t="shared" si="102"/>
        <v>3.0583330000000002</v>
      </c>
      <c r="J369" s="14">
        <f t="shared" si="103"/>
        <v>2807.311479</v>
      </c>
      <c r="K369" s="14">
        <f t="shared" si="104"/>
        <v>1.827311479</v>
      </c>
      <c r="L369" s="14">
        <f t="shared" si="105"/>
        <v>1381.094773</v>
      </c>
      <c r="M369" s="14">
        <v>1374.02</v>
      </c>
      <c r="N369" s="13">
        <f t="shared" si="106"/>
        <v>1.3810947730000003</v>
      </c>
      <c r="O369" s="13">
        <f t="shared" si="107"/>
        <v>1.39157</v>
      </c>
      <c r="P369" s="13">
        <f t="shared" si="108"/>
        <v>1.0475226999999698E-2</v>
      </c>
      <c r="Q369" s="16">
        <f t="shared" si="109"/>
        <v>7.5276320989958812E-3</v>
      </c>
      <c r="R369" s="14">
        <f t="shared" ca="1" si="110"/>
        <v>5.0384145014577255</v>
      </c>
      <c r="S369" s="14">
        <f t="shared" si="111"/>
        <v>5.1323495698924724</v>
      </c>
      <c r="T369" s="14">
        <f t="shared" ca="1" si="112"/>
        <v>9.393506843474686E-2</v>
      </c>
      <c r="U369" s="16">
        <f t="shared" ca="1" si="113"/>
        <v>1.8302546846339404E-2</v>
      </c>
      <c r="V369" s="14">
        <f t="shared" si="114"/>
        <v>3.0583333333333336</v>
      </c>
      <c r="W369" s="14">
        <f t="shared" ca="1" si="115"/>
        <v>2.9615854985422745</v>
      </c>
      <c r="X369" s="14">
        <f t="shared" ca="1" si="116"/>
        <v>9.6747834791059084E-2</v>
      </c>
      <c r="Y369" s="28">
        <f t="shared" ca="1" si="117"/>
        <v>3.1634169413970271E-2</v>
      </c>
      <c r="Z369" s="29">
        <f t="shared" ca="1" si="118"/>
        <v>55.539026</v>
      </c>
      <c r="AA369" s="16">
        <f t="shared" ca="1" si="119"/>
        <v>2.0475731922398641E-2</v>
      </c>
      <c r="AB369" s="2"/>
    </row>
    <row r="370" spans="6:28" x14ac:dyDescent="0.25">
      <c r="F370" s="13">
        <v>368</v>
      </c>
      <c r="G370" s="13">
        <f t="shared" si="100"/>
        <v>56.800000000000004</v>
      </c>
      <c r="H370" s="13">
        <f t="shared" si="101"/>
        <v>329.95</v>
      </c>
      <c r="I370" s="14">
        <f t="shared" si="102"/>
        <v>3.0666669999999998</v>
      </c>
      <c r="J370" s="14">
        <f t="shared" si="103"/>
        <v>2797.0388459999999</v>
      </c>
      <c r="K370" s="14">
        <f t="shared" si="104"/>
        <v>1.817038846</v>
      </c>
      <c r="L370" s="14">
        <f t="shared" si="105"/>
        <v>1378.6389939999999</v>
      </c>
      <c r="M370" s="14">
        <v>1371.53</v>
      </c>
      <c r="N370" s="13">
        <f t="shared" si="106"/>
        <v>1.3786389939999999</v>
      </c>
      <c r="O370" s="13">
        <f t="shared" si="107"/>
        <v>1.3892799999999998</v>
      </c>
      <c r="P370" s="13">
        <f t="shared" si="108"/>
        <v>1.0641005999999953E-2</v>
      </c>
      <c r="Q370" s="16">
        <f t="shared" si="109"/>
        <v>7.6593674421282639E-3</v>
      </c>
      <c r="R370" s="14">
        <f t="shared" ca="1" si="110"/>
        <v>5.027894498542274</v>
      </c>
      <c r="S370" s="14">
        <f t="shared" si="111"/>
        <v>5.1239036559139777</v>
      </c>
      <c r="T370" s="14">
        <f t="shared" ca="1" si="112"/>
        <v>9.6009157371703679E-2</v>
      </c>
      <c r="U370" s="16">
        <f t="shared" ca="1" si="113"/>
        <v>1.873750246277377E-2</v>
      </c>
      <c r="V370" s="14">
        <f t="shared" si="114"/>
        <v>3.0666666666666673</v>
      </c>
      <c r="W370" s="14">
        <f t="shared" ca="1" si="115"/>
        <v>2.972105501457726</v>
      </c>
      <c r="X370" s="14">
        <f t="shared" ca="1" si="116"/>
        <v>9.4561165208941311E-2</v>
      </c>
      <c r="Y370" s="28">
        <f t="shared" ca="1" si="117"/>
        <v>3.0835162568133029E-2</v>
      </c>
      <c r="Z370" s="29">
        <f t="shared" ca="1" si="118"/>
        <v>55.665266000000003</v>
      </c>
      <c r="AA370" s="16">
        <f t="shared" ca="1" si="119"/>
        <v>1.9977711267605662E-2</v>
      </c>
      <c r="AB370" s="2"/>
    </row>
    <row r="371" spans="6:28" x14ac:dyDescent="0.25">
      <c r="F371" s="13">
        <v>369</v>
      </c>
      <c r="G371" s="13">
        <f t="shared" si="100"/>
        <v>56.9</v>
      </c>
      <c r="H371" s="13">
        <f t="shared" si="101"/>
        <v>330.04999999999995</v>
      </c>
      <c r="I371" s="14">
        <f t="shared" si="102"/>
        <v>3.0750000000000002</v>
      </c>
      <c r="J371" s="14">
        <f t="shared" si="103"/>
        <v>2786.8092919999999</v>
      </c>
      <c r="K371" s="14">
        <f t="shared" si="104"/>
        <v>1.8068092920000001</v>
      </c>
      <c r="L371" s="14">
        <f t="shared" si="105"/>
        <v>1376.184409</v>
      </c>
      <c r="M371" s="14">
        <v>1369.04</v>
      </c>
      <c r="N371" s="13">
        <f t="shared" si="106"/>
        <v>1.3761844089999999</v>
      </c>
      <c r="O371" s="13">
        <f t="shared" si="107"/>
        <v>1.3869899999999999</v>
      </c>
      <c r="P371" s="13">
        <f t="shared" si="108"/>
        <v>1.0805591000000003E-2</v>
      </c>
      <c r="Q371" s="16">
        <f t="shared" si="109"/>
        <v>7.7906769335034888E-3</v>
      </c>
      <c r="R371" s="14">
        <f t="shared" ca="1" si="110"/>
        <v>5.0205035014577257</v>
      </c>
      <c r="S371" s="14">
        <f t="shared" si="111"/>
        <v>5.1154577419354839</v>
      </c>
      <c r="T371" s="14">
        <f t="shared" ca="1" si="112"/>
        <v>9.4954240477758134E-2</v>
      </c>
      <c r="U371" s="16">
        <f t="shared" ca="1" si="113"/>
        <v>1.8562217746291316E-2</v>
      </c>
      <c r="V371" s="14">
        <f t="shared" si="114"/>
        <v>3.0749999999999993</v>
      </c>
      <c r="W371" s="14">
        <f t="shared" ca="1" si="115"/>
        <v>2.9794964985422743</v>
      </c>
      <c r="X371" s="14">
        <f t="shared" ca="1" si="116"/>
        <v>9.5503501457725015E-2</v>
      </c>
      <c r="Y371" s="28">
        <f t="shared" ca="1" si="117"/>
        <v>3.1058049254544726E-2</v>
      </c>
      <c r="Z371" s="29">
        <f t="shared" ca="1" si="118"/>
        <v>55.753957999999997</v>
      </c>
      <c r="AA371" s="16">
        <f t="shared" ca="1" si="119"/>
        <v>2.0141335676625682E-2</v>
      </c>
      <c r="AB371" s="2"/>
    </row>
    <row r="372" spans="6:28" x14ac:dyDescent="0.25">
      <c r="F372" s="13">
        <v>370</v>
      </c>
      <c r="G372" s="13">
        <f t="shared" si="100"/>
        <v>57</v>
      </c>
      <c r="H372" s="13">
        <f t="shared" si="101"/>
        <v>330.15</v>
      </c>
      <c r="I372" s="14">
        <f t="shared" si="102"/>
        <v>3.0833330000000001</v>
      </c>
      <c r="J372" s="14">
        <f t="shared" si="103"/>
        <v>2776.6226160000001</v>
      </c>
      <c r="K372" s="14">
        <f t="shared" si="104"/>
        <v>1.7966226160000001</v>
      </c>
      <c r="L372" s="14">
        <f t="shared" si="105"/>
        <v>1373.731033</v>
      </c>
      <c r="M372" s="14">
        <v>1366.71</v>
      </c>
      <c r="N372" s="13">
        <f t="shared" si="106"/>
        <v>1.3737310329999999</v>
      </c>
      <c r="O372" s="13">
        <f t="shared" si="107"/>
        <v>1.3847</v>
      </c>
      <c r="P372" s="13">
        <f t="shared" si="108"/>
        <v>1.0968967000000163E-2</v>
      </c>
      <c r="Q372" s="16">
        <f t="shared" si="109"/>
        <v>7.9215476276450949E-3</v>
      </c>
      <c r="R372" s="14">
        <f t="shared" ca="1" si="110"/>
        <v>5.0115555014577255</v>
      </c>
      <c r="S372" s="14">
        <f t="shared" si="111"/>
        <v>5.1070118279569892</v>
      </c>
      <c r="T372" s="14">
        <f t="shared" ca="1" si="112"/>
        <v>9.5456326499263611E-2</v>
      </c>
      <c r="U372" s="16">
        <f t="shared" ca="1" si="113"/>
        <v>1.8691228787979915E-2</v>
      </c>
      <c r="V372" s="14">
        <f t="shared" si="114"/>
        <v>3.083333333333333</v>
      </c>
      <c r="W372" s="14">
        <f t="shared" ca="1" si="115"/>
        <v>2.9884444985422745</v>
      </c>
      <c r="X372" s="14">
        <f t="shared" ca="1" si="116"/>
        <v>9.4888834791058585E-2</v>
      </c>
      <c r="Y372" s="28">
        <f t="shared" ca="1" si="117"/>
        <v>3.0774757229532518E-2</v>
      </c>
      <c r="Z372" s="29">
        <f t="shared" ca="1" si="118"/>
        <v>55.861333999999999</v>
      </c>
      <c r="AA372" s="16">
        <f t="shared" ca="1" si="119"/>
        <v>1.9976596491228082E-2</v>
      </c>
      <c r="AB372" s="2"/>
    </row>
    <row r="373" spans="6:28" x14ac:dyDescent="0.25">
      <c r="F373" s="13">
        <v>371</v>
      </c>
      <c r="G373" s="13">
        <f t="shared" si="100"/>
        <v>57.1</v>
      </c>
      <c r="H373" s="13">
        <f t="shared" si="101"/>
        <v>330.25</v>
      </c>
      <c r="I373" s="14">
        <f t="shared" si="102"/>
        <v>3.0916670000000002</v>
      </c>
      <c r="J373" s="14">
        <f t="shared" si="103"/>
        <v>2766.478615</v>
      </c>
      <c r="K373" s="14">
        <f t="shared" si="104"/>
        <v>1.786478615</v>
      </c>
      <c r="L373" s="14">
        <f t="shared" si="105"/>
        <v>1371.2788820000001</v>
      </c>
      <c r="M373" s="14">
        <v>1364.37</v>
      </c>
      <c r="N373" s="13">
        <f t="shared" si="106"/>
        <v>1.3712788820000001</v>
      </c>
      <c r="O373" s="13">
        <f t="shared" si="107"/>
        <v>1.3824099999999999</v>
      </c>
      <c r="P373" s="13">
        <f t="shared" si="108"/>
        <v>1.1131117999999773E-2</v>
      </c>
      <c r="Q373" s="16">
        <f t="shared" si="109"/>
        <v>8.0519657699233763E-3</v>
      </c>
      <c r="R373" s="14">
        <f t="shared" ca="1" si="110"/>
        <v>5.0018289999999999</v>
      </c>
      <c r="S373" s="14">
        <f t="shared" si="111"/>
        <v>5.0985659139784945</v>
      </c>
      <c r="T373" s="14">
        <f t="shared" ca="1" si="112"/>
        <v>9.6736913978494599E-2</v>
      </c>
      <c r="U373" s="16">
        <f t="shared" ca="1" si="113"/>
        <v>1.8973357530452952E-2</v>
      </c>
      <c r="V373" s="14">
        <f t="shared" si="114"/>
        <v>3.0916666666666659</v>
      </c>
      <c r="W373" s="14">
        <f t="shared" ca="1" si="115"/>
        <v>2.9981710000000001</v>
      </c>
      <c r="X373" s="14">
        <f t="shared" ca="1" si="116"/>
        <v>9.3495666666665755E-2</v>
      </c>
      <c r="Y373" s="28">
        <f t="shared" ca="1" si="117"/>
        <v>3.0241185983827207E-2</v>
      </c>
      <c r="Z373" s="29">
        <f t="shared" ca="1" si="118"/>
        <v>55.978051999999998</v>
      </c>
      <c r="AA373" s="16">
        <f t="shared" ca="1" si="119"/>
        <v>1.9648826619965032E-2</v>
      </c>
      <c r="AB373" s="2"/>
    </row>
    <row r="374" spans="6:28" x14ac:dyDescent="0.25">
      <c r="F374" s="13">
        <v>372</v>
      </c>
      <c r="G374" s="13">
        <f t="shared" si="100"/>
        <v>57.2</v>
      </c>
      <c r="H374" s="13">
        <f t="shared" si="101"/>
        <v>330.34999999999997</v>
      </c>
      <c r="I374" s="14">
        <f t="shared" si="102"/>
        <v>3.1</v>
      </c>
      <c r="J374" s="14">
        <f t="shared" si="103"/>
        <v>2756.3770909999998</v>
      </c>
      <c r="K374" s="14">
        <f t="shared" si="104"/>
        <v>1.7763770910000001</v>
      </c>
      <c r="L374" s="14">
        <f t="shared" si="105"/>
        <v>1368.827972</v>
      </c>
      <c r="M374" s="14">
        <v>1361.71</v>
      </c>
      <c r="N374" s="13">
        <f t="shared" si="106"/>
        <v>1.3688279720000001</v>
      </c>
      <c r="O374" s="13">
        <f t="shared" si="107"/>
        <v>1.3801199999999998</v>
      </c>
      <c r="P374" s="13">
        <f t="shared" si="108"/>
        <v>1.1292027999999732E-2</v>
      </c>
      <c r="Q374" s="16">
        <f t="shared" si="109"/>
        <v>8.1819175144188429E-3</v>
      </c>
      <c r="R374" s="14">
        <f t="shared" ca="1" si="110"/>
        <v>4.992107498542274</v>
      </c>
      <c r="S374" s="14">
        <f t="shared" si="111"/>
        <v>5.0901199999999989</v>
      </c>
      <c r="T374" s="14">
        <f t="shared" ca="1" si="112"/>
        <v>9.8012501457724888E-2</v>
      </c>
      <c r="U374" s="16">
        <f t="shared" ca="1" si="113"/>
        <v>1.9255440236718369E-2</v>
      </c>
      <c r="V374" s="14">
        <f t="shared" si="114"/>
        <v>3.1000000000000005</v>
      </c>
      <c r="W374" s="14">
        <f t="shared" ca="1" si="115"/>
        <v>3.007892501457726</v>
      </c>
      <c r="X374" s="14">
        <f t="shared" ca="1" si="116"/>
        <v>9.2107498542274513E-2</v>
      </c>
      <c r="Y374" s="28">
        <f t="shared" ca="1" si="117"/>
        <v>2.9712096303959514E-2</v>
      </c>
      <c r="Z374" s="29">
        <f t="shared" ca="1" si="118"/>
        <v>56.094709999999999</v>
      </c>
      <c r="AA374" s="16">
        <f t="shared" ca="1" si="119"/>
        <v>1.9323251748251811E-2</v>
      </c>
      <c r="AB374" s="2"/>
    </row>
    <row r="375" spans="6:28" x14ac:dyDescent="0.25">
      <c r="F375" s="13">
        <v>373</v>
      </c>
      <c r="G375" s="13">
        <f t="shared" si="100"/>
        <v>57.300000000000004</v>
      </c>
      <c r="H375" s="13">
        <f t="shared" si="101"/>
        <v>330.45</v>
      </c>
      <c r="I375" s="14">
        <f t="shared" si="102"/>
        <v>3.108333</v>
      </c>
      <c r="J375" s="14">
        <f t="shared" si="103"/>
        <v>2746.3178429999998</v>
      </c>
      <c r="K375" s="14">
        <f t="shared" si="104"/>
        <v>1.7663178429999999</v>
      </c>
      <c r="L375" s="14">
        <f t="shared" si="105"/>
        <v>1366.3783169999999</v>
      </c>
      <c r="M375" s="14">
        <v>1359.04</v>
      </c>
      <c r="N375" s="13">
        <f t="shared" si="106"/>
        <v>1.3663783169999999</v>
      </c>
      <c r="O375" s="13">
        <f t="shared" si="107"/>
        <v>1.3778299999999999</v>
      </c>
      <c r="P375" s="13">
        <f t="shared" si="108"/>
        <v>1.145168299999999E-2</v>
      </c>
      <c r="Q375" s="16">
        <f t="shared" si="109"/>
        <v>8.3113903747196616E-3</v>
      </c>
      <c r="R375" s="14">
        <f t="shared" ca="1" si="110"/>
        <v>4.9839432274052484</v>
      </c>
      <c r="S375" s="14">
        <f t="shared" si="111"/>
        <v>5.0816740860215051</v>
      </c>
      <c r="T375" s="14">
        <f t="shared" ca="1" si="112"/>
        <v>9.7730858616256633E-2</v>
      </c>
      <c r="U375" s="16">
        <f t="shared" ca="1" si="113"/>
        <v>1.9232020188994673E-2</v>
      </c>
      <c r="V375" s="14">
        <f t="shared" si="114"/>
        <v>3.1083333333333334</v>
      </c>
      <c r="W375" s="14">
        <f t="shared" ca="1" si="115"/>
        <v>3.0160567725947516</v>
      </c>
      <c r="X375" s="14">
        <f t="shared" ca="1" si="116"/>
        <v>9.2276560738581814E-2</v>
      </c>
      <c r="Y375" s="28">
        <f t="shared" ca="1" si="117"/>
        <v>2.9686829192037044E-2</v>
      </c>
      <c r="Z375" s="29">
        <f t="shared" ca="1" si="118"/>
        <v>56.192681</v>
      </c>
      <c r="AA375" s="16">
        <f t="shared" ca="1" si="119"/>
        <v>1.9324938917975633E-2</v>
      </c>
      <c r="AB375" s="2"/>
    </row>
    <row r="376" spans="6:28" x14ac:dyDescent="0.25">
      <c r="F376" s="13">
        <v>374</v>
      </c>
      <c r="G376" s="13">
        <f t="shared" si="100"/>
        <v>57.4</v>
      </c>
      <c r="H376" s="13">
        <f t="shared" si="101"/>
        <v>330.54999999999995</v>
      </c>
      <c r="I376" s="14">
        <f t="shared" si="102"/>
        <v>3.1166670000000001</v>
      </c>
      <c r="J376" s="14">
        <f t="shared" si="103"/>
        <v>2736.300675</v>
      </c>
      <c r="K376" s="14">
        <f t="shared" si="104"/>
        <v>1.7563006749999999</v>
      </c>
      <c r="L376" s="14">
        <f t="shared" si="105"/>
        <v>1363.9299349999999</v>
      </c>
      <c r="M376" s="14">
        <v>1356.85</v>
      </c>
      <c r="N376" s="13">
        <f t="shared" si="106"/>
        <v>1.363929935</v>
      </c>
      <c r="O376" s="13">
        <f t="shared" si="107"/>
        <v>1.37554</v>
      </c>
      <c r="P376" s="13">
        <f t="shared" si="108"/>
        <v>1.1610064999999947E-2</v>
      </c>
      <c r="Q376" s="16">
        <f t="shared" si="109"/>
        <v>8.4403688733151686E-3</v>
      </c>
      <c r="R376" s="14">
        <f t="shared" ca="1" si="110"/>
        <v>4.9754083644314875</v>
      </c>
      <c r="S376" s="14">
        <f t="shared" si="111"/>
        <v>5.0732281720430104</v>
      </c>
      <c r="T376" s="14">
        <f t="shared" ca="1" si="112"/>
        <v>9.7819807611522869E-2</v>
      </c>
      <c r="U376" s="16">
        <f t="shared" ca="1" si="113"/>
        <v>1.928157068719628E-2</v>
      </c>
      <c r="V376" s="14">
        <f t="shared" si="114"/>
        <v>3.1166666666666663</v>
      </c>
      <c r="W376" s="14">
        <f t="shared" ca="1" si="115"/>
        <v>3.0245916355685125</v>
      </c>
      <c r="X376" s="14">
        <f t="shared" ca="1" si="116"/>
        <v>9.2075031098153737E-2</v>
      </c>
      <c r="Y376" s="28">
        <f t="shared" ca="1" si="117"/>
        <v>2.9542790726680347E-2</v>
      </c>
      <c r="Z376" s="29">
        <f t="shared" ca="1" si="118"/>
        <v>56.295099999999998</v>
      </c>
      <c r="AA376" s="16">
        <f t="shared" ca="1" si="119"/>
        <v>1.924912891986064E-2</v>
      </c>
      <c r="AB376" s="2"/>
    </row>
    <row r="377" spans="6:28" x14ac:dyDescent="0.25">
      <c r="F377" s="13">
        <v>375</v>
      </c>
      <c r="G377" s="13">
        <f t="shared" si="100"/>
        <v>57.5</v>
      </c>
      <c r="H377" s="13">
        <f t="shared" si="101"/>
        <v>330.65</v>
      </c>
      <c r="I377" s="14">
        <f t="shared" si="102"/>
        <v>3.125</v>
      </c>
      <c r="J377" s="14">
        <f t="shared" si="103"/>
        <v>2726.3253890000001</v>
      </c>
      <c r="K377" s="14">
        <f t="shared" si="104"/>
        <v>1.7463253890000003</v>
      </c>
      <c r="L377" s="14">
        <f t="shared" si="105"/>
        <v>1361.482839</v>
      </c>
      <c r="M377" s="14">
        <v>1354.49</v>
      </c>
      <c r="N377" s="13">
        <f t="shared" si="106"/>
        <v>1.361482839</v>
      </c>
      <c r="O377" s="13">
        <f t="shared" si="107"/>
        <v>1.3732499999999999</v>
      </c>
      <c r="P377" s="13">
        <f t="shared" si="108"/>
        <v>1.1767160999999859E-2</v>
      </c>
      <c r="Q377" s="16">
        <f t="shared" si="109"/>
        <v>8.568841070453203E-3</v>
      </c>
      <c r="R377" s="14">
        <f t="shared" ca="1" si="110"/>
        <v>4.9653164985422737</v>
      </c>
      <c r="S377" s="14">
        <f t="shared" si="111"/>
        <v>5.0647822580645157</v>
      </c>
      <c r="T377" s="14">
        <f t="shared" ca="1" si="112"/>
        <v>9.9465759522241903E-2</v>
      </c>
      <c r="U377" s="16">
        <f t="shared" ca="1" si="113"/>
        <v>1.9638703986507074E-2</v>
      </c>
      <c r="V377" s="14">
        <f t="shared" si="114"/>
        <v>3.125</v>
      </c>
      <c r="W377" s="14">
        <f t="shared" ca="1" si="115"/>
        <v>3.0346835014577263</v>
      </c>
      <c r="X377" s="14">
        <f t="shared" ca="1" si="116"/>
        <v>9.0316498542273749E-2</v>
      </c>
      <c r="Y377" s="28">
        <f t="shared" ca="1" si="117"/>
        <v>2.8901279533527599E-2</v>
      </c>
      <c r="Z377" s="29">
        <f t="shared" ca="1" si="118"/>
        <v>56.416201999999998</v>
      </c>
      <c r="AA377" s="16">
        <f t="shared" ca="1" si="119"/>
        <v>1.8848660869565246E-2</v>
      </c>
      <c r="AB377" s="2"/>
    </row>
    <row r="378" spans="6:28" x14ac:dyDescent="0.25">
      <c r="F378" s="13">
        <v>376</v>
      </c>
      <c r="G378" s="13">
        <f t="shared" si="100"/>
        <v>57.6</v>
      </c>
      <c r="H378" s="13">
        <f t="shared" si="101"/>
        <v>330.75</v>
      </c>
      <c r="I378" s="14">
        <f t="shared" si="102"/>
        <v>3.1333329999999999</v>
      </c>
      <c r="J378" s="14">
        <f t="shared" si="103"/>
        <v>2716.3917900000001</v>
      </c>
      <c r="K378" s="14">
        <f t="shared" si="104"/>
        <v>1.7363917900000003</v>
      </c>
      <c r="L378" s="14">
        <f t="shared" si="105"/>
        <v>1359.037045</v>
      </c>
      <c r="M378" s="14">
        <v>1351.82</v>
      </c>
      <c r="N378" s="13">
        <f t="shared" si="106"/>
        <v>1.359037045</v>
      </c>
      <c r="O378" s="13">
        <f t="shared" si="107"/>
        <v>1.37096</v>
      </c>
      <c r="P378" s="13">
        <f t="shared" si="108"/>
        <v>1.1922954999999957E-2</v>
      </c>
      <c r="Q378" s="16">
        <f t="shared" si="109"/>
        <v>8.6967927583590753E-3</v>
      </c>
      <c r="R378" s="14">
        <f t="shared" ca="1" si="110"/>
        <v>4.9567906355685123</v>
      </c>
      <c r="S378" s="14">
        <f t="shared" si="111"/>
        <v>5.056336344086021</v>
      </c>
      <c r="T378" s="14">
        <f t="shared" ca="1" si="112"/>
        <v>9.9545708517508658E-2</v>
      </c>
      <c r="U378" s="16">
        <f t="shared" ca="1" si="113"/>
        <v>1.9687319383715256E-2</v>
      </c>
      <c r="V378" s="14">
        <f t="shared" si="114"/>
        <v>3.1333333333333329</v>
      </c>
      <c r="W378" s="14">
        <f t="shared" ca="1" si="115"/>
        <v>3.0432093644314877</v>
      </c>
      <c r="X378" s="14">
        <f t="shared" ca="1" si="116"/>
        <v>9.0123968901845153E-2</v>
      </c>
      <c r="Y378" s="28">
        <f t="shared" ca="1" si="117"/>
        <v>2.8762968798461224E-2</v>
      </c>
      <c r="Z378" s="29">
        <f t="shared" ca="1" si="118"/>
        <v>56.518512000000001</v>
      </c>
      <c r="AA378" s="16">
        <f t="shared" ca="1" si="119"/>
        <v>1.8775833333333335E-2</v>
      </c>
      <c r="AB378" s="2"/>
    </row>
    <row r="379" spans="6:28" x14ac:dyDescent="0.25">
      <c r="F379" s="13">
        <v>377</v>
      </c>
      <c r="G379" s="13">
        <f t="shared" si="100"/>
        <v>57.7</v>
      </c>
      <c r="H379" s="13">
        <f t="shared" si="101"/>
        <v>330.84999999999997</v>
      </c>
      <c r="I379" s="14">
        <f t="shared" si="102"/>
        <v>3.141667</v>
      </c>
      <c r="J379" s="14">
        <f t="shared" si="103"/>
        <v>2706.4996820000001</v>
      </c>
      <c r="K379" s="14">
        <f t="shared" si="104"/>
        <v>1.726499682</v>
      </c>
      <c r="L379" s="14">
        <f t="shared" si="105"/>
        <v>1356.592568</v>
      </c>
      <c r="M379" s="14">
        <v>1349.29</v>
      </c>
      <c r="N379" s="13">
        <f t="shared" si="106"/>
        <v>1.3565925679999999</v>
      </c>
      <c r="O379" s="13">
        <f t="shared" si="107"/>
        <v>1.3686699999999998</v>
      </c>
      <c r="P379" s="13">
        <f t="shared" si="108"/>
        <v>1.2077431999999888E-2</v>
      </c>
      <c r="Q379" s="16">
        <f t="shared" si="109"/>
        <v>8.8242103648066301E-3</v>
      </c>
      <c r="R379" s="14">
        <f t="shared" ca="1" si="110"/>
        <v>4.9482600000000003</v>
      </c>
      <c r="S379" s="14">
        <f t="shared" si="111"/>
        <v>5.0478904301075262</v>
      </c>
      <c r="T379" s="14">
        <f t="shared" ca="1" si="112"/>
        <v>9.9630430107525925E-2</v>
      </c>
      <c r="U379" s="16">
        <f t="shared" ca="1" si="113"/>
        <v>1.9737042926544598E-2</v>
      </c>
      <c r="V379" s="14">
        <f t="shared" si="114"/>
        <v>3.1416666666666666</v>
      </c>
      <c r="W379" s="14">
        <f t="shared" ca="1" si="115"/>
        <v>3.0517399999999997</v>
      </c>
      <c r="X379" s="14">
        <f t="shared" ca="1" si="116"/>
        <v>8.9926666666666932E-2</v>
      </c>
      <c r="Y379" s="28">
        <f t="shared" ca="1" si="117"/>
        <v>2.8623872679045179E-2</v>
      </c>
      <c r="Z379" s="29">
        <f t="shared" ca="1" si="118"/>
        <v>56.62088</v>
      </c>
      <c r="AA379" s="16">
        <f t="shared" ca="1" si="119"/>
        <v>1.8702253032928998E-2</v>
      </c>
      <c r="AB379" s="2"/>
    </row>
    <row r="380" spans="6:28" x14ac:dyDescent="0.25">
      <c r="F380" s="13">
        <v>378</v>
      </c>
      <c r="G380" s="13">
        <f t="shared" si="100"/>
        <v>57.800000000000004</v>
      </c>
      <c r="H380" s="13">
        <f t="shared" si="101"/>
        <v>330.95</v>
      </c>
      <c r="I380" s="14">
        <f t="shared" si="102"/>
        <v>3.15</v>
      </c>
      <c r="J380" s="14">
        <f t="shared" si="103"/>
        <v>2696.6488709999999</v>
      </c>
      <c r="K380" s="14">
        <f t="shared" si="104"/>
        <v>1.7166488709999999</v>
      </c>
      <c r="L380" s="14">
        <f t="shared" si="105"/>
        <v>1354.1494250000001</v>
      </c>
      <c r="M380" s="14">
        <v>1346.92</v>
      </c>
      <c r="N380" s="13">
        <f t="shared" si="106"/>
        <v>1.3541494249999999</v>
      </c>
      <c r="O380" s="13">
        <f t="shared" si="107"/>
        <v>1.3663799999999999</v>
      </c>
      <c r="P380" s="13">
        <f t="shared" si="108"/>
        <v>1.2230575000000021E-2</v>
      </c>
      <c r="Q380" s="16">
        <f t="shared" si="109"/>
        <v>8.9510787628624706E-3</v>
      </c>
      <c r="R380" s="14">
        <f t="shared" ca="1" si="110"/>
        <v>4.9385664985422739</v>
      </c>
      <c r="S380" s="14">
        <f t="shared" si="111"/>
        <v>5.0394445161290315</v>
      </c>
      <c r="T380" s="14">
        <f t="shared" ca="1" si="112"/>
        <v>0.10087801758675763</v>
      </c>
      <c r="U380" s="16">
        <f t="shared" ca="1" si="113"/>
        <v>2.0017685930243251E-2</v>
      </c>
      <c r="V380" s="14">
        <f t="shared" si="114"/>
        <v>3.1500000000000004</v>
      </c>
      <c r="W380" s="14">
        <f t="shared" ca="1" si="115"/>
        <v>3.0614335014577261</v>
      </c>
      <c r="X380" s="14">
        <f t="shared" ca="1" si="116"/>
        <v>8.8566498542274275E-2</v>
      </c>
      <c r="Y380" s="28">
        <f t="shared" ca="1" si="117"/>
        <v>2.8116348743579132E-2</v>
      </c>
      <c r="Z380" s="29">
        <f t="shared" ca="1" si="118"/>
        <v>56.737202000000003</v>
      </c>
      <c r="AA380" s="16">
        <f t="shared" ca="1" si="119"/>
        <v>1.8387508650519045E-2</v>
      </c>
      <c r="AB380" s="2"/>
    </row>
    <row r="381" spans="6:28" x14ac:dyDescent="0.25">
      <c r="F381" s="13">
        <v>379</v>
      </c>
      <c r="G381" s="13">
        <f t="shared" si="100"/>
        <v>57.9</v>
      </c>
      <c r="H381" s="13">
        <f t="shared" si="101"/>
        <v>331.04999999999995</v>
      </c>
      <c r="I381" s="14">
        <f t="shared" si="102"/>
        <v>3.1583329999999998</v>
      </c>
      <c r="J381" s="14">
        <f t="shared" si="103"/>
        <v>2686.8391660000002</v>
      </c>
      <c r="K381" s="14">
        <f t="shared" si="104"/>
        <v>1.7068391660000004</v>
      </c>
      <c r="L381" s="14">
        <f t="shared" si="105"/>
        <v>1351.707629</v>
      </c>
      <c r="M381" s="14">
        <v>1344.23</v>
      </c>
      <c r="N381" s="13">
        <f t="shared" si="106"/>
        <v>1.3517076290000001</v>
      </c>
      <c r="O381" s="13">
        <f t="shared" si="107"/>
        <v>1.36409</v>
      </c>
      <c r="P381" s="13">
        <f t="shared" si="108"/>
        <v>1.2382370999999948E-2</v>
      </c>
      <c r="Q381" s="16">
        <f t="shared" si="109"/>
        <v>9.0773856563716084E-3</v>
      </c>
      <c r="R381" s="14">
        <f t="shared" ca="1" si="110"/>
        <v>4.9304527725947516</v>
      </c>
      <c r="S381" s="14">
        <f t="shared" si="111"/>
        <v>5.0309986021505377</v>
      </c>
      <c r="T381" s="14">
        <f t="shared" ca="1" si="112"/>
        <v>0.10054582955578617</v>
      </c>
      <c r="U381" s="16">
        <f t="shared" ca="1" si="113"/>
        <v>1.9985262868649399E-2</v>
      </c>
      <c r="V381" s="14">
        <f t="shared" si="114"/>
        <v>3.1583333333333323</v>
      </c>
      <c r="W381" s="14">
        <f t="shared" ca="1" si="115"/>
        <v>3.0695472274052484</v>
      </c>
      <c r="X381" s="14">
        <f t="shared" ca="1" si="116"/>
        <v>8.8786105928083892E-2</v>
      </c>
      <c r="Y381" s="28">
        <f t="shared" ca="1" si="117"/>
        <v>2.8111695808364302E-2</v>
      </c>
      <c r="Z381" s="29">
        <f t="shared" ca="1" si="118"/>
        <v>56.834567</v>
      </c>
      <c r="AA381" s="16">
        <f t="shared" ca="1" si="119"/>
        <v>1.8401260794473209E-2</v>
      </c>
      <c r="AB381" s="2"/>
    </row>
    <row r="382" spans="6:28" x14ac:dyDescent="0.25">
      <c r="F382" s="13">
        <v>380</v>
      </c>
      <c r="G382" s="13">
        <f t="shared" si="100"/>
        <v>58</v>
      </c>
      <c r="H382" s="13">
        <f t="shared" si="101"/>
        <v>331.15</v>
      </c>
      <c r="I382" s="14">
        <f t="shared" si="102"/>
        <v>3.1666669999999999</v>
      </c>
      <c r="J382" s="14">
        <f t="shared" si="103"/>
        <v>2677.070373</v>
      </c>
      <c r="K382" s="14">
        <f t="shared" si="104"/>
        <v>1.6970703729999999</v>
      </c>
      <c r="L382" s="14">
        <f t="shared" si="105"/>
        <v>1349.267196</v>
      </c>
      <c r="M382" s="14">
        <v>1341.86</v>
      </c>
      <c r="N382" s="13">
        <f t="shared" si="106"/>
        <v>1.349267196</v>
      </c>
      <c r="O382" s="13">
        <f t="shared" si="107"/>
        <v>1.3617999999999999</v>
      </c>
      <c r="P382" s="13">
        <f t="shared" si="108"/>
        <v>1.2532803999999897E-2</v>
      </c>
      <c r="Q382" s="16">
        <f t="shared" si="109"/>
        <v>9.2031164635041109E-3</v>
      </c>
      <c r="R382" s="14">
        <f t="shared" ca="1" si="110"/>
        <v>4.9223215014577262</v>
      </c>
      <c r="S382" s="14">
        <f t="shared" si="111"/>
        <v>5.0225526881720421</v>
      </c>
      <c r="T382" s="14">
        <f t="shared" ca="1" si="112"/>
        <v>0.10023118671431597</v>
      </c>
      <c r="U382" s="16">
        <f t="shared" ca="1" si="113"/>
        <v>1.9956224043275315E-2</v>
      </c>
      <c r="V382" s="14">
        <f t="shared" si="114"/>
        <v>3.166666666666667</v>
      </c>
      <c r="W382" s="14">
        <f t="shared" ca="1" si="115"/>
        <v>3.0776784985422738</v>
      </c>
      <c r="X382" s="14">
        <f t="shared" ca="1" si="116"/>
        <v>8.8988168124393141E-2</v>
      </c>
      <c r="Y382" s="28">
        <f t="shared" ca="1" si="117"/>
        <v>2.8101526776124146E-2</v>
      </c>
      <c r="Z382" s="29">
        <f t="shared" ca="1" si="118"/>
        <v>56.932141999999999</v>
      </c>
      <c r="AA382" s="16">
        <f t="shared" ca="1" si="119"/>
        <v>1.8411344827586225E-2</v>
      </c>
      <c r="AB382" s="2"/>
    </row>
    <row r="383" spans="6:28" x14ac:dyDescent="0.25">
      <c r="F383" s="13">
        <v>381</v>
      </c>
      <c r="G383" s="13">
        <f t="shared" si="100"/>
        <v>58.1</v>
      </c>
      <c r="H383" s="13">
        <f t="shared" si="101"/>
        <v>331.25</v>
      </c>
      <c r="I383" s="14">
        <f t="shared" si="102"/>
        <v>3.1749999999999998</v>
      </c>
      <c r="J383" s="14">
        <f t="shared" si="103"/>
        <v>2667.342302</v>
      </c>
      <c r="K383" s="14">
        <f t="shared" si="104"/>
        <v>1.6873423020000002</v>
      </c>
      <c r="L383" s="14">
        <f t="shared" si="105"/>
        <v>1346.828141</v>
      </c>
      <c r="M383" s="14">
        <v>1339.63</v>
      </c>
      <c r="N383" s="13">
        <f t="shared" si="106"/>
        <v>1.346828141</v>
      </c>
      <c r="O383" s="13">
        <f t="shared" si="107"/>
        <v>1.35951</v>
      </c>
      <c r="P383" s="13">
        <f t="shared" si="108"/>
        <v>1.2681858999999962E-2</v>
      </c>
      <c r="Q383" s="16">
        <f t="shared" si="109"/>
        <v>9.3282572397407615E-3</v>
      </c>
      <c r="R383" s="14">
        <f t="shared" ca="1" si="110"/>
        <v>4.9130293644314875</v>
      </c>
      <c r="S383" s="14">
        <f t="shared" si="111"/>
        <v>5.0141067741935483</v>
      </c>
      <c r="T383" s="14">
        <f t="shared" ca="1" si="112"/>
        <v>0.10107740976206081</v>
      </c>
      <c r="U383" s="16">
        <f t="shared" ca="1" si="113"/>
        <v>2.0158607367972883E-2</v>
      </c>
      <c r="V383" s="14">
        <f t="shared" si="114"/>
        <v>3.1749999999999998</v>
      </c>
      <c r="W383" s="14">
        <f t="shared" ca="1" si="115"/>
        <v>3.0869706355685125</v>
      </c>
      <c r="X383" s="14">
        <f t="shared" ca="1" si="116"/>
        <v>8.8029364431487345E-2</v>
      </c>
      <c r="Y383" s="28">
        <f t="shared" ca="1" si="117"/>
        <v>2.7725784072909401E-2</v>
      </c>
      <c r="Z383" s="29">
        <f t="shared" ca="1" si="118"/>
        <v>57.043647999999997</v>
      </c>
      <c r="AA383" s="16">
        <f t="shared" ca="1" si="119"/>
        <v>1.8181617900172184E-2</v>
      </c>
      <c r="AB383" s="2"/>
    </row>
    <row r="384" spans="6:28" x14ac:dyDescent="0.25">
      <c r="F384" s="13">
        <v>382</v>
      </c>
      <c r="G384" s="13">
        <f t="shared" si="100"/>
        <v>58.2</v>
      </c>
      <c r="H384" s="13">
        <f t="shared" si="101"/>
        <v>331.34999999999997</v>
      </c>
      <c r="I384" s="14">
        <f t="shared" si="102"/>
        <v>3.1833330000000002</v>
      </c>
      <c r="J384" s="14">
        <f t="shared" si="103"/>
        <v>2657.6547639999999</v>
      </c>
      <c r="K384" s="14">
        <f t="shared" si="104"/>
        <v>1.6776547640000001</v>
      </c>
      <c r="L384" s="14">
        <f t="shared" si="105"/>
        <v>1344.3904789999999</v>
      </c>
      <c r="M384" s="14">
        <v>1336.93</v>
      </c>
      <c r="N384" s="13">
        <f t="shared" si="106"/>
        <v>1.3443904790000001</v>
      </c>
      <c r="O384" s="13">
        <f t="shared" si="107"/>
        <v>1.3572199999999999</v>
      </c>
      <c r="P384" s="13">
        <f t="shared" si="108"/>
        <v>1.2829520999999788E-2</v>
      </c>
      <c r="Q384" s="16">
        <f t="shared" si="109"/>
        <v>9.4527939464492047E-3</v>
      </c>
      <c r="R384" s="14">
        <f t="shared" ca="1" si="110"/>
        <v>4.9041373644314872</v>
      </c>
      <c r="S384" s="14">
        <f t="shared" si="111"/>
        <v>5.0056608602150527</v>
      </c>
      <c r="T384" s="14">
        <f t="shared" ca="1" si="112"/>
        <v>0.10152349578356556</v>
      </c>
      <c r="U384" s="16">
        <f t="shared" ca="1" si="113"/>
        <v>2.0281736741390811E-2</v>
      </c>
      <c r="V384" s="14">
        <f t="shared" si="114"/>
        <v>3.1833333333333336</v>
      </c>
      <c r="W384" s="14">
        <f t="shared" ca="1" si="115"/>
        <v>3.0958626355685128</v>
      </c>
      <c r="X384" s="14">
        <f t="shared" ca="1" si="116"/>
        <v>8.7470697764820748E-2</v>
      </c>
      <c r="Y384" s="28">
        <f t="shared" ca="1" si="117"/>
        <v>2.7477706104132169E-2</v>
      </c>
      <c r="Z384" s="29">
        <f t="shared" ca="1" si="118"/>
        <v>57.150351999999998</v>
      </c>
      <c r="AA384" s="16">
        <f t="shared" ca="1" si="119"/>
        <v>1.8035189003436508E-2</v>
      </c>
      <c r="AB384" s="2"/>
    </row>
    <row r="385" spans="6:28" x14ac:dyDescent="0.25">
      <c r="F385" s="13">
        <v>383</v>
      </c>
      <c r="G385" s="13">
        <f t="shared" si="100"/>
        <v>58.300000000000004</v>
      </c>
      <c r="H385" s="13">
        <f t="shared" si="101"/>
        <v>331.45</v>
      </c>
      <c r="I385" s="14">
        <f t="shared" si="102"/>
        <v>3.1916669999999998</v>
      </c>
      <c r="J385" s="14">
        <f t="shared" si="103"/>
        <v>2648.007568</v>
      </c>
      <c r="K385" s="14">
        <f t="shared" si="104"/>
        <v>1.6680075680000002</v>
      </c>
      <c r="L385" s="14">
        <f t="shared" si="105"/>
        <v>1341.954225</v>
      </c>
      <c r="M385" s="14">
        <v>1334.54</v>
      </c>
      <c r="N385" s="13">
        <f t="shared" si="106"/>
        <v>1.3419542250000001</v>
      </c>
      <c r="O385" s="13">
        <f t="shared" si="107"/>
        <v>1.3549299999999997</v>
      </c>
      <c r="P385" s="13">
        <f t="shared" si="108"/>
        <v>1.297577499999969E-2</v>
      </c>
      <c r="Q385" s="16">
        <f t="shared" si="109"/>
        <v>9.576712450089446E-3</v>
      </c>
      <c r="R385" s="14">
        <f t="shared" ca="1" si="110"/>
        <v>4.894855227405249</v>
      </c>
      <c r="S385" s="14">
        <f t="shared" si="111"/>
        <v>4.997214946236558</v>
      </c>
      <c r="T385" s="14">
        <f t="shared" ca="1" si="112"/>
        <v>0.10235971883130901</v>
      </c>
      <c r="U385" s="16">
        <f t="shared" ca="1" si="113"/>
        <v>2.0483353214253257E-2</v>
      </c>
      <c r="V385" s="14">
        <f t="shared" si="114"/>
        <v>3.1916666666666673</v>
      </c>
      <c r="W385" s="14">
        <f t="shared" ca="1" si="115"/>
        <v>3.105144772594751</v>
      </c>
      <c r="X385" s="14">
        <f t="shared" ca="1" si="116"/>
        <v>8.652189407191635E-2</v>
      </c>
      <c r="Y385" s="28">
        <f t="shared" ca="1" si="117"/>
        <v>2.7108687437676134E-2</v>
      </c>
      <c r="Z385" s="29">
        <f t="shared" ca="1" si="118"/>
        <v>57.261736999999997</v>
      </c>
      <c r="AA385" s="16">
        <f t="shared" ca="1" si="119"/>
        <v>1.7808970840480404E-2</v>
      </c>
      <c r="AB385" s="2"/>
    </row>
    <row r="386" spans="6:28" x14ac:dyDescent="0.25">
      <c r="F386" s="13">
        <v>384</v>
      </c>
      <c r="G386" s="13">
        <f t="shared" si="100"/>
        <v>58.400000000000006</v>
      </c>
      <c r="H386" s="13">
        <f t="shared" si="101"/>
        <v>331.54999999999995</v>
      </c>
      <c r="I386" s="14">
        <f t="shared" si="102"/>
        <v>3.2</v>
      </c>
      <c r="J386" s="14">
        <f t="shared" si="103"/>
        <v>2638.4005269999998</v>
      </c>
      <c r="K386" s="14">
        <f t="shared" si="104"/>
        <v>1.658400527</v>
      </c>
      <c r="L386" s="14">
        <f t="shared" si="105"/>
        <v>1339.519393</v>
      </c>
      <c r="M386" s="14">
        <v>1332.15</v>
      </c>
      <c r="N386" s="13">
        <f t="shared" si="106"/>
        <v>1.3395193930000002</v>
      </c>
      <c r="O386" s="13">
        <f t="shared" si="107"/>
        <v>1.3526399999999998</v>
      </c>
      <c r="P386" s="13">
        <f t="shared" si="108"/>
        <v>1.3120606999999618E-2</v>
      </c>
      <c r="Q386" s="16">
        <f t="shared" si="109"/>
        <v>9.6999992607047104E-3</v>
      </c>
      <c r="R386" s="14">
        <f t="shared" ca="1" si="110"/>
        <v>4.8859839999999997</v>
      </c>
      <c r="S386" s="14">
        <f t="shared" si="111"/>
        <v>4.9887690322580633</v>
      </c>
      <c r="T386" s="14">
        <f t="shared" ca="1" si="112"/>
        <v>0.10278503225806368</v>
      </c>
      <c r="U386" s="16">
        <f t="shared" ca="1" si="113"/>
        <v>2.060328541839512E-2</v>
      </c>
      <c r="V386" s="14">
        <f t="shared" si="114"/>
        <v>3.2</v>
      </c>
      <c r="W386" s="14">
        <f t="shared" ca="1" si="115"/>
        <v>3.1140160000000003</v>
      </c>
      <c r="X386" s="14">
        <f t="shared" ca="1" si="116"/>
        <v>8.5983999999999838E-2</v>
      </c>
      <c r="Y386" s="28">
        <f t="shared" ca="1" si="117"/>
        <v>2.6869999999999949E-2</v>
      </c>
      <c r="Z386" s="29">
        <f t="shared" ca="1" si="118"/>
        <v>57.368192000000001</v>
      </c>
      <c r="AA386" s="16">
        <f t="shared" ca="1" si="119"/>
        <v>1.7667945205479541E-2</v>
      </c>
      <c r="AB386" s="2"/>
    </row>
    <row r="387" spans="6:28" x14ac:dyDescent="0.25">
      <c r="F387" s="13">
        <v>385</v>
      </c>
      <c r="G387" s="13">
        <f t="shared" ref="G387:G450" si="120">F387*0.1+20</f>
        <v>58.5</v>
      </c>
      <c r="H387" s="13">
        <f t="shared" ref="H387:H450" si="121">G387+273.15</f>
        <v>331.65</v>
      </c>
      <c r="I387" s="14">
        <f t="shared" ref="I387:I450" si="122">ROUND(1/12*G387-5/3,6)</f>
        <v>3.2083330000000001</v>
      </c>
      <c r="J387" s="14">
        <f t="shared" ref="J387:J450" si="123">ROUND(10000*EXP(($B$3)+($B$4/H387)+($B$5/(H387^2))+($B$6/(H387^3))),6)</f>
        <v>2628.833455</v>
      </c>
      <c r="K387" s="14">
        <f t="shared" ref="K387:K450" si="124">$B$9*(2*$B$8+J387)-$B$9*$B$10</f>
        <v>1.6488334550000001</v>
      </c>
      <c r="L387" s="14">
        <f t="shared" ref="L387:L450" si="125">ROUND(1/(1/(J387+2*$B$8)+1/($B$7)),6)</f>
        <v>1337.086</v>
      </c>
      <c r="M387" s="14">
        <v>1329.43</v>
      </c>
      <c r="N387" s="13">
        <f t="shared" ref="N387:N450" si="126">$B$9*(L387+$B$10)*(L387/(L387+$B$10))</f>
        <v>1.337086</v>
      </c>
      <c r="O387" s="13">
        <f t="shared" ref="O387:O450" si="127">$B$11*G387+$B$12</f>
        <v>1.3503499999999999</v>
      </c>
      <c r="P387" s="13">
        <f t="shared" ref="P387:P450" si="128">ABS(N387-O387)</f>
        <v>1.3263999999999943E-2</v>
      </c>
      <c r="Q387" s="16">
        <f t="shared" ref="Q387:Q450" si="129">ABS(O387-N387)/O387</f>
        <v>9.8226385751841692E-3</v>
      </c>
      <c r="R387" s="14">
        <f t="shared" ref="R387:R450" ca="1" si="130">ROUND(N387*$B$29,6)+RANDBETWEEN(-1,1)*$B$24+RANDBETWEEN(-1,1)*$B$25</f>
        <v>4.8770972274052484</v>
      </c>
      <c r="S387" s="14">
        <f t="shared" ref="S387:S450" si="131">O387*$B$23</f>
        <v>4.9803231182795695</v>
      </c>
      <c r="T387" s="14">
        <f t="shared" ref="T387:T450" ca="1" si="132">ABS(R387-S387)</f>
        <v>0.1032258908743211</v>
      </c>
      <c r="U387" s="16">
        <f t="shared" ref="U387:U450" ca="1" si="133">ABS(S387-R387)/S387</f>
        <v>2.0726745719659254E-2</v>
      </c>
      <c r="V387" s="14">
        <f t="shared" ref="V387:V450" si="134">$B$44*S387+$B$45</f>
        <v>3.208333333333333</v>
      </c>
      <c r="W387" s="14">
        <f t="shared" ref="W387:W450" ca="1" si="135">$B$46*R387+$B$47</f>
        <v>3.1229027725947516</v>
      </c>
      <c r="X387" s="14">
        <f t="shared" ref="X387:X450" ca="1" si="136">ABS(V387-W387)</f>
        <v>8.5430560738581462E-2</v>
      </c>
      <c r="Y387" s="28">
        <f t="shared" ref="Y387:Y450" ca="1" si="137">IF(V387 = 0, ABS(V387-W387)/(V387+0.0001), ABS(V387-W387)/V387)</f>
        <v>2.6627707243194226E-2</v>
      </c>
      <c r="Z387" s="29">
        <f t="shared" ref="Z387:Z450" ca="1" si="138">ROUND((W387+5/3)/(1/12),6)</f>
        <v>57.474832999999997</v>
      </c>
      <c r="AA387" s="16">
        <f t="shared" ref="AA387:AA450" ca="1" si="139">ABS(G387-Z387)/G387</f>
        <v>1.7524222222222278E-2</v>
      </c>
      <c r="AB387" s="2"/>
    </row>
    <row r="388" spans="6:28" x14ac:dyDescent="0.25">
      <c r="F388" s="13">
        <v>386</v>
      </c>
      <c r="G388" s="13">
        <f t="shared" si="120"/>
        <v>58.6</v>
      </c>
      <c r="H388" s="13">
        <f t="shared" si="121"/>
        <v>331.75</v>
      </c>
      <c r="I388" s="14">
        <f t="shared" si="122"/>
        <v>3.2166670000000002</v>
      </c>
      <c r="J388" s="14">
        <f t="shared" si="123"/>
        <v>2619.306165</v>
      </c>
      <c r="K388" s="14">
        <f t="shared" si="124"/>
        <v>1.6393061649999998</v>
      </c>
      <c r="L388" s="14">
        <f t="shared" si="125"/>
        <v>1334.654059</v>
      </c>
      <c r="M388" s="14">
        <v>1327.34</v>
      </c>
      <c r="N388" s="13">
        <f t="shared" si="126"/>
        <v>1.334654059</v>
      </c>
      <c r="O388" s="13">
        <f t="shared" si="127"/>
        <v>1.3480599999999998</v>
      </c>
      <c r="P388" s="13">
        <f t="shared" si="128"/>
        <v>1.340594099999981E-2</v>
      </c>
      <c r="Q388" s="16">
        <f t="shared" si="129"/>
        <v>9.9446174502617179E-3</v>
      </c>
      <c r="R388" s="14">
        <f t="shared" ca="1" si="130"/>
        <v>4.8682272274052485</v>
      </c>
      <c r="S388" s="14">
        <f t="shared" si="131"/>
        <v>4.9718772043010739</v>
      </c>
      <c r="T388" s="14">
        <f t="shared" ca="1" si="132"/>
        <v>0.10364997689582545</v>
      </c>
      <c r="U388" s="16">
        <f t="shared" ca="1" si="133"/>
        <v>2.084725198083329E-2</v>
      </c>
      <c r="V388" s="14">
        <f t="shared" si="134"/>
        <v>3.2166666666666677</v>
      </c>
      <c r="W388" s="14">
        <f t="shared" ca="1" si="135"/>
        <v>3.1317727725947515</v>
      </c>
      <c r="X388" s="14">
        <f t="shared" ca="1" si="136"/>
        <v>8.4893894071916165E-2</v>
      </c>
      <c r="Y388" s="28">
        <f t="shared" ca="1" si="137"/>
        <v>2.639188416743507E-2</v>
      </c>
      <c r="Z388" s="29">
        <f t="shared" ca="1" si="138"/>
        <v>57.581273000000003</v>
      </c>
      <c r="AA388" s="16">
        <f t="shared" ca="1" si="139"/>
        <v>1.7384419795221814E-2</v>
      </c>
      <c r="AB388" s="2"/>
    </row>
    <row r="389" spans="6:28" x14ac:dyDescent="0.25">
      <c r="F389" s="13">
        <v>387</v>
      </c>
      <c r="G389" s="13">
        <f t="shared" si="120"/>
        <v>58.7</v>
      </c>
      <c r="H389" s="13">
        <f t="shared" si="121"/>
        <v>331.84999999999997</v>
      </c>
      <c r="I389" s="14">
        <f t="shared" si="122"/>
        <v>3.2250000000000001</v>
      </c>
      <c r="J389" s="14">
        <f t="shared" si="123"/>
        <v>2609.818471</v>
      </c>
      <c r="K389" s="14">
        <f t="shared" si="124"/>
        <v>1.6298184710000001</v>
      </c>
      <c r="L389" s="14">
        <f t="shared" si="125"/>
        <v>1332.223585</v>
      </c>
      <c r="M389" s="14">
        <v>1324.94</v>
      </c>
      <c r="N389" s="13">
        <f t="shared" si="126"/>
        <v>1.3322235849999999</v>
      </c>
      <c r="O389" s="13">
        <f t="shared" si="127"/>
        <v>1.3457699999999999</v>
      </c>
      <c r="P389" s="13">
        <f t="shared" si="128"/>
        <v>1.3546414999999978E-2</v>
      </c>
      <c r="Q389" s="16">
        <f t="shared" si="129"/>
        <v>1.0065921368435898E-2</v>
      </c>
      <c r="R389" s="14">
        <f t="shared" ca="1" si="130"/>
        <v>4.8597573644314869</v>
      </c>
      <c r="S389" s="14">
        <f t="shared" si="131"/>
        <v>4.9634312903225801</v>
      </c>
      <c r="T389" s="14">
        <f t="shared" ca="1" si="132"/>
        <v>0.10367392589109325</v>
      </c>
      <c r="U389" s="16">
        <f t="shared" ca="1" si="133"/>
        <v>2.0887551338371675E-2</v>
      </c>
      <c r="V389" s="14">
        <f t="shared" si="134"/>
        <v>3.2249999999999996</v>
      </c>
      <c r="W389" s="14">
        <f t="shared" ca="1" si="135"/>
        <v>3.1402426355685131</v>
      </c>
      <c r="X389" s="14">
        <f t="shared" ca="1" si="136"/>
        <v>8.4757364431486515E-2</v>
      </c>
      <c r="Y389" s="28">
        <f t="shared" ca="1" si="137"/>
        <v>2.6281353312088845E-2</v>
      </c>
      <c r="Z389" s="29">
        <f t="shared" ca="1" si="138"/>
        <v>57.682912000000002</v>
      </c>
      <c r="AA389" s="16">
        <f t="shared" ca="1" si="139"/>
        <v>1.7326882453151636E-2</v>
      </c>
      <c r="AB389" s="2"/>
    </row>
    <row r="390" spans="6:28" x14ac:dyDescent="0.25">
      <c r="F390" s="13">
        <v>388</v>
      </c>
      <c r="G390" s="13">
        <f t="shared" si="120"/>
        <v>58.800000000000004</v>
      </c>
      <c r="H390" s="13">
        <f t="shared" si="121"/>
        <v>331.95</v>
      </c>
      <c r="I390" s="14">
        <f t="shared" si="122"/>
        <v>3.233333</v>
      </c>
      <c r="J390" s="14">
        <f t="shared" si="123"/>
        <v>2600.3701900000001</v>
      </c>
      <c r="K390" s="14">
        <f t="shared" si="124"/>
        <v>1.62037019</v>
      </c>
      <c r="L390" s="14">
        <f t="shared" si="125"/>
        <v>1329.7945930000001</v>
      </c>
      <c r="M390" s="14">
        <v>1322.37</v>
      </c>
      <c r="N390" s="13">
        <f t="shared" si="126"/>
        <v>1.3297945930000001</v>
      </c>
      <c r="O390" s="13">
        <f t="shared" si="127"/>
        <v>1.3434799999999998</v>
      </c>
      <c r="P390" s="13">
        <f t="shared" si="128"/>
        <v>1.368540699999965E-2</v>
      </c>
      <c r="Q390" s="16">
        <f t="shared" si="129"/>
        <v>1.0186535713222119E-2</v>
      </c>
      <c r="R390" s="14">
        <f t="shared" ca="1" si="130"/>
        <v>4.8505130000000003</v>
      </c>
      <c r="S390" s="14">
        <f t="shared" si="131"/>
        <v>4.9549853763440854</v>
      </c>
      <c r="T390" s="14">
        <f t="shared" ca="1" si="132"/>
        <v>0.10447237634408513</v>
      </c>
      <c r="U390" s="16">
        <f t="shared" ca="1" si="133"/>
        <v>2.1084295595069448E-2</v>
      </c>
      <c r="V390" s="14">
        <f t="shared" si="134"/>
        <v>3.2333333333333334</v>
      </c>
      <c r="W390" s="14">
        <f t="shared" ca="1" si="135"/>
        <v>3.1494869999999997</v>
      </c>
      <c r="X390" s="14">
        <f t="shared" ca="1" si="136"/>
        <v>8.3846333333333689E-2</v>
      </c>
      <c r="Y390" s="28">
        <f t="shared" ca="1" si="137"/>
        <v>2.5931855670103202E-2</v>
      </c>
      <c r="Z390" s="29">
        <f t="shared" ca="1" si="138"/>
        <v>57.793844</v>
      </c>
      <c r="AA390" s="16">
        <f t="shared" ca="1" si="139"/>
        <v>1.7111496598639527E-2</v>
      </c>
      <c r="AB390" s="2"/>
    </row>
    <row r="391" spans="6:28" x14ac:dyDescent="0.25">
      <c r="F391" s="13">
        <v>389</v>
      </c>
      <c r="G391" s="13">
        <f t="shared" si="120"/>
        <v>58.900000000000006</v>
      </c>
      <c r="H391" s="13">
        <f t="shared" si="121"/>
        <v>332.04999999999995</v>
      </c>
      <c r="I391" s="14">
        <f t="shared" si="122"/>
        <v>3.2416670000000001</v>
      </c>
      <c r="J391" s="14">
        <f t="shared" si="123"/>
        <v>2590.961139</v>
      </c>
      <c r="K391" s="14">
        <f t="shared" si="124"/>
        <v>1.610961139</v>
      </c>
      <c r="L391" s="14">
        <f t="shared" si="125"/>
        <v>1327.3670979999999</v>
      </c>
      <c r="M391" s="14">
        <v>1319.95</v>
      </c>
      <c r="N391" s="13">
        <f t="shared" si="126"/>
        <v>1.3273670980000001</v>
      </c>
      <c r="O391" s="13">
        <f t="shared" si="127"/>
        <v>1.3411899999999999</v>
      </c>
      <c r="P391" s="13">
        <f t="shared" si="128"/>
        <v>1.3822901999999804E-2</v>
      </c>
      <c r="Q391" s="16">
        <f t="shared" si="129"/>
        <v>1.0306445768310087E-2</v>
      </c>
      <c r="R391" s="14">
        <f t="shared" ca="1" si="130"/>
        <v>4.8412726355685125</v>
      </c>
      <c r="S391" s="14">
        <f t="shared" si="131"/>
        <v>4.9465394623655907</v>
      </c>
      <c r="T391" s="14">
        <f t="shared" ca="1" si="132"/>
        <v>0.10526682679707822</v>
      </c>
      <c r="U391" s="16">
        <f t="shared" ca="1" si="133"/>
        <v>2.1280903063236923E-2</v>
      </c>
      <c r="V391" s="14">
        <f t="shared" si="134"/>
        <v>3.2416666666666671</v>
      </c>
      <c r="W391" s="14">
        <f t="shared" ca="1" si="135"/>
        <v>3.1587273644314875</v>
      </c>
      <c r="X391" s="14">
        <f t="shared" ca="1" si="136"/>
        <v>8.2939302235179646E-2</v>
      </c>
      <c r="Y391" s="28">
        <f t="shared" ca="1" si="137"/>
        <v>2.5585388864322767E-2</v>
      </c>
      <c r="Z391" s="29">
        <f t="shared" ca="1" si="138"/>
        <v>57.904727999999999</v>
      </c>
      <c r="AA391" s="16">
        <f t="shared" ca="1" si="139"/>
        <v>1.6897657045840526E-2</v>
      </c>
      <c r="AB391" s="2"/>
    </row>
    <row r="392" spans="6:28" x14ac:dyDescent="0.25">
      <c r="F392" s="13">
        <v>390</v>
      </c>
      <c r="G392" s="13">
        <f t="shared" si="120"/>
        <v>59</v>
      </c>
      <c r="H392" s="13">
        <f t="shared" si="121"/>
        <v>332.15</v>
      </c>
      <c r="I392" s="14">
        <f t="shared" si="122"/>
        <v>3.25</v>
      </c>
      <c r="J392" s="14">
        <f t="shared" si="123"/>
        <v>2581.5911350000001</v>
      </c>
      <c r="K392" s="14">
        <f t="shared" si="124"/>
        <v>1.6015911350000001</v>
      </c>
      <c r="L392" s="14">
        <f t="shared" si="125"/>
        <v>1324.941114</v>
      </c>
      <c r="M392" s="14">
        <v>1317.69</v>
      </c>
      <c r="N392" s="13">
        <f t="shared" si="126"/>
        <v>1.3249411139999998</v>
      </c>
      <c r="O392" s="13">
        <f t="shared" si="127"/>
        <v>1.3389</v>
      </c>
      <c r="P392" s="13">
        <f t="shared" si="128"/>
        <v>1.395888600000017E-2</v>
      </c>
      <c r="Q392" s="16">
        <f t="shared" si="129"/>
        <v>1.042563746358964E-2</v>
      </c>
      <c r="R392" s="14">
        <f t="shared" ca="1" si="130"/>
        <v>4.8320274985422742</v>
      </c>
      <c r="S392" s="14">
        <f t="shared" si="131"/>
        <v>4.9380935483870969</v>
      </c>
      <c r="T392" s="14">
        <f t="shared" ca="1" si="132"/>
        <v>0.10606604984482271</v>
      </c>
      <c r="U392" s="16">
        <f t="shared" ca="1" si="133"/>
        <v>2.1479149555493231E-2</v>
      </c>
      <c r="V392" s="14">
        <f t="shared" si="134"/>
        <v>3.2499999999999991</v>
      </c>
      <c r="W392" s="14">
        <f t="shared" ca="1" si="135"/>
        <v>3.1679725014577258</v>
      </c>
      <c r="X392" s="14">
        <f t="shared" ca="1" si="136"/>
        <v>8.2027498542273314E-2</v>
      </c>
      <c r="Y392" s="28">
        <f t="shared" ca="1" si="137"/>
        <v>2.5239230320699489E-2</v>
      </c>
      <c r="Z392" s="29">
        <f t="shared" ca="1" si="138"/>
        <v>58.01567</v>
      </c>
      <c r="AA392" s="16">
        <f t="shared" ca="1" si="139"/>
        <v>1.6683559322033897E-2</v>
      </c>
      <c r="AB392" s="2"/>
    </row>
    <row r="393" spans="6:28" x14ac:dyDescent="0.25">
      <c r="F393" s="13">
        <v>391</v>
      </c>
      <c r="G393" s="13">
        <f t="shared" si="120"/>
        <v>59.1</v>
      </c>
      <c r="H393" s="13">
        <f t="shared" si="121"/>
        <v>332.25</v>
      </c>
      <c r="I393" s="14">
        <f t="shared" si="122"/>
        <v>3.2583329999999999</v>
      </c>
      <c r="J393" s="14">
        <f t="shared" si="123"/>
        <v>2572.2599970000001</v>
      </c>
      <c r="K393" s="14">
        <f t="shared" si="124"/>
        <v>1.5922599970000002</v>
      </c>
      <c r="L393" s="14">
        <f t="shared" si="125"/>
        <v>1322.516656</v>
      </c>
      <c r="M393" s="14">
        <v>1315.26</v>
      </c>
      <c r="N393" s="13">
        <f t="shared" si="126"/>
        <v>1.3225166560000001</v>
      </c>
      <c r="O393" s="13">
        <f t="shared" si="127"/>
        <v>1.3366099999999999</v>
      </c>
      <c r="P393" s="13">
        <f t="shared" si="128"/>
        <v>1.409334399999973E-2</v>
      </c>
      <c r="Q393" s="16">
        <f t="shared" si="129"/>
        <v>1.0544095884363974E-2</v>
      </c>
      <c r="R393" s="14">
        <f t="shared" ca="1" si="130"/>
        <v>4.8235806355685131</v>
      </c>
      <c r="S393" s="14">
        <f t="shared" si="131"/>
        <v>4.9296476344086013</v>
      </c>
      <c r="T393" s="14">
        <f t="shared" ca="1" si="132"/>
        <v>0.10606699884008819</v>
      </c>
      <c r="U393" s="16">
        <f t="shared" ca="1" si="133"/>
        <v>2.1516142066574463E-2</v>
      </c>
      <c r="V393" s="14">
        <f t="shared" si="134"/>
        <v>3.2583333333333337</v>
      </c>
      <c r="W393" s="14">
        <f t="shared" ca="1" si="135"/>
        <v>3.1764193644314869</v>
      </c>
      <c r="X393" s="14">
        <f t="shared" ca="1" si="136"/>
        <v>8.1913968901846879E-2</v>
      </c>
      <c r="Y393" s="28">
        <f t="shared" ca="1" si="137"/>
        <v>2.513983700312436E-2</v>
      </c>
      <c r="Z393" s="29">
        <f t="shared" ca="1" si="138"/>
        <v>58.117032000000002</v>
      </c>
      <c r="AA393" s="16">
        <f t="shared" ca="1" si="139"/>
        <v>1.6632284263959383E-2</v>
      </c>
      <c r="AB393" s="2"/>
    </row>
    <row r="394" spans="6:28" x14ac:dyDescent="0.25">
      <c r="F394" s="13">
        <v>392</v>
      </c>
      <c r="G394" s="13">
        <f t="shared" si="120"/>
        <v>59.2</v>
      </c>
      <c r="H394" s="13">
        <f t="shared" si="121"/>
        <v>332.34999999999997</v>
      </c>
      <c r="I394" s="14">
        <f t="shared" si="122"/>
        <v>3.266667</v>
      </c>
      <c r="J394" s="14">
        <f t="shared" si="123"/>
        <v>2562.9675440000001</v>
      </c>
      <c r="K394" s="14">
        <f t="shared" si="124"/>
        <v>1.5829675440000002</v>
      </c>
      <c r="L394" s="14">
        <f t="shared" si="125"/>
        <v>1320.0937369999999</v>
      </c>
      <c r="M394" s="14">
        <v>1312.52</v>
      </c>
      <c r="N394" s="13">
        <f t="shared" si="126"/>
        <v>1.3200937370000001</v>
      </c>
      <c r="O394" s="13">
        <f t="shared" si="127"/>
        <v>1.33432</v>
      </c>
      <c r="P394" s="13">
        <f t="shared" si="128"/>
        <v>1.422626299999985E-2</v>
      </c>
      <c r="Q394" s="16">
        <f t="shared" si="129"/>
        <v>1.0661807512440682E-2</v>
      </c>
      <c r="R394" s="14">
        <f t="shared" ca="1" si="130"/>
        <v>4.8151279999999996</v>
      </c>
      <c r="S394" s="14">
        <f t="shared" si="131"/>
        <v>4.9212017204301075</v>
      </c>
      <c r="T394" s="14">
        <f t="shared" ca="1" si="132"/>
        <v>0.10607372043010788</v>
      </c>
      <c r="U394" s="16">
        <f t="shared" ca="1" si="133"/>
        <v>2.1554434558077241E-2</v>
      </c>
      <c r="V394" s="14">
        <f t="shared" si="134"/>
        <v>3.2666666666666657</v>
      </c>
      <c r="W394" s="14">
        <f t="shared" ca="1" si="135"/>
        <v>3.1848720000000004</v>
      </c>
      <c r="X394" s="14">
        <f t="shared" ca="1" si="136"/>
        <v>8.179466666666535E-2</v>
      </c>
      <c r="Y394" s="28">
        <f t="shared" ca="1" si="137"/>
        <v>2.5039183673468992E-2</v>
      </c>
      <c r="Z394" s="29">
        <f t="shared" ca="1" si="138"/>
        <v>58.218463999999997</v>
      </c>
      <c r="AA394" s="16">
        <f t="shared" ca="1" si="139"/>
        <v>1.6580000000000091E-2</v>
      </c>
      <c r="AB394" s="2"/>
    </row>
    <row r="395" spans="6:28" x14ac:dyDescent="0.25">
      <c r="F395" s="13">
        <v>393</v>
      </c>
      <c r="G395" s="13">
        <f t="shared" si="120"/>
        <v>59.300000000000004</v>
      </c>
      <c r="H395" s="13">
        <f t="shared" si="121"/>
        <v>332.45</v>
      </c>
      <c r="I395" s="14">
        <f t="shared" si="122"/>
        <v>3.2749999999999999</v>
      </c>
      <c r="J395" s="14">
        <f t="shared" si="123"/>
        <v>2553.7135979999998</v>
      </c>
      <c r="K395" s="14">
        <f t="shared" si="124"/>
        <v>1.5737135979999999</v>
      </c>
      <c r="L395" s="14">
        <f t="shared" si="125"/>
        <v>1317.672374</v>
      </c>
      <c r="M395" s="14">
        <v>1310.0899999999999</v>
      </c>
      <c r="N395" s="13">
        <f t="shared" si="126"/>
        <v>1.317672374</v>
      </c>
      <c r="O395" s="13">
        <f t="shared" si="127"/>
        <v>1.3320299999999998</v>
      </c>
      <c r="P395" s="13">
        <f t="shared" si="128"/>
        <v>1.435762599999979E-2</v>
      </c>
      <c r="Q395" s="16">
        <f t="shared" si="129"/>
        <v>1.0778755733729564E-2</v>
      </c>
      <c r="R395" s="14">
        <f t="shared" ca="1" si="130"/>
        <v>4.806306772594751</v>
      </c>
      <c r="S395" s="14">
        <f t="shared" si="131"/>
        <v>4.9127558064516119</v>
      </c>
      <c r="T395" s="14">
        <f t="shared" ca="1" si="132"/>
        <v>0.10644903385686089</v>
      </c>
      <c r="U395" s="16">
        <f t="shared" ca="1" si="133"/>
        <v>2.1667886223261514E-2</v>
      </c>
      <c r="V395" s="14">
        <f t="shared" si="134"/>
        <v>3.2750000000000004</v>
      </c>
      <c r="W395" s="14">
        <f t="shared" ca="1" si="135"/>
        <v>3.193693227405249</v>
      </c>
      <c r="X395" s="14">
        <f t="shared" ca="1" si="136"/>
        <v>8.1306772594751386E-2</v>
      </c>
      <c r="Y395" s="28">
        <f t="shared" ca="1" si="137"/>
        <v>2.4826495448779046E-2</v>
      </c>
      <c r="Z395" s="29">
        <f t="shared" ca="1" si="138"/>
        <v>58.324319000000003</v>
      </c>
      <c r="AA395" s="16">
        <f t="shared" ca="1" si="139"/>
        <v>1.6453305227656013E-2</v>
      </c>
      <c r="AB395" s="2"/>
    </row>
    <row r="396" spans="6:28" x14ac:dyDescent="0.25">
      <c r="F396" s="13">
        <v>394</v>
      </c>
      <c r="G396" s="13">
        <f t="shared" si="120"/>
        <v>59.400000000000006</v>
      </c>
      <c r="H396" s="13">
        <f t="shared" si="121"/>
        <v>332.54999999999995</v>
      </c>
      <c r="I396" s="14">
        <f t="shared" si="122"/>
        <v>3.2833329999999998</v>
      </c>
      <c r="J396" s="14">
        <f t="shared" si="123"/>
        <v>2544.4979779999999</v>
      </c>
      <c r="K396" s="14">
        <f t="shared" si="124"/>
        <v>1.5644979779999999</v>
      </c>
      <c r="L396" s="14">
        <f t="shared" si="125"/>
        <v>1315.252579</v>
      </c>
      <c r="M396" s="14">
        <v>1307.6600000000001</v>
      </c>
      <c r="N396" s="13">
        <f t="shared" si="126"/>
        <v>1.315252579</v>
      </c>
      <c r="O396" s="13">
        <f t="shared" si="127"/>
        <v>1.3297399999999997</v>
      </c>
      <c r="P396" s="13">
        <f t="shared" si="128"/>
        <v>1.4487420999999667E-2</v>
      </c>
      <c r="Q396" s="16">
        <f t="shared" si="129"/>
        <v>1.0894927579827388E-2</v>
      </c>
      <c r="R396" s="14">
        <f t="shared" ca="1" si="130"/>
        <v>4.797073862973761</v>
      </c>
      <c r="S396" s="14">
        <f t="shared" si="131"/>
        <v>4.9043098924731172</v>
      </c>
      <c r="T396" s="14">
        <f t="shared" ca="1" si="132"/>
        <v>0.10723602949935618</v>
      </c>
      <c r="U396" s="16">
        <f t="shared" ca="1" si="133"/>
        <v>2.1865671593048499E-2</v>
      </c>
      <c r="V396" s="14">
        <f t="shared" si="134"/>
        <v>3.2833333333333341</v>
      </c>
      <c r="W396" s="14">
        <f t="shared" ca="1" si="135"/>
        <v>3.202926137026239</v>
      </c>
      <c r="X396" s="14">
        <f t="shared" ca="1" si="136"/>
        <v>8.0407196307095141E-2</v>
      </c>
      <c r="Y396" s="28">
        <f t="shared" ca="1" si="137"/>
        <v>2.4489501413328462E-2</v>
      </c>
      <c r="Z396" s="29">
        <f t="shared" ca="1" si="138"/>
        <v>58.435113999999999</v>
      </c>
      <c r="AA396" s="16">
        <f t="shared" ca="1" si="139"/>
        <v>1.624387205387217E-2</v>
      </c>
      <c r="AB396" s="2"/>
    </row>
    <row r="397" spans="6:28" x14ac:dyDescent="0.25">
      <c r="F397" s="13">
        <v>395</v>
      </c>
      <c r="G397" s="13">
        <f t="shared" si="120"/>
        <v>59.5</v>
      </c>
      <c r="H397" s="13">
        <f t="shared" si="121"/>
        <v>332.65</v>
      </c>
      <c r="I397" s="14">
        <f t="shared" si="122"/>
        <v>3.2916669999999999</v>
      </c>
      <c r="J397" s="14">
        <f t="shared" si="123"/>
        <v>2535.3205090000001</v>
      </c>
      <c r="K397" s="14">
        <f t="shared" si="124"/>
        <v>1.555320509</v>
      </c>
      <c r="L397" s="14">
        <f t="shared" si="125"/>
        <v>1312.8343669999999</v>
      </c>
      <c r="M397" s="14">
        <v>1305.21</v>
      </c>
      <c r="N397" s="13">
        <f t="shared" si="126"/>
        <v>1.312834367</v>
      </c>
      <c r="O397" s="13">
        <f t="shared" si="127"/>
        <v>1.32745</v>
      </c>
      <c r="P397" s="13">
        <f t="shared" si="128"/>
        <v>1.4615633000000017E-2</v>
      </c>
      <c r="Q397" s="16">
        <f t="shared" si="129"/>
        <v>1.1010307732871307E-2</v>
      </c>
      <c r="R397" s="14">
        <f t="shared" ca="1" si="130"/>
        <v>4.789045137026239</v>
      </c>
      <c r="S397" s="14">
        <f t="shared" si="131"/>
        <v>4.8958639784946234</v>
      </c>
      <c r="T397" s="14">
        <f t="shared" ca="1" si="132"/>
        <v>0.10681884146838438</v>
      </c>
      <c r="U397" s="16">
        <f t="shared" ca="1" si="133"/>
        <v>2.1818179985717039E-2</v>
      </c>
      <c r="V397" s="14">
        <f t="shared" si="134"/>
        <v>3.2916666666666661</v>
      </c>
      <c r="W397" s="14">
        <f t="shared" ca="1" si="135"/>
        <v>3.210954862973761</v>
      </c>
      <c r="X397" s="14">
        <f t="shared" ca="1" si="136"/>
        <v>8.0711803692905093E-2</v>
      </c>
      <c r="Y397" s="28">
        <f t="shared" ca="1" si="137"/>
        <v>2.4520041628224336E-2</v>
      </c>
      <c r="Z397" s="29">
        <f t="shared" ca="1" si="138"/>
        <v>58.531458000000001</v>
      </c>
      <c r="AA397" s="16">
        <f t="shared" ca="1" si="139"/>
        <v>1.6278016806722678E-2</v>
      </c>
      <c r="AB397" s="2"/>
    </row>
    <row r="398" spans="6:28" x14ac:dyDescent="0.25">
      <c r="F398" s="13">
        <v>396</v>
      </c>
      <c r="G398" s="13">
        <f t="shared" si="120"/>
        <v>59.6</v>
      </c>
      <c r="H398" s="13">
        <f t="shared" si="121"/>
        <v>332.75</v>
      </c>
      <c r="I398" s="14">
        <f t="shared" si="122"/>
        <v>3.3</v>
      </c>
      <c r="J398" s="14">
        <f t="shared" si="123"/>
        <v>2526.1810129999999</v>
      </c>
      <c r="K398" s="14">
        <f t="shared" si="124"/>
        <v>1.546181013</v>
      </c>
      <c r="L398" s="14">
        <f t="shared" si="125"/>
        <v>1310.4177529999999</v>
      </c>
      <c r="M398" s="14">
        <v>1302.92</v>
      </c>
      <c r="N398" s="13">
        <f t="shared" si="126"/>
        <v>1.3104177530000001</v>
      </c>
      <c r="O398" s="13">
        <f t="shared" si="127"/>
        <v>1.3251599999999999</v>
      </c>
      <c r="P398" s="13">
        <f t="shared" si="128"/>
        <v>1.474224699999982E-2</v>
      </c>
      <c r="Q398" s="16">
        <f t="shared" si="129"/>
        <v>1.1124880769114538E-2</v>
      </c>
      <c r="R398" s="14">
        <f t="shared" ca="1" si="130"/>
        <v>4.7802301370262388</v>
      </c>
      <c r="S398" s="14">
        <f t="shared" si="131"/>
        <v>4.8874180645161287</v>
      </c>
      <c r="T398" s="14">
        <f t="shared" ca="1" si="132"/>
        <v>0.10718792748988992</v>
      </c>
      <c r="U398" s="16">
        <f t="shared" ca="1" si="133"/>
        <v>2.1931401421969803E-2</v>
      </c>
      <c r="V398" s="14">
        <f t="shared" si="134"/>
        <v>3.3</v>
      </c>
      <c r="W398" s="14">
        <f t="shared" ca="1" si="135"/>
        <v>3.2197698629737612</v>
      </c>
      <c r="X398" s="14">
        <f t="shared" ca="1" si="136"/>
        <v>8.0230137026238602E-2</v>
      </c>
      <c r="Y398" s="28">
        <f t="shared" ca="1" si="137"/>
        <v>2.4312162735223821E-2</v>
      </c>
      <c r="Z398" s="29">
        <f t="shared" ca="1" si="138"/>
        <v>58.637238000000004</v>
      </c>
      <c r="AA398" s="16">
        <f t="shared" ca="1" si="139"/>
        <v>1.6153724832214729E-2</v>
      </c>
      <c r="AB398" s="2"/>
    </row>
    <row r="399" spans="6:28" x14ac:dyDescent="0.25">
      <c r="F399" s="13">
        <v>397</v>
      </c>
      <c r="G399" s="13">
        <f t="shared" si="120"/>
        <v>59.7</v>
      </c>
      <c r="H399" s="13">
        <f t="shared" si="121"/>
        <v>332.84999999999997</v>
      </c>
      <c r="I399" s="14">
        <f t="shared" si="122"/>
        <v>3.3083330000000002</v>
      </c>
      <c r="J399" s="14">
        <f t="shared" si="123"/>
        <v>2517.0793130000002</v>
      </c>
      <c r="K399" s="14">
        <f t="shared" si="124"/>
        <v>1.5370793130000004</v>
      </c>
      <c r="L399" s="14">
        <f t="shared" si="125"/>
        <v>1308.0027500000001</v>
      </c>
      <c r="M399" s="14">
        <v>1300.47</v>
      </c>
      <c r="N399" s="13">
        <f t="shared" si="126"/>
        <v>1.30800275</v>
      </c>
      <c r="O399" s="13">
        <f t="shared" si="127"/>
        <v>1.3228699999999998</v>
      </c>
      <c r="P399" s="13">
        <f t="shared" si="128"/>
        <v>1.4867249999999776E-2</v>
      </c>
      <c r="Q399" s="16">
        <f t="shared" si="129"/>
        <v>1.1238632669876692E-2</v>
      </c>
      <c r="R399" s="14">
        <f t="shared" ca="1" si="130"/>
        <v>4.7714211370262385</v>
      </c>
      <c r="S399" s="14">
        <f t="shared" si="131"/>
        <v>4.8789721505376331</v>
      </c>
      <c r="T399" s="14">
        <f t="shared" ca="1" si="132"/>
        <v>0.10755101351139462</v>
      </c>
      <c r="U399" s="16">
        <f t="shared" ca="1" si="133"/>
        <v>2.2043785082795184E-2</v>
      </c>
      <c r="V399" s="14">
        <f t="shared" si="134"/>
        <v>3.3083333333333345</v>
      </c>
      <c r="W399" s="14">
        <f t="shared" ca="1" si="135"/>
        <v>3.2285788629737615</v>
      </c>
      <c r="X399" s="14">
        <f t="shared" ca="1" si="136"/>
        <v>7.9754470359572949E-2</v>
      </c>
      <c r="Y399" s="28">
        <f t="shared" ca="1" si="137"/>
        <v>2.4107144693069901E-2</v>
      </c>
      <c r="Z399" s="29">
        <f t="shared" ca="1" si="138"/>
        <v>58.742946000000003</v>
      </c>
      <c r="AA399" s="16">
        <f t="shared" ca="1" si="139"/>
        <v>1.6031055276381899E-2</v>
      </c>
      <c r="AB399" s="2"/>
    </row>
    <row r="400" spans="6:28" x14ac:dyDescent="0.25">
      <c r="F400" s="13">
        <v>398</v>
      </c>
      <c r="G400" s="13">
        <f t="shared" si="120"/>
        <v>59.800000000000004</v>
      </c>
      <c r="H400" s="13">
        <f t="shared" si="121"/>
        <v>332.95</v>
      </c>
      <c r="I400" s="14">
        <f t="shared" si="122"/>
        <v>3.3166669999999998</v>
      </c>
      <c r="J400" s="14">
        <f t="shared" si="123"/>
        <v>2508.0152360000002</v>
      </c>
      <c r="K400" s="14">
        <f t="shared" si="124"/>
        <v>1.5280152360000003</v>
      </c>
      <c r="L400" s="14">
        <f t="shared" si="125"/>
        <v>1305.5893739999999</v>
      </c>
      <c r="M400" s="14">
        <v>1298.02</v>
      </c>
      <c r="N400" s="13">
        <f t="shared" si="126"/>
        <v>1.305589374</v>
      </c>
      <c r="O400" s="13">
        <f t="shared" si="127"/>
        <v>1.3205799999999999</v>
      </c>
      <c r="P400" s="13">
        <f t="shared" si="128"/>
        <v>1.4990625999999896E-2</v>
      </c>
      <c r="Q400" s="16">
        <f t="shared" si="129"/>
        <v>1.1351547047509351E-2</v>
      </c>
      <c r="R400" s="14">
        <f t="shared" ca="1" si="130"/>
        <v>4.7618366355685131</v>
      </c>
      <c r="S400" s="14">
        <f t="shared" si="131"/>
        <v>4.8705262365591393</v>
      </c>
      <c r="T400" s="14">
        <f t="shared" ca="1" si="132"/>
        <v>0.10868960099062619</v>
      </c>
      <c r="U400" s="16">
        <f t="shared" ca="1" si="133"/>
        <v>2.231578185017882E-2</v>
      </c>
      <c r="V400" s="14">
        <f t="shared" si="134"/>
        <v>3.3166666666666664</v>
      </c>
      <c r="W400" s="14">
        <f t="shared" ca="1" si="135"/>
        <v>3.2381633644314869</v>
      </c>
      <c r="X400" s="14">
        <f t="shared" ca="1" si="136"/>
        <v>7.850330223517954E-2</v>
      </c>
      <c r="Y400" s="28">
        <f t="shared" ca="1" si="137"/>
        <v>2.3669337357340565E-2</v>
      </c>
      <c r="Z400" s="29">
        <f t="shared" ca="1" si="138"/>
        <v>58.857959999999999</v>
      </c>
      <c r="AA400" s="16">
        <f t="shared" ca="1" si="139"/>
        <v>1.5753177257525178E-2</v>
      </c>
      <c r="AB400" s="2"/>
    </row>
    <row r="401" spans="6:28" x14ac:dyDescent="0.25">
      <c r="F401" s="13">
        <v>399</v>
      </c>
      <c r="G401" s="13">
        <f t="shared" si="120"/>
        <v>59.900000000000006</v>
      </c>
      <c r="H401" s="13">
        <f t="shared" si="121"/>
        <v>333.04999999999995</v>
      </c>
      <c r="I401" s="14">
        <f t="shared" si="122"/>
        <v>3.3250000000000002</v>
      </c>
      <c r="J401" s="14">
        <f t="shared" si="123"/>
        <v>2498.9886080000001</v>
      </c>
      <c r="K401" s="14">
        <f t="shared" si="124"/>
        <v>1.5189886080000004</v>
      </c>
      <c r="L401" s="14">
        <f t="shared" si="125"/>
        <v>1303.177637</v>
      </c>
      <c r="M401" s="14">
        <v>1295.57</v>
      </c>
      <c r="N401" s="13">
        <f t="shared" si="126"/>
        <v>1.3031776369999999</v>
      </c>
      <c r="O401" s="13">
        <f t="shared" si="127"/>
        <v>1.3182899999999997</v>
      </c>
      <c r="P401" s="13">
        <f t="shared" si="128"/>
        <v>1.5112362999999851E-2</v>
      </c>
      <c r="Q401" s="16">
        <f t="shared" si="129"/>
        <v>1.1463610434729729E-2</v>
      </c>
      <c r="R401" s="14">
        <f t="shared" ca="1" si="130"/>
        <v>4.7526434985422741</v>
      </c>
      <c r="S401" s="14">
        <f t="shared" si="131"/>
        <v>4.8620803225806437</v>
      </c>
      <c r="T401" s="14">
        <f t="shared" ca="1" si="132"/>
        <v>0.10943682403836963</v>
      </c>
      <c r="U401" s="16">
        <f t="shared" ca="1" si="133"/>
        <v>2.2508230382398107E-2</v>
      </c>
      <c r="V401" s="14">
        <f t="shared" si="134"/>
        <v>3.3250000000000011</v>
      </c>
      <c r="W401" s="14">
        <f t="shared" ca="1" si="135"/>
        <v>3.2473565014577259</v>
      </c>
      <c r="X401" s="14">
        <f t="shared" ca="1" si="136"/>
        <v>7.7643498542275147E-2</v>
      </c>
      <c r="Y401" s="28">
        <f t="shared" ca="1" si="137"/>
        <v>2.3351428133015075E-2</v>
      </c>
      <c r="Z401" s="29">
        <f t="shared" ca="1" si="138"/>
        <v>58.968277999999998</v>
      </c>
      <c r="AA401" s="16">
        <f t="shared" ca="1" si="139"/>
        <v>1.5554624373956721E-2</v>
      </c>
      <c r="AB401" s="2"/>
    </row>
    <row r="402" spans="6:28" x14ac:dyDescent="0.25">
      <c r="F402" s="13">
        <v>400</v>
      </c>
      <c r="G402" s="13">
        <f t="shared" si="120"/>
        <v>60</v>
      </c>
      <c r="H402" s="13">
        <f t="shared" si="121"/>
        <v>333.15</v>
      </c>
      <c r="I402" s="14">
        <f t="shared" si="122"/>
        <v>3.3333330000000001</v>
      </c>
      <c r="J402" s="14">
        <f t="shared" si="123"/>
        <v>2489.9992539999998</v>
      </c>
      <c r="K402" s="14">
        <f t="shared" si="124"/>
        <v>1.5099992539999998</v>
      </c>
      <c r="L402" s="14">
        <f t="shared" si="125"/>
        <v>1300.767554</v>
      </c>
      <c r="M402" s="14">
        <v>1293.4100000000001</v>
      </c>
      <c r="N402" s="13">
        <f t="shared" si="126"/>
        <v>1.3007675540000001</v>
      </c>
      <c r="O402" s="13">
        <f t="shared" si="127"/>
        <v>1.3159999999999998</v>
      </c>
      <c r="P402" s="13">
        <f t="shared" si="128"/>
        <v>1.5232445999999733E-2</v>
      </c>
      <c r="Q402" s="16">
        <f t="shared" si="129"/>
        <v>1.1574806990881257E-2</v>
      </c>
      <c r="R402" s="14">
        <f t="shared" ca="1" si="130"/>
        <v>4.7442496355685124</v>
      </c>
      <c r="S402" s="14">
        <f t="shared" si="131"/>
        <v>4.8536344086021499</v>
      </c>
      <c r="T402" s="14">
        <f t="shared" ca="1" si="132"/>
        <v>0.10938477303363747</v>
      </c>
      <c r="U402" s="16">
        <f t="shared" ca="1" si="133"/>
        <v>2.2536673310163954E-2</v>
      </c>
      <c r="V402" s="14">
        <f t="shared" si="134"/>
        <v>3.333333333333333</v>
      </c>
      <c r="W402" s="14">
        <f t="shared" ca="1" si="135"/>
        <v>3.2557503644314876</v>
      </c>
      <c r="X402" s="14">
        <f t="shared" ca="1" si="136"/>
        <v>7.7582968901845462E-2</v>
      </c>
      <c r="Y402" s="28">
        <f t="shared" ca="1" si="137"/>
        <v>2.327489067055364E-2</v>
      </c>
      <c r="Z402" s="29">
        <f t="shared" ca="1" si="138"/>
        <v>59.069004</v>
      </c>
      <c r="AA402" s="16">
        <f t="shared" ca="1" si="139"/>
        <v>1.5516600000000007E-2</v>
      </c>
      <c r="AB402" s="2"/>
    </row>
    <row r="403" spans="6:28" x14ac:dyDescent="0.25">
      <c r="F403" s="13">
        <v>401</v>
      </c>
      <c r="G403" s="13">
        <f t="shared" si="120"/>
        <v>60.1</v>
      </c>
      <c r="H403" s="13">
        <f t="shared" si="121"/>
        <v>333.25</v>
      </c>
      <c r="I403" s="14">
        <f t="shared" si="122"/>
        <v>3.3416670000000002</v>
      </c>
      <c r="J403" s="14">
        <f t="shared" si="123"/>
        <v>2481.0470019999998</v>
      </c>
      <c r="K403" s="14">
        <f t="shared" si="124"/>
        <v>1.501047002</v>
      </c>
      <c r="L403" s="14">
        <f t="shared" si="125"/>
        <v>1298.3591389999999</v>
      </c>
      <c r="M403" s="14">
        <v>1290.6400000000001</v>
      </c>
      <c r="N403" s="13">
        <f t="shared" si="126"/>
        <v>1.298359139</v>
      </c>
      <c r="O403" s="13">
        <f t="shared" si="127"/>
        <v>1.3137099999999999</v>
      </c>
      <c r="P403" s="13">
        <f t="shared" si="128"/>
        <v>1.5350860999999938E-2</v>
      </c>
      <c r="Q403" s="16">
        <f t="shared" si="129"/>
        <v>1.1685121526059739E-2</v>
      </c>
      <c r="R403" s="14">
        <f t="shared" ca="1" si="130"/>
        <v>4.7350684985422742</v>
      </c>
      <c r="S403" s="14">
        <f t="shared" si="131"/>
        <v>4.8451884946236552</v>
      </c>
      <c r="T403" s="14">
        <f t="shared" ca="1" si="132"/>
        <v>0.11011999608138101</v>
      </c>
      <c r="U403" s="16">
        <f t="shared" ca="1" si="133"/>
        <v>2.2727701141776625E-2</v>
      </c>
      <c r="V403" s="14">
        <f t="shared" si="134"/>
        <v>3.3416666666666668</v>
      </c>
      <c r="W403" s="14">
        <f t="shared" ca="1" si="135"/>
        <v>3.2649315014577258</v>
      </c>
      <c r="X403" s="14">
        <f t="shared" ca="1" si="136"/>
        <v>7.673516520894097E-2</v>
      </c>
      <c r="Y403" s="28">
        <f t="shared" ca="1" si="137"/>
        <v>2.2963141708411263E-2</v>
      </c>
      <c r="Z403" s="29">
        <f t="shared" ca="1" si="138"/>
        <v>59.179178</v>
      </c>
      <c r="AA403" s="16">
        <f t="shared" ca="1" si="139"/>
        <v>1.5321497504159752E-2</v>
      </c>
      <c r="AB403" s="2"/>
    </row>
    <row r="404" spans="6:28" x14ac:dyDescent="0.25">
      <c r="F404" s="13">
        <v>402</v>
      </c>
      <c r="G404" s="13">
        <f t="shared" si="120"/>
        <v>60.2</v>
      </c>
      <c r="H404" s="13">
        <f t="shared" si="121"/>
        <v>333.34999999999997</v>
      </c>
      <c r="I404" s="14">
        <f t="shared" si="122"/>
        <v>3.35</v>
      </c>
      <c r="J404" s="14">
        <f t="shared" si="123"/>
        <v>2472.1316820000002</v>
      </c>
      <c r="K404" s="14">
        <f t="shared" si="124"/>
        <v>1.4921316820000001</v>
      </c>
      <c r="L404" s="14">
        <f t="shared" si="125"/>
        <v>1295.952405</v>
      </c>
      <c r="M404" s="14">
        <v>1288.17</v>
      </c>
      <c r="N404" s="13">
        <f t="shared" si="126"/>
        <v>1.295952405</v>
      </c>
      <c r="O404" s="13">
        <f t="shared" si="127"/>
        <v>1.3114199999999998</v>
      </c>
      <c r="P404" s="13">
        <f t="shared" si="128"/>
        <v>1.5467594999999834E-2</v>
      </c>
      <c r="Q404" s="16">
        <f t="shared" si="129"/>
        <v>1.1794539506794037E-2</v>
      </c>
      <c r="R404" s="14">
        <f t="shared" ca="1" si="130"/>
        <v>4.7270602274052482</v>
      </c>
      <c r="S404" s="14">
        <f t="shared" si="131"/>
        <v>4.8367425806451605</v>
      </c>
      <c r="T404" s="14">
        <f t="shared" ca="1" si="132"/>
        <v>0.10968235323991227</v>
      </c>
      <c r="U404" s="16">
        <f t="shared" ca="1" si="133"/>
        <v>2.2676905254131186E-2</v>
      </c>
      <c r="V404" s="14">
        <f t="shared" si="134"/>
        <v>3.3500000000000005</v>
      </c>
      <c r="W404" s="14">
        <f t="shared" ca="1" si="135"/>
        <v>3.2729397725947518</v>
      </c>
      <c r="X404" s="14">
        <f t="shared" ca="1" si="136"/>
        <v>7.706022740524876E-2</v>
      </c>
      <c r="Y404" s="28">
        <f t="shared" ca="1" si="137"/>
        <v>2.3003052956790671E-2</v>
      </c>
      <c r="Z404" s="29">
        <f t="shared" ca="1" si="138"/>
        <v>59.275277000000003</v>
      </c>
      <c r="AA404" s="16">
        <f t="shared" ca="1" si="139"/>
        <v>1.5360847176079736E-2</v>
      </c>
      <c r="AB404" s="2"/>
    </row>
    <row r="405" spans="6:28" x14ac:dyDescent="0.25">
      <c r="F405" s="13">
        <v>403</v>
      </c>
      <c r="G405" s="13">
        <f t="shared" si="120"/>
        <v>60.300000000000004</v>
      </c>
      <c r="H405" s="13">
        <f t="shared" si="121"/>
        <v>333.45</v>
      </c>
      <c r="I405" s="14">
        <f t="shared" si="122"/>
        <v>3.358333</v>
      </c>
      <c r="J405" s="14">
        <f t="shared" si="123"/>
        <v>2463.253123</v>
      </c>
      <c r="K405" s="14">
        <f t="shared" si="124"/>
        <v>1.4832531229999999</v>
      </c>
      <c r="L405" s="14">
        <f t="shared" si="125"/>
        <v>1293.5473669999999</v>
      </c>
      <c r="M405" s="14">
        <v>1285.7</v>
      </c>
      <c r="N405" s="13">
        <f t="shared" si="126"/>
        <v>1.2935473669999997</v>
      </c>
      <c r="O405" s="13">
        <f t="shared" si="127"/>
        <v>1.3091299999999999</v>
      </c>
      <c r="P405" s="13">
        <f t="shared" si="128"/>
        <v>1.5582633000000179E-2</v>
      </c>
      <c r="Q405" s="16">
        <f t="shared" si="129"/>
        <v>1.1903044770191027E-2</v>
      </c>
      <c r="R405" s="14">
        <f t="shared" ca="1" si="130"/>
        <v>4.7179126355685126</v>
      </c>
      <c r="S405" s="14">
        <f t="shared" si="131"/>
        <v>4.8282966666666658</v>
      </c>
      <c r="T405" s="14">
        <f t="shared" ca="1" si="132"/>
        <v>0.1103840310981532</v>
      </c>
      <c r="U405" s="16">
        <f t="shared" ca="1" si="133"/>
        <v>2.2861899075136895E-2</v>
      </c>
      <c r="V405" s="14">
        <f t="shared" si="134"/>
        <v>3.3583333333333334</v>
      </c>
      <c r="W405" s="14">
        <f t="shared" ca="1" si="135"/>
        <v>3.2820873644314874</v>
      </c>
      <c r="X405" s="14">
        <f t="shared" ca="1" si="136"/>
        <v>7.6245968901845984E-2</v>
      </c>
      <c r="Y405" s="28">
        <f t="shared" ca="1" si="137"/>
        <v>2.2703514313204758E-2</v>
      </c>
      <c r="Z405" s="29">
        <f t="shared" ca="1" si="138"/>
        <v>59.385047999999998</v>
      </c>
      <c r="AA405" s="16">
        <f t="shared" ca="1" si="139"/>
        <v>1.5173333333333443E-2</v>
      </c>
      <c r="AB405" s="2"/>
    </row>
    <row r="406" spans="6:28" x14ac:dyDescent="0.25">
      <c r="F406" s="13">
        <v>404</v>
      </c>
      <c r="G406" s="13">
        <f t="shared" si="120"/>
        <v>60.400000000000006</v>
      </c>
      <c r="H406" s="13">
        <f t="shared" si="121"/>
        <v>333.54999999999995</v>
      </c>
      <c r="I406" s="14">
        <f t="shared" si="122"/>
        <v>3.3666670000000001</v>
      </c>
      <c r="J406" s="14">
        <f t="shared" si="123"/>
        <v>2454.4111539999999</v>
      </c>
      <c r="K406" s="14">
        <f t="shared" si="124"/>
        <v>1.4744111539999998</v>
      </c>
      <c r="L406" s="14">
        <f t="shared" si="125"/>
        <v>1291.144039</v>
      </c>
      <c r="M406" s="14">
        <v>1283.53</v>
      </c>
      <c r="N406" s="13">
        <f t="shared" si="126"/>
        <v>1.291144039</v>
      </c>
      <c r="O406" s="13">
        <f t="shared" si="127"/>
        <v>1.3068399999999998</v>
      </c>
      <c r="P406" s="13">
        <f t="shared" si="128"/>
        <v>1.5695960999999814E-2</v>
      </c>
      <c r="Q406" s="16">
        <f t="shared" si="129"/>
        <v>1.2010621805270589E-2</v>
      </c>
      <c r="R406" s="14">
        <f t="shared" ca="1" si="130"/>
        <v>4.709146635568513</v>
      </c>
      <c r="S406" s="14">
        <f t="shared" si="131"/>
        <v>4.8198507526881711</v>
      </c>
      <c r="T406" s="14">
        <f t="shared" ca="1" si="132"/>
        <v>0.11070411711965811</v>
      </c>
      <c r="U406" s="16">
        <f t="shared" ca="1" si="133"/>
        <v>2.2968370350039406E-2</v>
      </c>
      <c r="V406" s="14">
        <f t="shared" si="134"/>
        <v>3.3666666666666671</v>
      </c>
      <c r="W406" s="14">
        <f t="shared" ca="1" si="135"/>
        <v>3.290853364431487</v>
      </c>
      <c r="X406" s="14">
        <f t="shared" ca="1" si="136"/>
        <v>7.5813302235180124E-2</v>
      </c>
      <c r="Y406" s="28">
        <f t="shared" ca="1" si="137"/>
        <v>2.2518802644112906E-2</v>
      </c>
      <c r="Z406" s="29">
        <f t="shared" ca="1" si="138"/>
        <v>59.49024</v>
      </c>
      <c r="AA406" s="16">
        <f t="shared" ca="1" si="139"/>
        <v>1.5062251655629232E-2</v>
      </c>
      <c r="AB406" s="2"/>
    </row>
    <row r="407" spans="6:28" x14ac:dyDescent="0.25">
      <c r="F407" s="13">
        <v>405</v>
      </c>
      <c r="G407" s="13">
        <f t="shared" si="120"/>
        <v>60.5</v>
      </c>
      <c r="H407" s="13">
        <f t="shared" si="121"/>
        <v>333.65</v>
      </c>
      <c r="I407" s="14">
        <f t="shared" si="122"/>
        <v>3.375</v>
      </c>
      <c r="J407" s="14">
        <f t="shared" si="123"/>
        <v>2445.6056079999998</v>
      </c>
      <c r="K407" s="14">
        <f t="shared" si="124"/>
        <v>1.4656056079999997</v>
      </c>
      <c r="L407" s="14">
        <f t="shared" si="125"/>
        <v>1288.7424329999999</v>
      </c>
      <c r="M407" s="14">
        <v>1281.05</v>
      </c>
      <c r="N407" s="13">
        <f t="shared" si="126"/>
        <v>1.2887424329999999</v>
      </c>
      <c r="O407" s="13">
        <f t="shared" si="127"/>
        <v>1.3045499999999999</v>
      </c>
      <c r="P407" s="13">
        <f t="shared" si="128"/>
        <v>1.5807566999999967E-2</v>
      </c>
      <c r="Q407" s="16">
        <f t="shared" si="129"/>
        <v>1.2117256525238564E-2</v>
      </c>
      <c r="R407" s="14">
        <f t="shared" ca="1" si="130"/>
        <v>4.7007612274052484</v>
      </c>
      <c r="S407" s="14">
        <f t="shared" si="131"/>
        <v>4.8114048387096764</v>
      </c>
      <c r="T407" s="14">
        <f t="shared" ca="1" si="132"/>
        <v>0.11064361130442801</v>
      </c>
      <c r="U407" s="16">
        <f t="shared" ca="1" si="133"/>
        <v>2.2996113404188296E-2</v>
      </c>
      <c r="V407" s="14">
        <f t="shared" si="134"/>
        <v>3.375</v>
      </c>
      <c r="W407" s="14">
        <f t="shared" ca="1" si="135"/>
        <v>3.2992387725947516</v>
      </c>
      <c r="X407" s="14">
        <f t="shared" ca="1" si="136"/>
        <v>7.5761227405248377E-2</v>
      </c>
      <c r="Y407" s="28">
        <f t="shared" ca="1" si="137"/>
        <v>2.2447771083036555E-2</v>
      </c>
      <c r="Z407" s="29">
        <f t="shared" ca="1" si="138"/>
        <v>59.590865000000001</v>
      </c>
      <c r="AA407" s="16">
        <f t="shared" ca="1" si="139"/>
        <v>1.5027024793388416E-2</v>
      </c>
      <c r="AB407" s="2"/>
    </row>
    <row r="408" spans="6:28" x14ac:dyDescent="0.25">
      <c r="F408" s="13">
        <v>406</v>
      </c>
      <c r="G408" s="13">
        <f t="shared" si="120"/>
        <v>60.6</v>
      </c>
      <c r="H408" s="13">
        <f t="shared" si="121"/>
        <v>333.75</v>
      </c>
      <c r="I408" s="14">
        <f t="shared" si="122"/>
        <v>3.3833329999999999</v>
      </c>
      <c r="J408" s="14">
        <f t="shared" si="123"/>
        <v>2436.8363159999999</v>
      </c>
      <c r="K408" s="14">
        <f t="shared" si="124"/>
        <v>1.456836316</v>
      </c>
      <c r="L408" s="14">
        <f t="shared" si="125"/>
        <v>1286.3425649999999</v>
      </c>
      <c r="M408" s="14">
        <v>1278.56</v>
      </c>
      <c r="N408" s="13">
        <f t="shared" si="126"/>
        <v>1.2863425649999998</v>
      </c>
      <c r="O408" s="13">
        <f t="shared" si="127"/>
        <v>1.30226</v>
      </c>
      <c r="P408" s="13">
        <f t="shared" si="128"/>
        <v>1.5917435000000202E-2</v>
      </c>
      <c r="Q408" s="16">
        <f t="shared" si="129"/>
        <v>1.2222931672630813E-2</v>
      </c>
      <c r="R408" s="14">
        <f t="shared" ca="1" si="130"/>
        <v>4.6920072274052487</v>
      </c>
      <c r="S408" s="14">
        <f t="shared" si="131"/>
        <v>4.8029589247311826</v>
      </c>
      <c r="T408" s="14">
        <f t="shared" ca="1" si="132"/>
        <v>0.11095169732593391</v>
      </c>
      <c r="U408" s="16">
        <f t="shared" ca="1" si="133"/>
        <v>2.3100696688165782E-2</v>
      </c>
      <c r="V408" s="14">
        <f t="shared" si="134"/>
        <v>3.3833333333333329</v>
      </c>
      <c r="W408" s="14">
        <f t="shared" ca="1" si="135"/>
        <v>3.3079927725947513</v>
      </c>
      <c r="X408" s="14">
        <f t="shared" ca="1" si="136"/>
        <v>7.534056073858153E-2</v>
      </c>
      <c r="Y408" s="28">
        <f t="shared" ca="1" si="137"/>
        <v>2.2268146031107845E-2</v>
      </c>
      <c r="Z408" s="29">
        <f t="shared" ca="1" si="138"/>
        <v>59.695912999999997</v>
      </c>
      <c r="AA408" s="16">
        <f t="shared" ca="1" si="139"/>
        <v>1.4918927392739341E-2</v>
      </c>
      <c r="AB408" s="2"/>
    </row>
    <row r="409" spans="6:28" x14ac:dyDescent="0.25">
      <c r="F409" s="13">
        <v>407</v>
      </c>
      <c r="G409" s="13">
        <f t="shared" si="120"/>
        <v>60.7</v>
      </c>
      <c r="H409" s="13">
        <f t="shared" si="121"/>
        <v>333.84999999999997</v>
      </c>
      <c r="I409" s="14">
        <f t="shared" si="122"/>
        <v>3.391667</v>
      </c>
      <c r="J409" s="14">
        <f t="shared" si="123"/>
        <v>2428.10311</v>
      </c>
      <c r="K409" s="14">
        <f t="shared" si="124"/>
        <v>1.4481031099999999</v>
      </c>
      <c r="L409" s="14">
        <f t="shared" si="125"/>
        <v>1283.944446</v>
      </c>
      <c r="M409" s="14">
        <v>1276.22</v>
      </c>
      <c r="N409" s="13">
        <f t="shared" si="126"/>
        <v>1.283944446</v>
      </c>
      <c r="O409" s="13">
        <f t="shared" si="127"/>
        <v>1.2999699999999998</v>
      </c>
      <c r="P409" s="13">
        <f t="shared" si="128"/>
        <v>1.6025553999999831E-2</v>
      </c>
      <c r="Q409" s="16">
        <f t="shared" si="129"/>
        <v>1.2327633714624055E-2</v>
      </c>
      <c r="R409" s="14">
        <f t="shared" ca="1" si="130"/>
        <v>4.6832602274052491</v>
      </c>
      <c r="S409" s="14">
        <f t="shared" si="131"/>
        <v>4.794513010752687</v>
      </c>
      <c r="T409" s="14">
        <f t="shared" ca="1" si="132"/>
        <v>0.11125278334743793</v>
      </c>
      <c r="U409" s="16">
        <f t="shared" ca="1" si="133"/>
        <v>2.3204188433305021E-2</v>
      </c>
      <c r="V409" s="14">
        <f t="shared" si="134"/>
        <v>3.3916666666666675</v>
      </c>
      <c r="W409" s="14">
        <f t="shared" ca="1" si="135"/>
        <v>3.3167397725947509</v>
      </c>
      <c r="X409" s="14">
        <f t="shared" ca="1" si="136"/>
        <v>7.492689407191655E-2</v>
      </c>
      <c r="Y409" s="28">
        <f t="shared" ca="1" si="137"/>
        <v>2.2091467539631409E-2</v>
      </c>
      <c r="Z409" s="29">
        <f t="shared" ca="1" si="138"/>
        <v>59.800877</v>
      </c>
      <c r="AA409" s="16">
        <f t="shared" ca="1" si="139"/>
        <v>1.4812570016474513E-2</v>
      </c>
      <c r="AB409" s="2"/>
    </row>
    <row r="410" spans="6:28" x14ac:dyDescent="0.25">
      <c r="F410" s="13">
        <v>408</v>
      </c>
      <c r="G410" s="13">
        <f t="shared" si="120"/>
        <v>60.800000000000004</v>
      </c>
      <c r="H410" s="13">
        <f t="shared" si="121"/>
        <v>333.95</v>
      </c>
      <c r="I410" s="14">
        <f t="shared" si="122"/>
        <v>3.4</v>
      </c>
      <c r="J410" s="14">
        <f t="shared" si="123"/>
        <v>2419.4058260000002</v>
      </c>
      <c r="K410" s="14">
        <f t="shared" si="124"/>
        <v>1.4394058260000002</v>
      </c>
      <c r="L410" s="14">
        <f t="shared" si="125"/>
        <v>1281.548092</v>
      </c>
      <c r="M410" s="14">
        <v>1273.73</v>
      </c>
      <c r="N410" s="13">
        <f t="shared" si="126"/>
        <v>1.281548092</v>
      </c>
      <c r="O410" s="13">
        <f t="shared" si="127"/>
        <v>1.2976799999999999</v>
      </c>
      <c r="P410" s="13">
        <f t="shared" si="128"/>
        <v>1.6131907999999973E-2</v>
      </c>
      <c r="Q410" s="16">
        <f t="shared" si="129"/>
        <v>1.2431345169841544E-2</v>
      </c>
      <c r="R410" s="14">
        <f t="shared" ca="1" si="130"/>
        <v>4.6741338629737612</v>
      </c>
      <c r="S410" s="14">
        <f t="shared" si="131"/>
        <v>4.7860670967741932</v>
      </c>
      <c r="T410" s="14">
        <f t="shared" ca="1" si="132"/>
        <v>0.11193323380043196</v>
      </c>
      <c r="U410" s="16">
        <f t="shared" ca="1" si="133"/>
        <v>2.3387309775885698E-2</v>
      </c>
      <c r="V410" s="14">
        <f t="shared" si="134"/>
        <v>3.3999999999999995</v>
      </c>
      <c r="W410" s="14">
        <f t="shared" ca="1" si="135"/>
        <v>3.3258661370262388</v>
      </c>
      <c r="X410" s="14">
        <f t="shared" ca="1" si="136"/>
        <v>7.4133862973760678E-2</v>
      </c>
      <c r="Y410" s="28">
        <f t="shared" ca="1" si="137"/>
        <v>2.1804077345223733E-2</v>
      </c>
      <c r="Z410" s="29">
        <f t="shared" ca="1" si="138"/>
        <v>59.910393999999997</v>
      </c>
      <c r="AA410" s="16">
        <f t="shared" ca="1" si="139"/>
        <v>1.4631677631579073E-2</v>
      </c>
      <c r="AB410" s="2"/>
    </row>
    <row r="411" spans="6:28" x14ac:dyDescent="0.25">
      <c r="F411" s="13">
        <v>409</v>
      </c>
      <c r="G411" s="13">
        <f t="shared" si="120"/>
        <v>60.900000000000006</v>
      </c>
      <c r="H411" s="13">
        <f t="shared" si="121"/>
        <v>334.04999999999995</v>
      </c>
      <c r="I411" s="14">
        <f t="shared" si="122"/>
        <v>3.4083329999999998</v>
      </c>
      <c r="J411" s="14">
        <f t="shared" si="123"/>
        <v>2410.7442970000002</v>
      </c>
      <c r="K411" s="14">
        <f t="shared" si="124"/>
        <v>1.4307442970000004</v>
      </c>
      <c r="L411" s="14">
        <f t="shared" si="125"/>
        <v>1279.153515</v>
      </c>
      <c r="M411" s="14">
        <v>1271.54</v>
      </c>
      <c r="N411" s="13">
        <f t="shared" si="126"/>
        <v>1.2791535149999997</v>
      </c>
      <c r="O411" s="13">
        <f t="shared" si="127"/>
        <v>1.2953899999999998</v>
      </c>
      <c r="P411" s="13">
        <f t="shared" si="128"/>
        <v>1.6236485000000078E-2</v>
      </c>
      <c r="Q411" s="16">
        <f t="shared" si="129"/>
        <v>1.2534051521163573E-2</v>
      </c>
      <c r="R411" s="14">
        <f t="shared" ca="1" si="130"/>
        <v>4.6661813644314876</v>
      </c>
      <c r="S411" s="14">
        <f t="shared" si="131"/>
        <v>4.7776211827956985</v>
      </c>
      <c r="T411" s="14">
        <f t="shared" ca="1" si="132"/>
        <v>0.11143981836421091</v>
      </c>
      <c r="U411" s="16">
        <f t="shared" ca="1" si="133"/>
        <v>2.3325377651436188E-2</v>
      </c>
      <c r="V411" s="14">
        <f t="shared" si="134"/>
        <v>3.4083333333333332</v>
      </c>
      <c r="W411" s="14">
        <f t="shared" ca="1" si="135"/>
        <v>3.3338186355685124</v>
      </c>
      <c r="X411" s="14">
        <f t="shared" ca="1" si="136"/>
        <v>7.4514697764820781E-2</v>
      </c>
      <c r="Y411" s="28">
        <f t="shared" ca="1" si="137"/>
        <v>2.1862503011683361E-2</v>
      </c>
      <c r="Z411" s="29">
        <f t="shared" ca="1" si="138"/>
        <v>60.005823999999997</v>
      </c>
      <c r="AA411" s="16">
        <f t="shared" ca="1" si="139"/>
        <v>1.4682692939244806E-2</v>
      </c>
      <c r="AB411" s="2"/>
    </row>
    <row r="412" spans="6:28" x14ac:dyDescent="0.25">
      <c r="F412" s="13">
        <v>410</v>
      </c>
      <c r="G412" s="13">
        <f t="shared" si="120"/>
        <v>61</v>
      </c>
      <c r="H412" s="13">
        <f t="shared" si="121"/>
        <v>334.15</v>
      </c>
      <c r="I412" s="14">
        <f t="shared" si="122"/>
        <v>3.4166669999999999</v>
      </c>
      <c r="J412" s="14">
        <f t="shared" si="123"/>
        <v>2402.1183590000001</v>
      </c>
      <c r="K412" s="14">
        <f t="shared" si="124"/>
        <v>1.4221183590000002</v>
      </c>
      <c r="L412" s="14">
        <f t="shared" si="125"/>
        <v>1276.7607290000001</v>
      </c>
      <c r="M412" s="14">
        <v>1268.74</v>
      </c>
      <c r="N412" s="13">
        <f t="shared" si="126"/>
        <v>1.276760729</v>
      </c>
      <c r="O412" s="13">
        <f t="shared" si="127"/>
        <v>1.2930999999999999</v>
      </c>
      <c r="P412" s="13">
        <f t="shared" si="128"/>
        <v>1.6339270999999878E-2</v>
      </c>
      <c r="Q412" s="16">
        <f t="shared" si="129"/>
        <v>1.2635736601964178E-2</v>
      </c>
      <c r="R412" s="14">
        <f t="shared" ca="1" si="130"/>
        <v>4.6566718629737611</v>
      </c>
      <c r="S412" s="14">
        <f t="shared" si="131"/>
        <v>4.7691752688172038</v>
      </c>
      <c r="T412" s="14">
        <f t="shared" ca="1" si="132"/>
        <v>0.11250340584344265</v>
      </c>
      <c r="U412" s="16">
        <f t="shared" ca="1" si="133"/>
        <v>2.3589698323530989E-2</v>
      </c>
      <c r="V412" s="14">
        <f t="shared" si="134"/>
        <v>3.416666666666667</v>
      </c>
      <c r="W412" s="14">
        <f t="shared" ca="1" si="135"/>
        <v>3.3433281370262389</v>
      </c>
      <c r="X412" s="14">
        <f t="shared" ca="1" si="136"/>
        <v>7.3338529640428085E-2</v>
      </c>
      <c r="Y412" s="28">
        <f t="shared" ca="1" si="137"/>
        <v>2.1464935504515534E-2</v>
      </c>
      <c r="Z412" s="29">
        <f t="shared" ca="1" si="138"/>
        <v>60.119937999999998</v>
      </c>
      <c r="AA412" s="16">
        <f t="shared" ca="1" si="139"/>
        <v>1.4427245901639383E-2</v>
      </c>
      <c r="AB412" s="2"/>
    </row>
    <row r="413" spans="6:28" x14ac:dyDescent="0.25">
      <c r="F413" s="13">
        <v>411</v>
      </c>
      <c r="G413" s="13">
        <f t="shared" si="120"/>
        <v>61.1</v>
      </c>
      <c r="H413" s="13">
        <f t="shared" si="121"/>
        <v>334.25</v>
      </c>
      <c r="I413" s="14">
        <f t="shared" si="122"/>
        <v>3.4249999999999998</v>
      </c>
      <c r="J413" s="14">
        <f t="shared" si="123"/>
        <v>2393.5278480000002</v>
      </c>
      <c r="K413" s="14">
        <f t="shared" si="124"/>
        <v>1.4135278480000002</v>
      </c>
      <c r="L413" s="14">
        <f t="shared" si="125"/>
        <v>1274.369747</v>
      </c>
      <c r="M413" s="14">
        <v>1266.54</v>
      </c>
      <c r="N413" s="13">
        <f t="shared" si="126"/>
        <v>1.2743697469999999</v>
      </c>
      <c r="O413" s="13">
        <f t="shared" si="127"/>
        <v>1.2908099999999998</v>
      </c>
      <c r="P413" s="13">
        <f t="shared" si="128"/>
        <v>1.6440252999999849E-2</v>
      </c>
      <c r="Q413" s="16">
        <f t="shared" si="129"/>
        <v>1.2736384905601795E-2</v>
      </c>
      <c r="R413" s="14">
        <f t="shared" ca="1" si="130"/>
        <v>4.6483362274052489</v>
      </c>
      <c r="S413" s="14">
        <f t="shared" si="131"/>
        <v>4.7607293548387091</v>
      </c>
      <c r="T413" s="14">
        <f t="shared" ca="1" si="132"/>
        <v>0.11239312743346019</v>
      </c>
      <c r="U413" s="16">
        <f t="shared" ca="1" si="133"/>
        <v>2.3608384147951213E-2</v>
      </c>
      <c r="V413" s="14">
        <f t="shared" si="134"/>
        <v>3.4249999999999998</v>
      </c>
      <c r="W413" s="14">
        <f t="shared" ca="1" si="135"/>
        <v>3.3516637725947511</v>
      </c>
      <c r="X413" s="14">
        <f t="shared" ca="1" si="136"/>
        <v>7.33362274052487E-2</v>
      </c>
      <c r="Y413" s="28">
        <f t="shared" ca="1" si="137"/>
        <v>2.141203719861276E-2</v>
      </c>
      <c r="Z413" s="29">
        <f t="shared" ca="1" si="138"/>
        <v>60.219965000000002</v>
      </c>
      <c r="AA413" s="16">
        <f t="shared" ca="1" si="139"/>
        <v>1.4403191489361693E-2</v>
      </c>
      <c r="AB413" s="2"/>
    </row>
    <row r="414" spans="6:28" x14ac:dyDescent="0.25">
      <c r="F414" s="13">
        <v>412</v>
      </c>
      <c r="G414" s="13">
        <f t="shared" si="120"/>
        <v>61.2</v>
      </c>
      <c r="H414" s="13">
        <f t="shared" si="121"/>
        <v>334.34999999999997</v>
      </c>
      <c r="I414" s="14">
        <f t="shared" si="122"/>
        <v>3.4333330000000002</v>
      </c>
      <c r="J414" s="14">
        <f t="shared" si="123"/>
        <v>2384.9726009999999</v>
      </c>
      <c r="K414" s="14">
        <f t="shared" si="124"/>
        <v>1.4049726009999999</v>
      </c>
      <c r="L414" s="14">
        <f t="shared" si="125"/>
        <v>1271.980583</v>
      </c>
      <c r="M414" s="14">
        <v>1264.03</v>
      </c>
      <c r="N414" s="13">
        <f t="shared" si="126"/>
        <v>1.2719805830000002</v>
      </c>
      <c r="O414" s="13">
        <f t="shared" si="127"/>
        <v>1.2885199999999999</v>
      </c>
      <c r="P414" s="13">
        <f t="shared" si="128"/>
        <v>1.6539416999999723E-2</v>
      </c>
      <c r="Q414" s="16">
        <f t="shared" si="129"/>
        <v>1.2835980039114429E-2</v>
      </c>
      <c r="R414" s="14">
        <f t="shared" ca="1" si="130"/>
        <v>4.6396427725947511</v>
      </c>
      <c r="S414" s="14">
        <f t="shared" si="131"/>
        <v>4.7522834408602144</v>
      </c>
      <c r="T414" s="14">
        <f t="shared" ca="1" si="132"/>
        <v>0.11264066826546326</v>
      </c>
      <c r="U414" s="16">
        <f t="shared" ca="1" si="133"/>
        <v>2.3702430561480584E-2</v>
      </c>
      <c r="V414" s="14">
        <f t="shared" si="134"/>
        <v>3.4333333333333336</v>
      </c>
      <c r="W414" s="14">
        <f t="shared" ca="1" si="135"/>
        <v>3.3603572274052489</v>
      </c>
      <c r="X414" s="14">
        <f t="shared" ca="1" si="136"/>
        <v>7.2976105928084678E-2</v>
      </c>
      <c r="Y414" s="28">
        <f t="shared" ca="1" si="137"/>
        <v>2.1255176483908157E-2</v>
      </c>
      <c r="Z414" s="29">
        <f t="shared" ca="1" si="138"/>
        <v>60.324286999999998</v>
      </c>
      <c r="AA414" s="16">
        <f t="shared" ca="1" si="139"/>
        <v>1.4309035947712493E-2</v>
      </c>
      <c r="AB414" s="2"/>
    </row>
    <row r="415" spans="6:28" x14ac:dyDescent="0.25">
      <c r="F415" s="13">
        <v>413</v>
      </c>
      <c r="G415" s="13">
        <f t="shared" si="120"/>
        <v>61.300000000000004</v>
      </c>
      <c r="H415" s="13">
        <f t="shared" si="121"/>
        <v>334.45</v>
      </c>
      <c r="I415" s="14">
        <f t="shared" si="122"/>
        <v>3.4416669999999998</v>
      </c>
      <c r="J415" s="14">
        <f t="shared" si="123"/>
        <v>2376.4524569999999</v>
      </c>
      <c r="K415" s="14">
        <f t="shared" si="124"/>
        <v>1.3964524570000001</v>
      </c>
      <c r="L415" s="14">
        <f t="shared" si="125"/>
        <v>1269.593249</v>
      </c>
      <c r="M415" s="14">
        <v>1261.52</v>
      </c>
      <c r="N415" s="13">
        <f t="shared" si="126"/>
        <v>1.2695932490000001</v>
      </c>
      <c r="O415" s="13">
        <f t="shared" si="127"/>
        <v>1.2862299999999998</v>
      </c>
      <c r="P415" s="13">
        <f t="shared" si="128"/>
        <v>1.6636750999999617E-2</v>
      </c>
      <c r="Q415" s="16">
        <f t="shared" si="129"/>
        <v>1.2934507047728338E-2</v>
      </c>
      <c r="R415" s="14">
        <f t="shared" ca="1" si="130"/>
        <v>4.6305278629737616</v>
      </c>
      <c r="S415" s="14">
        <f t="shared" si="131"/>
        <v>4.7438375268817197</v>
      </c>
      <c r="T415" s="14">
        <f t="shared" ca="1" si="132"/>
        <v>0.11330966390795805</v>
      </c>
      <c r="U415" s="16">
        <f t="shared" ca="1" si="133"/>
        <v>2.388565444450207E-2</v>
      </c>
      <c r="V415" s="14">
        <f t="shared" si="134"/>
        <v>3.4416666666666664</v>
      </c>
      <c r="W415" s="14">
        <f t="shared" ca="1" si="135"/>
        <v>3.3694721370262384</v>
      </c>
      <c r="X415" s="14">
        <f t="shared" ca="1" si="136"/>
        <v>7.2194529640428051E-2</v>
      </c>
      <c r="Y415" s="28">
        <f t="shared" ca="1" si="137"/>
        <v>2.0976618781722439E-2</v>
      </c>
      <c r="Z415" s="29">
        <f t="shared" ca="1" si="138"/>
        <v>60.433666000000002</v>
      </c>
      <c r="AA415" s="16">
        <f t="shared" ca="1" si="139"/>
        <v>1.4132691680261041E-2</v>
      </c>
      <c r="AB415" s="2"/>
    </row>
    <row r="416" spans="6:28" x14ac:dyDescent="0.25">
      <c r="F416" s="13">
        <v>414</v>
      </c>
      <c r="G416" s="13">
        <f t="shared" si="120"/>
        <v>61.400000000000006</v>
      </c>
      <c r="H416" s="13">
        <f t="shared" si="121"/>
        <v>334.54999999999995</v>
      </c>
      <c r="I416" s="14">
        <f t="shared" si="122"/>
        <v>3.45</v>
      </c>
      <c r="J416" s="14">
        <f t="shared" si="123"/>
        <v>2367.9672529999998</v>
      </c>
      <c r="K416" s="14">
        <f t="shared" si="124"/>
        <v>1.3879672529999998</v>
      </c>
      <c r="L416" s="14">
        <f t="shared" si="125"/>
        <v>1267.20776</v>
      </c>
      <c r="M416" s="14">
        <v>1259.3</v>
      </c>
      <c r="N416" s="13">
        <f t="shared" si="126"/>
        <v>1.26720776</v>
      </c>
      <c r="O416" s="13">
        <f t="shared" si="127"/>
        <v>1.2839399999999999</v>
      </c>
      <c r="P416" s="13">
        <f t="shared" si="128"/>
        <v>1.6732239999999843E-2</v>
      </c>
      <c r="Q416" s="16">
        <f t="shared" si="129"/>
        <v>1.3031948533420443E-2</v>
      </c>
      <c r="R416" s="14">
        <f t="shared" ca="1" si="130"/>
        <v>4.621441498542274</v>
      </c>
      <c r="S416" s="14">
        <f t="shared" si="131"/>
        <v>4.735391612903225</v>
      </c>
      <c r="T416" s="14">
        <f t="shared" ca="1" si="132"/>
        <v>0.11395011436095093</v>
      </c>
      <c r="U416" s="16">
        <f t="shared" ca="1" si="133"/>
        <v>2.4063503861107099E-2</v>
      </c>
      <c r="V416" s="14">
        <f t="shared" si="134"/>
        <v>3.45</v>
      </c>
      <c r="W416" s="14">
        <f t="shared" ca="1" si="135"/>
        <v>3.378558501457726</v>
      </c>
      <c r="X416" s="14">
        <f t="shared" ca="1" si="136"/>
        <v>7.1441498542274218E-2</v>
      </c>
      <c r="Y416" s="28">
        <f t="shared" ca="1" si="137"/>
        <v>2.0707680736891075E-2</v>
      </c>
      <c r="Z416" s="29">
        <f t="shared" ca="1" si="138"/>
        <v>60.542701999999998</v>
      </c>
      <c r="AA416" s="16">
        <f t="shared" ca="1" si="139"/>
        <v>1.3962508143322592E-2</v>
      </c>
      <c r="AB416" s="2"/>
    </row>
    <row r="417" spans="6:28" x14ac:dyDescent="0.25">
      <c r="F417" s="13">
        <v>415</v>
      </c>
      <c r="G417" s="13">
        <f t="shared" si="120"/>
        <v>61.5</v>
      </c>
      <c r="H417" s="13">
        <f t="shared" si="121"/>
        <v>334.65</v>
      </c>
      <c r="I417" s="14">
        <f t="shared" si="122"/>
        <v>3.4583330000000001</v>
      </c>
      <c r="J417" s="14">
        <f t="shared" si="123"/>
        <v>2359.5168290000001</v>
      </c>
      <c r="K417" s="14">
        <f t="shared" si="124"/>
        <v>1.3795168290000004</v>
      </c>
      <c r="L417" s="14">
        <f t="shared" si="125"/>
        <v>1264.8241270000001</v>
      </c>
      <c r="M417" s="14">
        <v>1256.79</v>
      </c>
      <c r="N417" s="13">
        <f t="shared" si="126"/>
        <v>1.264824127</v>
      </c>
      <c r="O417" s="13">
        <f t="shared" si="127"/>
        <v>1.28165</v>
      </c>
      <c r="P417" s="13">
        <f t="shared" si="128"/>
        <v>1.6825872999999936E-2</v>
      </c>
      <c r="Q417" s="16">
        <f t="shared" si="129"/>
        <v>1.3128290094799622E-2</v>
      </c>
      <c r="R417" s="14">
        <f t="shared" ca="1" si="130"/>
        <v>4.6135182274052484</v>
      </c>
      <c r="S417" s="14">
        <f t="shared" si="131"/>
        <v>4.7269456989247312</v>
      </c>
      <c r="T417" s="14">
        <f t="shared" ca="1" si="132"/>
        <v>0.11342747151948274</v>
      </c>
      <c r="U417" s="16">
        <f t="shared" ca="1" si="133"/>
        <v>2.399593283783328E-2</v>
      </c>
      <c r="V417" s="14">
        <f t="shared" si="134"/>
        <v>3.458333333333333</v>
      </c>
      <c r="W417" s="14">
        <f t="shared" ca="1" si="135"/>
        <v>3.3864817725947516</v>
      </c>
      <c r="X417" s="14">
        <f t="shared" ca="1" si="136"/>
        <v>7.1851560738581455E-2</v>
      </c>
      <c r="Y417" s="28">
        <f t="shared" ca="1" si="137"/>
        <v>2.0776354912360906E-2</v>
      </c>
      <c r="Z417" s="29">
        <f t="shared" ca="1" si="138"/>
        <v>60.637780999999997</v>
      </c>
      <c r="AA417" s="16">
        <f t="shared" ca="1" si="139"/>
        <v>1.4019821138211434E-2</v>
      </c>
      <c r="AB417" s="2"/>
    </row>
    <row r="418" spans="6:28" x14ac:dyDescent="0.25">
      <c r="F418" s="13">
        <v>416</v>
      </c>
      <c r="G418" s="13">
        <f t="shared" si="120"/>
        <v>61.6</v>
      </c>
      <c r="H418" s="13">
        <f t="shared" si="121"/>
        <v>334.75</v>
      </c>
      <c r="I418" s="14">
        <f t="shared" si="122"/>
        <v>3.4666670000000002</v>
      </c>
      <c r="J418" s="14">
        <f t="shared" si="123"/>
        <v>2351.1010259999998</v>
      </c>
      <c r="K418" s="14">
        <f t="shared" si="124"/>
        <v>1.3711010259999998</v>
      </c>
      <c r="L418" s="14">
        <f t="shared" si="125"/>
        <v>1262.4423650000001</v>
      </c>
      <c r="M418" s="14">
        <v>1254.56</v>
      </c>
      <c r="N418" s="13">
        <f t="shared" si="126"/>
        <v>1.2624423650000003</v>
      </c>
      <c r="O418" s="13">
        <f t="shared" si="127"/>
        <v>1.2793599999999998</v>
      </c>
      <c r="P418" s="13">
        <f t="shared" si="128"/>
        <v>1.6917634999999542E-2</v>
      </c>
      <c r="Q418" s="16">
        <f t="shared" si="129"/>
        <v>1.3223514100800044E-2</v>
      </c>
      <c r="R418" s="14">
        <f t="shared" ca="1" si="130"/>
        <v>4.6044556355685131</v>
      </c>
      <c r="S418" s="14">
        <f t="shared" si="131"/>
        <v>4.7184997849462356</v>
      </c>
      <c r="T418" s="14">
        <f t="shared" ca="1" si="132"/>
        <v>0.11404414937772245</v>
      </c>
      <c r="U418" s="16">
        <f t="shared" ca="1" si="133"/>
        <v>2.4169578165832619E-2</v>
      </c>
      <c r="V418" s="14">
        <f t="shared" si="134"/>
        <v>3.4666666666666668</v>
      </c>
      <c r="W418" s="14">
        <f t="shared" ca="1" si="135"/>
        <v>3.3955443644314869</v>
      </c>
      <c r="X418" s="14">
        <f t="shared" ca="1" si="136"/>
        <v>7.1122302235179902E-2</v>
      </c>
      <c r="Y418" s="28">
        <f t="shared" ca="1" si="137"/>
        <v>2.0516048721686508E-2</v>
      </c>
      <c r="Z418" s="29">
        <f t="shared" ca="1" si="138"/>
        <v>60.746532000000002</v>
      </c>
      <c r="AA418" s="16">
        <f t="shared" ca="1" si="139"/>
        <v>1.3854999999999991E-2</v>
      </c>
      <c r="AB418" s="2"/>
    </row>
    <row r="419" spans="6:28" x14ac:dyDescent="0.25">
      <c r="F419" s="13">
        <v>417</v>
      </c>
      <c r="G419" s="13">
        <f t="shared" si="120"/>
        <v>61.7</v>
      </c>
      <c r="H419" s="13">
        <f t="shared" si="121"/>
        <v>334.84999999999997</v>
      </c>
      <c r="I419" s="14">
        <f t="shared" si="122"/>
        <v>3.4750000000000001</v>
      </c>
      <c r="J419" s="14">
        <f t="shared" si="123"/>
        <v>2342.719685</v>
      </c>
      <c r="K419" s="14">
        <f t="shared" si="124"/>
        <v>1.3627196850000001</v>
      </c>
      <c r="L419" s="14">
        <f t="shared" si="125"/>
        <v>1260.0624849999999</v>
      </c>
      <c r="M419" s="14">
        <v>1252.04</v>
      </c>
      <c r="N419" s="13">
        <f t="shared" si="126"/>
        <v>1.2600624850000002</v>
      </c>
      <c r="O419" s="13">
        <f t="shared" si="127"/>
        <v>1.2770699999999999</v>
      </c>
      <c r="P419" s="13">
        <f t="shared" si="128"/>
        <v>1.7007514999999751E-2</v>
      </c>
      <c r="Q419" s="16">
        <f t="shared" si="129"/>
        <v>1.331760592606494E-2</v>
      </c>
      <c r="R419" s="14">
        <f t="shared" ca="1" si="130"/>
        <v>4.5953784985422743</v>
      </c>
      <c r="S419" s="14">
        <f t="shared" si="131"/>
        <v>4.7100538709677418</v>
      </c>
      <c r="T419" s="14">
        <f t="shared" ca="1" si="132"/>
        <v>0.11467537242546744</v>
      </c>
      <c r="U419" s="16">
        <f t="shared" ca="1" si="133"/>
        <v>2.4346934359352857E-2</v>
      </c>
      <c r="V419" s="14">
        <f t="shared" si="134"/>
        <v>3.4749999999999996</v>
      </c>
      <c r="W419" s="14">
        <f t="shared" ca="1" si="135"/>
        <v>3.4046215014577257</v>
      </c>
      <c r="X419" s="14">
        <f t="shared" ca="1" si="136"/>
        <v>7.037849854227396E-2</v>
      </c>
      <c r="Y419" s="28">
        <f t="shared" ca="1" si="137"/>
        <v>2.0252805335906177E-2</v>
      </c>
      <c r="Z419" s="29">
        <f t="shared" ca="1" si="138"/>
        <v>60.855457999999999</v>
      </c>
      <c r="AA419" s="16">
        <f t="shared" ca="1" si="139"/>
        <v>1.3687876823338802E-2</v>
      </c>
      <c r="AB419" s="2"/>
    </row>
    <row r="420" spans="6:28" x14ac:dyDescent="0.25">
      <c r="F420" s="13">
        <v>418</v>
      </c>
      <c r="G420" s="13">
        <f t="shared" si="120"/>
        <v>61.800000000000004</v>
      </c>
      <c r="H420" s="13">
        <f t="shared" si="121"/>
        <v>334.95</v>
      </c>
      <c r="I420" s="14">
        <f t="shared" si="122"/>
        <v>3.483333</v>
      </c>
      <c r="J420" s="14">
        <f t="shared" si="123"/>
        <v>2334.372648</v>
      </c>
      <c r="K420" s="14">
        <f t="shared" si="124"/>
        <v>1.354372648</v>
      </c>
      <c r="L420" s="14">
        <f t="shared" si="125"/>
        <v>1257.6845029999999</v>
      </c>
      <c r="M420" s="14">
        <v>1249.8</v>
      </c>
      <c r="N420" s="13">
        <f t="shared" si="126"/>
        <v>1.2576845030000001</v>
      </c>
      <c r="O420" s="13">
        <f t="shared" si="127"/>
        <v>1.2747799999999998</v>
      </c>
      <c r="P420" s="13">
        <f t="shared" si="128"/>
        <v>1.7095496999999682E-2</v>
      </c>
      <c r="Q420" s="16">
        <f t="shared" si="129"/>
        <v>1.3410546917899311E-2</v>
      </c>
      <c r="R420" s="14">
        <f t="shared" ca="1" si="130"/>
        <v>4.5874752274052488</v>
      </c>
      <c r="S420" s="14">
        <f t="shared" si="131"/>
        <v>4.7016079569892462</v>
      </c>
      <c r="T420" s="14">
        <f t="shared" ca="1" si="132"/>
        <v>0.11413272958399734</v>
      </c>
      <c r="U420" s="16">
        <f t="shared" ca="1" si="133"/>
        <v>2.4275254472107061E-2</v>
      </c>
      <c r="V420" s="14">
        <f t="shared" si="134"/>
        <v>3.4833333333333343</v>
      </c>
      <c r="W420" s="14">
        <f t="shared" ca="1" si="135"/>
        <v>3.4125247725947512</v>
      </c>
      <c r="X420" s="14">
        <f t="shared" ca="1" si="136"/>
        <v>7.0808560738583104E-2</v>
      </c>
      <c r="Y420" s="28">
        <f t="shared" ca="1" si="137"/>
        <v>2.0327816479976005E-2</v>
      </c>
      <c r="Z420" s="29">
        <f t="shared" ca="1" si="138"/>
        <v>60.950296999999999</v>
      </c>
      <c r="AA420" s="16">
        <f t="shared" ca="1" si="139"/>
        <v>1.3749239482200731E-2</v>
      </c>
      <c r="AB420" s="2"/>
    </row>
    <row r="421" spans="6:28" x14ac:dyDescent="0.25">
      <c r="F421" s="13">
        <v>419</v>
      </c>
      <c r="G421" s="13">
        <f t="shared" si="120"/>
        <v>61.900000000000006</v>
      </c>
      <c r="H421" s="13">
        <f t="shared" si="121"/>
        <v>335.04999999999995</v>
      </c>
      <c r="I421" s="14">
        <f t="shared" si="122"/>
        <v>3.4916670000000001</v>
      </c>
      <c r="J421" s="14">
        <f t="shared" si="123"/>
        <v>2326.059757</v>
      </c>
      <c r="K421" s="14">
        <f t="shared" si="124"/>
        <v>1.3460597569999999</v>
      </c>
      <c r="L421" s="14">
        <f t="shared" si="125"/>
        <v>1255.3084289999999</v>
      </c>
      <c r="M421" s="14">
        <v>1247.27</v>
      </c>
      <c r="N421" s="13">
        <f t="shared" si="126"/>
        <v>1.2553084290000001</v>
      </c>
      <c r="O421" s="13">
        <f t="shared" si="127"/>
        <v>1.2724899999999999</v>
      </c>
      <c r="P421" s="13">
        <f t="shared" si="128"/>
        <v>1.718157099999984E-2</v>
      </c>
      <c r="Q421" s="16">
        <f t="shared" si="129"/>
        <v>1.3502323004502858E-2</v>
      </c>
      <c r="R421" s="14">
        <f t="shared" ca="1" si="130"/>
        <v>4.5784336355685129</v>
      </c>
      <c r="S421" s="14">
        <f t="shared" si="131"/>
        <v>4.6931620430107523</v>
      </c>
      <c r="T421" s="14">
        <f t="shared" ca="1" si="132"/>
        <v>0.11472840744223944</v>
      </c>
      <c r="U421" s="16">
        <f t="shared" ca="1" si="133"/>
        <v>2.4445865365568968E-2</v>
      </c>
      <c r="V421" s="14">
        <f t="shared" si="134"/>
        <v>3.4916666666666663</v>
      </c>
      <c r="W421" s="14">
        <f t="shared" ca="1" si="135"/>
        <v>3.4215663644314871</v>
      </c>
      <c r="X421" s="14">
        <f t="shared" ca="1" si="136"/>
        <v>7.0100302235179157E-2</v>
      </c>
      <c r="Y421" s="28">
        <f t="shared" ca="1" si="137"/>
        <v>2.0076458874036994E-2</v>
      </c>
      <c r="Z421" s="29">
        <f t="shared" ca="1" si="138"/>
        <v>61.058796000000001</v>
      </c>
      <c r="AA421" s="16">
        <f t="shared" ca="1" si="139"/>
        <v>1.3589725363489574E-2</v>
      </c>
      <c r="AB421" s="2"/>
    </row>
    <row r="422" spans="6:28" x14ac:dyDescent="0.25">
      <c r="F422" s="13">
        <v>420</v>
      </c>
      <c r="G422" s="13">
        <f t="shared" si="120"/>
        <v>62</v>
      </c>
      <c r="H422" s="13">
        <f t="shared" si="121"/>
        <v>335.15</v>
      </c>
      <c r="I422" s="14">
        <f t="shared" si="122"/>
        <v>3.5</v>
      </c>
      <c r="J422" s="14">
        <f t="shared" si="123"/>
        <v>2317.7808559999999</v>
      </c>
      <c r="K422" s="14">
        <f t="shared" si="124"/>
        <v>1.3377808559999997</v>
      </c>
      <c r="L422" s="14">
        <f t="shared" si="125"/>
        <v>1252.934276</v>
      </c>
      <c r="M422" s="14">
        <v>1245.03</v>
      </c>
      <c r="N422" s="13">
        <f t="shared" si="126"/>
        <v>1.252934276</v>
      </c>
      <c r="O422" s="13">
        <f t="shared" si="127"/>
        <v>1.2702</v>
      </c>
      <c r="P422" s="13">
        <f t="shared" si="128"/>
        <v>1.7265724000000038E-2</v>
      </c>
      <c r="Q422" s="16">
        <f t="shared" si="129"/>
        <v>1.3592917650763689E-2</v>
      </c>
      <c r="R422" s="14">
        <f t="shared" ca="1" si="130"/>
        <v>4.5701707725947509</v>
      </c>
      <c r="S422" s="14">
        <f t="shared" si="131"/>
        <v>4.6847161290322576</v>
      </c>
      <c r="T422" s="14">
        <f t="shared" ca="1" si="132"/>
        <v>0.11454535643750674</v>
      </c>
      <c r="U422" s="16">
        <f t="shared" ca="1" si="133"/>
        <v>2.4450863890694029E-2</v>
      </c>
      <c r="V422" s="14">
        <f t="shared" si="134"/>
        <v>3.5</v>
      </c>
      <c r="W422" s="14">
        <f t="shared" ca="1" si="135"/>
        <v>3.4298292274052491</v>
      </c>
      <c r="X422" s="14">
        <f t="shared" ca="1" si="136"/>
        <v>7.0170772594750908E-2</v>
      </c>
      <c r="Y422" s="28">
        <f t="shared" ca="1" si="137"/>
        <v>2.0048792169928831E-2</v>
      </c>
      <c r="Z422" s="29">
        <f t="shared" ca="1" si="138"/>
        <v>61.157950999999997</v>
      </c>
      <c r="AA422" s="16">
        <f t="shared" ca="1" si="139"/>
        <v>1.3581435483871016E-2</v>
      </c>
      <c r="AB422" s="2"/>
    </row>
    <row r="423" spans="6:28" x14ac:dyDescent="0.25">
      <c r="F423" s="13">
        <v>421</v>
      </c>
      <c r="G423" s="13">
        <f t="shared" si="120"/>
        <v>62.1</v>
      </c>
      <c r="H423" s="13">
        <f t="shared" si="121"/>
        <v>335.25</v>
      </c>
      <c r="I423" s="14">
        <f t="shared" si="122"/>
        <v>3.5083329999999999</v>
      </c>
      <c r="J423" s="14">
        <f t="shared" si="123"/>
        <v>2309.5357899999999</v>
      </c>
      <c r="K423" s="14">
        <f t="shared" si="124"/>
        <v>1.32953579</v>
      </c>
      <c r="L423" s="14">
        <f t="shared" si="125"/>
        <v>1250.5620590000001</v>
      </c>
      <c r="M423" s="14">
        <v>1242.49</v>
      </c>
      <c r="N423" s="13">
        <f t="shared" si="126"/>
        <v>1.2505620590000002</v>
      </c>
      <c r="O423" s="13">
        <f t="shared" si="127"/>
        <v>1.2679099999999999</v>
      </c>
      <c r="P423" s="13">
        <f t="shared" si="128"/>
        <v>1.73479409999997E-2</v>
      </c>
      <c r="Q423" s="16">
        <f t="shared" si="129"/>
        <v>1.3682312624712875E-2</v>
      </c>
      <c r="R423" s="14">
        <f t="shared" ca="1" si="130"/>
        <v>4.5615177725947511</v>
      </c>
      <c r="S423" s="14">
        <f t="shared" si="131"/>
        <v>4.6762702150537629</v>
      </c>
      <c r="T423" s="14">
        <f t="shared" ca="1" si="132"/>
        <v>0.11475244245901184</v>
      </c>
      <c r="U423" s="16">
        <f t="shared" ca="1" si="133"/>
        <v>2.4539309574028226E-2</v>
      </c>
      <c r="V423" s="14">
        <f t="shared" si="134"/>
        <v>3.5083333333333329</v>
      </c>
      <c r="W423" s="14">
        <f t="shared" ca="1" si="135"/>
        <v>3.4384822274052489</v>
      </c>
      <c r="X423" s="14">
        <f t="shared" ca="1" si="136"/>
        <v>6.9851105928083967E-2</v>
      </c>
      <c r="Y423" s="28">
        <f t="shared" ca="1" si="137"/>
        <v>1.9910053946247213E-2</v>
      </c>
      <c r="Z423" s="29">
        <f t="shared" ca="1" si="138"/>
        <v>61.261786999999998</v>
      </c>
      <c r="AA423" s="16">
        <f t="shared" ca="1" si="139"/>
        <v>1.3497793880837411E-2</v>
      </c>
      <c r="AB423" s="2"/>
    </row>
    <row r="424" spans="6:28" x14ac:dyDescent="0.25">
      <c r="F424" s="13">
        <v>422</v>
      </c>
      <c r="G424" s="13">
        <f t="shared" si="120"/>
        <v>62.2</v>
      </c>
      <c r="H424" s="13">
        <f t="shared" si="121"/>
        <v>335.34999999999997</v>
      </c>
      <c r="I424" s="14">
        <f t="shared" si="122"/>
        <v>3.516667</v>
      </c>
      <c r="J424" s="14">
        <f t="shared" si="123"/>
        <v>2301.324404</v>
      </c>
      <c r="K424" s="14">
        <f t="shared" si="124"/>
        <v>1.3213244039999998</v>
      </c>
      <c r="L424" s="14">
        <f t="shared" si="125"/>
        <v>1248.191789</v>
      </c>
      <c r="M424" s="14">
        <v>1240.24</v>
      </c>
      <c r="N424" s="13">
        <f t="shared" si="126"/>
        <v>1.2481917889999998</v>
      </c>
      <c r="O424" s="13">
        <f t="shared" si="127"/>
        <v>1.26562</v>
      </c>
      <c r="P424" s="13">
        <f t="shared" si="128"/>
        <v>1.7428211000000138E-2</v>
      </c>
      <c r="Q424" s="16">
        <f t="shared" si="129"/>
        <v>1.3770492722934324E-2</v>
      </c>
      <c r="R424" s="14">
        <f t="shared" ca="1" si="130"/>
        <v>4.5528717725947514</v>
      </c>
      <c r="S424" s="14">
        <f t="shared" si="131"/>
        <v>4.6678243010752682</v>
      </c>
      <c r="T424" s="14">
        <f t="shared" ca="1" si="132"/>
        <v>0.11495252848051685</v>
      </c>
      <c r="U424" s="16">
        <f t="shared" ca="1" si="133"/>
        <v>2.4626575694812823E-2</v>
      </c>
      <c r="V424" s="14">
        <f t="shared" si="134"/>
        <v>3.5166666666666666</v>
      </c>
      <c r="W424" s="14">
        <f t="shared" ca="1" si="135"/>
        <v>3.4471282274052486</v>
      </c>
      <c r="X424" s="14">
        <f t="shared" ca="1" si="136"/>
        <v>6.9538439261418006E-2</v>
      </c>
      <c r="Y424" s="28">
        <f t="shared" ca="1" si="137"/>
        <v>1.9773963771019337E-2</v>
      </c>
      <c r="Z424" s="29">
        <f t="shared" ca="1" si="138"/>
        <v>61.365538999999998</v>
      </c>
      <c r="AA424" s="16">
        <f t="shared" ca="1" si="139"/>
        <v>1.3415771704180138E-2</v>
      </c>
      <c r="AB424" s="2"/>
    </row>
    <row r="425" spans="6:28" x14ac:dyDescent="0.25">
      <c r="F425" s="13">
        <v>423</v>
      </c>
      <c r="G425" s="13">
        <f t="shared" si="120"/>
        <v>62.300000000000004</v>
      </c>
      <c r="H425" s="13">
        <f t="shared" si="121"/>
        <v>335.45</v>
      </c>
      <c r="I425" s="14">
        <f t="shared" si="122"/>
        <v>3.5249999999999999</v>
      </c>
      <c r="J425" s="14">
        <f t="shared" si="123"/>
        <v>2293.1465429999998</v>
      </c>
      <c r="K425" s="14">
        <f t="shared" si="124"/>
        <v>1.3131465429999998</v>
      </c>
      <c r="L425" s="14">
        <f t="shared" si="125"/>
        <v>1245.8234789999999</v>
      </c>
      <c r="M425" s="14">
        <v>1237.7</v>
      </c>
      <c r="N425" s="13">
        <f t="shared" si="126"/>
        <v>1.2458234789999998</v>
      </c>
      <c r="O425" s="13">
        <f t="shared" si="127"/>
        <v>1.2633299999999998</v>
      </c>
      <c r="P425" s="13">
        <f t="shared" si="128"/>
        <v>1.7506521000000053E-2</v>
      </c>
      <c r="Q425" s="16">
        <f t="shared" si="129"/>
        <v>1.3857441048657163E-2</v>
      </c>
      <c r="R425" s="14">
        <f t="shared" ca="1" si="130"/>
        <v>4.5442327725947518</v>
      </c>
      <c r="S425" s="14">
        <f t="shared" si="131"/>
        <v>4.6593783870967735</v>
      </c>
      <c r="T425" s="14">
        <f t="shared" ca="1" si="132"/>
        <v>0.11514561450202176</v>
      </c>
      <c r="U425" s="16">
        <f t="shared" ca="1" si="133"/>
        <v>2.4712655838575969E-2</v>
      </c>
      <c r="V425" s="14">
        <f t="shared" si="134"/>
        <v>3.5250000000000004</v>
      </c>
      <c r="W425" s="14">
        <f t="shared" ca="1" si="135"/>
        <v>3.4557672274052482</v>
      </c>
      <c r="X425" s="14">
        <f t="shared" ca="1" si="136"/>
        <v>6.9232772594752134E-2</v>
      </c>
      <c r="Y425" s="28">
        <f t="shared" ca="1" si="137"/>
        <v>1.9640502863759467E-2</v>
      </c>
      <c r="Z425" s="29">
        <f t="shared" ca="1" si="138"/>
        <v>61.469206999999997</v>
      </c>
      <c r="AA425" s="16">
        <f t="shared" ca="1" si="139"/>
        <v>1.3335361155698345E-2</v>
      </c>
      <c r="AB425" s="2"/>
    </row>
    <row r="426" spans="6:28" x14ac:dyDescent="0.25">
      <c r="F426" s="13">
        <v>424</v>
      </c>
      <c r="G426" s="13">
        <f t="shared" si="120"/>
        <v>62.400000000000006</v>
      </c>
      <c r="H426" s="13">
        <f t="shared" si="121"/>
        <v>335.54999999999995</v>
      </c>
      <c r="I426" s="14">
        <f t="shared" si="122"/>
        <v>3.5333329999999998</v>
      </c>
      <c r="J426" s="14">
        <f t="shared" si="123"/>
        <v>2285.0020549999999</v>
      </c>
      <c r="K426" s="14">
        <f t="shared" si="124"/>
        <v>1.3050020550000001</v>
      </c>
      <c r="L426" s="14">
        <f t="shared" si="125"/>
        <v>1243.4571410000001</v>
      </c>
      <c r="M426" s="14">
        <v>1235.44</v>
      </c>
      <c r="N426" s="13">
        <f t="shared" si="126"/>
        <v>1.2434571410000002</v>
      </c>
      <c r="O426" s="13">
        <f t="shared" si="127"/>
        <v>1.2610399999999997</v>
      </c>
      <c r="P426" s="13">
        <f t="shared" si="128"/>
        <v>1.7582858999999562E-2</v>
      </c>
      <c r="Q426" s="16">
        <f t="shared" si="129"/>
        <v>1.3943141375372364E-2</v>
      </c>
      <c r="R426" s="14">
        <f t="shared" ca="1" si="130"/>
        <v>4.5352056355685129</v>
      </c>
      <c r="S426" s="14">
        <f t="shared" si="131"/>
        <v>4.650932473118278</v>
      </c>
      <c r="T426" s="14">
        <f t="shared" ca="1" si="132"/>
        <v>0.11572683754976509</v>
      </c>
      <c r="U426" s="16">
        <f t="shared" ca="1" si="133"/>
        <v>2.4882502211900432E-2</v>
      </c>
      <c r="V426" s="14">
        <f t="shared" si="134"/>
        <v>3.5333333333333341</v>
      </c>
      <c r="W426" s="14">
        <f t="shared" ca="1" si="135"/>
        <v>3.4647943644314871</v>
      </c>
      <c r="X426" s="14">
        <f t="shared" ca="1" si="136"/>
        <v>6.8538968901846964E-2</v>
      </c>
      <c r="Y426" s="28">
        <f t="shared" ca="1" si="137"/>
        <v>1.9397821387315176E-2</v>
      </c>
      <c r="Z426" s="29">
        <f t="shared" ca="1" si="138"/>
        <v>61.577531999999998</v>
      </c>
      <c r="AA426" s="16">
        <f t="shared" ca="1" si="139"/>
        <v>1.3180576923077046E-2</v>
      </c>
      <c r="AB426" s="2"/>
    </row>
    <row r="427" spans="6:28" x14ac:dyDescent="0.25">
      <c r="F427" s="13">
        <v>425</v>
      </c>
      <c r="G427" s="13">
        <f t="shared" si="120"/>
        <v>62.5</v>
      </c>
      <c r="H427" s="13">
        <f t="shared" si="121"/>
        <v>335.65</v>
      </c>
      <c r="I427" s="14">
        <f t="shared" si="122"/>
        <v>3.5416669999999999</v>
      </c>
      <c r="J427" s="14">
        <f t="shared" si="123"/>
        <v>2276.8907859999999</v>
      </c>
      <c r="K427" s="14">
        <f t="shared" si="124"/>
        <v>1.2968907860000001</v>
      </c>
      <c r="L427" s="14">
        <f t="shared" si="125"/>
        <v>1241.092789</v>
      </c>
      <c r="M427" s="14">
        <v>1233.03</v>
      </c>
      <c r="N427" s="13">
        <f t="shared" si="126"/>
        <v>1.2410927890000001</v>
      </c>
      <c r="O427" s="13">
        <f t="shared" si="127"/>
        <v>1.25875</v>
      </c>
      <c r="P427" s="13">
        <f t="shared" si="128"/>
        <v>1.765721099999995E-2</v>
      </c>
      <c r="Q427" s="16">
        <f t="shared" si="129"/>
        <v>1.4027575769612671E-2</v>
      </c>
      <c r="R427" s="14">
        <f t="shared" ca="1" si="130"/>
        <v>4.526185498542274</v>
      </c>
      <c r="S427" s="14">
        <f t="shared" si="131"/>
        <v>4.642486559139785</v>
      </c>
      <c r="T427" s="14">
        <f t="shared" ca="1" si="132"/>
        <v>0.116301060597511</v>
      </c>
      <c r="U427" s="16">
        <f t="shared" ca="1" si="133"/>
        <v>2.5051458763740746E-2</v>
      </c>
      <c r="V427" s="14">
        <f t="shared" si="134"/>
        <v>3.5416666666666661</v>
      </c>
      <c r="W427" s="14">
        <f t="shared" ca="1" si="135"/>
        <v>3.473814501457726</v>
      </c>
      <c r="X427" s="14">
        <f t="shared" ca="1" si="136"/>
        <v>6.7852165208940107E-2</v>
      </c>
      <c r="Y427" s="28">
        <f t="shared" ca="1" si="137"/>
        <v>1.9158258411936035E-2</v>
      </c>
      <c r="Z427" s="29">
        <f t="shared" ca="1" si="138"/>
        <v>61.685774000000002</v>
      </c>
      <c r="AA427" s="16">
        <f t="shared" ca="1" si="139"/>
        <v>1.3027615999999966E-2</v>
      </c>
      <c r="AB427" s="2"/>
    </row>
    <row r="428" spans="6:28" x14ac:dyDescent="0.25">
      <c r="F428" s="13">
        <v>426</v>
      </c>
      <c r="G428" s="13">
        <f t="shared" si="120"/>
        <v>62.6</v>
      </c>
      <c r="H428" s="13">
        <f t="shared" si="121"/>
        <v>335.75</v>
      </c>
      <c r="I428" s="14">
        <f t="shared" si="122"/>
        <v>3.55</v>
      </c>
      <c r="J428" s="14">
        <f t="shared" si="123"/>
        <v>2268.8125850000001</v>
      </c>
      <c r="K428" s="14">
        <f t="shared" si="124"/>
        <v>1.2888125850000001</v>
      </c>
      <c r="L428" s="14">
        <f t="shared" si="125"/>
        <v>1238.7304340000001</v>
      </c>
      <c r="M428" s="14">
        <v>1230.76</v>
      </c>
      <c r="N428" s="13">
        <f t="shared" si="126"/>
        <v>1.238730434</v>
      </c>
      <c r="O428" s="13">
        <f t="shared" si="127"/>
        <v>1.2564599999999999</v>
      </c>
      <c r="P428" s="13">
        <f t="shared" si="128"/>
        <v>1.7729565999999863E-2</v>
      </c>
      <c r="Q428" s="16">
        <f t="shared" si="129"/>
        <v>1.4110728554828538E-2</v>
      </c>
      <c r="R428" s="14">
        <f t="shared" ca="1" si="130"/>
        <v>4.5183392274052485</v>
      </c>
      <c r="S428" s="14">
        <f t="shared" si="131"/>
        <v>4.6340406451612894</v>
      </c>
      <c r="T428" s="14">
        <f t="shared" ca="1" si="132"/>
        <v>0.11570141775604093</v>
      </c>
      <c r="U428" s="16">
        <f t="shared" ca="1" si="133"/>
        <v>2.4967717509524326E-2</v>
      </c>
      <c r="V428" s="14">
        <f t="shared" si="134"/>
        <v>3.55</v>
      </c>
      <c r="W428" s="14">
        <f t="shared" ca="1" si="135"/>
        <v>3.4816607725947515</v>
      </c>
      <c r="X428" s="14">
        <f t="shared" ca="1" si="136"/>
        <v>6.8339227405248337E-2</v>
      </c>
      <c r="Y428" s="28">
        <f t="shared" ca="1" si="137"/>
        <v>1.9250486593027701E-2</v>
      </c>
      <c r="Z428" s="29">
        <f t="shared" ca="1" si="138"/>
        <v>61.779929000000003</v>
      </c>
      <c r="AA428" s="16">
        <f t="shared" ca="1" si="139"/>
        <v>1.3100175718849819E-2</v>
      </c>
      <c r="AB428" s="2"/>
    </row>
    <row r="429" spans="6:28" x14ac:dyDescent="0.25">
      <c r="F429" s="13">
        <v>427</v>
      </c>
      <c r="G429" s="13">
        <f t="shared" si="120"/>
        <v>62.7</v>
      </c>
      <c r="H429" s="13">
        <f t="shared" si="121"/>
        <v>335.84999999999997</v>
      </c>
      <c r="I429" s="14">
        <f t="shared" si="122"/>
        <v>3.5583330000000002</v>
      </c>
      <c r="J429" s="14">
        <f t="shared" si="123"/>
        <v>2260.7673009999999</v>
      </c>
      <c r="K429" s="14">
        <f t="shared" si="124"/>
        <v>1.280767301</v>
      </c>
      <c r="L429" s="14">
        <f t="shared" si="125"/>
        <v>1236.370089</v>
      </c>
      <c r="M429" s="14">
        <v>1228.2</v>
      </c>
      <c r="N429" s="13">
        <f t="shared" si="126"/>
        <v>1.236370089</v>
      </c>
      <c r="O429" s="13">
        <f t="shared" si="127"/>
        <v>1.2541699999999998</v>
      </c>
      <c r="P429" s="13">
        <f t="shared" si="128"/>
        <v>1.779991099999978E-2</v>
      </c>
      <c r="Q429" s="16">
        <f t="shared" si="129"/>
        <v>1.4192582345295919E-2</v>
      </c>
      <c r="R429" s="14">
        <f t="shared" ca="1" si="130"/>
        <v>4.509741</v>
      </c>
      <c r="S429" s="14">
        <f t="shared" si="131"/>
        <v>4.6255947311827947</v>
      </c>
      <c r="T429" s="14">
        <f t="shared" ca="1" si="132"/>
        <v>0.11585373118279474</v>
      </c>
      <c r="U429" s="16">
        <f t="shared" ca="1" si="133"/>
        <v>2.5046234682382169E-2</v>
      </c>
      <c r="V429" s="14">
        <f t="shared" si="134"/>
        <v>3.5583333333333336</v>
      </c>
      <c r="W429" s="14">
        <f t="shared" ca="1" si="135"/>
        <v>3.490259</v>
      </c>
      <c r="X429" s="14">
        <f t="shared" ca="1" si="136"/>
        <v>6.807433333333357E-2</v>
      </c>
      <c r="Y429" s="28">
        <f t="shared" ca="1" si="137"/>
        <v>1.9130960187353694E-2</v>
      </c>
      <c r="Z429" s="29">
        <f t="shared" ca="1" si="138"/>
        <v>61.883108</v>
      </c>
      <c r="AA429" s="16">
        <f t="shared" ca="1" si="139"/>
        <v>1.3028580542264797E-2</v>
      </c>
      <c r="AB429" s="2"/>
    </row>
    <row r="430" spans="6:28" x14ac:dyDescent="0.25">
      <c r="F430" s="13">
        <v>428</v>
      </c>
      <c r="G430" s="13">
        <f t="shared" si="120"/>
        <v>62.800000000000004</v>
      </c>
      <c r="H430" s="13">
        <f t="shared" si="121"/>
        <v>335.95</v>
      </c>
      <c r="I430" s="14">
        <f t="shared" si="122"/>
        <v>3.5666669999999998</v>
      </c>
      <c r="J430" s="14">
        <f t="shared" si="123"/>
        <v>2252.7547829999999</v>
      </c>
      <c r="K430" s="14">
        <f t="shared" si="124"/>
        <v>1.2727547829999999</v>
      </c>
      <c r="L430" s="14">
        <f t="shared" si="125"/>
        <v>1234.0117660000001</v>
      </c>
      <c r="M430" s="14">
        <v>1225.93</v>
      </c>
      <c r="N430" s="13">
        <f t="shared" si="126"/>
        <v>1.2340117660000001</v>
      </c>
      <c r="O430" s="13">
        <f t="shared" si="127"/>
        <v>1.2518799999999999</v>
      </c>
      <c r="P430" s="13">
        <f t="shared" si="128"/>
        <v>1.7868233999999816E-2</v>
      </c>
      <c r="Q430" s="16">
        <f t="shared" si="129"/>
        <v>1.427312042687783E-2</v>
      </c>
      <c r="R430" s="14">
        <f t="shared" ca="1" si="130"/>
        <v>4.5007418629737614</v>
      </c>
      <c r="S430" s="14">
        <f t="shared" si="131"/>
        <v>4.6171488172043</v>
      </c>
      <c r="T430" s="14">
        <f t="shared" ca="1" si="132"/>
        <v>0.1164069542305386</v>
      </c>
      <c r="U430" s="16">
        <f t="shared" ca="1" si="133"/>
        <v>2.5211869670907296E-2</v>
      </c>
      <c r="V430" s="14">
        <f t="shared" si="134"/>
        <v>3.5666666666666673</v>
      </c>
      <c r="W430" s="14">
        <f t="shared" ca="1" si="135"/>
        <v>3.4992581370262386</v>
      </c>
      <c r="X430" s="14">
        <f t="shared" ca="1" si="136"/>
        <v>6.740852964042876E-2</v>
      </c>
      <c r="Y430" s="28">
        <f t="shared" ca="1" si="137"/>
        <v>1.8899587749652919E-2</v>
      </c>
      <c r="Z430" s="29">
        <f t="shared" ca="1" si="138"/>
        <v>61.991098000000001</v>
      </c>
      <c r="AA430" s="16">
        <f t="shared" ca="1" si="139"/>
        <v>1.2880605095541453E-2</v>
      </c>
      <c r="AB430" s="2"/>
    </row>
    <row r="431" spans="6:28" x14ac:dyDescent="0.25">
      <c r="F431" s="13">
        <v>429</v>
      </c>
      <c r="G431" s="13">
        <f t="shared" si="120"/>
        <v>62.900000000000006</v>
      </c>
      <c r="H431" s="13">
        <f t="shared" si="121"/>
        <v>336.04999999999995</v>
      </c>
      <c r="I431" s="14">
        <f t="shared" si="122"/>
        <v>3.5750000000000002</v>
      </c>
      <c r="J431" s="14">
        <f t="shared" si="123"/>
        <v>2244.774883</v>
      </c>
      <c r="K431" s="14">
        <f t="shared" si="124"/>
        <v>1.2647748830000003</v>
      </c>
      <c r="L431" s="14">
        <f t="shared" si="125"/>
        <v>1231.6554779999999</v>
      </c>
      <c r="M431" s="14">
        <v>1223.6500000000001</v>
      </c>
      <c r="N431" s="13">
        <f t="shared" si="126"/>
        <v>1.2316554779999997</v>
      </c>
      <c r="O431" s="13">
        <f t="shared" si="127"/>
        <v>1.2495899999999998</v>
      </c>
      <c r="P431" s="13">
        <f t="shared" si="128"/>
        <v>1.7934522000000008E-2</v>
      </c>
      <c r="Q431" s="16">
        <f t="shared" si="129"/>
        <v>1.435232516265336E-2</v>
      </c>
      <c r="R431" s="14">
        <f t="shared" ca="1" si="130"/>
        <v>4.492147862973761</v>
      </c>
      <c r="S431" s="14">
        <f t="shared" si="131"/>
        <v>4.6087029032258053</v>
      </c>
      <c r="T431" s="14">
        <f t="shared" ca="1" si="132"/>
        <v>0.11655504025204433</v>
      </c>
      <c r="U431" s="16">
        <f t="shared" ca="1" si="133"/>
        <v>2.5290204792863313E-2</v>
      </c>
      <c r="V431" s="14">
        <f t="shared" si="134"/>
        <v>3.5750000000000002</v>
      </c>
      <c r="W431" s="14">
        <f t="shared" ca="1" si="135"/>
        <v>3.507852137026239</v>
      </c>
      <c r="X431" s="14">
        <f t="shared" ca="1" si="136"/>
        <v>6.7147862973761185E-2</v>
      </c>
      <c r="Y431" s="28">
        <f t="shared" ca="1" si="137"/>
        <v>1.8782619013639493E-2</v>
      </c>
      <c r="Z431" s="29">
        <f t="shared" ca="1" si="138"/>
        <v>62.094225999999999</v>
      </c>
      <c r="AA431" s="16">
        <f t="shared" ca="1" si="139"/>
        <v>1.2810397456279914E-2</v>
      </c>
      <c r="AB431" s="2"/>
    </row>
    <row r="432" spans="6:28" x14ac:dyDescent="0.25">
      <c r="F432" s="13">
        <v>430</v>
      </c>
      <c r="G432" s="13">
        <f t="shared" si="120"/>
        <v>63</v>
      </c>
      <c r="H432" s="13">
        <f t="shared" si="121"/>
        <v>336.15</v>
      </c>
      <c r="I432" s="14">
        <f t="shared" si="122"/>
        <v>3.5833330000000001</v>
      </c>
      <c r="J432" s="14">
        <f t="shared" si="123"/>
        <v>2236.8274510000001</v>
      </c>
      <c r="K432" s="14">
        <f t="shared" si="124"/>
        <v>1.2568274510000004</v>
      </c>
      <c r="L432" s="14">
        <f t="shared" si="125"/>
        <v>1229.3012369999999</v>
      </c>
      <c r="M432" s="14">
        <v>1221.3699999999999</v>
      </c>
      <c r="N432" s="13">
        <f t="shared" si="126"/>
        <v>1.2293012369999998</v>
      </c>
      <c r="O432" s="13">
        <f t="shared" si="127"/>
        <v>1.2472999999999999</v>
      </c>
      <c r="P432" s="13">
        <f t="shared" si="128"/>
        <v>1.7998763000000029E-2</v>
      </c>
      <c r="Q432" s="16">
        <f t="shared" si="129"/>
        <v>1.443017958790991E-2</v>
      </c>
      <c r="R432" s="14">
        <f t="shared" ca="1" si="130"/>
        <v>4.4839560000000001</v>
      </c>
      <c r="S432" s="14">
        <f t="shared" si="131"/>
        <v>4.6002569892473106</v>
      </c>
      <c r="T432" s="14">
        <f t="shared" ca="1" si="132"/>
        <v>0.11630098924731058</v>
      </c>
      <c r="U432" s="16">
        <f t="shared" ca="1" si="133"/>
        <v>2.5281411347051641E-2</v>
      </c>
      <c r="V432" s="14">
        <f t="shared" si="134"/>
        <v>3.5833333333333339</v>
      </c>
      <c r="W432" s="14">
        <f t="shared" ca="1" si="135"/>
        <v>3.5160439999999999</v>
      </c>
      <c r="X432" s="14">
        <f t="shared" ca="1" si="136"/>
        <v>6.7289333333333978E-2</v>
      </c>
      <c r="Y432" s="28">
        <f t="shared" ca="1" si="137"/>
        <v>1.8778418604651341E-2</v>
      </c>
      <c r="Z432" s="29">
        <f t="shared" ca="1" si="138"/>
        <v>62.192528000000003</v>
      </c>
      <c r="AA432" s="16">
        <f t="shared" ca="1" si="139"/>
        <v>1.2817015873015827E-2</v>
      </c>
      <c r="AB432" s="2"/>
    </row>
    <row r="433" spans="6:28" x14ac:dyDescent="0.25">
      <c r="F433" s="13">
        <v>431</v>
      </c>
      <c r="G433" s="13">
        <f t="shared" si="120"/>
        <v>63.1</v>
      </c>
      <c r="H433" s="13">
        <f t="shared" si="121"/>
        <v>336.25</v>
      </c>
      <c r="I433" s="14">
        <f t="shared" si="122"/>
        <v>3.5916670000000002</v>
      </c>
      <c r="J433" s="14">
        <f t="shared" si="123"/>
        <v>2228.9123399999999</v>
      </c>
      <c r="K433" s="14">
        <f t="shared" si="124"/>
        <v>1.24891234</v>
      </c>
      <c r="L433" s="14">
        <f t="shared" si="125"/>
        <v>1226.949055</v>
      </c>
      <c r="M433" s="14">
        <v>1218.8</v>
      </c>
      <c r="N433" s="13">
        <f t="shared" si="126"/>
        <v>1.2269490550000002</v>
      </c>
      <c r="O433" s="13">
        <f t="shared" si="127"/>
        <v>1.24501</v>
      </c>
      <c r="P433" s="13">
        <f t="shared" si="128"/>
        <v>1.8060944999999773E-2</v>
      </c>
      <c r="Q433" s="16">
        <f t="shared" si="129"/>
        <v>1.4506666613119392E-2</v>
      </c>
      <c r="R433" s="14">
        <f t="shared" ca="1" si="130"/>
        <v>4.4749808629737613</v>
      </c>
      <c r="S433" s="14">
        <f t="shared" si="131"/>
        <v>4.5918110752688168</v>
      </c>
      <c r="T433" s="14">
        <f t="shared" ca="1" si="132"/>
        <v>0.11683021229505552</v>
      </c>
      <c r="U433" s="16">
        <f t="shared" ca="1" si="133"/>
        <v>2.5443166188673382E-2</v>
      </c>
      <c r="V433" s="14">
        <f t="shared" si="134"/>
        <v>3.5916666666666668</v>
      </c>
      <c r="W433" s="14">
        <f t="shared" ca="1" si="135"/>
        <v>3.5250191370262387</v>
      </c>
      <c r="X433" s="14">
        <f t="shared" ca="1" si="136"/>
        <v>6.6647529640428083E-2</v>
      </c>
      <c r="Y433" s="28">
        <f t="shared" ca="1" si="137"/>
        <v>1.8556156744434733E-2</v>
      </c>
      <c r="Z433" s="29">
        <f t="shared" ca="1" si="138"/>
        <v>62.300229999999999</v>
      </c>
      <c r="AA433" s="16">
        <f t="shared" ca="1" si="139"/>
        <v>1.2674643423137913E-2</v>
      </c>
      <c r="AB433" s="2"/>
    </row>
    <row r="434" spans="6:28" x14ac:dyDescent="0.25">
      <c r="F434" s="13">
        <v>432</v>
      </c>
      <c r="G434" s="13">
        <f t="shared" si="120"/>
        <v>63.2</v>
      </c>
      <c r="H434" s="13">
        <f t="shared" si="121"/>
        <v>336.34999999999997</v>
      </c>
      <c r="I434" s="14">
        <f t="shared" si="122"/>
        <v>3.6</v>
      </c>
      <c r="J434" s="14">
        <f t="shared" si="123"/>
        <v>2221.0294020000001</v>
      </c>
      <c r="K434" s="14">
        <f t="shared" si="124"/>
        <v>1.2410294020000001</v>
      </c>
      <c r="L434" s="14">
        <f t="shared" si="125"/>
        <v>1224.598943</v>
      </c>
      <c r="M434" s="14">
        <v>1216.3699999999999</v>
      </c>
      <c r="N434" s="13">
        <f t="shared" si="126"/>
        <v>1.2245989430000002</v>
      </c>
      <c r="O434" s="13">
        <f t="shared" si="127"/>
        <v>1.2427199999999998</v>
      </c>
      <c r="P434" s="13">
        <f t="shared" si="128"/>
        <v>1.8121056999999663E-2</v>
      </c>
      <c r="Q434" s="16">
        <f t="shared" si="129"/>
        <v>1.4581769827474946E-2</v>
      </c>
      <c r="R434" s="14">
        <f t="shared" ca="1" si="130"/>
        <v>4.4672011370262386</v>
      </c>
      <c r="S434" s="14">
        <f t="shared" si="131"/>
        <v>4.5833651612903221</v>
      </c>
      <c r="T434" s="14">
        <f t="shared" ca="1" si="132"/>
        <v>0.11616402426408357</v>
      </c>
      <c r="U434" s="16">
        <f t="shared" ca="1" si="133"/>
        <v>2.5344702020508602E-2</v>
      </c>
      <c r="V434" s="14">
        <f t="shared" si="134"/>
        <v>3.5999999999999996</v>
      </c>
      <c r="W434" s="14">
        <f t="shared" ca="1" si="135"/>
        <v>3.5327988629737614</v>
      </c>
      <c r="X434" s="14">
        <f t="shared" ca="1" si="136"/>
        <v>6.72011370262382E-2</v>
      </c>
      <c r="Y434" s="28">
        <f t="shared" ca="1" si="137"/>
        <v>1.866698250728839E-2</v>
      </c>
      <c r="Z434" s="29">
        <f t="shared" ca="1" si="138"/>
        <v>62.393585999999999</v>
      </c>
      <c r="AA434" s="16">
        <f t="shared" ca="1" si="139"/>
        <v>1.2759715189873476E-2</v>
      </c>
      <c r="AB434" s="2"/>
    </row>
    <row r="435" spans="6:28" x14ac:dyDescent="0.25">
      <c r="F435" s="13">
        <v>433</v>
      </c>
      <c r="G435" s="13">
        <f t="shared" si="120"/>
        <v>63.300000000000004</v>
      </c>
      <c r="H435" s="13">
        <f t="shared" si="121"/>
        <v>336.45</v>
      </c>
      <c r="I435" s="14">
        <f t="shared" si="122"/>
        <v>3.608333</v>
      </c>
      <c r="J435" s="14">
        <f t="shared" si="123"/>
        <v>2213.1784910000001</v>
      </c>
      <c r="K435" s="14">
        <f t="shared" si="124"/>
        <v>1.2331784910000003</v>
      </c>
      <c r="L435" s="14">
        <f t="shared" si="125"/>
        <v>1222.2509150000001</v>
      </c>
      <c r="M435" s="14">
        <v>1214.07</v>
      </c>
      <c r="N435" s="13">
        <f t="shared" si="126"/>
        <v>1.222250915</v>
      </c>
      <c r="O435" s="13">
        <f t="shared" si="127"/>
        <v>1.2404299999999999</v>
      </c>
      <c r="P435" s="13">
        <f t="shared" si="128"/>
        <v>1.8179084999999873E-2</v>
      </c>
      <c r="Q435" s="16">
        <f t="shared" si="129"/>
        <v>1.4655470280467155E-2</v>
      </c>
      <c r="R435" s="14">
        <f t="shared" ca="1" si="130"/>
        <v>4.4578438629737613</v>
      </c>
      <c r="S435" s="14">
        <f t="shared" si="131"/>
        <v>4.5749192473118274</v>
      </c>
      <c r="T435" s="14">
        <f t="shared" ca="1" si="132"/>
        <v>0.11707538433806608</v>
      </c>
      <c r="U435" s="16">
        <f t="shared" ca="1" si="133"/>
        <v>2.5590699640623885E-2</v>
      </c>
      <c r="V435" s="14">
        <f t="shared" si="134"/>
        <v>3.6083333333333334</v>
      </c>
      <c r="W435" s="14">
        <f t="shared" ca="1" si="135"/>
        <v>3.5421561370262387</v>
      </c>
      <c r="X435" s="14">
        <f t="shared" ca="1" si="136"/>
        <v>6.6177196307094732E-2</v>
      </c>
      <c r="Y435" s="28">
        <f t="shared" ca="1" si="137"/>
        <v>1.8340100593190224E-2</v>
      </c>
      <c r="Z435" s="29">
        <f t="shared" ca="1" si="138"/>
        <v>62.505873999999999</v>
      </c>
      <c r="AA435" s="16">
        <f t="shared" ca="1" si="139"/>
        <v>1.2545434439178604E-2</v>
      </c>
      <c r="AB435" s="2"/>
    </row>
    <row r="436" spans="6:28" x14ac:dyDescent="0.25">
      <c r="F436" s="13">
        <v>434</v>
      </c>
      <c r="G436" s="13">
        <f t="shared" si="120"/>
        <v>63.400000000000006</v>
      </c>
      <c r="H436" s="13">
        <f t="shared" si="121"/>
        <v>336.54999999999995</v>
      </c>
      <c r="I436" s="14">
        <f t="shared" si="122"/>
        <v>3.6166670000000001</v>
      </c>
      <c r="J436" s="14">
        <f t="shared" si="123"/>
        <v>2205.3594600000001</v>
      </c>
      <c r="K436" s="14">
        <f t="shared" si="124"/>
        <v>1.22535946</v>
      </c>
      <c r="L436" s="14">
        <f t="shared" si="125"/>
        <v>1219.904982</v>
      </c>
      <c r="M436" s="14">
        <v>1211.78</v>
      </c>
      <c r="N436" s="13">
        <f t="shared" si="126"/>
        <v>1.2199049820000001</v>
      </c>
      <c r="O436" s="13">
        <f t="shared" si="127"/>
        <v>1.2381399999999998</v>
      </c>
      <c r="P436" s="13">
        <f t="shared" si="128"/>
        <v>1.8235017999999714E-2</v>
      </c>
      <c r="Q436" s="16">
        <f t="shared" si="129"/>
        <v>1.472775130437569E-2</v>
      </c>
      <c r="R436" s="14">
        <f t="shared" ca="1" si="130"/>
        <v>4.4504645014577262</v>
      </c>
      <c r="S436" s="14">
        <f t="shared" si="131"/>
        <v>4.5664733333333327</v>
      </c>
      <c r="T436" s="14">
        <f t="shared" ca="1" si="132"/>
        <v>0.11600883187560651</v>
      </c>
      <c r="U436" s="16">
        <f t="shared" ca="1" si="133"/>
        <v>2.5404469359054587E-2</v>
      </c>
      <c r="V436" s="14">
        <f t="shared" si="134"/>
        <v>3.6166666666666663</v>
      </c>
      <c r="W436" s="14">
        <f t="shared" ca="1" si="135"/>
        <v>3.5495354985422738</v>
      </c>
      <c r="X436" s="14">
        <f t="shared" ca="1" si="136"/>
        <v>6.713116812439246E-2</v>
      </c>
      <c r="Y436" s="28">
        <f t="shared" ca="1" si="137"/>
        <v>1.8561613306283632E-2</v>
      </c>
      <c r="Z436" s="29">
        <f t="shared" ca="1" si="138"/>
        <v>62.594425999999999</v>
      </c>
      <c r="AA436" s="16">
        <f t="shared" ca="1" si="139"/>
        <v>1.2706214511041121E-2</v>
      </c>
      <c r="AB436" s="2"/>
    </row>
    <row r="437" spans="6:28" x14ac:dyDescent="0.25">
      <c r="F437" s="13">
        <v>435</v>
      </c>
      <c r="G437" s="13">
        <f t="shared" si="120"/>
        <v>63.5</v>
      </c>
      <c r="H437" s="13">
        <f t="shared" si="121"/>
        <v>336.65</v>
      </c>
      <c r="I437" s="14">
        <f t="shared" si="122"/>
        <v>3.625</v>
      </c>
      <c r="J437" s="14">
        <f t="shared" si="123"/>
        <v>2197.5721659999999</v>
      </c>
      <c r="K437" s="14">
        <f t="shared" si="124"/>
        <v>1.2175721660000001</v>
      </c>
      <c r="L437" s="14">
        <f t="shared" si="125"/>
        <v>1217.5611550000001</v>
      </c>
      <c r="M437" s="14">
        <v>1209.48</v>
      </c>
      <c r="N437" s="13">
        <f t="shared" si="126"/>
        <v>1.2175611550000001</v>
      </c>
      <c r="O437" s="13">
        <f t="shared" si="127"/>
        <v>1.2358499999999999</v>
      </c>
      <c r="P437" s="13">
        <f t="shared" si="128"/>
        <v>1.8288844999999831E-2</v>
      </c>
      <c r="Q437" s="16">
        <f t="shared" si="129"/>
        <v>1.4798596107941767E-2</v>
      </c>
      <c r="R437" s="14">
        <f t="shared" ca="1" si="130"/>
        <v>4.4411447725947513</v>
      </c>
      <c r="S437" s="14">
        <f t="shared" si="131"/>
        <v>4.558027419354838</v>
      </c>
      <c r="T437" s="14">
        <f t="shared" ca="1" si="132"/>
        <v>0.11688264676008675</v>
      </c>
      <c r="U437" s="16">
        <f t="shared" ca="1" si="133"/>
        <v>2.564325222436481E-2</v>
      </c>
      <c r="V437" s="14">
        <f t="shared" si="134"/>
        <v>3.625</v>
      </c>
      <c r="W437" s="14">
        <f t="shared" ca="1" si="135"/>
        <v>3.5588552274052487</v>
      </c>
      <c r="X437" s="14">
        <f t="shared" ca="1" si="136"/>
        <v>6.6144772594751267E-2</v>
      </c>
      <c r="Y437" s="28">
        <f t="shared" ca="1" si="137"/>
        <v>1.8246833819241727E-2</v>
      </c>
      <c r="Z437" s="29">
        <f t="shared" ca="1" si="138"/>
        <v>62.706263</v>
      </c>
      <c r="AA437" s="16">
        <f t="shared" ca="1" si="139"/>
        <v>1.2499795275590553E-2</v>
      </c>
      <c r="AB437" s="2"/>
    </row>
    <row r="438" spans="6:28" x14ac:dyDescent="0.25">
      <c r="F438" s="13">
        <v>436</v>
      </c>
      <c r="G438" s="13">
        <f t="shared" si="120"/>
        <v>63.6</v>
      </c>
      <c r="H438" s="13">
        <f t="shared" si="121"/>
        <v>336.75</v>
      </c>
      <c r="I438" s="14">
        <f t="shared" si="122"/>
        <v>3.6333329999999999</v>
      </c>
      <c r="J438" s="14">
        <f t="shared" si="123"/>
        <v>2189.8164630000001</v>
      </c>
      <c r="K438" s="14">
        <f t="shared" si="124"/>
        <v>1.2098164630000001</v>
      </c>
      <c r="L438" s="14">
        <f t="shared" si="125"/>
        <v>1215.2194480000001</v>
      </c>
      <c r="M438" s="14">
        <v>1207.17</v>
      </c>
      <c r="N438" s="13">
        <f t="shared" si="126"/>
        <v>1.2152194480000003</v>
      </c>
      <c r="O438" s="13">
        <f t="shared" si="127"/>
        <v>1.23356</v>
      </c>
      <c r="P438" s="13">
        <f t="shared" si="128"/>
        <v>1.8340551999999732E-2</v>
      </c>
      <c r="Q438" s="16">
        <f t="shared" si="129"/>
        <v>1.4867985343233999E-2</v>
      </c>
      <c r="R438" s="14">
        <f t="shared" ca="1" si="130"/>
        <v>4.4325812274052483</v>
      </c>
      <c r="S438" s="14">
        <f t="shared" si="131"/>
        <v>4.5495815053763442</v>
      </c>
      <c r="T438" s="14">
        <f t="shared" ca="1" si="132"/>
        <v>0.11700027797109591</v>
      </c>
      <c r="U438" s="16">
        <f t="shared" ca="1" si="133"/>
        <v>2.5716712148762259E-2</v>
      </c>
      <c r="V438" s="14">
        <f t="shared" si="134"/>
        <v>3.6333333333333329</v>
      </c>
      <c r="W438" s="14">
        <f t="shared" ca="1" si="135"/>
        <v>3.5674187725947517</v>
      </c>
      <c r="X438" s="14">
        <f t="shared" ca="1" si="136"/>
        <v>6.5914560738581152E-2</v>
      </c>
      <c r="Y438" s="28">
        <f t="shared" ca="1" si="137"/>
        <v>1.8141622221627841E-2</v>
      </c>
      <c r="Z438" s="29">
        <f t="shared" ca="1" si="138"/>
        <v>62.809024999999998</v>
      </c>
      <c r="AA438" s="16">
        <f t="shared" ca="1" si="139"/>
        <v>1.2436713836478036E-2</v>
      </c>
      <c r="AB438" s="2"/>
    </row>
    <row r="439" spans="6:28" x14ac:dyDescent="0.25">
      <c r="F439" s="13">
        <v>437</v>
      </c>
      <c r="G439" s="13">
        <f t="shared" si="120"/>
        <v>63.7</v>
      </c>
      <c r="H439" s="13">
        <f t="shared" si="121"/>
        <v>336.84999999999997</v>
      </c>
      <c r="I439" s="14">
        <f t="shared" si="122"/>
        <v>3.641667</v>
      </c>
      <c r="J439" s="14">
        <f t="shared" si="123"/>
        <v>2182.092208</v>
      </c>
      <c r="K439" s="14">
        <f t="shared" si="124"/>
        <v>1.2020922080000003</v>
      </c>
      <c r="L439" s="14">
        <f t="shared" si="125"/>
        <v>1212.87987</v>
      </c>
      <c r="M439" s="14">
        <v>1204.58</v>
      </c>
      <c r="N439" s="13">
        <f t="shared" si="126"/>
        <v>1.2128798699999999</v>
      </c>
      <c r="O439" s="13">
        <f t="shared" si="127"/>
        <v>1.2312699999999999</v>
      </c>
      <c r="P439" s="13">
        <f t="shared" si="128"/>
        <v>1.8390130000000005E-2</v>
      </c>
      <c r="Q439" s="16">
        <f t="shared" si="129"/>
        <v>1.4935903579231205E-2</v>
      </c>
      <c r="R439" s="14">
        <f t="shared" ca="1" si="130"/>
        <v>4.4248395014577255</v>
      </c>
      <c r="S439" s="14">
        <f t="shared" si="131"/>
        <v>4.5411355913978486</v>
      </c>
      <c r="T439" s="14">
        <f t="shared" ca="1" si="132"/>
        <v>0.11629608994012308</v>
      </c>
      <c r="U439" s="16">
        <f t="shared" ca="1" si="133"/>
        <v>2.5609473137164114E-2</v>
      </c>
      <c r="V439" s="14">
        <f t="shared" si="134"/>
        <v>3.6416666666666666</v>
      </c>
      <c r="W439" s="14">
        <f t="shared" ca="1" si="135"/>
        <v>3.5751604985422745</v>
      </c>
      <c r="X439" s="14">
        <f t="shared" ca="1" si="136"/>
        <v>6.650616812439214E-2</v>
      </c>
      <c r="Y439" s="28">
        <f t="shared" ca="1" si="137"/>
        <v>1.8262563329352534E-2</v>
      </c>
      <c r="Z439" s="29">
        <f t="shared" ca="1" si="138"/>
        <v>62.901926000000003</v>
      </c>
      <c r="AA439" s="16">
        <f t="shared" ca="1" si="139"/>
        <v>1.2528634222919933E-2</v>
      </c>
      <c r="AB439" s="2"/>
    </row>
    <row r="440" spans="6:28" x14ac:dyDescent="0.25">
      <c r="F440" s="13">
        <v>438</v>
      </c>
      <c r="G440" s="13">
        <f t="shared" si="120"/>
        <v>63.800000000000004</v>
      </c>
      <c r="H440" s="13">
        <f t="shared" si="121"/>
        <v>336.95</v>
      </c>
      <c r="I440" s="14">
        <f t="shared" si="122"/>
        <v>3.65</v>
      </c>
      <c r="J440" s="14">
        <f t="shared" si="123"/>
        <v>2174.3992579999999</v>
      </c>
      <c r="K440" s="14">
        <f t="shared" si="124"/>
        <v>1.1943992579999998</v>
      </c>
      <c r="L440" s="14">
        <f t="shared" si="125"/>
        <v>1210.5424350000001</v>
      </c>
      <c r="M440" s="14">
        <v>1202.27</v>
      </c>
      <c r="N440" s="13">
        <f t="shared" si="126"/>
        <v>1.210542435</v>
      </c>
      <c r="O440" s="13">
        <f t="shared" si="127"/>
        <v>1.2289799999999997</v>
      </c>
      <c r="P440" s="13">
        <f t="shared" si="128"/>
        <v>1.8437564999999712E-2</v>
      </c>
      <c r="Q440" s="16">
        <f t="shared" si="129"/>
        <v>1.5002331201483926E-2</v>
      </c>
      <c r="R440" s="14">
        <f t="shared" ca="1" si="130"/>
        <v>4.4151476355685126</v>
      </c>
      <c r="S440" s="14">
        <f t="shared" si="131"/>
        <v>4.5326896774193539</v>
      </c>
      <c r="T440" s="14">
        <f t="shared" ca="1" si="132"/>
        <v>0.11754204185084127</v>
      </c>
      <c r="U440" s="16">
        <f t="shared" ca="1" si="133"/>
        <v>2.5932073496318146E-2</v>
      </c>
      <c r="V440" s="14">
        <f t="shared" si="134"/>
        <v>3.6500000000000004</v>
      </c>
      <c r="W440" s="14">
        <f t="shared" ca="1" si="135"/>
        <v>3.5848523644314874</v>
      </c>
      <c r="X440" s="14">
        <f t="shared" ca="1" si="136"/>
        <v>6.5147635568512996E-2</v>
      </c>
      <c r="Y440" s="28">
        <f t="shared" ca="1" si="137"/>
        <v>1.7848667279044654E-2</v>
      </c>
      <c r="Z440" s="29">
        <f t="shared" ca="1" si="138"/>
        <v>63.018228000000001</v>
      </c>
      <c r="AA440" s="16">
        <f t="shared" ca="1" si="139"/>
        <v>1.2253479623824509E-2</v>
      </c>
      <c r="AB440" s="2"/>
    </row>
    <row r="441" spans="6:28" x14ac:dyDescent="0.25">
      <c r="F441" s="13">
        <v>439</v>
      </c>
      <c r="G441" s="13">
        <f t="shared" si="120"/>
        <v>63.900000000000006</v>
      </c>
      <c r="H441" s="13">
        <f t="shared" si="121"/>
        <v>337.04999999999995</v>
      </c>
      <c r="I441" s="14">
        <f t="shared" si="122"/>
        <v>3.6583329999999998</v>
      </c>
      <c r="J441" s="14">
        <f t="shared" si="123"/>
        <v>2166.7374709999999</v>
      </c>
      <c r="K441" s="14">
        <f t="shared" si="124"/>
        <v>1.1867374709999998</v>
      </c>
      <c r="L441" s="14">
        <f t="shared" si="125"/>
        <v>1208.2071539999999</v>
      </c>
      <c r="M441" s="14">
        <v>1199.95</v>
      </c>
      <c r="N441" s="13">
        <f t="shared" si="126"/>
        <v>1.2082071539999999</v>
      </c>
      <c r="O441" s="13">
        <f t="shared" si="127"/>
        <v>1.2266899999999998</v>
      </c>
      <c r="P441" s="13">
        <f t="shared" si="128"/>
        <v>1.8482845999999942E-2</v>
      </c>
      <c r="Q441" s="16">
        <f t="shared" si="129"/>
        <v>1.5067250894684024E-2</v>
      </c>
      <c r="R441" s="14">
        <f t="shared" ca="1" si="130"/>
        <v>4.4074101370262388</v>
      </c>
      <c r="S441" s="14">
        <f t="shared" si="131"/>
        <v>4.5242437634408592</v>
      </c>
      <c r="T441" s="14">
        <f t="shared" ca="1" si="132"/>
        <v>0.11683362641462036</v>
      </c>
      <c r="U441" s="16">
        <f t="shared" ca="1" si="133"/>
        <v>2.5823901744357815E-2</v>
      </c>
      <c r="V441" s="14">
        <f t="shared" si="134"/>
        <v>3.6583333333333341</v>
      </c>
      <c r="W441" s="14">
        <f t="shared" ca="1" si="135"/>
        <v>3.5925898629737612</v>
      </c>
      <c r="X441" s="14">
        <f t="shared" ca="1" si="136"/>
        <v>6.5743470359572953E-2</v>
      </c>
      <c r="Y441" s="28">
        <f t="shared" ca="1" si="137"/>
        <v>1.7970880280521077E-2</v>
      </c>
      <c r="Z441" s="29">
        <f t="shared" ca="1" si="138"/>
        <v>63.111077999999999</v>
      </c>
      <c r="AA441" s="16">
        <f t="shared" ca="1" si="139"/>
        <v>1.2346197183098694E-2</v>
      </c>
      <c r="AB441" s="2"/>
    </row>
    <row r="442" spans="6:28" x14ac:dyDescent="0.25">
      <c r="F442" s="13">
        <v>440</v>
      </c>
      <c r="G442" s="13">
        <f t="shared" si="120"/>
        <v>64</v>
      </c>
      <c r="H442" s="13">
        <f t="shared" si="121"/>
        <v>337.15</v>
      </c>
      <c r="I442" s="14">
        <f t="shared" si="122"/>
        <v>3.6666669999999999</v>
      </c>
      <c r="J442" s="14">
        <f t="shared" si="123"/>
        <v>2159.1067050000001</v>
      </c>
      <c r="K442" s="14">
        <f t="shared" si="124"/>
        <v>1.1791067050000001</v>
      </c>
      <c r="L442" s="14">
        <f t="shared" si="125"/>
        <v>1205.8740379999999</v>
      </c>
      <c r="M442" s="14">
        <v>1197.6300000000001</v>
      </c>
      <c r="N442" s="13">
        <f t="shared" si="126"/>
        <v>1.2058740380000001</v>
      </c>
      <c r="O442" s="13">
        <f t="shared" si="127"/>
        <v>1.2243999999999999</v>
      </c>
      <c r="P442" s="13">
        <f t="shared" si="128"/>
        <v>1.8525961999999785E-2</v>
      </c>
      <c r="Q442" s="16">
        <f t="shared" si="129"/>
        <v>1.5130645213982184E-2</v>
      </c>
      <c r="R442" s="14">
        <f t="shared" ca="1" si="130"/>
        <v>4.3992855014577259</v>
      </c>
      <c r="S442" s="14">
        <f t="shared" si="131"/>
        <v>4.5157978494623654</v>
      </c>
      <c r="T442" s="14">
        <f t="shared" ca="1" si="132"/>
        <v>0.1165123480046395</v>
      </c>
      <c r="U442" s="16">
        <f t="shared" ca="1" si="133"/>
        <v>2.5801054849811544E-2</v>
      </c>
      <c r="V442" s="14">
        <f t="shared" si="134"/>
        <v>3.6666666666666661</v>
      </c>
      <c r="W442" s="14">
        <f t="shared" ca="1" si="135"/>
        <v>3.6007144985422741</v>
      </c>
      <c r="X442" s="14">
        <f t="shared" ca="1" si="136"/>
        <v>6.5952168124391974E-2</v>
      </c>
      <c r="Y442" s="28">
        <f t="shared" ca="1" si="137"/>
        <v>1.7986954943015995E-2</v>
      </c>
      <c r="Z442" s="29">
        <f t="shared" ca="1" si="138"/>
        <v>63.208573999999999</v>
      </c>
      <c r="AA442" s="16">
        <f t="shared" ca="1" si="139"/>
        <v>1.236603125000002E-2</v>
      </c>
      <c r="AB442" s="2"/>
    </row>
    <row r="443" spans="6:28" x14ac:dyDescent="0.25">
      <c r="F443" s="13">
        <v>441</v>
      </c>
      <c r="G443" s="13">
        <f t="shared" si="120"/>
        <v>64.099999999999994</v>
      </c>
      <c r="H443" s="13">
        <f t="shared" si="121"/>
        <v>337.25</v>
      </c>
      <c r="I443" s="14">
        <f t="shared" si="122"/>
        <v>3.6749999999999998</v>
      </c>
      <c r="J443" s="14">
        <f t="shared" si="123"/>
        <v>2151.5068209999999</v>
      </c>
      <c r="K443" s="14">
        <f t="shared" si="124"/>
        <v>1.1715068209999999</v>
      </c>
      <c r="L443" s="14">
        <f t="shared" si="125"/>
        <v>1203.543099</v>
      </c>
      <c r="M443" s="14">
        <v>1195.31</v>
      </c>
      <c r="N443" s="13">
        <f t="shared" si="126"/>
        <v>1.203543099</v>
      </c>
      <c r="O443" s="13">
        <f t="shared" si="127"/>
        <v>1.22211</v>
      </c>
      <c r="P443" s="13">
        <f t="shared" si="128"/>
        <v>1.8566901000000025E-2</v>
      </c>
      <c r="Q443" s="16">
        <f t="shared" si="129"/>
        <v>1.5192495765520309E-2</v>
      </c>
      <c r="R443" s="14">
        <f t="shared" ca="1" si="130"/>
        <v>4.389220498542274</v>
      </c>
      <c r="S443" s="14">
        <f t="shared" si="131"/>
        <v>4.5073519354838707</v>
      </c>
      <c r="T443" s="14">
        <f t="shared" ca="1" si="132"/>
        <v>0.11813143694159667</v>
      </c>
      <c r="U443" s="16">
        <f t="shared" ca="1" si="133"/>
        <v>2.6208611759737169E-2</v>
      </c>
      <c r="V443" s="14">
        <f t="shared" si="134"/>
        <v>3.6749999999999998</v>
      </c>
      <c r="W443" s="14">
        <f t="shared" ca="1" si="135"/>
        <v>3.610779501457726</v>
      </c>
      <c r="X443" s="14">
        <f t="shared" ca="1" si="136"/>
        <v>6.4220498542273852E-2</v>
      </c>
      <c r="Y443" s="28">
        <f t="shared" ca="1" si="137"/>
        <v>1.7474965589734381E-2</v>
      </c>
      <c r="Z443" s="29">
        <f t="shared" ca="1" si="138"/>
        <v>63.329354000000002</v>
      </c>
      <c r="AA443" s="16">
        <f t="shared" ca="1" si="139"/>
        <v>1.2022558502339973E-2</v>
      </c>
      <c r="AB443" s="2"/>
    </row>
    <row r="444" spans="6:28" x14ac:dyDescent="0.25">
      <c r="F444" s="13">
        <v>442</v>
      </c>
      <c r="G444" s="13">
        <f t="shared" si="120"/>
        <v>64.2</v>
      </c>
      <c r="H444" s="13">
        <f t="shared" si="121"/>
        <v>337.34999999999997</v>
      </c>
      <c r="I444" s="14">
        <f t="shared" si="122"/>
        <v>3.6833330000000002</v>
      </c>
      <c r="J444" s="14">
        <f t="shared" si="123"/>
        <v>2143.9376769999999</v>
      </c>
      <c r="K444" s="14">
        <f t="shared" si="124"/>
        <v>1.1639376769999998</v>
      </c>
      <c r="L444" s="14">
        <f t="shared" si="125"/>
        <v>1201.2143490000001</v>
      </c>
      <c r="M444" s="14">
        <v>1192.98</v>
      </c>
      <c r="N444" s="13">
        <f t="shared" si="126"/>
        <v>1.201214349</v>
      </c>
      <c r="O444" s="13">
        <f t="shared" si="127"/>
        <v>1.2198199999999999</v>
      </c>
      <c r="P444" s="13">
        <f t="shared" si="128"/>
        <v>1.860565099999989E-2</v>
      </c>
      <c r="Q444" s="16">
        <f t="shared" si="129"/>
        <v>1.525278401731394E-2</v>
      </c>
      <c r="R444" s="14">
        <f t="shared" ca="1" si="130"/>
        <v>4.3811226355685129</v>
      </c>
      <c r="S444" s="14">
        <f t="shared" si="131"/>
        <v>4.498906021505376</v>
      </c>
      <c r="T444" s="14">
        <f t="shared" ca="1" si="132"/>
        <v>0.11778338593686311</v>
      </c>
      <c r="U444" s="16">
        <f t="shared" ca="1" si="133"/>
        <v>2.6180450397017115E-2</v>
      </c>
      <c r="V444" s="14">
        <f t="shared" si="134"/>
        <v>3.6833333333333327</v>
      </c>
      <c r="W444" s="14">
        <f t="shared" ca="1" si="135"/>
        <v>3.6188773644314871</v>
      </c>
      <c r="X444" s="14">
        <f t="shared" ca="1" si="136"/>
        <v>6.4455968901845573E-2</v>
      </c>
      <c r="Y444" s="28">
        <f t="shared" ca="1" si="137"/>
        <v>1.7499358072899252E-2</v>
      </c>
      <c r="Z444" s="29">
        <f t="shared" ca="1" si="138"/>
        <v>63.426527999999998</v>
      </c>
      <c r="AA444" s="16">
        <f t="shared" ca="1" si="139"/>
        <v>1.2047850467289801E-2</v>
      </c>
      <c r="AB444" s="2"/>
    </row>
    <row r="445" spans="6:28" x14ac:dyDescent="0.25">
      <c r="F445" s="13">
        <v>443</v>
      </c>
      <c r="G445" s="13">
        <f t="shared" si="120"/>
        <v>64.300000000000011</v>
      </c>
      <c r="H445" s="13">
        <f t="shared" si="121"/>
        <v>337.45</v>
      </c>
      <c r="I445" s="14">
        <f t="shared" si="122"/>
        <v>3.6916669999999998</v>
      </c>
      <c r="J445" s="14">
        <f t="shared" si="123"/>
        <v>2136.3991339999998</v>
      </c>
      <c r="K445" s="14">
        <f t="shared" si="124"/>
        <v>1.1563991339999999</v>
      </c>
      <c r="L445" s="14">
        <f t="shared" si="125"/>
        <v>1198.887798</v>
      </c>
      <c r="M445" s="14">
        <v>1190.6500000000001</v>
      </c>
      <c r="N445" s="13">
        <f t="shared" si="126"/>
        <v>1.1988877980000001</v>
      </c>
      <c r="O445" s="13">
        <f t="shared" si="127"/>
        <v>1.2175299999999998</v>
      </c>
      <c r="P445" s="13">
        <f t="shared" si="128"/>
        <v>1.8642201999999664E-2</v>
      </c>
      <c r="Q445" s="16">
        <f t="shared" si="129"/>
        <v>1.5311492940625419E-2</v>
      </c>
      <c r="R445" s="14">
        <f t="shared" ca="1" si="130"/>
        <v>4.3726356355685123</v>
      </c>
      <c r="S445" s="14">
        <f t="shared" si="131"/>
        <v>4.4904601075268804</v>
      </c>
      <c r="T445" s="14">
        <f t="shared" ca="1" si="132"/>
        <v>0.11782447195836809</v>
      </c>
      <c r="U445" s="16">
        <f t="shared" ca="1" si="133"/>
        <v>2.623884170819633E-2</v>
      </c>
      <c r="V445" s="14">
        <f t="shared" si="134"/>
        <v>3.6916666666666673</v>
      </c>
      <c r="W445" s="14">
        <f t="shared" ca="1" si="135"/>
        <v>3.6273643644314877</v>
      </c>
      <c r="X445" s="14">
        <f t="shared" ca="1" si="136"/>
        <v>6.4302302235179631E-2</v>
      </c>
      <c r="Y445" s="28">
        <f t="shared" ca="1" si="137"/>
        <v>1.741823085377326E-2</v>
      </c>
      <c r="Z445" s="29">
        <f t="shared" ca="1" si="138"/>
        <v>63.528371999999997</v>
      </c>
      <c r="AA445" s="16">
        <f t="shared" ca="1" si="139"/>
        <v>1.2000435458787151E-2</v>
      </c>
      <c r="AB445" s="2"/>
    </row>
    <row r="446" spans="6:28" x14ac:dyDescent="0.25">
      <c r="F446" s="13">
        <v>444</v>
      </c>
      <c r="G446" s="13">
        <f t="shared" si="120"/>
        <v>64.400000000000006</v>
      </c>
      <c r="H446" s="13">
        <f t="shared" si="121"/>
        <v>337.54999999999995</v>
      </c>
      <c r="I446" s="14">
        <f t="shared" si="122"/>
        <v>3.7</v>
      </c>
      <c r="J446" s="14">
        <f t="shared" si="123"/>
        <v>2128.8910540000002</v>
      </c>
      <c r="K446" s="14">
        <f t="shared" si="124"/>
        <v>1.1488910540000004</v>
      </c>
      <c r="L446" s="14">
        <f t="shared" si="125"/>
        <v>1196.5634580000001</v>
      </c>
      <c r="M446" s="14">
        <v>1188.32</v>
      </c>
      <c r="N446" s="13">
        <f t="shared" si="126"/>
        <v>1.1965634580000002</v>
      </c>
      <c r="O446" s="13">
        <f t="shared" si="127"/>
        <v>1.2152399999999999</v>
      </c>
      <c r="P446" s="13">
        <f t="shared" si="128"/>
        <v>1.8676541999999685E-2</v>
      </c>
      <c r="Q446" s="16">
        <f t="shared" si="129"/>
        <v>1.5368603732595772E-2</v>
      </c>
      <c r="R446" s="14">
        <f t="shared" ca="1" si="130"/>
        <v>4.3653245014577262</v>
      </c>
      <c r="S446" s="14">
        <f t="shared" si="131"/>
        <v>4.4820141935483866</v>
      </c>
      <c r="T446" s="14">
        <f t="shared" ca="1" si="132"/>
        <v>0.11668969209066038</v>
      </c>
      <c r="U446" s="16">
        <f t="shared" ca="1" si="133"/>
        <v>2.6035100972823511E-2</v>
      </c>
      <c r="V446" s="14">
        <f t="shared" si="134"/>
        <v>3.7</v>
      </c>
      <c r="W446" s="14">
        <f t="shared" ca="1" si="135"/>
        <v>3.6346754985422738</v>
      </c>
      <c r="X446" s="14">
        <f t="shared" ca="1" si="136"/>
        <v>6.5324501457726392E-2</v>
      </c>
      <c r="Y446" s="28">
        <f t="shared" ca="1" si="137"/>
        <v>1.7655270664250374E-2</v>
      </c>
      <c r="Z446" s="29">
        <f t="shared" ca="1" si="138"/>
        <v>63.616106000000002</v>
      </c>
      <c r="AA446" s="16">
        <f t="shared" ca="1" si="139"/>
        <v>1.2172267080745397E-2</v>
      </c>
      <c r="AB446" s="2"/>
    </row>
    <row r="447" spans="6:28" x14ac:dyDescent="0.25">
      <c r="F447" s="13">
        <v>445</v>
      </c>
      <c r="G447" s="13">
        <f t="shared" si="120"/>
        <v>64.5</v>
      </c>
      <c r="H447" s="13">
        <f t="shared" si="121"/>
        <v>337.65</v>
      </c>
      <c r="I447" s="14">
        <f t="shared" si="122"/>
        <v>3.7083330000000001</v>
      </c>
      <c r="J447" s="14">
        <f t="shared" si="123"/>
        <v>2121.4132989999998</v>
      </c>
      <c r="K447" s="14">
        <f t="shared" si="124"/>
        <v>1.1414132989999999</v>
      </c>
      <c r="L447" s="14">
        <f t="shared" si="125"/>
        <v>1194.24134</v>
      </c>
      <c r="M447" s="14">
        <v>1185.8399999999999</v>
      </c>
      <c r="N447" s="13">
        <f t="shared" si="126"/>
        <v>1.19424134</v>
      </c>
      <c r="O447" s="13">
        <f t="shared" si="127"/>
        <v>1.21295</v>
      </c>
      <c r="P447" s="13">
        <f t="shared" si="128"/>
        <v>1.8708659999999933E-2</v>
      </c>
      <c r="Q447" s="16">
        <f t="shared" si="129"/>
        <v>1.5424098272805914E-2</v>
      </c>
      <c r="R447" s="14">
        <f t="shared" ca="1" si="130"/>
        <v>4.3564691370262389</v>
      </c>
      <c r="S447" s="14">
        <f t="shared" si="131"/>
        <v>4.4735682795698919</v>
      </c>
      <c r="T447" s="14">
        <f t="shared" ca="1" si="132"/>
        <v>0.11709914254365295</v>
      </c>
      <c r="U447" s="16">
        <f t="shared" ca="1" si="133"/>
        <v>2.6175780769554135E-2</v>
      </c>
      <c r="V447" s="14">
        <f t="shared" si="134"/>
        <v>3.708333333333333</v>
      </c>
      <c r="W447" s="14">
        <f t="shared" ca="1" si="135"/>
        <v>3.6435308629737611</v>
      </c>
      <c r="X447" s="14">
        <f t="shared" ca="1" si="136"/>
        <v>6.4802470359571984E-2</v>
      </c>
      <c r="Y447" s="28">
        <f t="shared" ca="1" si="137"/>
        <v>1.7474823467749749E-2</v>
      </c>
      <c r="Z447" s="29">
        <f t="shared" ca="1" si="138"/>
        <v>63.722369999999998</v>
      </c>
      <c r="AA447" s="16">
        <f t="shared" ca="1" si="139"/>
        <v>1.2056279069767473E-2</v>
      </c>
      <c r="AB447" s="2"/>
    </row>
    <row r="448" spans="6:28" x14ac:dyDescent="0.25">
      <c r="F448" s="13">
        <v>446</v>
      </c>
      <c r="G448" s="13">
        <f t="shared" si="120"/>
        <v>64.599999999999994</v>
      </c>
      <c r="H448" s="13">
        <f t="shared" si="121"/>
        <v>337.75</v>
      </c>
      <c r="I448" s="14">
        <f t="shared" si="122"/>
        <v>3.7166670000000002</v>
      </c>
      <c r="J448" s="14">
        <f t="shared" si="123"/>
        <v>2113.9657320000001</v>
      </c>
      <c r="K448" s="14">
        <f t="shared" si="124"/>
        <v>1.1339657320000001</v>
      </c>
      <c r="L448" s="14">
        <f t="shared" si="125"/>
        <v>1191.9214569999999</v>
      </c>
      <c r="M448" s="14">
        <v>1183.3599999999999</v>
      </c>
      <c r="N448" s="13">
        <f t="shared" si="126"/>
        <v>1.1919214569999999</v>
      </c>
      <c r="O448" s="13">
        <f t="shared" si="127"/>
        <v>1.2106600000000001</v>
      </c>
      <c r="P448" s="13">
        <f t="shared" si="128"/>
        <v>1.8738543000000218E-2</v>
      </c>
      <c r="Q448" s="16">
        <f t="shared" si="129"/>
        <v>1.5477956651743856E-2</v>
      </c>
      <c r="R448" s="14">
        <f t="shared" ca="1" si="130"/>
        <v>4.347214862973761</v>
      </c>
      <c r="S448" s="14">
        <f t="shared" si="131"/>
        <v>4.4651223655913981</v>
      </c>
      <c r="T448" s="14">
        <f t="shared" ca="1" si="132"/>
        <v>0.11790750261763705</v>
      </c>
      <c r="U448" s="16">
        <f t="shared" ca="1" si="133"/>
        <v>2.6406331778551471E-2</v>
      </c>
      <c r="V448" s="14">
        <f t="shared" si="134"/>
        <v>3.7166666666666659</v>
      </c>
      <c r="W448" s="14">
        <f t="shared" ca="1" si="135"/>
        <v>3.652785137026239</v>
      </c>
      <c r="X448" s="14">
        <f t="shared" ca="1" si="136"/>
        <v>6.3881529640426926E-2</v>
      </c>
      <c r="Y448" s="28">
        <f t="shared" ca="1" si="137"/>
        <v>1.7187855508635053E-2</v>
      </c>
      <c r="Z448" s="29">
        <f t="shared" ca="1" si="138"/>
        <v>63.833421999999999</v>
      </c>
      <c r="AA448" s="16">
        <f t="shared" ca="1" si="139"/>
        <v>1.186653250773987E-2</v>
      </c>
      <c r="AB448" s="2"/>
    </row>
    <row r="449" spans="6:28" x14ac:dyDescent="0.25">
      <c r="F449" s="13">
        <v>447</v>
      </c>
      <c r="G449" s="13">
        <f t="shared" si="120"/>
        <v>64.7</v>
      </c>
      <c r="H449" s="13">
        <f t="shared" si="121"/>
        <v>337.84999999999997</v>
      </c>
      <c r="I449" s="14">
        <f t="shared" si="122"/>
        <v>3.7250000000000001</v>
      </c>
      <c r="J449" s="14">
        <f t="shared" si="123"/>
        <v>2106.5482160000001</v>
      </c>
      <c r="K449" s="14">
        <f t="shared" si="124"/>
        <v>1.1265482160000002</v>
      </c>
      <c r="L449" s="14">
        <f t="shared" si="125"/>
        <v>1189.603818</v>
      </c>
      <c r="M449" s="14">
        <v>1181.02</v>
      </c>
      <c r="N449" s="13">
        <f t="shared" si="126"/>
        <v>1.1896038179999999</v>
      </c>
      <c r="O449" s="13">
        <f t="shared" si="127"/>
        <v>1.2083699999999999</v>
      </c>
      <c r="P449" s="13">
        <f t="shared" si="128"/>
        <v>1.876618200000002E-2</v>
      </c>
      <c r="Q449" s="16">
        <f t="shared" si="129"/>
        <v>1.5530162119218469E-2</v>
      </c>
      <c r="R449" s="14">
        <f t="shared" ca="1" si="130"/>
        <v>4.3395433644314876</v>
      </c>
      <c r="S449" s="14">
        <f t="shared" si="131"/>
        <v>4.4566764516129025</v>
      </c>
      <c r="T449" s="14">
        <f t="shared" ca="1" si="132"/>
        <v>0.11713308718141491</v>
      </c>
      <c r="U449" s="16">
        <f t="shared" ca="1" si="133"/>
        <v>2.6282609575353763E-2</v>
      </c>
      <c r="V449" s="14">
        <f t="shared" si="134"/>
        <v>3.7250000000000005</v>
      </c>
      <c r="W449" s="14">
        <f t="shared" ca="1" si="135"/>
        <v>3.6604566355685124</v>
      </c>
      <c r="X449" s="14">
        <f t="shared" ca="1" si="136"/>
        <v>6.4543364431488115E-2</v>
      </c>
      <c r="Y449" s="28">
        <f t="shared" ca="1" si="137"/>
        <v>1.7327077699728351E-2</v>
      </c>
      <c r="Z449" s="29">
        <f t="shared" ca="1" si="138"/>
        <v>63.92548</v>
      </c>
      <c r="AA449" s="16">
        <f t="shared" ca="1" si="139"/>
        <v>1.1970942812983037E-2</v>
      </c>
      <c r="AB449" s="2"/>
    </row>
    <row r="450" spans="6:28" x14ac:dyDescent="0.25">
      <c r="F450" s="13">
        <v>448</v>
      </c>
      <c r="G450" s="13">
        <f t="shared" si="120"/>
        <v>64.800000000000011</v>
      </c>
      <c r="H450" s="13">
        <f t="shared" si="121"/>
        <v>337.95</v>
      </c>
      <c r="I450" s="14">
        <f t="shared" si="122"/>
        <v>3.733333</v>
      </c>
      <c r="J450" s="14">
        <f t="shared" si="123"/>
        <v>2099.1606139999999</v>
      </c>
      <c r="K450" s="14">
        <f t="shared" si="124"/>
        <v>1.1191606140000001</v>
      </c>
      <c r="L450" s="14">
        <f t="shared" si="125"/>
        <v>1187.2884340000001</v>
      </c>
      <c r="M450" s="14">
        <v>1178.95</v>
      </c>
      <c r="N450" s="13">
        <f t="shared" si="126"/>
        <v>1.1872884340000001</v>
      </c>
      <c r="O450" s="13">
        <f t="shared" si="127"/>
        <v>1.2060799999999996</v>
      </c>
      <c r="P450" s="13">
        <f t="shared" si="128"/>
        <v>1.8791565999999538E-2</v>
      </c>
      <c r="Q450" s="16">
        <f t="shared" si="129"/>
        <v>1.5580696139559187E-2</v>
      </c>
      <c r="R450" s="14">
        <f t="shared" ca="1" si="130"/>
        <v>4.3310973644314874</v>
      </c>
      <c r="S450" s="14">
        <f t="shared" si="131"/>
        <v>4.4482305376344069</v>
      </c>
      <c r="T450" s="14">
        <f t="shared" ca="1" si="132"/>
        <v>0.11713317320291949</v>
      </c>
      <c r="U450" s="16">
        <f t="shared" ca="1" si="133"/>
        <v>2.6332532051095436E-2</v>
      </c>
      <c r="V450" s="14">
        <f t="shared" si="134"/>
        <v>3.7333333333333343</v>
      </c>
      <c r="W450" s="14">
        <f t="shared" ca="1" si="135"/>
        <v>3.6689026355685126</v>
      </c>
      <c r="X450" s="14">
        <f t="shared" ca="1" si="136"/>
        <v>6.4430697764821687E-2</v>
      </c>
      <c r="Y450" s="28">
        <f t="shared" ca="1" si="137"/>
        <v>1.7258222615577232E-2</v>
      </c>
      <c r="Z450" s="29">
        <f t="shared" ca="1" si="138"/>
        <v>64.026831999999999</v>
      </c>
      <c r="AA450" s="16">
        <f t="shared" ca="1" si="139"/>
        <v>1.1931604938271795E-2</v>
      </c>
      <c r="AB450" s="2"/>
    </row>
    <row r="451" spans="6:28" x14ac:dyDescent="0.25">
      <c r="F451" s="13">
        <v>449</v>
      </c>
      <c r="G451" s="13">
        <f t="shared" ref="G451:G514" si="140">F451*0.1+20</f>
        <v>64.900000000000006</v>
      </c>
      <c r="H451" s="13">
        <f t="shared" ref="H451:H514" si="141">G451+273.15</f>
        <v>338.04999999999995</v>
      </c>
      <c r="I451" s="14">
        <f t="shared" ref="I451:I514" si="142">ROUND(1/12*G451-5/3,6)</f>
        <v>3.7416670000000001</v>
      </c>
      <c r="J451" s="14">
        <f t="shared" ref="J451:J514" si="143">ROUND(10000*EXP(($B$3)+($B$4/H451)+($B$5/(H451^2))+($B$6/(H451^3))),6)</f>
        <v>2091.8027929999998</v>
      </c>
      <c r="K451" s="14">
        <f t="shared" ref="K451:K514" si="144">$B$9*(2*$B$8+J451)-$B$9*$B$10</f>
        <v>1.1118027929999998</v>
      </c>
      <c r="L451" s="14">
        <f t="shared" ref="L451:L514" si="145">ROUND(1/(1/(J451+2*$B$8)+1/($B$7)),6)</f>
        <v>1184.9753169999999</v>
      </c>
      <c r="M451" s="14">
        <v>1176.5999999999999</v>
      </c>
      <c r="N451" s="13">
        <f t="shared" ref="N451:N514" si="146">$B$9*(L451+$B$10)*(L451/(L451+$B$10))</f>
        <v>1.1849753170000001</v>
      </c>
      <c r="O451" s="13">
        <f t="shared" ref="O451:O514" si="147">$B$11*G451+$B$12</f>
        <v>1.2037899999999997</v>
      </c>
      <c r="P451" s="13">
        <f t="shared" ref="P451:P514" si="148">ABS(N451-O451)</f>
        <v>1.8814682999999555E-2</v>
      </c>
      <c r="Q451" s="16">
        <f t="shared" ref="Q451:Q514" si="149">ABS(O451-N451)/O451</f>
        <v>1.5629539205342758E-2</v>
      </c>
      <c r="R451" s="14">
        <f t="shared" ref="R451:R514" ca="1" si="150">ROUND(N451*$B$29,6)+RANDBETWEEN(-1,1)*$B$24+RANDBETWEEN(-1,1)*$B$25</f>
        <v>4.322671137026239</v>
      </c>
      <c r="S451" s="14">
        <f t="shared" ref="S451:S514" si="151">O451*$B$23</f>
        <v>4.4397846236559131</v>
      </c>
      <c r="T451" s="14">
        <f t="shared" ref="T451:T514" ca="1" si="152">ABS(R451-S451)</f>
        <v>0.11711348662967414</v>
      </c>
      <c r="U451" s="16">
        <f t="shared" ref="U451:U514" ca="1" si="153">ABS(S451-R451)/S451</f>
        <v>2.6378190961262836E-2</v>
      </c>
      <c r="V451" s="14">
        <f t="shared" ref="V451:V514" si="154">$B$44*S451+$B$45</f>
        <v>3.7416666666666671</v>
      </c>
      <c r="W451" s="14">
        <f t="shared" ref="W451:W514" ca="1" si="155">$B$46*R451+$B$47</f>
        <v>3.677328862973761</v>
      </c>
      <c r="X451" s="14">
        <f t="shared" ref="X451:X514" ca="1" si="156">ABS(V451-W451)</f>
        <v>6.4337803692906093E-2</v>
      </c>
      <c r="Y451" s="28">
        <f t="shared" ref="Y451:Y514" ca="1" si="157">IF(V451 = 0, ABS(V451-W451)/(V451+0.0001), ABS(V451-W451)/V451)</f>
        <v>1.7194958670709866E-2</v>
      </c>
      <c r="Z451" s="29">
        <f t="shared" ref="Z451:Z514" ca="1" si="158">ROUND((W451+5/3)/(1/12),6)</f>
        <v>64.127945999999994</v>
      </c>
      <c r="AA451" s="16">
        <f t="shared" ref="AA451:AA514" ca="1" si="159">ABS(G451-Z451)/G451</f>
        <v>1.1896055469953948E-2</v>
      </c>
      <c r="AB451" s="2"/>
    </row>
    <row r="452" spans="6:28" x14ac:dyDescent="0.25">
      <c r="F452" s="13">
        <v>450</v>
      </c>
      <c r="G452" s="13">
        <f t="shared" si="140"/>
        <v>65</v>
      </c>
      <c r="H452" s="13">
        <f t="shared" si="141"/>
        <v>338.15</v>
      </c>
      <c r="I452" s="14">
        <f t="shared" si="142"/>
        <v>3.75</v>
      </c>
      <c r="J452" s="14">
        <f t="shared" si="143"/>
        <v>2084.474616</v>
      </c>
      <c r="K452" s="14">
        <f t="shared" si="144"/>
        <v>1.1044746160000001</v>
      </c>
      <c r="L452" s="14">
        <f t="shared" si="145"/>
        <v>1182.6644779999999</v>
      </c>
      <c r="M452" s="14">
        <v>1174.24</v>
      </c>
      <c r="N452" s="13">
        <f t="shared" si="146"/>
        <v>1.1826644779999997</v>
      </c>
      <c r="O452" s="13">
        <f t="shared" si="147"/>
        <v>1.2015</v>
      </c>
      <c r="P452" s="13">
        <f t="shared" si="148"/>
        <v>1.8835522000000271E-2</v>
      </c>
      <c r="Q452" s="16">
        <f t="shared" si="149"/>
        <v>1.5676672492717661E-2</v>
      </c>
      <c r="R452" s="14">
        <f t="shared" ca="1" si="150"/>
        <v>4.3138352274052485</v>
      </c>
      <c r="S452" s="14">
        <f t="shared" si="151"/>
        <v>4.4313387096774193</v>
      </c>
      <c r="T452" s="14">
        <f t="shared" ca="1" si="152"/>
        <v>0.11750348227217078</v>
      </c>
      <c r="U452" s="16">
        <f t="shared" ca="1" si="153"/>
        <v>2.6516475036214165E-2</v>
      </c>
      <c r="V452" s="14">
        <f t="shared" si="154"/>
        <v>3.7499999999999991</v>
      </c>
      <c r="W452" s="14">
        <f t="shared" ca="1" si="155"/>
        <v>3.6861647725947515</v>
      </c>
      <c r="X452" s="14">
        <f t="shared" ca="1" si="156"/>
        <v>6.3835227405247608E-2</v>
      </c>
      <c r="Y452" s="28">
        <f t="shared" ca="1" si="157"/>
        <v>1.7022727308066032E-2</v>
      </c>
      <c r="Z452" s="29">
        <f t="shared" ca="1" si="158"/>
        <v>64.233976999999996</v>
      </c>
      <c r="AA452" s="16">
        <f t="shared" ca="1" si="159"/>
        <v>1.1784969230769294E-2</v>
      </c>
      <c r="AB452" s="2"/>
    </row>
    <row r="453" spans="6:28" x14ac:dyDescent="0.25">
      <c r="F453" s="13">
        <v>451</v>
      </c>
      <c r="G453" s="13">
        <f t="shared" si="140"/>
        <v>65.099999999999994</v>
      </c>
      <c r="H453" s="13">
        <f t="shared" si="141"/>
        <v>338.25</v>
      </c>
      <c r="I453" s="14">
        <f t="shared" si="142"/>
        <v>3.7583329999999999</v>
      </c>
      <c r="J453" s="14">
        <f t="shared" si="143"/>
        <v>2077.1759510000002</v>
      </c>
      <c r="K453" s="14">
        <f t="shared" si="144"/>
        <v>1.0971759510000001</v>
      </c>
      <c r="L453" s="14">
        <f t="shared" si="145"/>
        <v>1180.3559270000001</v>
      </c>
      <c r="M453" s="14">
        <v>1171.8800000000001</v>
      </c>
      <c r="N453" s="13">
        <f t="shared" si="146"/>
        <v>1.1803559269999999</v>
      </c>
      <c r="O453" s="13">
        <f t="shared" si="147"/>
        <v>1.1992100000000001</v>
      </c>
      <c r="P453" s="13">
        <f t="shared" si="148"/>
        <v>1.8854073000000193E-2</v>
      </c>
      <c r="Q453" s="16">
        <f t="shared" si="149"/>
        <v>1.5722077867929882E-2</v>
      </c>
      <c r="R453" s="14">
        <f t="shared" ca="1" si="150"/>
        <v>4.3058103644314869</v>
      </c>
      <c r="S453" s="14">
        <f t="shared" si="151"/>
        <v>4.4228927956989246</v>
      </c>
      <c r="T453" s="14">
        <f t="shared" ca="1" si="152"/>
        <v>0.11708243126743767</v>
      </c>
      <c r="U453" s="16">
        <f t="shared" ca="1" si="153"/>
        <v>2.6471912541333891E-2</v>
      </c>
      <c r="V453" s="14">
        <f t="shared" si="154"/>
        <v>3.7583333333333329</v>
      </c>
      <c r="W453" s="14">
        <f t="shared" ca="1" si="155"/>
        <v>3.6941896355685131</v>
      </c>
      <c r="X453" s="14">
        <f t="shared" ca="1" si="156"/>
        <v>6.4143697764819763E-2</v>
      </c>
      <c r="Y453" s="28">
        <f t="shared" ca="1" si="157"/>
        <v>1.7067059272235858E-2</v>
      </c>
      <c r="Z453" s="29">
        <f t="shared" ca="1" si="158"/>
        <v>64.330275999999998</v>
      </c>
      <c r="AA453" s="16">
        <f t="shared" ca="1" si="159"/>
        <v>1.1823717357910855E-2</v>
      </c>
      <c r="AB453" s="2"/>
    </row>
    <row r="454" spans="6:28" x14ac:dyDescent="0.25">
      <c r="F454" s="13">
        <v>452</v>
      </c>
      <c r="G454" s="13">
        <f t="shared" si="140"/>
        <v>65.2</v>
      </c>
      <c r="H454" s="13">
        <f t="shared" si="141"/>
        <v>338.34999999999997</v>
      </c>
      <c r="I454" s="14">
        <f t="shared" si="142"/>
        <v>3.766667</v>
      </c>
      <c r="J454" s="14">
        <f t="shared" si="143"/>
        <v>2069.906665</v>
      </c>
      <c r="K454" s="14">
        <f t="shared" si="144"/>
        <v>1.089906665</v>
      </c>
      <c r="L454" s="14">
        <f t="shared" si="145"/>
        <v>1178.0496760000001</v>
      </c>
      <c r="M454" s="14">
        <v>1169.3800000000001</v>
      </c>
      <c r="N454" s="13">
        <f t="shared" si="146"/>
        <v>1.1780496760000001</v>
      </c>
      <c r="O454" s="13">
        <f t="shared" si="147"/>
        <v>1.1969199999999998</v>
      </c>
      <c r="P454" s="13">
        <f t="shared" si="148"/>
        <v>1.8870323999999661E-2</v>
      </c>
      <c r="Q454" s="16">
        <f t="shared" si="149"/>
        <v>1.576573538749429E-2</v>
      </c>
      <c r="R454" s="14">
        <f t="shared" ca="1" si="150"/>
        <v>4.2970237725947511</v>
      </c>
      <c r="S454" s="14">
        <f t="shared" si="151"/>
        <v>4.414446881720429</v>
      </c>
      <c r="T454" s="14">
        <f t="shared" ca="1" si="152"/>
        <v>0.11742310912567788</v>
      </c>
      <c r="U454" s="16">
        <f t="shared" ca="1" si="153"/>
        <v>2.6599733165192131E-2</v>
      </c>
      <c r="V454" s="14">
        <f t="shared" si="154"/>
        <v>3.7666666666666675</v>
      </c>
      <c r="W454" s="14">
        <f t="shared" ca="1" si="155"/>
        <v>3.7029762274052489</v>
      </c>
      <c r="X454" s="14">
        <f t="shared" ca="1" si="156"/>
        <v>6.3690439261418597E-2</v>
      </c>
      <c r="Y454" s="28">
        <f t="shared" ca="1" si="157"/>
        <v>1.6908966175597853E-2</v>
      </c>
      <c r="Z454" s="29">
        <f t="shared" ca="1" si="158"/>
        <v>64.435715000000002</v>
      </c>
      <c r="AA454" s="16">
        <f t="shared" ca="1" si="159"/>
        <v>1.1722162576687132E-2</v>
      </c>
      <c r="AB454" s="2"/>
    </row>
    <row r="455" spans="6:28" x14ac:dyDescent="0.25">
      <c r="F455" s="13">
        <v>453</v>
      </c>
      <c r="G455" s="13">
        <f t="shared" si="140"/>
        <v>65.300000000000011</v>
      </c>
      <c r="H455" s="13">
        <f t="shared" si="141"/>
        <v>338.45</v>
      </c>
      <c r="I455" s="14">
        <f t="shared" si="142"/>
        <v>3.7749999999999999</v>
      </c>
      <c r="J455" s="14">
        <f t="shared" si="143"/>
        <v>2062.666624</v>
      </c>
      <c r="K455" s="14">
        <f t="shared" si="144"/>
        <v>1.0826666239999998</v>
      </c>
      <c r="L455" s="14">
        <f t="shared" si="145"/>
        <v>1175.745735</v>
      </c>
      <c r="M455" s="14">
        <v>1167.02</v>
      </c>
      <c r="N455" s="13">
        <f t="shared" si="146"/>
        <v>1.175745735</v>
      </c>
      <c r="O455" s="13">
        <f t="shared" si="147"/>
        <v>1.1946299999999996</v>
      </c>
      <c r="P455" s="13">
        <f t="shared" si="148"/>
        <v>1.8884264999999623E-2</v>
      </c>
      <c r="Q455" s="16">
        <f t="shared" si="149"/>
        <v>1.5807626629165204E-2</v>
      </c>
      <c r="R455" s="14">
        <f t="shared" ca="1" si="150"/>
        <v>4.2878274985422742</v>
      </c>
      <c r="S455" s="14">
        <f t="shared" si="151"/>
        <v>4.4060009677419343</v>
      </c>
      <c r="T455" s="14">
        <f t="shared" ca="1" si="152"/>
        <v>0.1181734691996601</v>
      </c>
      <c r="U455" s="16">
        <f t="shared" ca="1" si="153"/>
        <v>2.6821026610038112E-2</v>
      </c>
      <c r="V455" s="14">
        <f t="shared" si="154"/>
        <v>3.7750000000000004</v>
      </c>
      <c r="W455" s="14">
        <f t="shared" ca="1" si="155"/>
        <v>3.7121725014577258</v>
      </c>
      <c r="X455" s="14">
        <f t="shared" ca="1" si="156"/>
        <v>6.282749854227454E-2</v>
      </c>
      <c r="Y455" s="28">
        <f t="shared" ca="1" si="157"/>
        <v>1.6643045971463453E-2</v>
      </c>
      <c r="Z455" s="29">
        <f t="shared" ca="1" si="158"/>
        <v>64.54607</v>
      </c>
      <c r="AA455" s="16">
        <f t="shared" ca="1" si="159"/>
        <v>1.1545635528330949E-2</v>
      </c>
      <c r="AB455" s="2"/>
    </row>
    <row r="456" spans="6:28" x14ac:dyDescent="0.25">
      <c r="F456" s="13">
        <v>454</v>
      </c>
      <c r="G456" s="13">
        <f t="shared" si="140"/>
        <v>65.400000000000006</v>
      </c>
      <c r="H456" s="13">
        <f t="shared" si="141"/>
        <v>338.54999999999995</v>
      </c>
      <c r="I456" s="14">
        <f t="shared" si="142"/>
        <v>3.7833329999999998</v>
      </c>
      <c r="J456" s="14">
        <f t="shared" si="143"/>
        <v>2055.4556969999999</v>
      </c>
      <c r="K456" s="14">
        <f t="shared" si="144"/>
        <v>1.0754556969999998</v>
      </c>
      <c r="L456" s="14">
        <f t="shared" si="145"/>
        <v>1173.444115</v>
      </c>
      <c r="M456" s="14">
        <v>1164.92</v>
      </c>
      <c r="N456" s="13">
        <f t="shared" si="146"/>
        <v>1.1734441149999999</v>
      </c>
      <c r="O456" s="13">
        <f t="shared" si="147"/>
        <v>1.1923399999999997</v>
      </c>
      <c r="P456" s="13">
        <f t="shared" si="148"/>
        <v>1.8895884999999835E-2</v>
      </c>
      <c r="Q456" s="16">
        <f t="shared" si="149"/>
        <v>1.5847732190482446E-2</v>
      </c>
      <c r="R456" s="14">
        <f t="shared" ca="1" si="150"/>
        <v>4.2802247725947513</v>
      </c>
      <c r="S456" s="14">
        <f t="shared" si="151"/>
        <v>4.3975550537634396</v>
      </c>
      <c r="T456" s="14">
        <f t="shared" ca="1" si="152"/>
        <v>0.11733028116868827</v>
      </c>
      <c r="U456" s="16">
        <f t="shared" ca="1" si="153"/>
        <v>2.668079870160504E-2</v>
      </c>
      <c r="V456" s="14">
        <f t="shared" si="154"/>
        <v>3.7833333333333341</v>
      </c>
      <c r="W456" s="14">
        <f t="shared" ca="1" si="155"/>
        <v>3.7197752274052487</v>
      </c>
      <c r="X456" s="14">
        <f t="shared" ca="1" si="156"/>
        <v>6.3558105928085418E-2</v>
      </c>
      <c r="Y456" s="28">
        <f t="shared" ca="1" si="157"/>
        <v>1.6799499364251649E-2</v>
      </c>
      <c r="Z456" s="29">
        <f t="shared" ca="1" si="158"/>
        <v>64.637303000000003</v>
      </c>
      <c r="AA456" s="16">
        <f t="shared" ca="1" si="159"/>
        <v>1.1662033639143773E-2</v>
      </c>
      <c r="AB456" s="2"/>
    </row>
    <row r="457" spans="6:28" x14ac:dyDescent="0.25">
      <c r="F457" s="13">
        <v>455</v>
      </c>
      <c r="G457" s="13">
        <f t="shared" si="140"/>
        <v>65.5</v>
      </c>
      <c r="H457" s="13">
        <f t="shared" si="141"/>
        <v>338.65</v>
      </c>
      <c r="I457" s="14">
        <f t="shared" si="142"/>
        <v>3.7916669999999999</v>
      </c>
      <c r="J457" s="14">
        <f t="shared" si="143"/>
        <v>2048.2737520000001</v>
      </c>
      <c r="K457" s="14">
        <f t="shared" si="144"/>
        <v>1.0682737520000001</v>
      </c>
      <c r="L457" s="14">
        <f t="shared" si="145"/>
        <v>1171.1448250000001</v>
      </c>
      <c r="M457" s="14">
        <v>1162.55</v>
      </c>
      <c r="N457" s="13">
        <f t="shared" si="146"/>
        <v>1.1711448250000001</v>
      </c>
      <c r="O457" s="13">
        <f t="shared" si="147"/>
        <v>1.1900499999999998</v>
      </c>
      <c r="P457" s="13">
        <f t="shared" si="148"/>
        <v>1.8905174999999774E-2</v>
      </c>
      <c r="Q457" s="16">
        <f t="shared" si="149"/>
        <v>1.5886034200243499E-2</v>
      </c>
      <c r="R457" s="14">
        <f t="shared" ca="1" si="150"/>
        <v>4.2718377725947514</v>
      </c>
      <c r="S457" s="14">
        <f t="shared" si="151"/>
        <v>4.3891091397849458</v>
      </c>
      <c r="T457" s="14">
        <f t="shared" ca="1" si="152"/>
        <v>0.11727136719019438</v>
      </c>
      <c r="U457" s="16">
        <f t="shared" ca="1" si="153"/>
        <v>2.6718717501734383E-2</v>
      </c>
      <c r="V457" s="14">
        <f t="shared" si="154"/>
        <v>3.7916666666666661</v>
      </c>
      <c r="W457" s="14">
        <f t="shared" ca="1" si="155"/>
        <v>3.7281622274052486</v>
      </c>
      <c r="X457" s="14">
        <f t="shared" ca="1" si="156"/>
        <v>6.3504439261417467E-2</v>
      </c>
      <c r="Y457" s="28">
        <f t="shared" ca="1" si="157"/>
        <v>1.674842354147274E-2</v>
      </c>
      <c r="Z457" s="29">
        <f t="shared" ca="1" si="158"/>
        <v>64.737947000000005</v>
      </c>
      <c r="AA457" s="16">
        <f t="shared" ca="1" si="159"/>
        <v>1.1634396946564802E-2</v>
      </c>
      <c r="AB457" s="2"/>
    </row>
    <row r="458" spans="6:28" x14ac:dyDescent="0.25">
      <c r="F458" s="13">
        <v>456</v>
      </c>
      <c r="G458" s="13">
        <f t="shared" si="140"/>
        <v>65.599999999999994</v>
      </c>
      <c r="H458" s="13">
        <f t="shared" si="141"/>
        <v>338.75</v>
      </c>
      <c r="I458" s="14">
        <f t="shared" si="142"/>
        <v>3.8</v>
      </c>
      <c r="J458" s="14">
        <f t="shared" si="143"/>
        <v>2041.12066</v>
      </c>
      <c r="K458" s="14">
        <f t="shared" si="144"/>
        <v>1.0611206600000003</v>
      </c>
      <c r="L458" s="14">
        <f t="shared" si="145"/>
        <v>1168.847878</v>
      </c>
      <c r="M458" s="14">
        <v>1160.18</v>
      </c>
      <c r="N458" s="13">
        <f t="shared" si="146"/>
        <v>1.1688478780000002</v>
      </c>
      <c r="O458" s="13">
        <f t="shared" si="147"/>
        <v>1.1877600000000001</v>
      </c>
      <c r="P458" s="13">
        <f t="shared" si="148"/>
        <v>1.891212199999992E-2</v>
      </c>
      <c r="Q458" s="16">
        <f t="shared" si="149"/>
        <v>1.592251128174035E-2</v>
      </c>
      <c r="R458" s="14">
        <f t="shared" ca="1" si="150"/>
        <v>4.2634489999999996</v>
      </c>
      <c r="S458" s="14">
        <f t="shared" si="151"/>
        <v>4.380663225806452</v>
      </c>
      <c r="T458" s="14">
        <f t="shared" ca="1" si="152"/>
        <v>0.11721422580645235</v>
      </c>
      <c r="U458" s="16">
        <f t="shared" ca="1" si="153"/>
        <v>2.6757187157402169E-2</v>
      </c>
      <c r="V458" s="14">
        <f t="shared" si="154"/>
        <v>3.7999999999999989</v>
      </c>
      <c r="W458" s="14">
        <f t="shared" ca="1" si="155"/>
        <v>3.7365510000000004</v>
      </c>
      <c r="X458" s="14">
        <f t="shared" ca="1" si="156"/>
        <v>6.3448999999998534E-2</v>
      </c>
      <c r="Y458" s="28">
        <f t="shared" ca="1" si="157"/>
        <v>1.6697105263157513E-2</v>
      </c>
      <c r="Z458" s="29">
        <f t="shared" ca="1" si="158"/>
        <v>64.838611999999998</v>
      </c>
      <c r="AA458" s="16">
        <f t="shared" ca="1" si="159"/>
        <v>1.1606524390243851E-2</v>
      </c>
      <c r="AB458" s="2"/>
    </row>
    <row r="459" spans="6:28" x14ac:dyDescent="0.25">
      <c r="F459" s="13">
        <v>457</v>
      </c>
      <c r="G459" s="13">
        <f t="shared" si="140"/>
        <v>65.7</v>
      </c>
      <c r="H459" s="13">
        <f t="shared" si="141"/>
        <v>338.84999999999997</v>
      </c>
      <c r="I459" s="14">
        <f t="shared" si="142"/>
        <v>3.8083330000000002</v>
      </c>
      <c r="J459" s="14">
        <f t="shared" si="143"/>
        <v>2033.99629</v>
      </c>
      <c r="K459" s="14">
        <f t="shared" si="144"/>
        <v>1.0539962900000002</v>
      </c>
      <c r="L459" s="14">
        <f t="shared" si="145"/>
        <v>1166.5532840000001</v>
      </c>
      <c r="M459" s="14">
        <v>1158.07</v>
      </c>
      <c r="N459" s="13">
        <f t="shared" si="146"/>
        <v>1.1665532840000001</v>
      </c>
      <c r="O459" s="13">
        <f t="shared" si="147"/>
        <v>1.1854699999999998</v>
      </c>
      <c r="P459" s="13">
        <f t="shared" si="148"/>
        <v>1.8916715999999667E-2</v>
      </c>
      <c r="Q459" s="16">
        <f t="shared" si="149"/>
        <v>1.5957144423730394E-2</v>
      </c>
      <c r="R459" s="14">
        <f t="shared" ca="1" si="150"/>
        <v>4.2546828629737616</v>
      </c>
      <c r="S459" s="14">
        <f t="shared" si="151"/>
        <v>4.3722173118279564</v>
      </c>
      <c r="T459" s="14">
        <f t="shared" ca="1" si="152"/>
        <v>0.11753444885419473</v>
      </c>
      <c r="U459" s="16">
        <f t="shared" ca="1" si="153"/>
        <v>2.688211506235846E-2</v>
      </c>
      <c r="V459" s="14">
        <f t="shared" si="154"/>
        <v>3.8083333333333336</v>
      </c>
      <c r="W459" s="14">
        <f t="shared" ca="1" si="155"/>
        <v>3.7453171370262384</v>
      </c>
      <c r="X459" s="14">
        <f t="shared" ca="1" si="156"/>
        <v>6.3016196307095207E-2</v>
      </c>
      <c r="Y459" s="28">
        <f t="shared" ca="1" si="157"/>
        <v>1.6546922443876202E-2</v>
      </c>
      <c r="Z459" s="29">
        <f t="shared" ca="1" si="158"/>
        <v>64.943805999999995</v>
      </c>
      <c r="AA459" s="16">
        <f t="shared" ca="1" si="159"/>
        <v>1.1509802130898139E-2</v>
      </c>
      <c r="AB459" s="2"/>
    </row>
    <row r="460" spans="6:28" x14ac:dyDescent="0.25">
      <c r="F460" s="13">
        <v>458</v>
      </c>
      <c r="G460" s="13">
        <f t="shared" si="140"/>
        <v>65.800000000000011</v>
      </c>
      <c r="H460" s="13">
        <f t="shared" si="141"/>
        <v>338.95</v>
      </c>
      <c r="I460" s="14">
        <f t="shared" si="142"/>
        <v>3.8166669999999998</v>
      </c>
      <c r="J460" s="14">
        <f t="shared" si="143"/>
        <v>2026.9005119999999</v>
      </c>
      <c r="K460" s="14">
        <f t="shared" si="144"/>
        <v>1.0469005120000001</v>
      </c>
      <c r="L460" s="14">
        <f t="shared" si="145"/>
        <v>1164.2610520000001</v>
      </c>
      <c r="M460" s="14">
        <v>1155.69</v>
      </c>
      <c r="N460" s="13">
        <f t="shared" si="146"/>
        <v>1.1642610520000001</v>
      </c>
      <c r="O460" s="13">
        <f t="shared" si="147"/>
        <v>1.1831799999999997</v>
      </c>
      <c r="P460" s="13">
        <f t="shared" si="148"/>
        <v>1.8918947999999602E-2</v>
      </c>
      <c r="Q460" s="16">
        <f t="shared" si="149"/>
        <v>1.59899153129698E-2</v>
      </c>
      <c r="R460" s="14">
        <f t="shared" ca="1" si="150"/>
        <v>4.2463326355685131</v>
      </c>
      <c r="S460" s="14">
        <f t="shared" si="151"/>
        <v>4.3637713978494608</v>
      </c>
      <c r="T460" s="14">
        <f t="shared" ca="1" si="152"/>
        <v>0.11743876228094763</v>
      </c>
      <c r="U460" s="16">
        <f t="shared" ca="1" si="153"/>
        <v>2.6912216881668779E-2</v>
      </c>
      <c r="V460" s="14">
        <f t="shared" si="154"/>
        <v>3.8166666666666673</v>
      </c>
      <c r="W460" s="14">
        <f t="shared" ca="1" si="155"/>
        <v>3.7536673644314869</v>
      </c>
      <c r="X460" s="14">
        <f t="shared" ca="1" si="156"/>
        <v>6.2999302235180465E-2</v>
      </c>
      <c r="Y460" s="28">
        <f t="shared" ca="1" si="157"/>
        <v>1.6506367397863875E-2</v>
      </c>
      <c r="Z460" s="29">
        <f t="shared" ca="1" si="158"/>
        <v>65.044008000000005</v>
      </c>
      <c r="AA460" s="16">
        <f t="shared" ca="1" si="159"/>
        <v>1.1489240121580639E-2</v>
      </c>
      <c r="AB460" s="2"/>
    </row>
    <row r="461" spans="6:28" x14ac:dyDescent="0.25">
      <c r="F461" s="13">
        <v>459</v>
      </c>
      <c r="G461" s="13">
        <f t="shared" si="140"/>
        <v>65.900000000000006</v>
      </c>
      <c r="H461" s="13">
        <f t="shared" si="141"/>
        <v>339.04999999999995</v>
      </c>
      <c r="I461" s="14">
        <f t="shared" si="142"/>
        <v>3.8250000000000002</v>
      </c>
      <c r="J461" s="14">
        <f t="shared" si="143"/>
        <v>2019.833198</v>
      </c>
      <c r="K461" s="14">
        <f t="shared" si="144"/>
        <v>1.0398331980000002</v>
      </c>
      <c r="L461" s="14">
        <f t="shared" si="145"/>
        <v>1161.9711930000001</v>
      </c>
      <c r="M461" s="14">
        <v>1153.44</v>
      </c>
      <c r="N461" s="13">
        <f t="shared" si="146"/>
        <v>1.1619711930000001</v>
      </c>
      <c r="O461" s="13">
        <f t="shared" si="147"/>
        <v>1.1808899999999998</v>
      </c>
      <c r="P461" s="13">
        <f t="shared" si="148"/>
        <v>1.8918806999999704E-2</v>
      </c>
      <c r="Q461" s="16">
        <f t="shared" si="149"/>
        <v>1.6020803800523085E-2</v>
      </c>
      <c r="R461" s="14">
        <f t="shared" ca="1" si="150"/>
        <v>4.2379806355685128</v>
      </c>
      <c r="S461" s="14">
        <f t="shared" si="151"/>
        <v>4.355325483870967</v>
      </c>
      <c r="T461" s="14">
        <f t="shared" ca="1" si="152"/>
        <v>0.11734484830245417</v>
      </c>
      <c r="U461" s="16">
        <f t="shared" ca="1" si="153"/>
        <v>2.694284244358227E-2</v>
      </c>
      <c r="V461" s="14">
        <f t="shared" si="154"/>
        <v>3.8250000000000002</v>
      </c>
      <c r="W461" s="14">
        <f t="shared" ca="1" si="155"/>
        <v>3.7620193644314872</v>
      </c>
      <c r="X461" s="14">
        <f t="shared" ca="1" si="156"/>
        <v>6.2980635568512966E-2</v>
      </c>
      <c r="Y461" s="28">
        <f t="shared" ca="1" si="157"/>
        <v>1.646552563882692E-2</v>
      </c>
      <c r="Z461" s="29">
        <f t="shared" ca="1" si="158"/>
        <v>65.144232000000002</v>
      </c>
      <c r="AA461" s="16">
        <f t="shared" ca="1" si="159"/>
        <v>1.1468406676783054E-2</v>
      </c>
      <c r="AB461" s="2"/>
    </row>
    <row r="462" spans="6:28" x14ac:dyDescent="0.25">
      <c r="F462" s="13">
        <v>460</v>
      </c>
      <c r="G462" s="13">
        <f t="shared" si="140"/>
        <v>66</v>
      </c>
      <c r="H462" s="13">
        <f t="shared" si="141"/>
        <v>339.15</v>
      </c>
      <c r="I462" s="14">
        <f t="shared" si="142"/>
        <v>3.8333330000000001</v>
      </c>
      <c r="J462" s="14">
        <f t="shared" si="143"/>
        <v>2012.7942210000001</v>
      </c>
      <c r="K462" s="14">
        <f t="shared" si="144"/>
        <v>1.0327942210000001</v>
      </c>
      <c r="L462" s="14">
        <f t="shared" si="145"/>
        <v>1159.683718</v>
      </c>
      <c r="M462" s="14">
        <v>1151.05</v>
      </c>
      <c r="N462" s="13">
        <f t="shared" si="146"/>
        <v>1.1596837179999999</v>
      </c>
      <c r="O462" s="13">
        <f t="shared" si="147"/>
        <v>1.1785999999999999</v>
      </c>
      <c r="P462" s="13">
        <f t="shared" si="148"/>
        <v>1.8916281999999951E-2</v>
      </c>
      <c r="Q462" s="16">
        <f t="shared" si="149"/>
        <v>1.6049789580858606E-2</v>
      </c>
      <c r="R462" s="14">
        <f t="shared" ca="1" si="150"/>
        <v>4.2300327725947513</v>
      </c>
      <c r="S462" s="14">
        <f t="shared" si="151"/>
        <v>4.3468795698924723</v>
      </c>
      <c r="T462" s="14">
        <f t="shared" ca="1" si="152"/>
        <v>0.11684679729772096</v>
      </c>
      <c r="U462" s="16">
        <f t="shared" ca="1" si="153"/>
        <v>2.6880615259513935E-2</v>
      </c>
      <c r="V462" s="14">
        <f t="shared" si="154"/>
        <v>3.8333333333333339</v>
      </c>
      <c r="W462" s="14">
        <f t="shared" ca="1" si="155"/>
        <v>3.7699672274052487</v>
      </c>
      <c r="X462" s="14">
        <f t="shared" ca="1" si="156"/>
        <v>6.3366105928085226E-2</v>
      </c>
      <c r="Y462" s="28">
        <f t="shared" ca="1" si="157"/>
        <v>1.6530288502978753E-2</v>
      </c>
      <c r="Z462" s="29">
        <f t="shared" ca="1" si="158"/>
        <v>65.239607000000007</v>
      </c>
      <c r="AA462" s="16">
        <f t="shared" ca="1" si="159"/>
        <v>1.1521106060605961E-2</v>
      </c>
      <c r="AB462" s="2"/>
    </row>
    <row r="463" spans="6:28" x14ac:dyDescent="0.25">
      <c r="F463" s="13">
        <v>461</v>
      </c>
      <c r="G463" s="13">
        <f t="shared" si="140"/>
        <v>66.099999999999994</v>
      </c>
      <c r="H463" s="13">
        <f t="shared" si="141"/>
        <v>339.25</v>
      </c>
      <c r="I463" s="14">
        <f t="shared" si="142"/>
        <v>3.8416670000000002</v>
      </c>
      <c r="J463" s="14">
        <f t="shared" si="143"/>
        <v>2005.7834519999999</v>
      </c>
      <c r="K463" s="14">
        <f t="shared" si="144"/>
        <v>1.0257834519999998</v>
      </c>
      <c r="L463" s="14">
        <f t="shared" si="145"/>
        <v>1157.3986359999999</v>
      </c>
      <c r="M463" s="14">
        <v>1148.79</v>
      </c>
      <c r="N463" s="13">
        <f t="shared" si="146"/>
        <v>1.1573986359999999</v>
      </c>
      <c r="O463" s="13">
        <f t="shared" si="147"/>
        <v>1.17631</v>
      </c>
      <c r="P463" s="13">
        <f t="shared" si="148"/>
        <v>1.8911364000000042E-2</v>
      </c>
      <c r="Q463" s="16">
        <f t="shared" si="149"/>
        <v>1.6076853890556096E-2</v>
      </c>
      <c r="R463" s="14">
        <f t="shared" ca="1" si="150"/>
        <v>4.2220723644314875</v>
      </c>
      <c r="S463" s="14">
        <f t="shared" si="151"/>
        <v>4.3384336559139784</v>
      </c>
      <c r="T463" s="14">
        <f t="shared" ca="1" si="152"/>
        <v>0.11636129148249097</v>
      </c>
      <c r="U463" s="16">
        <f t="shared" ca="1" si="153"/>
        <v>2.6821037432224401E-2</v>
      </c>
      <c r="V463" s="14">
        <f t="shared" si="154"/>
        <v>3.8416666666666659</v>
      </c>
      <c r="W463" s="14">
        <f t="shared" ca="1" si="155"/>
        <v>3.7779276355685125</v>
      </c>
      <c r="X463" s="14">
        <f t="shared" ca="1" si="156"/>
        <v>6.3739031098153376E-2</v>
      </c>
      <c r="Y463" s="28">
        <f t="shared" ca="1" si="157"/>
        <v>1.659150484116791E-2</v>
      </c>
      <c r="Z463" s="29">
        <f t="shared" ca="1" si="158"/>
        <v>65.335132000000002</v>
      </c>
      <c r="AA463" s="16">
        <f t="shared" ca="1" si="159"/>
        <v>1.1571376701966609E-2</v>
      </c>
      <c r="AB463" s="2"/>
    </row>
    <row r="464" spans="6:28" x14ac:dyDescent="0.25">
      <c r="F464" s="13">
        <v>462</v>
      </c>
      <c r="G464" s="13">
        <f t="shared" si="140"/>
        <v>66.2</v>
      </c>
      <c r="H464" s="13">
        <f t="shared" si="141"/>
        <v>339.34999999999997</v>
      </c>
      <c r="I464" s="14">
        <f t="shared" si="142"/>
        <v>3.85</v>
      </c>
      <c r="J464" s="14">
        <f t="shared" si="143"/>
        <v>1998.8007660000001</v>
      </c>
      <c r="K464" s="14">
        <f t="shared" si="144"/>
        <v>1.018800766</v>
      </c>
      <c r="L464" s="14">
        <f t="shared" si="145"/>
        <v>1155.1159580000001</v>
      </c>
      <c r="M464" s="14">
        <v>1146.4000000000001</v>
      </c>
      <c r="N464" s="13">
        <f t="shared" si="146"/>
        <v>1.1551159580000003</v>
      </c>
      <c r="O464" s="13">
        <f t="shared" si="147"/>
        <v>1.1740199999999998</v>
      </c>
      <c r="P464" s="13">
        <f t="shared" si="148"/>
        <v>1.890404199999951E-2</v>
      </c>
      <c r="Q464" s="16">
        <f t="shared" si="149"/>
        <v>1.6101976116249733E-2</v>
      </c>
      <c r="R464" s="14">
        <f t="shared" ca="1" si="150"/>
        <v>4.2137571370262386</v>
      </c>
      <c r="S464" s="14">
        <f t="shared" si="151"/>
        <v>4.3299877419354829</v>
      </c>
      <c r="T464" s="14">
        <f t="shared" ca="1" si="152"/>
        <v>0.11623060490924431</v>
      </c>
      <c r="U464" s="16">
        <f t="shared" ca="1" si="153"/>
        <v>2.6843171813989895E-2</v>
      </c>
      <c r="V464" s="14">
        <f t="shared" si="154"/>
        <v>3.8500000000000005</v>
      </c>
      <c r="W464" s="14">
        <f t="shared" ca="1" si="155"/>
        <v>3.7862428629737614</v>
      </c>
      <c r="X464" s="14">
        <f t="shared" ca="1" si="156"/>
        <v>6.3757137026239086E-2</v>
      </c>
      <c r="Y464" s="28">
        <f t="shared" ca="1" si="157"/>
        <v>1.6560295331490671E-2</v>
      </c>
      <c r="Z464" s="29">
        <f t="shared" ca="1" si="158"/>
        <v>65.434914000000006</v>
      </c>
      <c r="AA464" s="16">
        <f t="shared" ca="1" si="159"/>
        <v>1.1557190332326233E-2</v>
      </c>
      <c r="AB464" s="2"/>
    </row>
    <row r="465" spans="6:28" x14ac:dyDescent="0.25">
      <c r="F465" s="13">
        <v>463</v>
      </c>
      <c r="G465" s="13">
        <f t="shared" si="140"/>
        <v>66.300000000000011</v>
      </c>
      <c r="H465" s="13">
        <f t="shared" si="141"/>
        <v>339.45</v>
      </c>
      <c r="I465" s="14">
        <f t="shared" si="142"/>
        <v>3.858333</v>
      </c>
      <c r="J465" s="14">
        <f t="shared" si="143"/>
        <v>1991.846035</v>
      </c>
      <c r="K465" s="14">
        <f t="shared" si="144"/>
        <v>1.011846035</v>
      </c>
      <c r="L465" s="14">
        <f t="shared" si="145"/>
        <v>1152.8356940000001</v>
      </c>
      <c r="M465" s="14">
        <v>1144</v>
      </c>
      <c r="N465" s="13">
        <f t="shared" si="146"/>
        <v>1.152835694</v>
      </c>
      <c r="O465" s="13">
        <f t="shared" si="147"/>
        <v>1.1717299999999997</v>
      </c>
      <c r="P465" s="13">
        <f t="shared" si="148"/>
        <v>1.889430599999975E-2</v>
      </c>
      <c r="Q465" s="16">
        <f t="shared" si="149"/>
        <v>1.6125136336869204E-2</v>
      </c>
      <c r="R465" s="14">
        <f t="shared" ca="1" si="150"/>
        <v>4.2058245014577258</v>
      </c>
      <c r="S465" s="14">
        <f t="shared" si="151"/>
        <v>4.3215418279569882</v>
      </c>
      <c r="T465" s="14">
        <f t="shared" ca="1" si="152"/>
        <v>0.11571732649926236</v>
      </c>
      <c r="U465" s="16">
        <f t="shared" ca="1" si="153"/>
        <v>2.6776861385596679E-2</v>
      </c>
      <c r="V465" s="14">
        <f t="shared" si="154"/>
        <v>3.8583333333333334</v>
      </c>
      <c r="W465" s="14">
        <f t="shared" ca="1" si="155"/>
        <v>3.7941754985422742</v>
      </c>
      <c r="X465" s="14">
        <f t="shared" ca="1" si="156"/>
        <v>6.4157834791059187E-2</v>
      </c>
      <c r="Y465" s="28">
        <f t="shared" ca="1" si="157"/>
        <v>1.6628380507401948E-2</v>
      </c>
      <c r="Z465" s="29">
        <f t="shared" ca="1" si="158"/>
        <v>65.530106000000004</v>
      </c>
      <c r="AA465" s="16">
        <f t="shared" ca="1" si="159"/>
        <v>1.1612277526395289E-2</v>
      </c>
      <c r="AB465" s="2"/>
    </row>
    <row r="466" spans="6:28" x14ac:dyDescent="0.25">
      <c r="F466" s="13">
        <v>464</v>
      </c>
      <c r="G466" s="13">
        <f t="shared" si="140"/>
        <v>66.400000000000006</v>
      </c>
      <c r="H466" s="13">
        <f t="shared" si="141"/>
        <v>339.54999999999995</v>
      </c>
      <c r="I466" s="14">
        <f t="shared" si="142"/>
        <v>3.8666670000000001</v>
      </c>
      <c r="J466" s="14">
        <f t="shared" si="143"/>
        <v>1984.9191350000001</v>
      </c>
      <c r="K466" s="14">
        <f t="shared" si="144"/>
        <v>1.0049191350000002</v>
      </c>
      <c r="L466" s="14">
        <f t="shared" si="145"/>
        <v>1150.5578539999999</v>
      </c>
      <c r="M466" s="14">
        <v>1141.8699999999999</v>
      </c>
      <c r="N466" s="13">
        <f t="shared" si="146"/>
        <v>1.1505578539999999</v>
      </c>
      <c r="O466" s="13">
        <f t="shared" si="147"/>
        <v>1.1694399999999998</v>
      </c>
      <c r="P466" s="13">
        <f t="shared" si="148"/>
        <v>1.8882145999999933E-2</v>
      </c>
      <c r="Q466" s="16">
        <f t="shared" si="149"/>
        <v>1.6146314475304364E-2</v>
      </c>
      <c r="R466" s="14">
        <f t="shared" ca="1" si="150"/>
        <v>4.197131137026239</v>
      </c>
      <c r="S466" s="14">
        <f t="shared" si="151"/>
        <v>4.3130959139784935</v>
      </c>
      <c r="T466" s="14">
        <f t="shared" ca="1" si="152"/>
        <v>0.11596477695225449</v>
      </c>
      <c r="U466" s="16">
        <f t="shared" ca="1" si="153"/>
        <v>2.6886667782281257E-2</v>
      </c>
      <c r="V466" s="14">
        <f t="shared" si="154"/>
        <v>3.8666666666666671</v>
      </c>
      <c r="W466" s="14">
        <f t="shared" ca="1" si="155"/>
        <v>3.802868862973761</v>
      </c>
      <c r="X466" s="14">
        <f t="shared" ca="1" si="156"/>
        <v>6.3797803692906108E-2</v>
      </c>
      <c r="Y466" s="28">
        <f t="shared" ca="1" si="157"/>
        <v>1.6499431989544681E-2</v>
      </c>
      <c r="Z466" s="29">
        <f t="shared" ca="1" si="158"/>
        <v>65.634426000000005</v>
      </c>
      <c r="AA466" s="16">
        <f t="shared" ca="1" si="159"/>
        <v>1.1529728915662663E-2</v>
      </c>
      <c r="AB466" s="2"/>
    </row>
    <row r="467" spans="6:28" x14ac:dyDescent="0.25">
      <c r="F467" s="13">
        <v>465</v>
      </c>
      <c r="G467" s="13">
        <f t="shared" si="140"/>
        <v>66.5</v>
      </c>
      <c r="H467" s="13">
        <f t="shared" si="141"/>
        <v>339.65</v>
      </c>
      <c r="I467" s="14">
        <f t="shared" si="142"/>
        <v>3.875</v>
      </c>
      <c r="J467" s="14">
        <f t="shared" si="143"/>
        <v>1978.0199399999999</v>
      </c>
      <c r="K467" s="14">
        <f t="shared" si="144"/>
        <v>0.99801994000000005</v>
      </c>
      <c r="L467" s="14">
        <f t="shared" si="145"/>
        <v>1148.2824479999999</v>
      </c>
      <c r="M467" s="14">
        <v>1139.5999999999999</v>
      </c>
      <c r="N467" s="13">
        <f t="shared" si="146"/>
        <v>1.148282448</v>
      </c>
      <c r="O467" s="13">
        <f t="shared" si="147"/>
        <v>1.1671499999999999</v>
      </c>
      <c r="P467" s="13">
        <f t="shared" si="148"/>
        <v>1.8867551999999899E-2</v>
      </c>
      <c r="Q467" s="16">
        <f t="shared" si="149"/>
        <v>1.6165490296876923E-2</v>
      </c>
      <c r="R467" s="14">
        <f t="shared" ca="1" si="150"/>
        <v>4.1884350000000001</v>
      </c>
      <c r="S467" s="14">
        <f t="shared" si="151"/>
        <v>4.3046499999999996</v>
      </c>
      <c r="T467" s="14">
        <f t="shared" ca="1" si="152"/>
        <v>0.11621499999999951</v>
      </c>
      <c r="U467" s="16">
        <f t="shared" ca="1" si="153"/>
        <v>2.6997549161952662E-2</v>
      </c>
      <c r="V467" s="14">
        <f t="shared" si="154"/>
        <v>3.875</v>
      </c>
      <c r="W467" s="14">
        <f t="shared" ca="1" si="155"/>
        <v>3.8115649999999999</v>
      </c>
      <c r="X467" s="14">
        <f t="shared" ca="1" si="156"/>
        <v>6.343500000000013E-2</v>
      </c>
      <c r="Y467" s="28">
        <f t="shared" ca="1" si="157"/>
        <v>1.6370322580645195E-2</v>
      </c>
      <c r="Z467" s="29">
        <f t="shared" ca="1" si="158"/>
        <v>65.738780000000006</v>
      </c>
      <c r="AA467" s="16">
        <f t="shared" ca="1" si="159"/>
        <v>1.1446917293233E-2</v>
      </c>
      <c r="AB467" s="2"/>
    </row>
    <row r="468" spans="6:28" x14ac:dyDescent="0.25">
      <c r="F468" s="13">
        <v>466</v>
      </c>
      <c r="G468" s="13">
        <f t="shared" si="140"/>
        <v>66.599999999999994</v>
      </c>
      <c r="H468" s="13">
        <f t="shared" si="141"/>
        <v>339.75</v>
      </c>
      <c r="I468" s="14">
        <f t="shared" si="142"/>
        <v>3.8833329999999999</v>
      </c>
      <c r="J468" s="14">
        <f t="shared" si="143"/>
        <v>1971.1483270000001</v>
      </c>
      <c r="K468" s="14">
        <f t="shared" si="144"/>
        <v>0.99114832700000011</v>
      </c>
      <c r="L468" s="14">
        <f t="shared" si="145"/>
        <v>1146.0094859999999</v>
      </c>
      <c r="M468" s="14">
        <v>1137.19</v>
      </c>
      <c r="N468" s="13">
        <f t="shared" si="146"/>
        <v>1.1460094859999999</v>
      </c>
      <c r="O468" s="13">
        <f t="shared" si="147"/>
        <v>1.16486</v>
      </c>
      <c r="P468" s="13">
        <f t="shared" si="148"/>
        <v>1.8850514000000151E-2</v>
      </c>
      <c r="Q468" s="16">
        <f t="shared" si="149"/>
        <v>1.6182643407791623E-2</v>
      </c>
      <c r="R468" s="14">
        <f t="shared" ca="1" si="150"/>
        <v>4.1801547725947517</v>
      </c>
      <c r="S468" s="14">
        <f t="shared" si="151"/>
        <v>4.2962040860215049</v>
      </c>
      <c r="T468" s="14">
        <f t="shared" ca="1" si="152"/>
        <v>0.11604931342675329</v>
      </c>
      <c r="U468" s="16">
        <f t="shared" ca="1" si="153"/>
        <v>2.7012057877869724E-2</v>
      </c>
      <c r="V468" s="14">
        <f t="shared" si="154"/>
        <v>3.8833333333333329</v>
      </c>
      <c r="W468" s="14">
        <f t="shared" ca="1" si="155"/>
        <v>3.8198452274052483</v>
      </c>
      <c r="X468" s="14">
        <f t="shared" ca="1" si="156"/>
        <v>6.3488105928084515E-2</v>
      </c>
      <c r="Y468" s="28">
        <f t="shared" ca="1" si="157"/>
        <v>1.6348868479335071E-2</v>
      </c>
      <c r="Z468" s="29">
        <f t="shared" ca="1" si="158"/>
        <v>65.838143000000002</v>
      </c>
      <c r="AA468" s="16">
        <f t="shared" ca="1" si="159"/>
        <v>1.1439294294294175E-2</v>
      </c>
      <c r="AB468" s="2"/>
    </row>
    <row r="469" spans="6:28" x14ac:dyDescent="0.25">
      <c r="F469" s="13">
        <v>467</v>
      </c>
      <c r="G469" s="13">
        <f t="shared" si="140"/>
        <v>66.7</v>
      </c>
      <c r="H469" s="13">
        <f t="shared" si="141"/>
        <v>339.84999999999997</v>
      </c>
      <c r="I469" s="14">
        <f t="shared" si="142"/>
        <v>3.891667</v>
      </c>
      <c r="J469" s="14">
        <f t="shared" si="143"/>
        <v>1964.304171</v>
      </c>
      <c r="K469" s="14">
        <f t="shared" si="144"/>
        <v>0.98430417100000001</v>
      </c>
      <c r="L469" s="14">
        <f t="shared" si="145"/>
        <v>1143.738977</v>
      </c>
      <c r="M469" s="14">
        <v>1135.05</v>
      </c>
      <c r="N469" s="13">
        <f t="shared" si="146"/>
        <v>1.1437389769999999</v>
      </c>
      <c r="O469" s="13">
        <f t="shared" si="147"/>
        <v>1.1625699999999999</v>
      </c>
      <c r="P469" s="13">
        <f t="shared" si="148"/>
        <v>1.8831022999999947E-2</v>
      </c>
      <c r="Q469" s="16">
        <f t="shared" si="149"/>
        <v>1.6197754113730742E-2</v>
      </c>
      <c r="R469" s="14">
        <f t="shared" ca="1" si="150"/>
        <v>4.1710814985422742</v>
      </c>
      <c r="S469" s="14">
        <f t="shared" si="151"/>
        <v>4.2877581720430102</v>
      </c>
      <c r="T469" s="14">
        <f t="shared" ca="1" si="152"/>
        <v>0.11667667350073607</v>
      </c>
      <c r="U469" s="16">
        <f t="shared" ca="1" si="153"/>
        <v>2.7211579762471197E-2</v>
      </c>
      <c r="V469" s="14">
        <f t="shared" si="154"/>
        <v>3.8916666666666666</v>
      </c>
      <c r="W469" s="14">
        <f t="shared" ca="1" si="155"/>
        <v>3.8289185014577258</v>
      </c>
      <c r="X469" s="14">
        <f t="shared" ca="1" si="156"/>
        <v>6.2748165208940776E-2</v>
      </c>
      <c r="Y469" s="28">
        <f t="shared" ca="1" si="157"/>
        <v>1.6123725535487993E-2</v>
      </c>
      <c r="Z469" s="29">
        <f t="shared" ca="1" si="158"/>
        <v>65.947022000000004</v>
      </c>
      <c r="AA469" s="16">
        <f t="shared" ca="1" si="159"/>
        <v>1.1289025487256353E-2</v>
      </c>
      <c r="AB469" s="2"/>
    </row>
    <row r="470" spans="6:28" x14ac:dyDescent="0.25">
      <c r="F470" s="13">
        <v>468</v>
      </c>
      <c r="G470" s="13">
        <f t="shared" si="140"/>
        <v>66.800000000000011</v>
      </c>
      <c r="H470" s="13">
        <f t="shared" si="141"/>
        <v>339.95</v>
      </c>
      <c r="I470" s="14">
        <f t="shared" si="142"/>
        <v>3.9</v>
      </c>
      <c r="J470" s="14">
        <f t="shared" si="143"/>
        <v>1957.4873500000001</v>
      </c>
      <c r="K470" s="14">
        <f t="shared" si="144"/>
        <v>0.97748735000000009</v>
      </c>
      <c r="L470" s="14">
        <f t="shared" si="145"/>
        <v>1141.4709319999999</v>
      </c>
      <c r="M470" s="14">
        <v>1132.6300000000001</v>
      </c>
      <c r="N470" s="13">
        <f t="shared" si="146"/>
        <v>1.141470932</v>
      </c>
      <c r="O470" s="13">
        <f t="shared" si="147"/>
        <v>1.1602799999999998</v>
      </c>
      <c r="P470" s="13">
        <f t="shared" si="148"/>
        <v>1.8809067999999707E-2</v>
      </c>
      <c r="Q470" s="16">
        <f t="shared" si="149"/>
        <v>1.6210800841176019E-2</v>
      </c>
      <c r="R470" s="14">
        <f t="shared" ca="1" si="150"/>
        <v>4.1635792274052488</v>
      </c>
      <c r="S470" s="14">
        <f t="shared" si="151"/>
        <v>4.2793122580645147</v>
      </c>
      <c r="T470" s="14">
        <f t="shared" ca="1" si="152"/>
        <v>0.11573303065926588</v>
      </c>
      <c r="U470" s="16">
        <f t="shared" ca="1" si="153"/>
        <v>2.7044773477598628E-2</v>
      </c>
      <c r="V470" s="14">
        <f t="shared" si="154"/>
        <v>3.9000000000000012</v>
      </c>
      <c r="W470" s="14">
        <f t="shared" ca="1" si="155"/>
        <v>3.8364207725947512</v>
      </c>
      <c r="X470" s="14">
        <f t="shared" ca="1" si="156"/>
        <v>6.3579227405250016E-2</v>
      </c>
      <c r="Y470" s="28">
        <f t="shared" ca="1" si="157"/>
        <v>1.6302366001346155E-2</v>
      </c>
      <c r="Z470" s="29">
        <f t="shared" ca="1" si="158"/>
        <v>66.037048999999996</v>
      </c>
      <c r="AA470" s="16">
        <f t="shared" ca="1" si="159"/>
        <v>1.1421422155688849E-2</v>
      </c>
      <c r="AB470" s="2"/>
    </row>
    <row r="471" spans="6:28" x14ac:dyDescent="0.25">
      <c r="F471" s="13">
        <v>469</v>
      </c>
      <c r="G471" s="13">
        <f t="shared" si="140"/>
        <v>66.900000000000006</v>
      </c>
      <c r="H471" s="13">
        <f t="shared" si="141"/>
        <v>340.04999999999995</v>
      </c>
      <c r="I471" s="14">
        <f t="shared" si="142"/>
        <v>3.9083329999999998</v>
      </c>
      <c r="J471" s="14">
        <f t="shared" si="143"/>
        <v>1950.6977420000001</v>
      </c>
      <c r="K471" s="14">
        <f t="shared" si="144"/>
        <v>0.97069774200000003</v>
      </c>
      <c r="L471" s="14">
        <f t="shared" si="145"/>
        <v>1139.2053599999999</v>
      </c>
      <c r="M471" s="14">
        <v>1130.48</v>
      </c>
      <c r="N471" s="13">
        <f t="shared" si="146"/>
        <v>1.1392053600000001</v>
      </c>
      <c r="O471" s="13">
        <f t="shared" si="147"/>
        <v>1.1579899999999999</v>
      </c>
      <c r="P471" s="13">
        <f t="shared" si="148"/>
        <v>1.8784639999999797E-2</v>
      </c>
      <c r="Q471" s="16">
        <f t="shared" si="149"/>
        <v>1.6221763573087678E-2</v>
      </c>
      <c r="R471" s="14">
        <f t="shared" ca="1" si="150"/>
        <v>4.1557113644314869</v>
      </c>
      <c r="S471" s="14">
        <f t="shared" si="151"/>
        <v>4.2708663440860208</v>
      </c>
      <c r="T471" s="14">
        <f t="shared" ca="1" si="152"/>
        <v>0.11515497965453392</v>
      </c>
      <c r="U471" s="16">
        <f t="shared" ca="1" si="153"/>
        <v>2.6962908781725751E-2</v>
      </c>
      <c r="V471" s="14">
        <f t="shared" si="154"/>
        <v>3.9083333333333332</v>
      </c>
      <c r="W471" s="14">
        <f t="shared" ca="1" si="155"/>
        <v>3.8442886355685131</v>
      </c>
      <c r="X471" s="14">
        <f t="shared" ca="1" si="156"/>
        <v>6.4044697764820135E-2</v>
      </c>
      <c r="Y471" s="28">
        <f t="shared" ca="1" si="157"/>
        <v>1.6386703052832446E-2</v>
      </c>
      <c r="Z471" s="29">
        <f t="shared" ca="1" si="158"/>
        <v>66.131463999999994</v>
      </c>
      <c r="AA471" s="16">
        <f t="shared" ca="1" si="159"/>
        <v>1.1487832585949351E-2</v>
      </c>
      <c r="AB471" s="2"/>
    </row>
    <row r="472" spans="6:28" x14ac:dyDescent="0.25">
      <c r="F472" s="13">
        <v>470</v>
      </c>
      <c r="G472" s="13">
        <f t="shared" si="140"/>
        <v>67</v>
      </c>
      <c r="H472" s="13">
        <f t="shared" si="141"/>
        <v>340.15</v>
      </c>
      <c r="I472" s="14">
        <f t="shared" si="142"/>
        <v>3.9166669999999999</v>
      </c>
      <c r="J472" s="14">
        <f t="shared" si="143"/>
        <v>1943.935223</v>
      </c>
      <c r="K472" s="14">
        <f t="shared" si="144"/>
        <v>0.96393522300000001</v>
      </c>
      <c r="L472" s="14">
        <f t="shared" si="145"/>
        <v>1136.9422709999999</v>
      </c>
      <c r="M472" s="14">
        <v>1128.06</v>
      </c>
      <c r="N472" s="13">
        <f t="shared" si="146"/>
        <v>1.1369422710000001</v>
      </c>
      <c r="O472" s="13">
        <f t="shared" si="147"/>
        <v>1.1556999999999999</v>
      </c>
      <c r="P472" s="13">
        <f t="shared" si="148"/>
        <v>1.8757728999999834E-2</v>
      </c>
      <c r="Q472" s="16">
        <f t="shared" si="149"/>
        <v>1.623062126849514E-2</v>
      </c>
      <c r="R472" s="14">
        <f t="shared" ca="1" si="150"/>
        <v>4.1474563644314877</v>
      </c>
      <c r="S472" s="14">
        <f t="shared" si="151"/>
        <v>4.2624204301075261</v>
      </c>
      <c r="T472" s="14">
        <f t="shared" ca="1" si="152"/>
        <v>0.11496406567603845</v>
      </c>
      <c r="U472" s="16">
        <f t="shared" ca="1" si="153"/>
        <v>2.697154529008728E-2</v>
      </c>
      <c r="V472" s="14">
        <f t="shared" si="154"/>
        <v>3.916666666666667</v>
      </c>
      <c r="W472" s="14">
        <f t="shared" ca="1" si="155"/>
        <v>3.8525436355685123</v>
      </c>
      <c r="X472" s="14">
        <f t="shared" ca="1" si="156"/>
        <v>6.4123031098154648E-2</v>
      </c>
      <c r="Y472" s="28">
        <f t="shared" ca="1" si="157"/>
        <v>1.6371837727188421E-2</v>
      </c>
      <c r="Z472" s="29">
        <f t="shared" ca="1" si="158"/>
        <v>66.230524000000003</v>
      </c>
      <c r="AA472" s="16">
        <f t="shared" ca="1" si="159"/>
        <v>1.1484716417910408E-2</v>
      </c>
      <c r="AB472" s="2"/>
    </row>
    <row r="473" spans="6:28" x14ac:dyDescent="0.25">
      <c r="F473" s="13">
        <v>471</v>
      </c>
      <c r="G473" s="13">
        <f t="shared" si="140"/>
        <v>67.099999999999994</v>
      </c>
      <c r="H473" s="13">
        <f t="shared" si="141"/>
        <v>340.25</v>
      </c>
      <c r="I473" s="14">
        <f t="shared" si="142"/>
        <v>3.9249999999999998</v>
      </c>
      <c r="J473" s="14">
        <f t="shared" si="143"/>
        <v>1937.199674</v>
      </c>
      <c r="K473" s="14">
        <f t="shared" si="144"/>
        <v>0.95719967399999994</v>
      </c>
      <c r="L473" s="14">
        <f t="shared" si="145"/>
        <v>1134.681673</v>
      </c>
      <c r="M473" s="14">
        <v>1125.77</v>
      </c>
      <c r="N473" s="13">
        <f t="shared" si="146"/>
        <v>1.1346816730000002</v>
      </c>
      <c r="O473" s="13">
        <f t="shared" si="147"/>
        <v>1.15341</v>
      </c>
      <c r="P473" s="13">
        <f t="shared" si="148"/>
        <v>1.8728326999999823E-2</v>
      </c>
      <c r="Q473" s="16">
        <f t="shared" si="149"/>
        <v>1.6237354453316533E-2</v>
      </c>
      <c r="R473" s="14">
        <f t="shared" ca="1" si="150"/>
        <v>4.1384288629737611</v>
      </c>
      <c r="S473" s="14">
        <f t="shared" si="151"/>
        <v>4.2539745161290323</v>
      </c>
      <c r="T473" s="14">
        <f t="shared" ca="1" si="152"/>
        <v>0.11554565315527121</v>
      </c>
      <c r="U473" s="16">
        <f t="shared" ca="1" si="153"/>
        <v>2.7161811317199358E-2</v>
      </c>
      <c r="V473" s="14">
        <f t="shared" si="154"/>
        <v>3.9249999999999989</v>
      </c>
      <c r="W473" s="14">
        <f t="shared" ca="1" si="155"/>
        <v>3.8615711370262389</v>
      </c>
      <c r="X473" s="14">
        <f t="shared" ca="1" si="156"/>
        <v>6.3428862973760047E-2</v>
      </c>
      <c r="Y473" s="28">
        <f t="shared" ca="1" si="157"/>
        <v>1.6160219865926129E-2</v>
      </c>
      <c r="Z473" s="29">
        <f t="shared" ca="1" si="158"/>
        <v>66.338853999999998</v>
      </c>
      <c r="AA473" s="16">
        <f t="shared" ca="1" si="159"/>
        <v>1.1343457526080427E-2</v>
      </c>
      <c r="AB473" s="2"/>
    </row>
    <row r="474" spans="6:28" x14ac:dyDescent="0.25">
      <c r="F474" s="13">
        <v>472</v>
      </c>
      <c r="G474" s="13">
        <f t="shared" si="140"/>
        <v>67.2</v>
      </c>
      <c r="H474" s="13">
        <f t="shared" si="141"/>
        <v>340.34999999999997</v>
      </c>
      <c r="I474" s="14">
        <f t="shared" si="142"/>
        <v>3.9333330000000002</v>
      </c>
      <c r="J474" s="14">
        <f t="shared" si="143"/>
        <v>1930.4909740000001</v>
      </c>
      <c r="K474" s="14">
        <f t="shared" si="144"/>
        <v>0.95049097400000004</v>
      </c>
      <c r="L474" s="14">
        <f t="shared" si="145"/>
        <v>1132.4235779999999</v>
      </c>
      <c r="M474" s="14">
        <v>1123.48</v>
      </c>
      <c r="N474" s="13">
        <f t="shared" si="146"/>
        <v>1.132423578</v>
      </c>
      <c r="O474" s="13">
        <f t="shared" si="147"/>
        <v>1.1511199999999999</v>
      </c>
      <c r="P474" s="13">
        <f t="shared" si="148"/>
        <v>1.8696421999999879E-2</v>
      </c>
      <c r="Q474" s="16">
        <f t="shared" si="149"/>
        <v>1.6241940023629057E-2</v>
      </c>
      <c r="R474" s="14">
        <f t="shared" ca="1" si="150"/>
        <v>4.1305782274052483</v>
      </c>
      <c r="S474" s="14">
        <f t="shared" si="151"/>
        <v>4.2455286021505367</v>
      </c>
      <c r="T474" s="14">
        <f t="shared" ca="1" si="152"/>
        <v>0.11495037474528846</v>
      </c>
      <c r="U474" s="16">
        <f t="shared" ca="1" si="153"/>
        <v>2.707563309950646E-2</v>
      </c>
      <c r="V474" s="14">
        <f t="shared" si="154"/>
        <v>3.9333333333333336</v>
      </c>
      <c r="W474" s="14">
        <f t="shared" ca="1" si="155"/>
        <v>3.8694217725947517</v>
      </c>
      <c r="X474" s="14">
        <f t="shared" ca="1" si="156"/>
        <v>6.3911560738581841E-2</v>
      </c>
      <c r="Y474" s="28">
        <f t="shared" ca="1" si="157"/>
        <v>1.6248701882690297E-2</v>
      </c>
      <c r="Z474" s="29">
        <f t="shared" ca="1" si="158"/>
        <v>66.433060999999995</v>
      </c>
      <c r="AA474" s="16">
        <f t="shared" ca="1" si="159"/>
        <v>1.1412782738095354E-2</v>
      </c>
      <c r="AB474" s="2"/>
    </row>
    <row r="475" spans="6:28" x14ac:dyDescent="0.25">
      <c r="F475" s="13">
        <v>473</v>
      </c>
      <c r="G475" s="13">
        <f t="shared" si="140"/>
        <v>67.300000000000011</v>
      </c>
      <c r="H475" s="13">
        <f t="shared" si="141"/>
        <v>340.45</v>
      </c>
      <c r="I475" s="14">
        <f t="shared" si="142"/>
        <v>3.9416669999999998</v>
      </c>
      <c r="J475" s="14">
        <f t="shared" si="143"/>
        <v>1923.809002</v>
      </c>
      <c r="K475" s="14">
        <f t="shared" si="144"/>
        <v>0.94380900200000006</v>
      </c>
      <c r="L475" s="14">
        <f t="shared" si="145"/>
        <v>1130.1679939999999</v>
      </c>
      <c r="M475" s="14">
        <v>1121.31</v>
      </c>
      <c r="N475" s="13">
        <f t="shared" si="146"/>
        <v>1.1301679939999998</v>
      </c>
      <c r="O475" s="13">
        <f t="shared" si="147"/>
        <v>1.1488299999999996</v>
      </c>
      <c r="P475" s="13">
        <f t="shared" si="148"/>
        <v>1.8662005999999787E-2</v>
      </c>
      <c r="Q475" s="16">
        <f t="shared" si="149"/>
        <v>1.6244358173097669E-2</v>
      </c>
      <c r="R475" s="14">
        <f t="shared" ca="1" si="150"/>
        <v>4.1227473644314871</v>
      </c>
      <c r="S475" s="14">
        <f t="shared" si="151"/>
        <v>4.2370826881720411</v>
      </c>
      <c r="T475" s="14">
        <f t="shared" ca="1" si="152"/>
        <v>0.114335323740554</v>
      </c>
      <c r="U475" s="16">
        <f t="shared" ca="1" si="153"/>
        <v>2.6984444759533464E-2</v>
      </c>
      <c r="V475" s="14">
        <f t="shared" si="154"/>
        <v>3.9416666666666682</v>
      </c>
      <c r="W475" s="14">
        <f t="shared" ca="1" si="155"/>
        <v>3.8772526355685129</v>
      </c>
      <c r="X475" s="14">
        <f t="shared" ca="1" si="156"/>
        <v>6.4414031098155355E-2</v>
      </c>
      <c r="Y475" s="28">
        <f t="shared" ca="1" si="157"/>
        <v>1.6341826071413615E-2</v>
      </c>
      <c r="Z475" s="29">
        <f t="shared" ca="1" si="158"/>
        <v>66.527032000000005</v>
      </c>
      <c r="AA475" s="16">
        <f t="shared" ca="1" si="159"/>
        <v>1.1485408618127871E-2</v>
      </c>
      <c r="AB475" s="2"/>
    </row>
    <row r="476" spans="6:28" x14ac:dyDescent="0.25">
      <c r="F476" s="13">
        <v>474</v>
      </c>
      <c r="G476" s="13">
        <f t="shared" si="140"/>
        <v>67.400000000000006</v>
      </c>
      <c r="H476" s="13">
        <f t="shared" si="141"/>
        <v>340.54999999999995</v>
      </c>
      <c r="I476" s="14">
        <f t="shared" si="142"/>
        <v>3.95</v>
      </c>
      <c r="J476" s="14">
        <f t="shared" si="143"/>
        <v>1917.1536390000001</v>
      </c>
      <c r="K476" s="14">
        <f t="shared" si="144"/>
        <v>0.93715363900000015</v>
      </c>
      <c r="L476" s="14">
        <f t="shared" si="145"/>
        <v>1127.914931</v>
      </c>
      <c r="M476" s="14">
        <v>1119.1500000000001</v>
      </c>
      <c r="N476" s="13">
        <f t="shared" si="146"/>
        <v>1.1279149310000001</v>
      </c>
      <c r="O476" s="13">
        <f t="shared" si="147"/>
        <v>1.1465399999999999</v>
      </c>
      <c r="P476" s="13">
        <f t="shared" si="148"/>
        <v>1.8625068999999828E-2</v>
      </c>
      <c r="Q476" s="16">
        <f t="shared" si="149"/>
        <v>1.6244587192771144E-2</v>
      </c>
      <c r="R476" s="14">
        <f t="shared" ca="1" si="150"/>
        <v>4.1137468629737617</v>
      </c>
      <c r="S476" s="14">
        <f t="shared" si="151"/>
        <v>4.2286367741935482</v>
      </c>
      <c r="T476" s="14">
        <f t="shared" ca="1" si="152"/>
        <v>0.11488991121978653</v>
      </c>
      <c r="U476" s="16">
        <f t="shared" ca="1" si="153"/>
        <v>2.7169491577270177E-2</v>
      </c>
      <c r="V476" s="14">
        <f t="shared" si="154"/>
        <v>3.9499999999999993</v>
      </c>
      <c r="W476" s="14">
        <f t="shared" ca="1" si="155"/>
        <v>3.8862531370262383</v>
      </c>
      <c r="X476" s="14">
        <f t="shared" ca="1" si="156"/>
        <v>6.3746862973760976E-2</v>
      </c>
      <c r="Y476" s="28">
        <f t="shared" ca="1" si="157"/>
        <v>1.6138446322471137E-2</v>
      </c>
      <c r="Z476" s="29">
        <f t="shared" ca="1" si="158"/>
        <v>66.635037999999994</v>
      </c>
      <c r="AA476" s="16">
        <f t="shared" ca="1" si="159"/>
        <v>1.1349584569733104E-2</v>
      </c>
      <c r="AB476" s="2"/>
    </row>
    <row r="477" spans="6:28" x14ac:dyDescent="0.25">
      <c r="F477" s="13">
        <v>475</v>
      </c>
      <c r="G477" s="13">
        <f t="shared" si="140"/>
        <v>67.5</v>
      </c>
      <c r="H477" s="13">
        <f t="shared" si="141"/>
        <v>340.65</v>
      </c>
      <c r="I477" s="14">
        <f t="shared" si="142"/>
        <v>3.9583330000000001</v>
      </c>
      <c r="J477" s="14">
        <f t="shared" si="143"/>
        <v>1910.5247670000001</v>
      </c>
      <c r="K477" s="14">
        <f t="shared" si="144"/>
        <v>0.93052476700000009</v>
      </c>
      <c r="L477" s="14">
        <f t="shared" si="145"/>
        <v>1125.664397</v>
      </c>
      <c r="M477" s="14">
        <v>1116.8399999999999</v>
      </c>
      <c r="N477" s="13">
        <f t="shared" si="146"/>
        <v>1.125664397</v>
      </c>
      <c r="O477" s="13">
        <f t="shared" si="147"/>
        <v>1.14425</v>
      </c>
      <c r="P477" s="13">
        <f t="shared" si="148"/>
        <v>1.8585603000000006E-2</v>
      </c>
      <c r="Q477" s="16">
        <f t="shared" si="149"/>
        <v>1.6242606947782397E-2</v>
      </c>
      <c r="R477" s="14">
        <f t="shared" ca="1" si="150"/>
        <v>4.1055486355685131</v>
      </c>
      <c r="S477" s="14">
        <f t="shared" si="151"/>
        <v>4.2201908602150535</v>
      </c>
      <c r="T477" s="14">
        <f t="shared" ca="1" si="152"/>
        <v>0.11464222464654039</v>
      </c>
      <c r="U477" s="16">
        <f t="shared" ca="1" si="153"/>
        <v>2.7165175330648061E-2</v>
      </c>
      <c r="V477" s="14">
        <f t="shared" si="154"/>
        <v>3.958333333333333</v>
      </c>
      <c r="W477" s="14">
        <f t="shared" ca="1" si="155"/>
        <v>3.8944513644314869</v>
      </c>
      <c r="X477" s="14">
        <f t="shared" ca="1" si="156"/>
        <v>6.3881968901846164E-2</v>
      </c>
      <c r="Y477" s="28">
        <f t="shared" ca="1" si="157"/>
        <v>1.6138602669940084E-2</v>
      </c>
      <c r="Z477" s="29">
        <f t="shared" ca="1" si="158"/>
        <v>66.733416000000005</v>
      </c>
      <c r="AA477" s="16">
        <f t="shared" ca="1" si="159"/>
        <v>1.135679999999992E-2</v>
      </c>
      <c r="AB477" s="2"/>
    </row>
    <row r="478" spans="6:28" x14ac:dyDescent="0.25">
      <c r="F478" s="13">
        <v>476</v>
      </c>
      <c r="G478" s="13">
        <f t="shared" si="140"/>
        <v>67.599999999999994</v>
      </c>
      <c r="H478" s="13">
        <f t="shared" si="141"/>
        <v>340.75</v>
      </c>
      <c r="I478" s="14">
        <f t="shared" si="142"/>
        <v>3.9666670000000002</v>
      </c>
      <c r="J478" s="14">
        <f t="shared" si="143"/>
        <v>1903.9222669999999</v>
      </c>
      <c r="K478" s="14">
        <f t="shared" si="144"/>
        <v>0.92392226700000002</v>
      </c>
      <c r="L478" s="14">
        <f t="shared" si="145"/>
        <v>1123.4164029999999</v>
      </c>
      <c r="M478" s="14">
        <v>1114.4000000000001</v>
      </c>
      <c r="N478" s="13">
        <f t="shared" si="146"/>
        <v>1.123416403</v>
      </c>
      <c r="O478" s="13">
        <f t="shared" si="147"/>
        <v>1.1419600000000001</v>
      </c>
      <c r="P478" s="13">
        <f t="shared" si="148"/>
        <v>1.8543597000000078E-2</v>
      </c>
      <c r="Q478" s="16">
        <f t="shared" si="149"/>
        <v>1.6238394514694103E-2</v>
      </c>
      <c r="R478" s="14">
        <f t="shared" ca="1" si="150"/>
        <v>4.0977242274052488</v>
      </c>
      <c r="S478" s="14">
        <f t="shared" si="151"/>
        <v>4.2117449462365597</v>
      </c>
      <c r="T478" s="14">
        <f t="shared" ca="1" si="152"/>
        <v>0.11402071883131093</v>
      </c>
      <c r="U478" s="16">
        <f t="shared" ca="1" si="153"/>
        <v>2.7072085391399377E-2</v>
      </c>
      <c r="V478" s="14">
        <f t="shared" si="154"/>
        <v>3.966666666666665</v>
      </c>
      <c r="W478" s="14">
        <f t="shared" ca="1" si="155"/>
        <v>3.9022757725947512</v>
      </c>
      <c r="X478" s="14">
        <f t="shared" ca="1" si="156"/>
        <v>6.4390894071913785E-2</v>
      </c>
      <c r="Y478" s="28">
        <f t="shared" ca="1" si="157"/>
        <v>1.6232998505524489E-2</v>
      </c>
      <c r="Z478" s="29">
        <f t="shared" ca="1" si="158"/>
        <v>66.827309</v>
      </c>
      <c r="AA478" s="16">
        <f t="shared" ca="1" si="159"/>
        <v>1.1430340236686314E-2</v>
      </c>
      <c r="AB478" s="2"/>
    </row>
    <row r="479" spans="6:28" x14ac:dyDescent="0.25">
      <c r="F479" s="13">
        <v>477</v>
      </c>
      <c r="G479" s="13">
        <f t="shared" si="140"/>
        <v>67.7</v>
      </c>
      <c r="H479" s="13">
        <f t="shared" si="141"/>
        <v>340.84999999999997</v>
      </c>
      <c r="I479" s="14">
        <f t="shared" si="142"/>
        <v>3.9750000000000001</v>
      </c>
      <c r="J479" s="14">
        <f t="shared" si="143"/>
        <v>1897.3460210000001</v>
      </c>
      <c r="K479" s="14">
        <f t="shared" si="144"/>
        <v>0.91734602100000018</v>
      </c>
      <c r="L479" s="14">
        <f t="shared" si="145"/>
        <v>1121.170957</v>
      </c>
      <c r="M479" s="14">
        <v>1112.49</v>
      </c>
      <c r="N479" s="13">
        <f t="shared" si="146"/>
        <v>1.1211709570000001</v>
      </c>
      <c r="O479" s="13">
        <f t="shared" si="147"/>
        <v>1.13967</v>
      </c>
      <c r="P479" s="13">
        <f t="shared" si="148"/>
        <v>1.8499042999999826E-2</v>
      </c>
      <c r="Q479" s="16">
        <f t="shared" si="149"/>
        <v>1.6231929418164755E-2</v>
      </c>
      <c r="R479" s="14">
        <f t="shared" ca="1" si="150"/>
        <v>4.0899293644314874</v>
      </c>
      <c r="S479" s="14">
        <f t="shared" si="151"/>
        <v>4.2032990322580641</v>
      </c>
      <c r="T479" s="14">
        <f t="shared" ca="1" si="152"/>
        <v>0.11336966782657676</v>
      </c>
      <c r="U479" s="16">
        <f t="shared" ca="1" si="153"/>
        <v>2.6971592303218356E-2</v>
      </c>
      <c r="V479" s="14">
        <f t="shared" si="154"/>
        <v>3.9749999999999996</v>
      </c>
      <c r="W479" s="14">
        <f t="shared" ca="1" si="155"/>
        <v>3.9100706355685126</v>
      </c>
      <c r="X479" s="14">
        <f t="shared" ca="1" si="156"/>
        <v>6.4929364431487002E-2</v>
      </c>
      <c r="Y479" s="28">
        <f t="shared" ca="1" si="157"/>
        <v>1.6334431303518745E-2</v>
      </c>
      <c r="Z479" s="29">
        <f t="shared" ca="1" si="158"/>
        <v>66.920848000000007</v>
      </c>
      <c r="AA479" s="16">
        <f t="shared" ca="1" si="159"/>
        <v>1.1508892171344111E-2</v>
      </c>
      <c r="AB479" s="2"/>
    </row>
    <row r="480" spans="6:28" x14ac:dyDescent="0.25">
      <c r="F480" s="13">
        <v>478</v>
      </c>
      <c r="G480" s="13">
        <f t="shared" si="140"/>
        <v>67.800000000000011</v>
      </c>
      <c r="H480" s="13">
        <f t="shared" si="141"/>
        <v>340.95</v>
      </c>
      <c r="I480" s="14">
        <f t="shared" si="142"/>
        <v>3.983333</v>
      </c>
      <c r="J480" s="14">
        <f t="shared" si="143"/>
        <v>1890.7959129999999</v>
      </c>
      <c r="K480" s="14">
        <f t="shared" si="144"/>
        <v>0.91079591300000007</v>
      </c>
      <c r="L480" s="14">
        <f t="shared" si="145"/>
        <v>1118.9280679999999</v>
      </c>
      <c r="M480" s="14">
        <v>1110.04</v>
      </c>
      <c r="N480" s="13">
        <f t="shared" si="146"/>
        <v>1.118928068</v>
      </c>
      <c r="O480" s="13">
        <f t="shared" si="147"/>
        <v>1.1373799999999996</v>
      </c>
      <c r="P480" s="13">
        <f t="shared" si="148"/>
        <v>1.8451931999999616E-2</v>
      </c>
      <c r="Q480" s="16">
        <f t="shared" si="149"/>
        <v>1.6223190138739577E-2</v>
      </c>
      <c r="R480" s="14">
        <f t="shared" ca="1" si="150"/>
        <v>4.0813629999999996</v>
      </c>
      <c r="S480" s="14">
        <f t="shared" si="151"/>
        <v>4.1948531182795685</v>
      </c>
      <c r="T480" s="14">
        <f t="shared" ca="1" si="152"/>
        <v>0.1134901182795689</v>
      </c>
      <c r="U480" s="16">
        <f t="shared" ca="1" si="153"/>
        <v>2.7054610752644065E-2</v>
      </c>
      <c r="V480" s="14">
        <f t="shared" si="154"/>
        <v>3.9833333333333343</v>
      </c>
      <c r="W480" s="14">
        <f t="shared" ca="1" si="155"/>
        <v>3.9186370000000004</v>
      </c>
      <c r="X480" s="14">
        <f t="shared" ca="1" si="156"/>
        <v>6.4696333333333911E-2</v>
      </c>
      <c r="Y480" s="28">
        <f t="shared" ca="1" si="157"/>
        <v>1.6241757322175872E-2</v>
      </c>
      <c r="Z480" s="29">
        <f t="shared" ca="1" si="158"/>
        <v>67.023644000000004</v>
      </c>
      <c r="AA480" s="16">
        <f t="shared" ca="1" si="159"/>
        <v>1.1450678466076796E-2</v>
      </c>
      <c r="AB480" s="2"/>
    </row>
    <row r="481" spans="6:28" x14ac:dyDescent="0.25">
      <c r="F481" s="13">
        <v>479</v>
      </c>
      <c r="G481" s="13">
        <f t="shared" si="140"/>
        <v>67.900000000000006</v>
      </c>
      <c r="H481" s="13">
        <f t="shared" si="141"/>
        <v>341.04999999999995</v>
      </c>
      <c r="I481" s="14">
        <f t="shared" si="142"/>
        <v>3.9916670000000001</v>
      </c>
      <c r="J481" s="14">
        <f t="shared" si="143"/>
        <v>1884.271825</v>
      </c>
      <c r="K481" s="14">
        <f t="shared" si="144"/>
        <v>0.90427182500000014</v>
      </c>
      <c r="L481" s="14">
        <f t="shared" si="145"/>
        <v>1116.6877460000001</v>
      </c>
      <c r="M481" s="14">
        <v>1107.73</v>
      </c>
      <c r="N481" s="13">
        <f t="shared" si="146"/>
        <v>1.1166877460000002</v>
      </c>
      <c r="O481" s="13">
        <f t="shared" si="147"/>
        <v>1.1350899999999997</v>
      </c>
      <c r="P481" s="13">
        <f t="shared" si="148"/>
        <v>1.8402253999999507E-2</v>
      </c>
      <c r="Q481" s="16">
        <f t="shared" si="149"/>
        <v>1.6212154102317449E-2</v>
      </c>
      <c r="R481" s="14">
        <f t="shared" ca="1" si="150"/>
        <v>4.0735763644314869</v>
      </c>
      <c r="S481" s="14">
        <f t="shared" si="151"/>
        <v>4.1864072043010738</v>
      </c>
      <c r="T481" s="14">
        <f t="shared" ca="1" si="152"/>
        <v>0.11283083986958697</v>
      </c>
      <c r="U481" s="16">
        <f t="shared" ca="1" si="153"/>
        <v>2.6951711661891291E-2</v>
      </c>
      <c r="V481" s="14">
        <f t="shared" si="154"/>
        <v>3.9916666666666671</v>
      </c>
      <c r="W481" s="14">
        <f t="shared" ca="1" si="155"/>
        <v>3.9264236355685131</v>
      </c>
      <c r="X481" s="14">
        <f t="shared" ca="1" si="156"/>
        <v>6.5243031098153992E-2</v>
      </c>
      <c r="Y481" s="28">
        <f t="shared" ca="1" si="157"/>
        <v>1.6344809460915401E-2</v>
      </c>
      <c r="Z481" s="29">
        <f t="shared" ca="1" si="158"/>
        <v>67.117084000000006</v>
      </c>
      <c r="AA481" s="16">
        <f t="shared" ca="1" si="159"/>
        <v>1.1530427098674523E-2</v>
      </c>
      <c r="AB481" s="2"/>
    </row>
    <row r="482" spans="6:28" x14ac:dyDescent="0.25">
      <c r="F482" s="13">
        <v>480</v>
      </c>
      <c r="G482" s="13">
        <f t="shared" si="140"/>
        <v>68</v>
      </c>
      <c r="H482" s="13">
        <f t="shared" si="141"/>
        <v>341.15</v>
      </c>
      <c r="I482" s="14">
        <f t="shared" si="142"/>
        <v>4</v>
      </c>
      <c r="J482" s="14">
        <f t="shared" si="143"/>
        <v>1877.7736420000001</v>
      </c>
      <c r="K482" s="14">
        <f t="shared" si="144"/>
        <v>0.8977736420000002</v>
      </c>
      <c r="L482" s="14">
        <f t="shared" si="145"/>
        <v>1114.45</v>
      </c>
      <c r="M482" s="14">
        <v>1105.4100000000001</v>
      </c>
      <c r="N482" s="13">
        <f t="shared" si="146"/>
        <v>1.1144500000000002</v>
      </c>
      <c r="O482" s="13">
        <f t="shared" si="147"/>
        <v>1.1328</v>
      </c>
      <c r="P482" s="13">
        <f t="shared" si="148"/>
        <v>1.8349999999999866E-2</v>
      </c>
      <c r="Q482" s="16">
        <f t="shared" si="149"/>
        <v>1.6198799435028131E-2</v>
      </c>
      <c r="R482" s="14">
        <f t="shared" ca="1" si="150"/>
        <v>4.0650182274052487</v>
      </c>
      <c r="S482" s="14">
        <f t="shared" si="151"/>
        <v>4.1779612903225809</v>
      </c>
      <c r="T482" s="14">
        <f t="shared" ca="1" si="152"/>
        <v>0.11294306291733225</v>
      </c>
      <c r="U482" s="16">
        <f t="shared" ca="1" si="153"/>
        <v>2.7033056332748336E-2</v>
      </c>
      <c r="V482" s="14">
        <f t="shared" si="154"/>
        <v>3.9999999999999991</v>
      </c>
      <c r="W482" s="14">
        <f t="shared" ca="1" si="155"/>
        <v>3.9349817725947513</v>
      </c>
      <c r="X482" s="14">
        <f t="shared" ca="1" si="156"/>
        <v>6.5018227405247764E-2</v>
      </c>
      <c r="Y482" s="28">
        <f t="shared" ca="1" si="157"/>
        <v>1.6254556851311944E-2</v>
      </c>
      <c r="Z482" s="29">
        <f t="shared" ca="1" si="158"/>
        <v>67.219780999999998</v>
      </c>
      <c r="AA482" s="16">
        <f t="shared" ca="1" si="159"/>
        <v>1.1473808823529448E-2</v>
      </c>
      <c r="AB482" s="2"/>
    </row>
    <row r="483" spans="6:28" x14ac:dyDescent="0.25">
      <c r="F483" s="13">
        <v>481</v>
      </c>
      <c r="G483" s="13">
        <f t="shared" si="140"/>
        <v>68.099999999999994</v>
      </c>
      <c r="H483" s="13">
        <f t="shared" si="141"/>
        <v>341.25</v>
      </c>
      <c r="I483" s="14">
        <f t="shared" si="142"/>
        <v>4.0083330000000004</v>
      </c>
      <c r="J483" s="14">
        <f t="shared" si="143"/>
        <v>1871.3012490000001</v>
      </c>
      <c r="K483" s="14">
        <f t="shared" si="144"/>
        <v>0.89130124900000007</v>
      </c>
      <c r="L483" s="14">
        <f t="shared" si="145"/>
        <v>1112.214837</v>
      </c>
      <c r="M483" s="14">
        <v>1103.21</v>
      </c>
      <c r="N483" s="13">
        <f t="shared" si="146"/>
        <v>1.1122148370000002</v>
      </c>
      <c r="O483" s="13">
        <f t="shared" si="147"/>
        <v>1.1305100000000001</v>
      </c>
      <c r="P483" s="13">
        <f t="shared" si="148"/>
        <v>1.8295162999999892E-2</v>
      </c>
      <c r="Q483" s="16">
        <f t="shared" si="149"/>
        <v>1.6183105854879559E-2</v>
      </c>
      <c r="R483" s="14">
        <f t="shared" ca="1" si="150"/>
        <v>4.0572613644314872</v>
      </c>
      <c r="S483" s="14">
        <f t="shared" si="151"/>
        <v>4.1695153763440862</v>
      </c>
      <c r="T483" s="14">
        <f t="shared" ca="1" si="152"/>
        <v>0.11225401191259898</v>
      </c>
      <c r="U483" s="16">
        <f t="shared" ca="1" si="153"/>
        <v>2.6922556167912618E-2</v>
      </c>
      <c r="V483" s="14">
        <f t="shared" si="154"/>
        <v>4.0083333333333329</v>
      </c>
      <c r="W483" s="14">
        <f t="shared" ca="1" si="155"/>
        <v>3.9427386355685128</v>
      </c>
      <c r="X483" s="14">
        <f t="shared" ca="1" si="156"/>
        <v>6.5594697764820076E-2</v>
      </c>
      <c r="Y483" s="28">
        <f t="shared" ca="1" si="157"/>
        <v>1.6364581562948878E-2</v>
      </c>
      <c r="Z483" s="29">
        <f t="shared" ca="1" si="158"/>
        <v>67.312864000000005</v>
      </c>
      <c r="AA483" s="16">
        <f t="shared" ca="1" si="159"/>
        <v>1.1558531571218644E-2</v>
      </c>
      <c r="AB483" s="2"/>
    </row>
    <row r="484" spans="6:28" x14ac:dyDescent="0.25">
      <c r="F484" s="13">
        <v>482</v>
      </c>
      <c r="G484" s="13">
        <f t="shared" si="140"/>
        <v>68.2</v>
      </c>
      <c r="H484" s="13">
        <f t="shared" si="141"/>
        <v>341.34999999999997</v>
      </c>
      <c r="I484" s="14">
        <f t="shared" si="142"/>
        <v>4.016667</v>
      </c>
      <c r="J484" s="14">
        <f t="shared" si="143"/>
        <v>1864.8545300000001</v>
      </c>
      <c r="K484" s="14">
        <f t="shared" si="144"/>
        <v>0.88485453000000014</v>
      </c>
      <c r="L484" s="14">
        <f t="shared" si="145"/>
        <v>1109.982268</v>
      </c>
      <c r="M484" s="14">
        <v>1101.02</v>
      </c>
      <c r="N484" s="13">
        <f t="shared" si="146"/>
        <v>1.109982268</v>
      </c>
      <c r="O484" s="13">
        <f t="shared" si="147"/>
        <v>1.1282199999999998</v>
      </c>
      <c r="P484" s="13">
        <f t="shared" si="148"/>
        <v>1.8237731999999784E-2</v>
      </c>
      <c r="Q484" s="16">
        <f t="shared" si="149"/>
        <v>1.6165049369803574E-2</v>
      </c>
      <c r="R484" s="14">
        <f t="shared" ca="1" si="150"/>
        <v>4.0483476355685131</v>
      </c>
      <c r="S484" s="14">
        <f t="shared" si="151"/>
        <v>4.1610694623655906</v>
      </c>
      <c r="T484" s="14">
        <f t="shared" ca="1" si="152"/>
        <v>0.11272182679707754</v>
      </c>
      <c r="U484" s="16">
        <f t="shared" ca="1" si="153"/>
        <v>2.7089628716025944E-2</v>
      </c>
      <c r="V484" s="14">
        <f t="shared" si="154"/>
        <v>4.0166666666666666</v>
      </c>
      <c r="W484" s="14">
        <f t="shared" ca="1" si="155"/>
        <v>3.9516523644314869</v>
      </c>
      <c r="X484" s="14">
        <f t="shared" ca="1" si="156"/>
        <v>6.5014302235179677E-2</v>
      </c>
      <c r="Y484" s="28">
        <f t="shared" ca="1" si="157"/>
        <v>1.6186133336559255E-2</v>
      </c>
      <c r="Z484" s="29">
        <f t="shared" ca="1" si="158"/>
        <v>67.419827999999995</v>
      </c>
      <c r="AA484" s="16">
        <f t="shared" ca="1" si="159"/>
        <v>1.1439472140762571E-2</v>
      </c>
      <c r="AB484" s="2"/>
    </row>
    <row r="485" spans="6:28" x14ac:dyDescent="0.25">
      <c r="F485" s="13">
        <v>483</v>
      </c>
      <c r="G485" s="13">
        <f t="shared" si="140"/>
        <v>68.300000000000011</v>
      </c>
      <c r="H485" s="13">
        <f t="shared" si="141"/>
        <v>341.45</v>
      </c>
      <c r="I485" s="14">
        <f t="shared" si="142"/>
        <v>4.0250000000000004</v>
      </c>
      <c r="J485" s="14">
        <f t="shared" si="143"/>
        <v>1858.433372</v>
      </c>
      <c r="K485" s="14">
        <f t="shared" si="144"/>
        <v>0.87843337199999993</v>
      </c>
      <c r="L485" s="14">
        <f t="shared" si="145"/>
        <v>1107.752301</v>
      </c>
      <c r="M485" s="14">
        <v>1098.82</v>
      </c>
      <c r="N485" s="13">
        <f t="shared" si="146"/>
        <v>1.1077523010000001</v>
      </c>
      <c r="O485" s="13">
        <f t="shared" si="147"/>
        <v>1.1259299999999997</v>
      </c>
      <c r="P485" s="13">
        <f t="shared" si="148"/>
        <v>1.8177698999999548E-2</v>
      </c>
      <c r="Q485" s="16">
        <f t="shared" si="149"/>
        <v>1.6144608457008477E-2</v>
      </c>
      <c r="R485" s="14">
        <f t="shared" ca="1" si="150"/>
        <v>4.0398174985422743</v>
      </c>
      <c r="S485" s="14">
        <f t="shared" si="151"/>
        <v>4.152623548387095</v>
      </c>
      <c r="T485" s="14">
        <f t="shared" ca="1" si="152"/>
        <v>0.11280604984482068</v>
      </c>
      <c r="U485" s="16">
        <f t="shared" ca="1" si="153"/>
        <v>2.7165007501976732E-2</v>
      </c>
      <c r="V485" s="14">
        <f t="shared" si="154"/>
        <v>4.0250000000000012</v>
      </c>
      <c r="W485" s="14">
        <f t="shared" ca="1" si="155"/>
        <v>3.9601825014577257</v>
      </c>
      <c r="X485" s="14">
        <f t="shared" ca="1" si="156"/>
        <v>6.4817498542275587E-2</v>
      </c>
      <c r="Y485" s="28">
        <f t="shared" ca="1" si="157"/>
        <v>1.6103726345906972E-2</v>
      </c>
      <c r="Z485" s="29">
        <f t="shared" ca="1" si="158"/>
        <v>67.522189999999995</v>
      </c>
      <c r="AA485" s="16">
        <f t="shared" ca="1" si="159"/>
        <v>1.13881405563692E-2</v>
      </c>
      <c r="AB485" s="2"/>
    </row>
    <row r="486" spans="6:28" x14ac:dyDescent="0.25">
      <c r="F486" s="13">
        <v>484</v>
      </c>
      <c r="G486" s="13">
        <f t="shared" si="140"/>
        <v>68.400000000000006</v>
      </c>
      <c r="H486" s="13">
        <f t="shared" si="141"/>
        <v>341.54999999999995</v>
      </c>
      <c r="I486" s="14">
        <f t="shared" si="142"/>
        <v>4.0333329999999998</v>
      </c>
      <c r="J486" s="14">
        <f t="shared" si="143"/>
        <v>1852.03766</v>
      </c>
      <c r="K486" s="14">
        <f t="shared" si="144"/>
        <v>0.87203765999999994</v>
      </c>
      <c r="L486" s="14">
        <f t="shared" si="145"/>
        <v>1105.5249449999999</v>
      </c>
      <c r="M486" s="14">
        <v>1096.49</v>
      </c>
      <c r="N486" s="13">
        <f t="shared" si="146"/>
        <v>1.1055249449999998</v>
      </c>
      <c r="O486" s="13">
        <f t="shared" si="147"/>
        <v>1.1236399999999998</v>
      </c>
      <c r="P486" s="13">
        <f t="shared" si="148"/>
        <v>1.8115054999999991E-2</v>
      </c>
      <c r="Q486" s="16">
        <f t="shared" si="149"/>
        <v>1.6121760528283076E-2</v>
      </c>
      <c r="R486" s="14">
        <f t="shared" ca="1" si="150"/>
        <v>4.0324739999999997</v>
      </c>
      <c r="S486" s="14">
        <f t="shared" si="151"/>
        <v>4.1441776344086012</v>
      </c>
      <c r="T486" s="14">
        <f t="shared" ca="1" si="152"/>
        <v>0.11170363440860154</v>
      </c>
      <c r="U486" s="16">
        <f t="shared" ca="1" si="153"/>
        <v>2.6954354823292295E-2</v>
      </c>
      <c r="V486" s="14">
        <f t="shared" si="154"/>
        <v>4.0333333333333332</v>
      </c>
      <c r="W486" s="14">
        <f t="shared" ca="1" si="155"/>
        <v>3.9675260000000003</v>
      </c>
      <c r="X486" s="14">
        <f t="shared" ca="1" si="156"/>
        <v>6.5807333333332885E-2</v>
      </c>
      <c r="Y486" s="28">
        <f t="shared" ca="1" si="157"/>
        <v>1.6315867768594932E-2</v>
      </c>
      <c r="Z486" s="29">
        <f t="shared" ca="1" si="158"/>
        <v>67.610311999999993</v>
      </c>
      <c r="AA486" s="16">
        <f t="shared" ca="1" si="159"/>
        <v>1.154514619883059E-2</v>
      </c>
      <c r="AB486" s="2"/>
    </row>
    <row r="487" spans="6:28" x14ac:dyDescent="0.25">
      <c r="F487" s="13">
        <v>485</v>
      </c>
      <c r="G487" s="13">
        <f t="shared" si="140"/>
        <v>68.5</v>
      </c>
      <c r="H487" s="13">
        <f t="shared" si="141"/>
        <v>341.65</v>
      </c>
      <c r="I487" s="14">
        <f t="shared" si="142"/>
        <v>4.0416670000000003</v>
      </c>
      <c r="J487" s="14">
        <f t="shared" si="143"/>
        <v>1845.667283</v>
      </c>
      <c r="K487" s="14">
        <f t="shared" si="144"/>
        <v>0.86566728300000007</v>
      </c>
      <c r="L487" s="14">
        <f t="shared" si="145"/>
        <v>1103.3002080000001</v>
      </c>
      <c r="M487" s="14">
        <v>1094.28</v>
      </c>
      <c r="N487" s="13">
        <f t="shared" si="146"/>
        <v>1.1033002080000003</v>
      </c>
      <c r="O487" s="13">
        <f t="shared" si="147"/>
        <v>1.1213499999999998</v>
      </c>
      <c r="P487" s="13">
        <f t="shared" si="148"/>
        <v>1.8049791999999565E-2</v>
      </c>
      <c r="Q487" s="16">
        <f t="shared" si="149"/>
        <v>1.609648370267942E-2</v>
      </c>
      <c r="R487" s="14">
        <f t="shared" ca="1" si="150"/>
        <v>4.0243707725947511</v>
      </c>
      <c r="S487" s="14">
        <f t="shared" si="151"/>
        <v>4.1357317204301065</v>
      </c>
      <c r="T487" s="14">
        <f t="shared" ca="1" si="152"/>
        <v>0.11136094783535544</v>
      </c>
      <c r="U487" s="16">
        <f t="shared" ca="1" si="153"/>
        <v>2.6926540540635976E-2</v>
      </c>
      <c r="V487" s="14">
        <f t="shared" si="154"/>
        <v>4.041666666666667</v>
      </c>
      <c r="W487" s="14">
        <f t="shared" ca="1" si="155"/>
        <v>3.9756292274052489</v>
      </c>
      <c r="X487" s="14">
        <f t="shared" ca="1" si="156"/>
        <v>6.6037439261418029E-2</v>
      </c>
      <c r="Y487" s="28">
        <f t="shared" ca="1" si="157"/>
        <v>1.6339160229629203E-2</v>
      </c>
      <c r="Z487" s="29">
        <f t="shared" ca="1" si="158"/>
        <v>67.707550999999995</v>
      </c>
      <c r="AA487" s="16">
        <f t="shared" ca="1" si="159"/>
        <v>1.1568598540146056E-2</v>
      </c>
      <c r="AB487" s="2"/>
    </row>
    <row r="488" spans="6:28" x14ac:dyDescent="0.25">
      <c r="F488" s="13">
        <v>486</v>
      </c>
      <c r="G488" s="13">
        <f t="shared" si="140"/>
        <v>68.599999999999994</v>
      </c>
      <c r="H488" s="13">
        <f t="shared" si="141"/>
        <v>341.75</v>
      </c>
      <c r="I488" s="14">
        <f t="shared" si="142"/>
        <v>4.05</v>
      </c>
      <c r="J488" s="14">
        <f t="shared" si="143"/>
        <v>1839.322126</v>
      </c>
      <c r="K488" s="14">
        <f t="shared" si="144"/>
        <v>0.85932212600000013</v>
      </c>
      <c r="L488" s="14">
        <f t="shared" si="145"/>
        <v>1101.0780990000001</v>
      </c>
      <c r="M488" s="14">
        <v>1091.94</v>
      </c>
      <c r="N488" s="13">
        <f t="shared" si="146"/>
        <v>1.1010780990000002</v>
      </c>
      <c r="O488" s="13">
        <f t="shared" si="147"/>
        <v>1.1190600000000002</v>
      </c>
      <c r="P488" s="13">
        <f t="shared" si="148"/>
        <v>1.7981900999999967E-2</v>
      </c>
      <c r="Q488" s="16">
        <f t="shared" si="149"/>
        <v>1.6068755026540101E-2</v>
      </c>
      <c r="R488" s="14">
        <f t="shared" ca="1" si="150"/>
        <v>4.016254</v>
      </c>
      <c r="S488" s="14">
        <f t="shared" si="151"/>
        <v>4.1272858064516136</v>
      </c>
      <c r="T488" s="14">
        <f t="shared" ca="1" si="152"/>
        <v>0.11103180645161359</v>
      </c>
      <c r="U488" s="16">
        <f t="shared" ca="1" si="153"/>
        <v>2.6901894285598773E-2</v>
      </c>
      <c r="V488" s="14">
        <f t="shared" si="154"/>
        <v>4.0499999999999989</v>
      </c>
      <c r="W488" s="14">
        <f t="shared" ca="1" si="155"/>
        <v>3.983746</v>
      </c>
      <c r="X488" s="14">
        <f t="shared" ca="1" si="156"/>
        <v>6.6253999999998925E-2</v>
      </c>
      <c r="Y488" s="28">
        <f t="shared" ca="1" si="157"/>
        <v>1.6359012345678752E-2</v>
      </c>
      <c r="Z488" s="29">
        <f t="shared" ca="1" si="158"/>
        <v>67.804952</v>
      </c>
      <c r="AA488" s="16">
        <f t="shared" ca="1" si="159"/>
        <v>1.158962099125356E-2</v>
      </c>
      <c r="AB488" s="2"/>
    </row>
    <row r="489" spans="6:28" x14ac:dyDescent="0.25">
      <c r="F489" s="13">
        <v>487</v>
      </c>
      <c r="G489" s="13">
        <f t="shared" si="140"/>
        <v>68.7</v>
      </c>
      <c r="H489" s="13">
        <f t="shared" si="141"/>
        <v>341.84999999999997</v>
      </c>
      <c r="I489" s="14">
        <f t="shared" si="142"/>
        <v>4.0583330000000002</v>
      </c>
      <c r="J489" s="14">
        <f t="shared" si="143"/>
        <v>1833.002078</v>
      </c>
      <c r="K489" s="14">
        <f t="shared" si="144"/>
        <v>0.85300207800000005</v>
      </c>
      <c r="L489" s="14">
        <f t="shared" si="145"/>
        <v>1098.8586270000001</v>
      </c>
      <c r="M489" s="14">
        <v>1089.73</v>
      </c>
      <c r="N489" s="13">
        <f t="shared" si="146"/>
        <v>1.0988586270000003</v>
      </c>
      <c r="O489" s="13">
        <f t="shared" si="147"/>
        <v>1.1167699999999998</v>
      </c>
      <c r="P489" s="13">
        <f t="shared" si="148"/>
        <v>1.7911372999999564E-2</v>
      </c>
      <c r="Q489" s="16">
        <f t="shared" si="149"/>
        <v>1.6038551357933653E-2</v>
      </c>
      <c r="R489" s="14">
        <f t="shared" ca="1" si="150"/>
        <v>4.008940501457726</v>
      </c>
      <c r="S489" s="14">
        <f t="shared" si="151"/>
        <v>4.1188398924731171</v>
      </c>
      <c r="T489" s="14">
        <f t="shared" ca="1" si="152"/>
        <v>0.10989939101539115</v>
      </c>
      <c r="U489" s="16">
        <f t="shared" ca="1" si="153"/>
        <v>2.6682122608413197E-2</v>
      </c>
      <c r="V489" s="14">
        <f t="shared" si="154"/>
        <v>4.0583333333333336</v>
      </c>
      <c r="W489" s="14">
        <f t="shared" ca="1" si="155"/>
        <v>3.991059498542274</v>
      </c>
      <c r="X489" s="14">
        <f t="shared" ca="1" si="156"/>
        <v>6.7273834791059528E-2</v>
      </c>
      <c r="Y489" s="28">
        <f t="shared" ca="1" si="157"/>
        <v>1.6576714938248752E-2</v>
      </c>
      <c r="Z489" s="29">
        <f t="shared" ca="1" si="158"/>
        <v>67.892713999999998</v>
      </c>
      <c r="AA489" s="16">
        <f t="shared" ca="1" si="159"/>
        <v>1.1750887918486242E-2</v>
      </c>
      <c r="AB489" s="2"/>
    </row>
    <row r="490" spans="6:28" x14ac:dyDescent="0.25">
      <c r="F490" s="13">
        <v>488</v>
      </c>
      <c r="G490" s="13">
        <f t="shared" si="140"/>
        <v>68.800000000000011</v>
      </c>
      <c r="H490" s="13">
        <f t="shared" si="141"/>
        <v>341.95</v>
      </c>
      <c r="I490" s="14">
        <f t="shared" si="142"/>
        <v>4.0666669999999998</v>
      </c>
      <c r="J490" s="14">
        <f t="shared" si="143"/>
        <v>1826.707028</v>
      </c>
      <c r="K490" s="14">
        <f t="shared" si="144"/>
        <v>0.84670702799999997</v>
      </c>
      <c r="L490" s="14">
        <f t="shared" si="145"/>
        <v>1096.641799</v>
      </c>
      <c r="M490" s="14">
        <v>1087.51</v>
      </c>
      <c r="N490" s="13">
        <f t="shared" si="146"/>
        <v>1.0966417989999999</v>
      </c>
      <c r="O490" s="13">
        <f t="shared" si="147"/>
        <v>1.1144799999999997</v>
      </c>
      <c r="P490" s="13">
        <f t="shared" si="148"/>
        <v>1.7838200999999776E-2</v>
      </c>
      <c r="Q490" s="16">
        <f t="shared" si="149"/>
        <v>1.6005851159284851E-2</v>
      </c>
      <c r="R490" s="14">
        <f t="shared" ca="1" si="150"/>
        <v>4.0004691370262391</v>
      </c>
      <c r="S490" s="14">
        <f t="shared" si="151"/>
        <v>4.1103939784946224</v>
      </c>
      <c r="T490" s="14">
        <f t="shared" ca="1" si="152"/>
        <v>0.10992484146838333</v>
      </c>
      <c r="U490" s="16">
        <f t="shared" ca="1" si="153"/>
        <v>2.6743139962617853E-2</v>
      </c>
      <c r="V490" s="14">
        <f t="shared" si="154"/>
        <v>4.0666666666666673</v>
      </c>
      <c r="W490" s="14">
        <f t="shared" ca="1" si="155"/>
        <v>3.9995308629737609</v>
      </c>
      <c r="X490" s="14">
        <f t="shared" ca="1" si="156"/>
        <v>6.7135803692906393E-2</v>
      </c>
      <c r="Y490" s="28">
        <f t="shared" ca="1" si="157"/>
        <v>1.6508804186780256E-2</v>
      </c>
      <c r="Z490" s="29">
        <f t="shared" ca="1" si="158"/>
        <v>67.994370000000004</v>
      </c>
      <c r="AA490" s="16">
        <f t="shared" ca="1" si="159"/>
        <v>1.1709738372093135E-2</v>
      </c>
      <c r="AB490" s="2"/>
    </row>
    <row r="491" spans="6:28" x14ac:dyDescent="0.25">
      <c r="F491" s="13">
        <v>489</v>
      </c>
      <c r="G491" s="13">
        <f t="shared" si="140"/>
        <v>68.900000000000006</v>
      </c>
      <c r="H491" s="13">
        <f t="shared" si="141"/>
        <v>342.04999999999995</v>
      </c>
      <c r="I491" s="14">
        <f t="shared" si="142"/>
        <v>4.0750000000000002</v>
      </c>
      <c r="J491" s="14">
        <f t="shared" si="143"/>
        <v>1820.4368649999999</v>
      </c>
      <c r="K491" s="14">
        <f t="shared" si="144"/>
        <v>0.84043686500000003</v>
      </c>
      <c r="L491" s="14">
        <f t="shared" si="145"/>
        <v>1094.427625</v>
      </c>
      <c r="M491" s="14">
        <v>1085.42</v>
      </c>
      <c r="N491" s="13">
        <f t="shared" si="146"/>
        <v>1.094427625</v>
      </c>
      <c r="O491" s="13">
        <f t="shared" si="147"/>
        <v>1.1121899999999998</v>
      </c>
      <c r="P491" s="13">
        <f t="shared" si="148"/>
        <v>1.7762374999999775E-2</v>
      </c>
      <c r="Q491" s="16">
        <f t="shared" si="149"/>
        <v>1.5970630018252076E-2</v>
      </c>
      <c r="R491" s="14">
        <f t="shared" ca="1" si="150"/>
        <v>3.9923813644314867</v>
      </c>
      <c r="S491" s="14">
        <f t="shared" si="151"/>
        <v>4.1019480645161277</v>
      </c>
      <c r="T491" s="14">
        <f t="shared" ca="1" si="152"/>
        <v>0.10956670008464098</v>
      </c>
      <c r="U491" s="16">
        <f t="shared" ca="1" si="153"/>
        <v>2.6710894034092467E-2</v>
      </c>
      <c r="V491" s="14">
        <f t="shared" si="154"/>
        <v>4.0750000000000011</v>
      </c>
      <c r="W491" s="14">
        <f t="shared" ca="1" si="155"/>
        <v>4.0076186355685133</v>
      </c>
      <c r="X491" s="14">
        <f t="shared" ca="1" si="156"/>
        <v>6.7381364431487789E-2</v>
      </c>
      <c r="Y491" s="28">
        <f t="shared" ca="1" si="157"/>
        <v>1.6535304154966325E-2</v>
      </c>
      <c r="Z491" s="29">
        <f t="shared" ca="1" si="158"/>
        <v>68.091424000000004</v>
      </c>
      <c r="AA491" s="16">
        <f t="shared" ca="1" si="159"/>
        <v>1.1735500725689435E-2</v>
      </c>
      <c r="AB491" s="2"/>
    </row>
    <row r="492" spans="6:28" x14ac:dyDescent="0.25">
      <c r="F492" s="13">
        <v>490</v>
      </c>
      <c r="G492" s="13">
        <f t="shared" si="140"/>
        <v>69</v>
      </c>
      <c r="H492" s="13">
        <f t="shared" si="141"/>
        <v>342.15</v>
      </c>
      <c r="I492" s="14">
        <f t="shared" si="142"/>
        <v>4.0833329999999997</v>
      </c>
      <c r="J492" s="14">
        <f t="shared" si="143"/>
        <v>1814.191478</v>
      </c>
      <c r="K492" s="14">
        <f t="shared" si="144"/>
        <v>0.83419147799999993</v>
      </c>
      <c r="L492" s="14">
        <f t="shared" si="145"/>
        <v>1092.216113</v>
      </c>
      <c r="M492" s="14">
        <v>1083.2</v>
      </c>
      <c r="N492" s="13">
        <f t="shared" si="146"/>
        <v>1.0922161130000001</v>
      </c>
      <c r="O492" s="13">
        <f t="shared" si="147"/>
        <v>1.1098999999999999</v>
      </c>
      <c r="P492" s="13">
        <f t="shared" si="148"/>
        <v>1.7683886999999787E-2</v>
      </c>
      <c r="Q492" s="16">
        <f t="shared" si="149"/>
        <v>1.5932865122983864E-2</v>
      </c>
      <c r="R492" s="14">
        <f t="shared" ca="1" si="150"/>
        <v>3.9835338629737609</v>
      </c>
      <c r="S492" s="14">
        <f t="shared" si="151"/>
        <v>4.0935021505376339</v>
      </c>
      <c r="T492" s="14">
        <f t="shared" ca="1" si="152"/>
        <v>0.109968287563873</v>
      </c>
      <c r="U492" s="16">
        <f t="shared" ca="1" si="153"/>
        <v>2.6864108902307515E-2</v>
      </c>
      <c r="V492" s="14">
        <f t="shared" si="154"/>
        <v>4.083333333333333</v>
      </c>
      <c r="W492" s="14">
        <f t="shared" ca="1" si="155"/>
        <v>4.0164661370262387</v>
      </c>
      <c r="X492" s="14">
        <f t="shared" ca="1" si="156"/>
        <v>6.6867196307094368E-2</v>
      </c>
      <c r="Y492" s="28">
        <f t="shared" ca="1" si="157"/>
        <v>1.6375639911941478E-2</v>
      </c>
      <c r="Z492" s="29">
        <f t="shared" ca="1" si="158"/>
        <v>68.197593999999995</v>
      </c>
      <c r="AA492" s="16">
        <f t="shared" ca="1" si="159"/>
        <v>1.1629072463768186E-2</v>
      </c>
      <c r="AB492" s="2"/>
    </row>
    <row r="493" spans="6:28" x14ac:dyDescent="0.25">
      <c r="F493" s="13">
        <v>491</v>
      </c>
      <c r="G493" s="13">
        <f t="shared" si="140"/>
        <v>69.099999999999994</v>
      </c>
      <c r="H493" s="13">
        <f t="shared" si="141"/>
        <v>342.25</v>
      </c>
      <c r="I493" s="14">
        <f t="shared" si="142"/>
        <v>4.0916670000000002</v>
      </c>
      <c r="J493" s="14">
        <f t="shared" si="143"/>
        <v>1807.970757</v>
      </c>
      <c r="K493" s="14">
        <f t="shared" si="144"/>
        <v>0.82797075700000011</v>
      </c>
      <c r="L493" s="14">
        <f t="shared" si="145"/>
        <v>1090.0072700000001</v>
      </c>
      <c r="M493" s="14">
        <v>1080.97</v>
      </c>
      <c r="N493" s="13">
        <f t="shared" si="146"/>
        <v>1.0900072700000001</v>
      </c>
      <c r="O493" s="13">
        <f t="shared" si="147"/>
        <v>1.10761</v>
      </c>
      <c r="P493" s="13">
        <f t="shared" si="148"/>
        <v>1.76027299999999E-2</v>
      </c>
      <c r="Q493" s="16">
        <f t="shared" si="149"/>
        <v>1.5892534375818113E-2</v>
      </c>
      <c r="R493" s="14">
        <f t="shared" ca="1" si="150"/>
        <v>3.975873</v>
      </c>
      <c r="S493" s="14">
        <f t="shared" si="151"/>
        <v>4.0850562365591392</v>
      </c>
      <c r="T493" s="14">
        <f t="shared" ca="1" si="152"/>
        <v>0.1091832365591392</v>
      </c>
      <c r="U493" s="16">
        <f t="shared" ca="1" si="153"/>
        <v>2.6727474540498546E-2</v>
      </c>
      <c r="V493" s="14">
        <f t="shared" si="154"/>
        <v>4.0916666666666668</v>
      </c>
      <c r="W493" s="14">
        <f t="shared" ca="1" si="155"/>
        <v>4.024127</v>
      </c>
      <c r="X493" s="14">
        <f t="shared" ca="1" si="156"/>
        <v>6.7539666666666776E-2</v>
      </c>
      <c r="Y493" s="28">
        <f t="shared" ca="1" si="157"/>
        <v>1.6506639511201654E-2</v>
      </c>
      <c r="Z493" s="29">
        <f t="shared" ca="1" si="158"/>
        <v>68.289524</v>
      </c>
      <c r="AA493" s="16">
        <f t="shared" ca="1" si="159"/>
        <v>1.1729030390737978E-2</v>
      </c>
      <c r="AB493" s="2"/>
    </row>
    <row r="494" spans="6:28" x14ac:dyDescent="0.25">
      <c r="F494" s="13">
        <v>492</v>
      </c>
      <c r="G494" s="13">
        <f t="shared" si="140"/>
        <v>69.2</v>
      </c>
      <c r="H494" s="13">
        <f t="shared" si="141"/>
        <v>342.34999999999997</v>
      </c>
      <c r="I494" s="14">
        <f t="shared" si="142"/>
        <v>4.0999999999999996</v>
      </c>
      <c r="J494" s="14">
        <f t="shared" si="143"/>
        <v>1801.774594</v>
      </c>
      <c r="K494" s="14">
        <f t="shared" si="144"/>
        <v>0.82177459400000008</v>
      </c>
      <c r="L494" s="14">
        <f t="shared" si="145"/>
        <v>1087.8011059999999</v>
      </c>
      <c r="M494" s="14">
        <v>1078.74</v>
      </c>
      <c r="N494" s="13">
        <f t="shared" si="146"/>
        <v>1.0878011059999999</v>
      </c>
      <c r="O494" s="13">
        <f t="shared" si="147"/>
        <v>1.1053199999999999</v>
      </c>
      <c r="P494" s="13">
        <f t="shared" si="148"/>
        <v>1.7518893999999952E-2</v>
      </c>
      <c r="Q494" s="16">
        <f t="shared" si="149"/>
        <v>1.58496127818188E-2</v>
      </c>
      <c r="R494" s="14">
        <f t="shared" ca="1" si="150"/>
        <v>3.9678260000000001</v>
      </c>
      <c r="S494" s="14">
        <f t="shared" si="151"/>
        <v>4.0766103225806445</v>
      </c>
      <c r="T494" s="14">
        <f t="shared" ca="1" si="152"/>
        <v>0.10878432258064441</v>
      </c>
      <c r="U494" s="16">
        <f t="shared" ca="1" si="153"/>
        <v>2.6684994142824995E-2</v>
      </c>
      <c r="V494" s="14">
        <f t="shared" si="154"/>
        <v>4.0999999999999996</v>
      </c>
      <c r="W494" s="14">
        <f t="shared" ca="1" si="155"/>
        <v>4.0321739999999995</v>
      </c>
      <c r="X494" s="14">
        <f t="shared" ca="1" si="156"/>
        <v>6.7826000000000164E-2</v>
      </c>
      <c r="Y494" s="28">
        <f t="shared" ca="1" si="157"/>
        <v>1.6542926829268334E-2</v>
      </c>
      <c r="Z494" s="29">
        <f t="shared" ca="1" si="158"/>
        <v>68.386088000000001</v>
      </c>
      <c r="AA494" s="16">
        <f t="shared" ca="1" si="159"/>
        <v>1.1761734104046271E-2</v>
      </c>
      <c r="AB494" s="2"/>
    </row>
    <row r="495" spans="6:28" x14ac:dyDescent="0.25">
      <c r="F495" s="13">
        <v>493</v>
      </c>
      <c r="G495" s="13">
        <f t="shared" si="140"/>
        <v>69.300000000000011</v>
      </c>
      <c r="H495" s="13">
        <f t="shared" si="141"/>
        <v>342.45</v>
      </c>
      <c r="I495" s="14">
        <f t="shared" si="142"/>
        <v>4.108333</v>
      </c>
      <c r="J495" s="14">
        <f t="shared" si="143"/>
        <v>1795.6028779999999</v>
      </c>
      <c r="K495" s="14">
        <f t="shared" si="144"/>
        <v>0.81560287799999998</v>
      </c>
      <c r="L495" s="14">
        <f t="shared" si="145"/>
        <v>1085.5976270000001</v>
      </c>
      <c r="M495" s="14">
        <v>1076.51</v>
      </c>
      <c r="N495" s="13">
        <f t="shared" si="146"/>
        <v>1.0855976270000003</v>
      </c>
      <c r="O495" s="13">
        <f t="shared" si="147"/>
        <v>1.1030299999999997</v>
      </c>
      <c r="P495" s="13">
        <f t="shared" si="148"/>
        <v>1.7432372999999446E-2</v>
      </c>
      <c r="Q495" s="16">
        <f t="shared" si="149"/>
        <v>1.5804078764856306E-2</v>
      </c>
      <c r="R495" s="14">
        <f t="shared" ca="1" si="150"/>
        <v>3.960569501457726</v>
      </c>
      <c r="S495" s="14">
        <f t="shared" si="151"/>
        <v>4.0681644086021498</v>
      </c>
      <c r="T495" s="14">
        <f t="shared" ca="1" si="152"/>
        <v>0.10759490714442377</v>
      </c>
      <c r="U495" s="16">
        <f t="shared" ca="1" si="153"/>
        <v>2.6448023319046277E-2</v>
      </c>
      <c r="V495" s="14">
        <f t="shared" si="154"/>
        <v>4.1083333333333334</v>
      </c>
      <c r="W495" s="14">
        <f t="shared" ca="1" si="155"/>
        <v>4.0394304985422735</v>
      </c>
      <c r="X495" s="14">
        <f t="shared" ca="1" si="156"/>
        <v>6.8902834791059853E-2</v>
      </c>
      <c r="Y495" s="28">
        <f t="shared" ca="1" si="157"/>
        <v>1.6771481085044993E-2</v>
      </c>
      <c r="Z495" s="29">
        <f t="shared" ca="1" si="158"/>
        <v>68.473166000000006</v>
      </c>
      <c r="AA495" s="16">
        <f t="shared" ca="1" si="159"/>
        <v>1.1931226551226625E-2</v>
      </c>
      <c r="AB495" s="2"/>
    </row>
    <row r="496" spans="6:28" x14ac:dyDescent="0.25">
      <c r="F496" s="13">
        <v>494</v>
      </c>
      <c r="G496" s="13">
        <f t="shared" si="140"/>
        <v>69.400000000000006</v>
      </c>
      <c r="H496" s="13">
        <f t="shared" si="141"/>
        <v>342.54999999999995</v>
      </c>
      <c r="I496" s="14">
        <f t="shared" si="142"/>
        <v>4.1166669999999996</v>
      </c>
      <c r="J496" s="14">
        <f t="shared" si="143"/>
        <v>1789.4555029999999</v>
      </c>
      <c r="K496" s="14">
        <f t="shared" si="144"/>
        <v>0.80945550299999991</v>
      </c>
      <c r="L496" s="14">
        <f t="shared" si="145"/>
        <v>1083.3968440000001</v>
      </c>
      <c r="M496" s="14">
        <v>1074.28</v>
      </c>
      <c r="N496" s="13">
        <f t="shared" si="146"/>
        <v>1.0833968440000001</v>
      </c>
      <c r="O496" s="13">
        <f t="shared" si="147"/>
        <v>1.1007399999999998</v>
      </c>
      <c r="P496" s="13">
        <f t="shared" si="148"/>
        <v>1.7343155999999693E-2</v>
      </c>
      <c r="Q496" s="16">
        <f t="shared" si="149"/>
        <v>1.5755906026854383E-2</v>
      </c>
      <c r="R496" s="14">
        <f t="shared" ca="1" si="150"/>
        <v>3.951375635568513</v>
      </c>
      <c r="S496" s="14">
        <f t="shared" si="151"/>
        <v>4.0597184946236551</v>
      </c>
      <c r="T496" s="14">
        <f t="shared" ca="1" si="152"/>
        <v>0.10834285905514207</v>
      </c>
      <c r="U496" s="16">
        <f t="shared" ca="1" si="153"/>
        <v>2.6687283662308634E-2</v>
      </c>
      <c r="V496" s="14">
        <f t="shared" si="154"/>
        <v>4.1166666666666671</v>
      </c>
      <c r="W496" s="14">
        <f t="shared" ca="1" si="155"/>
        <v>4.048624364431487</v>
      </c>
      <c r="X496" s="14">
        <f t="shared" ca="1" si="156"/>
        <v>6.8042302235180152E-2</v>
      </c>
      <c r="Y496" s="28">
        <f t="shared" ca="1" si="157"/>
        <v>1.6528494470084247E-2</v>
      </c>
      <c r="Z496" s="29">
        <f t="shared" ca="1" si="158"/>
        <v>68.583492000000007</v>
      </c>
      <c r="AA496" s="16">
        <f t="shared" ca="1" si="159"/>
        <v>1.1765244956772317E-2</v>
      </c>
      <c r="AB496" s="2"/>
    </row>
    <row r="497" spans="6:28" x14ac:dyDescent="0.25">
      <c r="F497" s="13">
        <v>495</v>
      </c>
      <c r="G497" s="13">
        <f t="shared" si="140"/>
        <v>69.5</v>
      </c>
      <c r="H497" s="13">
        <f t="shared" si="141"/>
        <v>342.65</v>
      </c>
      <c r="I497" s="14">
        <f t="shared" si="142"/>
        <v>4.125</v>
      </c>
      <c r="J497" s="14">
        <f t="shared" si="143"/>
        <v>1783.332361</v>
      </c>
      <c r="K497" s="14">
        <f t="shared" si="144"/>
        <v>0.80333236100000005</v>
      </c>
      <c r="L497" s="14">
        <f t="shared" si="145"/>
        <v>1081.198762</v>
      </c>
      <c r="M497" s="14">
        <v>1072.04</v>
      </c>
      <c r="N497" s="13">
        <f t="shared" si="146"/>
        <v>1.0811987619999999</v>
      </c>
      <c r="O497" s="13">
        <f t="shared" si="147"/>
        <v>1.0984499999999999</v>
      </c>
      <c r="P497" s="13">
        <f t="shared" si="148"/>
        <v>1.7251238000000058E-2</v>
      </c>
      <c r="Q497" s="16">
        <f t="shared" si="149"/>
        <v>1.5705073512677008E-2</v>
      </c>
      <c r="R497" s="14">
        <f t="shared" ca="1" si="150"/>
        <v>3.9437537725947522</v>
      </c>
      <c r="S497" s="14">
        <f t="shared" si="151"/>
        <v>4.0512725806451613</v>
      </c>
      <c r="T497" s="14">
        <f t="shared" ca="1" si="152"/>
        <v>0.10751880805040903</v>
      </c>
      <c r="U497" s="16">
        <f t="shared" ca="1" si="153"/>
        <v>2.6539514661165248E-2</v>
      </c>
      <c r="V497" s="14">
        <f t="shared" si="154"/>
        <v>4.125</v>
      </c>
      <c r="W497" s="14">
        <f t="shared" ca="1" si="155"/>
        <v>4.0562462274052482</v>
      </c>
      <c r="X497" s="14">
        <f t="shared" ca="1" si="156"/>
        <v>6.8753772594751794E-2</v>
      </c>
      <c r="Y497" s="28">
        <f t="shared" ca="1" si="157"/>
        <v>1.6667581235091343E-2</v>
      </c>
      <c r="Z497" s="29">
        <f t="shared" ca="1" si="158"/>
        <v>68.674954999999997</v>
      </c>
      <c r="AA497" s="16">
        <f t="shared" ca="1" si="159"/>
        <v>1.1871151079136732E-2</v>
      </c>
      <c r="AB497" s="2"/>
    </row>
    <row r="498" spans="6:28" x14ac:dyDescent="0.25">
      <c r="F498" s="13">
        <v>496</v>
      </c>
      <c r="G498" s="13">
        <f t="shared" si="140"/>
        <v>69.599999999999994</v>
      </c>
      <c r="H498" s="13">
        <f t="shared" si="141"/>
        <v>342.75</v>
      </c>
      <c r="I498" s="14">
        <f t="shared" si="142"/>
        <v>4.1333330000000004</v>
      </c>
      <c r="J498" s="14">
        <f t="shared" si="143"/>
        <v>1777.2333430000001</v>
      </c>
      <c r="K498" s="14">
        <f t="shared" si="144"/>
        <v>0.79723334300000004</v>
      </c>
      <c r="L498" s="14">
        <f t="shared" si="145"/>
        <v>1079.003391</v>
      </c>
      <c r="M498" s="14">
        <v>1069.92</v>
      </c>
      <c r="N498" s="13">
        <f t="shared" si="146"/>
        <v>1.0790033909999999</v>
      </c>
      <c r="O498" s="13">
        <f t="shared" si="147"/>
        <v>1.09616</v>
      </c>
      <c r="P498" s="13">
        <f t="shared" si="148"/>
        <v>1.7156609000000156E-2</v>
      </c>
      <c r="Q498" s="16">
        <f t="shared" si="149"/>
        <v>1.5651555429864395E-2</v>
      </c>
      <c r="R498" s="14">
        <f t="shared" ca="1" si="150"/>
        <v>3.9353496355685134</v>
      </c>
      <c r="S498" s="14">
        <f t="shared" si="151"/>
        <v>4.0428266666666666</v>
      </c>
      <c r="T498" s="14">
        <f t="shared" ca="1" si="152"/>
        <v>0.10747703109815321</v>
      </c>
      <c r="U498" s="16">
        <f t="shared" ca="1" si="153"/>
        <v>2.6584625055609577E-2</v>
      </c>
      <c r="V498" s="14">
        <f t="shared" si="154"/>
        <v>4.1333333333333329</v>
      </c>
      <c r="W498" s="14">
        <f t="shared" ca="1" si="155"/>
        <v>4.0646503644314862</v>
      </c>
      <c r="X498" s="14">
        <f t="shared" ca="1" si="156"/>
        <v>6.8682968901846664E-2</v>
      </c>
      <c r="Y498" s="28">
        <f t="shared" ca="1" si="157"/>
        <v>1.6616847314962904E-2</v>
      </c>
      <c r="Z498" s="29">
        <f t="shared" ca="1" si="158"/>
        <v>68.775803999999994</v>
      </c>
      <c r="AA498" s="16">
        <f t="shared" ca="1" si="159"/>
        <v>1.1841896551724147E-2</v>
      </c>
      <c r="AB498" s="2"/>
    </row>
    <row r="499" spans="6:28" x14ac:dyDescent="0.25">
      <c r="F499" s="13">
        <v>497</v>
      </c>
      <c r="G499" s="13">
        <f t="shared" si="140"/>
        <v>69.7</v>
      </c>
      <c r="H499" s="13">
        <f t="shared" si="141"/>
        <v>342.84999999999997</v>
      </c>
      <c r="I499" s="14">
        <f t="shared" si="142"/>
        <v>4.141667</v>
      </c>
      <c r="J499" s="14">
        <f t="shared" si="143"/>
        <v>1771.1583450000001</v>
      </c>
      <c r="K499" s="14">
        <f t="shared" si="144"/>
        <v>0.79115834500000015</v>
      </c>
      <c r="L499" s="14">
        <f t="shared" si="145"/>
        <v>1076.8107379999999</v>
      </c>
      <c r="M499" s="14">
        <v>1067.55</v>
      </c>
      <c r="N499" s="13">
        <f t="shared" si="146"/>
        <v>1.076810738</v>
      </c>
      <c r="O499" s="13">
        <f t="shared" si="147"/>
        <v>1.0938699999999999</v>
      </c>
      <c r="P499" s="13">
        <f t="shared" si="148"/>
        <v>1.7059261999999853E-2</v>
      </c>
      <c r="Q499" s="16">
        <f t="shared" si="149"/>
        <v>1.5595328512528778E-2</v>
      </c>
      <c r="R499" s="14">
        <f t="shared" ca="1" si="150"/>
        <v>3.9277477725947523</v>
      </c>
      <c r="S499" s="14">
        <f t="shared" si="151"/>
        <v>4.0343807526881719</v>
      </c>
      <c r="T499" s="14">
        <f t="shared" ca="1" si="152"/>
        <v>0.10663298009341959</v>
      </c>
      <c r="U499" s="16">
        <f t="shared" ca="1" si="153"/>
        <v>2.6431065045699604E-2</v>
      </c>
      <c r="V499" s="14">
        <f t="shared" si="154"/>
        <v>4.1416666666666657</v>
      </c>
      <c r="W499" s="14">
        <f t="shared" ca="1" si="155"/>
        <v>4.0722522274052473</v>
      </c>
      <c r="X499" s="14">
        <f t="shared" ca="1" si="156"/>
        <v>6.9414439261418437E-2</v>
      </c>
      <c r="Y499" s="28">
        <f t="shared" ca="1" si="157"/>
        <v>1.6760025576197615E-2</v>
      </c>
      <c r="Z499" s="29">
        <f t="shared" ca="1" si="158"/>
        <v>68.867026999999993</v>
      </c>
      <c r="AA499" s="16">
        <f t="shared" ca="1" si="159"/>
        <v>1.1950832137733281E-2</v>
      </c>
      <c r="AB499" s="2"/>
    </row>
    <row r="500" spans="6:28" x14ac:dyDescent="0.25">
      <c r="F500" s="13">
        <v>498</v>
      </c>
      <c r="G500" s="13">
        <f t="shared" si="140"/>
        <v>69.800000000000011</v>
      </c>
      <c r="H500" s="13">
        <f t="shared" si="141"/>
        <v>342.95</v>
      </c>
      <c r="I500" s="14">
        <f t="shared" si="142"/>
        <v>4.1500000000000004</v>
      </c>
      <c r="J500" s="14">
        <f t="shared" si="143"/>
        <v>1765.107258</v>
      </c>
      <c r="K500" s="14">
        <f t="shared" si="144"/>
        <v>0.78510725800000003</v>
      </c>
      <c r="L500" s="14">
        <f t="shared" si="145"/>
        <v>1074.6208099999999</v>
      </c>
      <c r="M500" s="14">
        <v>1065.3</v>
      </c>
      <c r="N500" s="13">
        <f t="shared" si="146"/>
        <v>1.0746208099999999</v>
      </c>
      <c r="O500" s="13">
        <f t="shared" si="147"/>
        <v>1.0915799999999998</v>
      </c>
      <c r="P500" s="13">
        <f t="shared" si="148"/>
        <v>1.6959189999999902E-2</v>
      </c>
      <c r="Q500" s="16">
        <f t="shared" si="149"/>
        <v>1.5536369299547359E-2</v>
      </c>
      <c r="R500" s="14">
        <f t="shared" ca="1" si="150"/>
        <v>3.9201353644314869</v>
      </c>
      <c r="S500" s="14">
        <f t="shared" si="151"/>
        <v>4.0259348387096763</v>
      </c>
      <c r="T500" s="14">
        <f t="shared" ca="1" si="152"/>
        <v>0.10579947427818936</v>
      </c>
      <c r="U500" s="16">
        <f t="shared" ca="1" si="153"/>
        <v>2.6279480050426848E-2</v>
      </c>
      <c r="V500" s="14">
        <f t="shared" si="154"/>
        <v>4.1500000000000004</v>
      </c>
      <c r="W500" s="14">
        <f t="shared" ca="1" si="155"/>
        <v>4.0798646355685131</v>
      </c>
      <c r="X500" s="14">
        <f t="shared" ca="1" si="156"/>
        <v>7.0135364431487268E-2</v>
      </c>
      <c r="Y500" s="28">
        <f t="shared" ca="1" si="157"/>
        <v>1.6900087814816209E-2</v>
      </c>
      <c r="Z500" s="29">
        <f t="shared" ca="1" si="158"/>
        <v>68.958376000000001</v>
      </c>
      <c r="AA500" s="16">
        <f t="shared" ca="1" si="159"/>
        <v>1.2057650429799571E-2</v>
      </c>
      <c r="AB500" s="2"/>
    </row>
    <row r="501" spans="6:28" x14ac:dyDescent="0.25">
      <c r="F501" s="13">
        <v>499</v>
      </c>
      <c r="G501" s="13">
        <f t="shared" si="140"/>
        <v>69.900000000000006</v>
      </c>
      <c r="H501" s="13">
        <f t="shared" si="141"/>
        <v>343.04999999999995</v>
      </c>
      <c r="I501" s="14">
        <f t="shared" si="142"/>
        <v>4.1583329999999998</v>
      </c>
      <c r="J501" s="14">
        <f t="shared" si="143"/>
        <v>1759.0799790000001</v>
      </c>
      <c r="K501" s="14">
        <f t="shared" si="144"/>
        <v>0.77907997900000003</v>
      </c>
      <c r="L501" s="14">
        <f t="shared" si="145"/>
        <v>1072.4336169999999</v>
      </c>
      <c r="M501" s="14">
        <v>1063.18</v>
      </c>
      <c r="N501" s="13">
        <f t="shared" si="146"/>
        <v>1.072433617</v>
      </c>
      <c r="O501" s="13">
        <f t="shared" si="147"/>
        <v>1.0892899999999999</v>
      </c>
      <c r="P501" s="13">
        <f t="shared" si="148"/>
        <v>1.6856382999999919E-2</v>
      </c>
      <c r="Q501" s="16">
        <f t="shared" si="149"/>
        <v>1.5474651378420735E-2</v>
      </c>
      <c r="R501" s="14">
        <f t="shared" ca="1" si="150"/>
        <v>3.9113866355685132</v>
      </c>
      <c r="S501" s="14">
        <f t="shared" si="151"/>
        <v>4.0174889247311825</v>
      </c>
      <c r="T501" s="14">
        <f t="shared" ca="1" si="152"/>
        <v>0.10610228916266928</v>
      </c>
      <c r="U501" s="16">
        <f t="shared" ca="1" si="153"/>
        <v>2.6410101222561249E-2</v>
      </c>
      <c r="V501" s="14">
        <f t="shared" si="154"/>
        <v>4.1583333333333332</v>
      </c>
      <c r="W501" s="14">
        <f t="shared" ca="1" si="155"/>
        <v>4.0886133644314864</v>
      </c>
      <c r="X501" s="14">
        <f t="shared" ca="1" si="156"/>
        <v>6.971996890184684E-2</v>
      </c>
      <c r="Y501" s="28">
        <f t="shared" ca="1" si="157"/>
        <v>1.6766325186816877E-2</v>
      </c>
      <c r="Z501" s="29">
        <f t="shared" ca="1" si="158"/>
        <v>69.063360000000003</v>
      </c>
      <c r="AA501" s="16">
        <f t="shared" ca="1" si="159"/>
        <v>1.1969098712446389E-2</v>
      </c>
      <c r="AB501" s="2"/>
    </row>
    <row r="502" spans="6:28" x14ac:dyDescent="0.25">
      <c r="F502" s="13">
        <v>500</v>
      </c>
      <c r="G502" s="13">
        <f t="shared" si="140"/>
        <v>70</v>
      </c>
      <c r="H502" s="13">
        <f t="shared" si="141"/>
        <v>343.15</v>
      </c>
      <c r="I502" s="14">
        <f t="shared" si="142"/>
        <v>4.1666670000000003</v>
      </c>
      <c r="J502" s="14">
        <f t="shared" si="143"/>
        <v>1753.076401</v>
      </c>
      <c r="K502" s="14">
        <f t="shared" si="144"/>
        <v>0.77307640099999997</v>
      </c>
      <c r="L502" s="14">
        <f t="shared" si="145"/>
        <v>1070.2491649999999</v>
      </c>
      <c r="M502" s="14">
        <v>1060.92</v>
      </c>
      <c r="N502" s="13">
        <f t="shared" si="146"/>
        <v>1.0702491650000001</v>
      </c>
      <c r="O502" s="13">
        <f t="shared" si="147"/>
        <v>1.087</v>
      </c>
      <c r="P502" s="13">
        <f t="shared" si="148"/>
        <v>1.6750834999999853E-2</v>
      </c>
      <c r="Q502" s="16">
        <f t="shared" si="149"/>
        <v>1.5410151793928108E-2</v>
      </c>
      <c r="R502" s="14">
        <f t="shared" ca="1" si="150"/>
        <v>3.903407862973761</v>
      </c>
      <c r="S502" s="14">
        <f t="shared" si="151"/>
        <v>4.0090430107526878</v>
      </c>
      <c r="T502" s="14">
        <f t="shared" ca="1" si="152"/>
        <v>0.1056351477789268</v>
      </c>
      <c r="U502" s="16">
        <f t="shared" ca="1" si="153"/>
        <v>2.6349217879579213E-2</v>
      </c>
      <c r="V502" s="14">
        <f t="shared" si="154"/>
        <v>4.1666666666666661</v>
      </c>
      <c r="W502" s="14">
        <f t="shared" ca="1" si="155"/>
        <v>4.0965921370262386</v>
      </c>
      <c r="X502" s="14">
        <f t="shared" ca="1" si="156"/>
        <v>7.0074529640427485E-2</v>
      </c>
      <c r="Y502" s="28">
        <f t="shared" ca="1" si="157"/>
        <v>1.68178871137026E-2</v>
      </c>
      <c r="Z502" s="29">
        <f t="shared" ca="1" si="158"/>
        <v>69.159105999999994</v>
      </c>
      <c r="AA502" s="16">
        <f t="shared" ca="1" si="159"/>
        <v>1.2012771428571512E-2</v>
      </c>
      <c r="AB502" s="2"/>
    </row>
    <row r="503" spans="6:28" x14ac:dyDescent="0.25">
      <c r="F503" s="13">
        <v>501</v>
      </c>
      <c r="G503" s="13">
        <f t="shared" si="140"/>
        <v>70.099999999999994</v>
      </c>
      <c r="H503" s="13">
        <f t="shared" si="141"/>
        <v>343.25</v>
      </c>
      <c r="I503" s="14">
        <f t="shared" si="142"/>
        <v>4.1749999999999998</v>
      </c>
      <c r="J503" s="14">
        <f t="shared" si="143"/>
        <v>1747.0964200000001</v>
      </c>
      <c r="K503" s="14">
        <f t="shared" si="144"/>
        <v>0.76709642000000011</v>
      </c>
      <c r="L503" s="14">
        <f t="shared" si="145"/>
        <v>1068.067462</v>
      </c>
      <c r="M503" s="14">
        <v>1058.92</v>
      </c>
      <c r="N503" s="13">
        <f t="shared" si="146"/>
        <v>1.0680674620000001</v>
      </c>
      <c r="O503" s="13">
        <f t="shared" si="147"/>
        <v>1.0847100000000001</v>
      </c>
      <c r="P503" s="13">
        <f t="shared" si="148"/>
        <v>1.6642537999999929E-2</v>
      </c>
      <c r="Q503" s="16">
        <f t="shared" si="149"/>
        <v>1.5342845553189266E-2</v>
      </c>
      <c r="R503" s="14">
        <f t="shared" ca="1" si="150"/>
        <v>3.8950644985422742</v>
      </c>
      <c r="S503" s="14">
        <f t="shared" si="151"/>
        <v>4.000597096774194</v>
      </c>
      <c r="T503" s="14">
        <f t="shared" ca="1" si="152"/>
        <v>0.10553259823191974</v>
      </c>
      <c r="U503" s="16">
        <f t="shared" ca="1" si="153"/>
        <v>2.63792118224087E-2</v>
      </c>
      <c r="V503" s="14">
        <f t="shared" si="154"/>
        <v>4.1749999999999989</v>
      </c>
      <c r="W503" s="14">
        <f t="shared" ca="1" si="155"/>
        <v>4.1049355014577262</v>
      </c>
      <c r="X503" s="14">
        <f t="shared" ca="1" si="156"/>
        <v>7.0064498542272702E-2</v>
      </c>
      <c r="Y503" s="28">
        <f t="shared" ca="1" si="157"/>
        <v>1.6781915818508436E-2</v>
      </c>
      <c r="Z503" s="29">
        <f t="shared" ca="1" si="158"/>
        <v>69.259225999999998</v>
      </c>
      <c r="AA503" s="16">
        <f t="shared" ca="1" si="159"/>
        <v>1.1993922967189674E-2</v>
      </c>
      <c r="AB503" s="2"/>
    </row>
    <row r="504" spans="6:28" x14ac:dyDescent="0.25">
      <c r="F504" s="13">
        <v>502</v>
      </c>
      <c r="G504" s="13">
        <f t="shared" si="140"/>
        <v>70.2</v>
      </c>
      <c r="H504" s="13">
        <f t="shared" si="141"/>
        <v>343.34999999999997</v>
      </c>
      <c r="I504" s="14">
        <f t="shared" si="142"/>
        <v>4.1833330000000002</v>
      </c>
      <c r="J504" s="14">
        <f t="shared" si="143"/>
        <v>1741.1399329999999</v>
      </c>
      <c r="K504" s="14">
        <f t="shared" si="144"/>
        <v>0.76113993299999994</v>
      </c>
      <c r="L504" s="14">
        <f t="shared" si="145"/>
        <v>1065.8885150000001</v>
      </c>
      <c r="M504" s="14">
        <v>1056.53</v>
      </c>
      <c r="N504" s="13">
        <f t="shared" si="146"/>
        <v>1.0658885150000001</v>
      </c>
      <c r="O504" s="13">
        <f t="shared" si="147"/>
        <v>1.0824199999999999</v>
      </c>
      <c r="P504" s="13">
        <f t="shared" si="148"/>
        <v>1.653148499999979E-2</v>
      </c>
      <c r="Q504" s="16">
        <f t="shared" si="149"/>
        <v>1.5272708375676531E-2</v>
      </c>
      <c r="R504" s="14">
        <f t="shared" ca="1" si="150"/>
        <v>3.8882941370262389</v>
      </c>
      <c r="S504" s="14">
        <f t="shared" si="151"/>
        <v>3.9921511827956984</v>
      </c>
      <c r="T504" s="14">
        <f t="shared" ca="1" si="152"/>
        <v>0.10385704576945942</v>
      </c>
      <c r="U504" s="16">
        <f t="shared" ca="1" si="153"/>
        <v>2.6015308793172622E-2</v>
      </c>
      <c r="V504" s="14">
        <f t="shared" si="154"/>
        <v>4.1833333333333336</v>
      </c>
      <c r="W504" s="14">
        <f t="shared" ca="1" si="155"/>
        <v>4.1117058629737606</v>
      </c>
      <c r="X504" s="14">
        <f t="shared" ca="1" si="156"/>
        <v>7.1627470359572953E-2</v>
      </c>
      <c r="Y504" s="28">
        <f t="shared" ca="1" si="157"/>
        <v>1.7122104468423813E-2</v>
      </c>
      <c r="Z504" s="29">
        <f t="shared" ca="1" si="158"/>
        <v>69.340469999999996</v>
      </c>
      <c r="AA504" s="16">
        <f t="shared" ca="1" si="159"/>
        <v>1.2244017094017188E-2</v>
      </c>
      <c r="AB504" s="2"/>
    </row>
    <row r="505" spans="6:28" x14ac:dyDescent="0.25">
      <c r="F505" s="13">
        <v>503</v>
      </c>
      <c r="G505" s="13">
        <f t="shared" si="140"/>
        <v>70.300000000000011</v>
      </c>
      <c r="H505" s="13">
        <f t="shared" si="141"/>
        <v>343.45</v>
      </c>
      <c r="I505" s="14">
        <f t="shared" si="142"/>
        <v>4.1916669999999998</v>
      </c>
      <c r="J505" s="14">
        <f t="shared" si="143"/>
        <v>1735.2068340000001</v>
      </c>
      <c r="K505" s="14">
        <f t="shared" si="144"/>
        <v>0.75520683400000022</v>
      </c>
      <c r="L505" s="14">
        <f t="shared" si="145"/>
        <v>1063.7123320000001</v>
      </c>
      <c r="M505" s="14">
        <v>1054.3900000000001</v>
      </c>
      <c r="N505" s="13">
        <f t="shared" si="146"/>
        <v>1.0637123320000001</v>
      </c>
      <c r="O505" s="13">
        <f t="shared" si="147"/>
        <v>1.0801299999999996</v>
      </c>
      <c r="P505" s="13">
        <f t="shared" si="148"/>
        <v>1.6417667999999441E-2</v>
      </c>
      <c r="Q505" s="16">
        <f t="shared" si="149"/>
        <v>1.5199714849138018E-2</v>
      </c>
      <c r="R505" s="14">
        <f t="shared" ca="1" si="150"/>
        <v>3.879563862973761</v>
      </c>
      <c r="S505" s="14">
        <f t="shared" si="151"/>
        <v>3.9837052688172028</v>
      </c>
      <c r="T505" s="14">
        <f t="shared" ca="1" si="152"/>
        <v>0.10414140584344178</v>
      </c>
      <c r="U505" s="16">
        <f t="shared" ca="1" si="153"/>
        <v>2.6141845045269195E-2</v>
      </c>
      <c r="V505" s="14">
        <f t="shared" si="154"/>
        <v>4.1916666666666673</v>
      </c>
      <c r="W505" s="14">
        <f t="shared" ca="1" si="155"/>
        <v>4.120436137026239</v>
      </c>
      <c r="X505" s="14">
        <f t="shared" ca="1" si="156"/>
        <v>7.1230529640428308E-2</v>
      </c>
      <c r="Y505" s="28">
        <f t="shared" ca="1" si="157"/>
        <v>1.6993366912229416E-2</v>
      </c>
      <c r="Z505" s="29">
        <f t="shared" ca="1" si="158"/>
        <v>69.445233999999999</v>
      </c>
      <c r="AA505" s="16">
        <f t="shared" ca="1" si="159"/>
        <v>1.2158833570412688E-2</v>
      </c>
      <c r="AB505" s="2"/>
    </row>
    <row r="506" spans="6:28" x14ac:dyDescent="0.25">
      <c r="F506" s="13">
        <v>504</v>
      </c>
      <c r="G506" s="13">
        <f t="shared" si="140"/>
        <v>70.400000000000006</v>
      </c>
      <c r="H506" s="13">
        <f t="shared" si="141"/>
        <v>343.54999999999995</v>
      </c>
      <c r="I506" s="14">
        <f t="shared" si="142"/>
        <v>4.2</v>
      </c>
      <c r="J506" s="14">
        <f t="shared" si="143"/>
        <v>1729.2970230000001</v>
      </c>
      <c r="K506" s="14">
        <f t="shared" si="144"/>
        <v>0.74929702300000001</v>
      </c>
      <c r="L506" s="14">
        <f t="shared" si="145"/>
        <v>1061.5389210000001</v>
      </c>
      <c r="M506" s="14">
        <v>1052.3699999999999</v>
      </c>
      <c r="N506" s="13">
        <f t="shared" si="146"/>
        <v>1.0615389210000001</v>
      </c>
      <c r="O506" s="13">
        <f t="shared" si="147"/>
        <v>1.0778399999999999</v>
      </c>
      <c r="P506" s="13">
        <f t="shared" si="148"/>
        <v>1.6301078999999774E-2</v>
      </c>
      <c r="Q506" s="16">
        <f t="shared" si="149"/>
        <v>1.5123839345357173E-2</v>
      </c>
      <c r="R506" s="14">
        <f t="shared" ca="1" si="150"/>
        <v>3.8716466355685131</v>
      </c>
      <c r="S506" s="14">
        <f t="shared" si="151"/>
        <v>3.975259354838709</v>
      </c>
      <c r="T506" s="14">
        <f t="shared" ca="1" si="152"/>
        <v>0.10361271927019589</v>
      </c>
      <c r="U506" s="16">
        <f t="shared" ca="1" si="153"/>
        <v>2.6064392287783154E-2</v>
      </c>
      <c r="V506" s="14">
        <f t="shared" si="154"/>
        <v>4.2</v>
      </c>
      <c r="W506" s="14">
        <f t="shared" ca="1" si="155"/>
        <v>4.1283533644314865</v>
      </c>
      <c r="X506" s="14">
        <f t="shared" ca="1" si="156"/>
        <v>7.1646635568513695E-2</v>
      </c>
      <c r="Y506" s="28">
        <f t="shared" ca="1" si="157"/>
        <v>1.7058722754408021E-2</v>
      </c>
      <c r="Z506" s="29">
        <f t="shared" ca="1" si="158"/>
        <v>69.540239999999997</v>
      </c>
      <c r="AA506" s="16">
        <f t="shared" ca="1" si="159"/>
        <v>1.2212500000000121E-2</v>
      </c>
      <c r="AB506" s="2"/>
    </row>
    <row r="507" spans="6:28" x14ac:dyDescent="0.25">
      <c r="F507" s="13">
        <v>505</v>
      </c>
      <c r="G507" s="13">
        <f t="shared" si="140"/>
        <v>70.5</v>
      </c>
      <c r="H507" s="13">
        <f t="shared" si="141"/>
        <v>343.65</v>
      </c>
      <c r="I507" s="14">
        <f t="shared" si="142"/>
        <v>4.2083329999999997</v>
      </c>
      <c r="J507" s="14">
        <f t="shared" si="143"/>
        <v>1723.4103950000001</v>
      </c>
      <c r="K507" s="14">
        <f t="shared" si="144"/>
        <v>0.74341039500000017</v>
      </c>
      <c r="L507" s="14">
        <f t="shared" si="145"/>
        <v>1059.368289</v>
      </c>
      <c r="M507" s="14">
        <v>1050.1099999999999</v>
      </c>
      <c r="N507" s="13">
        <f t="shared" si="146"/>
        <v>1.0593682889999998</v>
      </c>
      <c r="O507" s="13">
        <f t="shared" si="147"/>
        <v>1.07555</v>
      </c>
      <c r="P507" s="13">
        <f t="shared" si="148"/>
        <v>1.618171100000021E-2</v>
      </c>
      <c r="Q507" s="16">
        <f t="shared" si="149"/>
        <v>1.5045056947608396E-2</v>
      </c>
      <c r="R507" s="14">
        <f t="shared" ca="1" si="150"/>
        <v>3.864115</v>
      </c>
      <c r="S507" s="14">
        <f t="shared" si="151"/>
        <v>3.9668134408602147</v>
      </c>
      <c r="T507" s="14">
        <f t="shared" ca="1" si="152"/>
        <v>0.10269844086021473</v>
      </c>
      <c r="U507" s="16">
        <f t="shared" ca="1" si="153"/>
        <v>2.5889405284949395E-2</v>
      </c>
      <c r="V507" s="14">
        <f t="shared" si="154"/>
        <v>4.208333333333333</v>
      </c>
      <c r="W507" s="14">
        <f t="shared" ca="1" si="155"/>
        <v>4.135885</v>
      </c>
      <c r="X507" s="14">
        <f t="shared" ca="1" si="156"/>
        <v>7.2448333333333004E-2</v>
      </c>
      <c r="Y507" s="28">
        <f t="shared" ca="1" si="157"/>
        <v>1.7215445544554377E-2</v>
      </c>
      <c r="Z507" s="29">
        <f t="shared" ca="1" si="158"/>
        <v>69.630619999999993</v>
      </c>
      <c r="AA507" s="16">
        <f t="shared" ca="1" si="159"/>
        <v>1.2331631205673854E-2</v>
      </c>
      <c r="AB507" s="2"/>
    </row>
    <row r="508" spans="6:28" x14ac:dyDescent="0.25">
      <c r="F508" s="13">
        <v>506</v>
      </c>
      <c r="G508" s="13">
        <f t="shared" si="140"/>
        <v>70.599999999999994</v>
      </c>
      <c r="H508" s="13">
        <f t="shared" si="141"/>
        <v>343.75</v>
      </c>
      <c r="I508" s="14">
        <f t="shared" si="142"/>
        <v>4.2166670000000002</v>
      </c>
      <c r="J508" s="14">
        <f t="shared" si="143"/>
        <v>1717.546848</v>
      </c>
      <c r="K508" s="14">
        <f t="shared" si="144"/>
        <v>0.73754684800000003</v>
      </c>
      <c r="L508" s="14">
        <f t="shared" si="145"/>
        <v>1057.2004420000001</v>
      </c>
      <c r="M508" s="14">
        <v>1047.83</v>
      </c>
      <c r="N508" s="13">
        <f t="shared" si="146"/>
        <v>1.0572004420000003</v>
      </c>
      <c r="O508" s="13">
        <f t="shared" si="147"/>
        <v>1.0732600000000001</v>
      </c>
      <c r="P508" s="13">
        <f t="shared" si="148"/>
        <v>1.6059557999999807E-2</v>
      </c>
      <c r="Q508" s="16">
        <f t="shared" si="149"/>
        <v>1.4963343458248519E-2</v>
      </c>
      <c r="R508" s="14">
        <f t="shared" ca="1" si="150"/>
        <v>3.8566041370262392</v>
      </c>
      <c r="S508" s="14">
        <f t="shared" si="151"/>
        <v>3.9583675268817204</v>
      </c>
      <c r="T508" s="14">
        <f t="shared" ca="1" si="152"/>
        <v>0.10176338985548128</v>
      </c>
      <c r="U508" s="16">
        <f t="shared" ca="1" si="153"/>
        <v>2.5708423779347071E-2</v>
      </c>
      <c r="V508" s="14">
        <f t="shared" si="154"/>
        <v>4.2166666666666659</v>
      </c>
      <c r="W508" s="14">
        <f t="shared" ca="1" si="155"/>
        <v>4.1433958629737608</v>
      </c>
      <c r="X508" s="14">
        <f t="shared" ca="1" si="156"/>
        <v>7.3270803692905062E-2</v>
      </c>
      <c r="Y508" s="28">
        <f t="shared" ca="1" si="157"/>
        <v>1.737647518408816E-2</v>
      </c>
      <c r="Z508" s="29">
        <f t="shared" ca="1" si="158"/>
        <v>69.720749999999995</v>
      </c>
      <c r="AA508" s="16">
        <f t="shared" ca="1" si="159"/>
        <v>1.245396600566571E-2</v>
      </c>
      <c r="AB508" s="2"/>
    </row>
    <row r="509" spans="6:28" x14ac:dyDescent="0.25">
      <c r="F509" s="13">
        <v>507</v>
      </c>
      <c r="G509" s="13">
        <f t="shared" si="140"/>
        <v>70.7</v>
      </c>
      <c r="H509" s="13">
        <f t="shared" si="141"/>
        <v>343.84999999999997</v>
      </c>
      <c r="I509" s="14">
        <f t="shared" si="142"/>
        <v>4.2249999999999996</v>
      </c>
      <c r="J509" s="14">
        <f t="shared" si="143"/>
        <v>1711.7062820000001</v>
      </c>
      <c r="K509" s="14">
        <f t="shared" si="144"/>
        <v>0.73170628200000021</v>
      </c>
      <c r="L509" s="14">
        <f t="shared" si="145"/>
        <v>1055.0353889999999</v>
      </c>
      <c r="M509" s="14">
        <v>1045.56</v>
      </c>
      <c r="N509" s="13">
        <f t="shared" si="146"/>
        <v>1.0550353889999997</v>
      </c>
      <c r="O509" s="13">
        <f t="shared" si="147"/>
        <v>1.0709699999999998</v>
      </c>
      <c r="P509" s="13">
        <f t="shared" si="148"/>
        <v>1.5934611000000043E-2</v>
      </c>
      <c r="Q509" s="16">
        <f t="shared" si="149"/>
        <v>1.4878671671475436E-2</v>
      </c>
      <c r="R509" s="14">
        <f t="shared" ca="1" si="150"/>
        <v>3.8475284985422742</v>
      </c>
      <c r="S509" s="14">
        <f t="shared" si="151"/>
        <v>3.9499216129032249</v>
      </c>
      <c r="T509" s="14">
        <f t="shared" ca="1" si="152"/>
        <v>0.10239311436095067</v>
      </c>
      <c r="U509" s="16">
        <f t="shared" ca="1" si="153"/>
        <v>2.5922821867265078E-2</v>
      </c>
      <c r="V509" s="14">
        <f t="shared" si="154"/>
        <v>4.2249999999999996</v>
      </c>
      <c r="W509" s="14">
        <f t="shared" ca="1" si="155"/>
        <v>4.1524715014577254</v>
      </c>
      <c r="X509" s="14">
        <f t="shared" ca="1" si="156"/>
        <v>7.2528498542274278E-2</v>
      </c>
      <c r="Y509" s="28">
        <f t="shared" ca="1" si="157"/>
        <v>1.7166508530715809E-2</v>
      </c>
      <c r="Z509" s="29">
        <f t="shared" ca="1" si="158"/>
        <v>69.829657999999995</v>
      </c>
      <c r="AA509" s="16">
        <f t="shared" ca="1" si="159"/>
        <v>1.2310353606789361E-2</v>
      </c>
      <c r="AB509" s="2"/>
    </row>
    <row r="510" spans="6:28" x14ac:dyDescent="0.25">
      <c r="F510" s="13">
        <v>508</v>
      </c>
      <c r="G510" s="13">
        <f t="shared" si="140"/>
        <v>70.800000000000011</v>
      </c>
      <c r="H510" s="13">
        <f t="shared" si="141"/>
        <v>343.95</v>
      </c>
      <c r="I510" s="14">
        <f t="shared" si="142"/>
        <v>4.233333</v>
      </c>
      <c r="J510" s="14">
        <f t="shared" si="143"/>
        <v>1705.8885949999999</v>
      </c>
      <c r="K510" s="14">
        <f t="shared" si="144"/>
        <v>0.72588859500000003</v>
      </c>
      <c r="L510" s="14">
        <f t="shared" si="145"/>
        <v>1052.8731359999999</v>
      </c>
      <c r="M510" s="14">
        <v>1043.53</v>
      </c>
      <c r="N510" s="13">
        <f t="shared" si="146"/>
        <v>1.0528731359999999</v>
      </c>
      <c r="O510" s="13">
        <f t="shared" si="147"/>
        <v>1.0686799999999996</v>
      </c>
      <c r="P510" s="13">
        <f t="shared" si="148"/>
        <v>1.5806863999999754E-2</v>
      </c>
      <c r="Q510" s="16">
        <f t="shared" si="149"/>
        <v>1.4791016955496275E-2</v>
      </c>
      <c r="R510" s="14">
        <f t="shared" ca="1" si="150"/>
        <v>3.839641498542274</v>
      </c>
      <c r="S510" s="14">
        <f t="shared" si="151"/>
        <v>3.9414756989247297</v>
      </c>
      <c r="T510" s="14">
        <f t="shared" ca="1" si="152"/>
        <v>0.10183420038245572</v>
      </c>
      <c r="U510" s="16">
        <f t="shared" ca="1" si="153"/>
        <v>2.5836566849882395E-2</v>
      </c>
      <c r="V510" s="14">
        <f t="shared" si="154"/>
        <v>4.2333333333333343</v>
      </c>
      <c r="W510" s="14">
        <f t="shared" ca="1" si="155"/>
        <v>4.1603585014577256</v>
      </c>
      <c r="X510" s="14">
        <f t="shared" ca="1" si="156"/>
        <v>7.2974831875608714E-2</v>
      </c>
      <c r="Y510" s="28">
        <f t="shared" ca="1" si="157"/>
        <v>1.723814926195481E-2</v>
      </c>
      <c r="Z510" s="29">
        <f t="shared" ca="1" si="158"/>
        <v>69.924301999999997</v>
      </c>
      <c r="AA510" s="16">
        <f t="shared" ca="1" si="159"/>
        <v>1.2368615819209236E-2</v>
      </c>
      <c r="AB510" s="2"/>
    </row>
    <row r="511" spans="6:28" x14ac:dyDescent="0.25">
      <c r="F511" s="13">
        <v>509</v>
      </c>
      <c r="G511" s="13">
        <f t="shared" si="140"/>
        <v>70.900000000000006</v>
      </c>
      <c r="H511" s="13">
        <f t="shared" si="141"/>
        <v>344.04999999999995</v>
      </c>
      <c r="I511" s="14">
        <f t="shared" si="142"/>
        <v>4.2416669999999996</v>
      </c>
      <c r="J511" s="14">
        <f t="shared" si="143"/>
        <v>1700.0936859999999</v>
      </c>
      <c r="K511" s="14">
        <f t="shared" si="144"/>
        <v>0.72009368600000001</v>
      </c>
      <c r="L511" s="14">
        <f t="shared" si="145"/>
        <v>1050.7136909999999</v>
      </c>
      <c r="M511" s="14">
        <v>1041.3699999999999</v>
      </c>
      <c r="N511" s="13">
        <f t="shared" si="146"/>
        <v>1.0507136909999999</v>
      </c>
      <c r="O511" s="13">
        <f t="shared" si="147"/>
        <v>1.0663899999999997</v>
      </c>
      <c r="P511" s="13">
        <f t="shared" si="148"/>
        <v>1.5676308999999833E-2</v>
      </c>
      <c r="Q511" s="16">
        <f t="shared" si="149"/>
        <v>1.4700352591453256E-2</v>
      </c>
      <c r="R511" s="14">
        <f t="shared" ca="1" si="150"/>
        <v>3.832943137026239</v>
      </c>
      <c r="S511" s="14">
        <f t="shared" si="151"/>
        <v>3.9330297849462355</v>
      </c>
      <c r="T511" s="14">
        <f t="shared" ca="1" si="152"/>
        <v>0.10008664791999644</v>
      </c>
      <c r="U511" s="16">
        <f t="shared" ca="1" si="153"/>
        <v>2.5447721830910219E-2</v>
      </c>
      <c r="V511" s="14">
        <f t="shared" si="154"/>
        <v>4.2416666666666671</v>
      </c>
      <c r="W511" s="14">
        <f t="shared" ca="1" si="155"/>
        <v>4.1670568629737605</v>
      </c>
      <c r="X511" s="14">
        <f t="shared" ca="1" si="156"/>
        <v>7.4609803692906596E-2</v>
      </c>
      <c r="Y511" s="28">
        <f t="shared" ca="1" si="157"/>
        <v>1.7589737609329647E-2</v>
      </c>
      <c r="Z511" s="29">
        <f t="shared" ca="1" si="158"/>
        <v>70.004682000000003</v>
      </c>
      <c r="AA511" s="16">
        <f t="shared" ca="1" si="159"/>
        <v>1.2627898448519085E-2</v>
      </c>
      <c r="AB511" s="2"/>
    </row>
    <row r="512" spans="6:28" x14ac:dyDescent="0.25">
      <c r="F512" s="13">
        <v>510</v>
      </c>
      <c r="G512" s="13">
        <f t="shared" si="140"/>
        <v>71</v>
      </c>
      <c r="H512" s="13">
        <f t="shared" si="141"/>
        <v>344.15</v>
      </c>
      <c r="I512" s="14">
        <f t="shared" si="142"/>
        <v>4.25</v>
      </c>
      <c r="J512" s="14">
        <f t="shared" si="143"/>
        <v>1694.3214559999999</v>
      </c>
      <c r="K512" s="14">
        <f t="shared" si="144"/>
        <v>0.71432145599999997</v>
      </c>
      <c r="L512" s="14">
        <f t="shared" si="145"/>
        <v>1048.557061</v>
      </c>
      <c r="M512" s="14">
        <v>1039.0899999999999</v>
      </c>
      <c r="N512" s="13">
        <f t="shared" si="146"/>
        <v>1.0485570609999999</v>
      </c>
      <c r="O512" s="13">
        <f t="shared" si="147"/>
        <v>1.0640999999999998</v>
      </c>
      <c r="P512" s="13">
        <f t="shared" si="148"/>
        <v>1.5542938999999922E-2</v>
      </c>
      <c r="Q512" s="16">
        <f t="shared" si="149"/>
        <v>1.4606652570247087E-2</v>
      </c>
      <c r="R512" s="14">
        <f t="shared" ca="1" si="150"/>
        <v>3.8246692274052476</v>
      </c>
      <c r="S512" s="14">
        <f t="shared" si="151"/>
        <v>3.9245838709677412</v>
      </c>
      <c r="T512" s="14">
        <f t="shared" ca="1" si="152"/>
        <v>9.9914643562493577E-2</v>
      </c>
      <c r="U512" s="16">
        <f t="shared" ca="1" si="153"/>
        <v>2.5458659273819056E-2</v>
      </c>
      <c r="V512" s="14">
        <f t="shared" si="154"/>
        <v>4.25</v>
      </c>
      <c r="W512" s="14">
        <f t="shared" ca="1" si="155"/>
        <v>4.1753307725947524</v>
      </c>
      <c r="X512" s="14">
        <f t="shared" ca="1" si="156"/>
        <v>7.4669227405247618E-2</v>
      </c>
      <c r="Y512" s="28">
        <f t="shared" ca="1" si="157"/>
        <v>1.7569229977705322E-2</v>
      </c>
      <c r="Z512" s="29">
        <f t="shared" ca="1" si="158"/>
        <v>70.103969000000006</v>
      </c>
      <c r="AA512" s="16">
        <f t="shared" ca="1" si="159"/>
        <v>1.2620154929577375E-2</v>
      </c>
      <c r="AB512" s="2"/>
    </row>
    <row r="513" spans="6:28" x14ac:dyDescent="0.25">
      <c r="F513" s="13">
        <v>511</v>
      </c>
      <c r="G513" s="13">
        <f t="shared" si="140"/>
        <v>71.099999999999994</v>
      </c>
      <c r="H513" s="13">
        <f t="shared" si="141"/>
        <v>344.25</v>
      </c>
      <c r="I513" s="14">
        <f t="shared" si="142"/>
        <v>4.2583330000000004</v>
      </c>
      <c r="J513" s="14">
        <f t="shared" si="143"/>
        <v>1688.5718039999999</v>
      </c>
      <c r="K513" s="14">
        <f t="shared" si="144"/>
        <v>0.70857180399999997</v>
      </c>
      <c r="L513" s="14">
        <f t="shared" si="145"/>
        <v>1046.4032520000001</v>
      </c>
      <c r="M513" s="14">
        <v>1036.92</v>
      </c>
      <c r="N513" s="13">
        <f t="shared" si="146"/>
        <v>1.0464032520000002</v>
      </c>
      <c r="O513" s="13">
        <f t="shared" si="147"/>
        <v>1.0618100000000001</v>
      </c>
      <c r="P513" s="13">
        <f t="shared" si="148"/>
        <v>1.540674799999997E-2</v>
      </c>
      <c r="Q513" s="16">
        <f t="shared" si="149"/>
        <v>1.4509891600192094E-2</v>
      </c>
      <c r="R513" s="14">
        <f t="shared" ca="1" si="150"/>
        <v>3.8164386355685131</v>
      </c>
      <c r="S513" s="14">
        <f t="shared" si="151"/>
        <v>3.9161379569892478</v>
      </c>
      <c r="T513" s="14">
        <f t="shared" ca="1" si="152"/>
        <v>9.9699321420734677E-2</v>
      </c>
      <c r="U513" s="16">
        <f t="shared" ca="1" si="153"/>
        <v>2.5458582541199381E-2</v>
      </c>
      <c r="V513" s="14">
        <f t="shared" si="154"/>
        <v>4.258333333333332</v>
      </c>
      <c r="W513" s="14">
        <f t="shared" ca="1" si="155"/>
        <v>4.1835613644314869</v>
      </c>
      <c r="X513" s="14">
        <f t="shared" ca="1" si="156"/>
        <v>7.4771968901845121E-2</v>
      </c>
      <c r="Y513" s="28">
        <f t="shared" ca="1" si="157"/>
        <v>1.755897508458203E-2</v>
      </c>
      <c r="Z513" s="29">
        <f t="shared" ca="1" si="158"/>
        <v>70.202736000000002</v>
      </c>
      <c r="AA513" s="16">
        <f t="shared" ca="1" si="159"/>
        <v>1.2619746835442936E-2</v>
      </c>
      <c r="AB513" s="2"/>
    </row>
    <row r="514" spans="6:28" x14ac:dyDescent="0.25">
      <c r="F514" s="13">
        <v>512</v>
      </c>
      <c r="G514" s="13">
        <f t="shared" si="140"/>
        <v>71.2</v>
      </c>
      <c r="H514" s="13">
        <f t="shared" si="141"/>
        <v>344.34999999999997</v>
      </c>
      <c r="I514" s="14">
        <f t="shared" si="142"/>
        <v>4.266667</v>
      </c>
      <c r="J514" s="14">
        <f t="shared" si="143"/>
        <v>1682.844632</v>
      </c>
      <c r="K514" s="14">
        <f t="shared" si="144"/>
        <v>0.70284463200000014</v>
      </c>
      <c r="L514" s="14">
        <f t="shared" si="145"/>
        <v>1044.2522710000001</v>
      </c>
      <c r="M514" s="14">
        <v>1034.76</v>
      </c>
      <c r="N514" s="13">
        <f t="shared" si="146"/>
        <v>1.044252271</v>
      </c>
      <c r="O514" s="13">
        <f t="shared" si="147"/>
        <v>1.0595199999999998</v>
      </c>
      <c r="P514" s="13">
        <f t="shared" si="148"/>
        <v>1.5267728999999841E-2</v>
      </c>
      <c r="Q514" s="16">
        <f t="shared" si="149"/>
        <v>1.4410043227121569E-2</v>
      </c>
      <c r="R514" s="14">
        <f t="shared" ca="1" si="150"/>
        <v>3.8085926355685134</v>
      </c>
      <c r="S514" s="14">
        <f t="shared" si="151"/>
        <v>3.9076920430107518</v>
      </c>
      <c r="T514" s="14">
        <f t="shared" ca="1" si="152"/>
        <v>9.9099407442238441E-2</v>
      </c>
      <c r="U514" s="16">
        <f t="shared" ca="1" si="153"/>
        <v>2.5360086299401813E-2</v>
      </c>
      <c r="V514" s="14">
        <f t="shared" si="154"/>
        <v>4.2666666666666675</v>
      </c>
      <c r="W514" s="14">
        <f t="shared" ca="1" si="155"/>
        <v>4.1914073644314866</v>
      </c>
      <c r="X514" s="14">
        <f t="shared" ca="1" si="156"/>
        <v>7.5259302235180847E-2</v>
      </c>
      <c r="Y514" s="28">
        <f t="shared" ca="1" si="157"/>
        <v>1.7638898961370508E-2</v>
      </c>
      <c r="Z514" s="29">
        <f t="shared" ca="1" si="158"/>
        <v>70.296887999999996</v>
      </c>
      <c r="AA514" s="16">
        <f t="shared" ca="1" si="159"/>
        <v>1.2684157303370887E-2</v>
      </c>
      <c r="AB514" s="2"/>
    </row>
    <row r="515" spans="6:28" x14ac:dyDescent="0.25">
      <c r="F515" s="13">
        <v>513</v>
      </c>
      <c r="G515" s="13">
        <f t="shared" ref="G515:G578" si="160">F515*0.1+20</f>
        <v>71.300000000000011</v>
      </c>
      <c r="H515" s="13">
        <f t="shared" ref="H515:H578" si="161">G515+273.15</f>
        <v>344.45</v>
      </c>
      <c r="I515" s="14">
        <f t="shared" ref="I515:I578" si="162">ROUND(1/12*G515-5/3,6)</f>
        <v>4.2750000000000004</v>
      </c>
      <c r="J515" s="14">
        <f t="shared" ref="J515:J578" si="163">ROUND(10000*EXP(($B$3)+($B$4/H515)+($B$5/(H515^2))+($B$6/(H515^3))),6)</f>
        <v>1677.1398409999999</v>
      </c>
      <c r="K515" s="14">
        <f t="shared" ref="K515:K578" si="164">$B$9*(2*$B$8+J515)-$B$9*$B$10</f>
        <v>0.69713984100000004</v>
      </c>
      <c r="L515" s="14">
        <f t="shared" ref="L515:L578" si="165">ROUND(1/(1/(J515+2*$B$8)+1/($B$7)),6)</f>
        <v>1042.104126</v>
      </c>
      <c r="M515" s="14">
        <v>1032.71</v>
      </c>
      <c r="N515" s="13">
        <f t="shared" ref="N515:N578" si="166">$B$9*(L515+$B$10)*(L515/(L515+$B$10))</f>
        <v>1.0421041259999999</v>
      </c>
      <c r="O515" s="13">
        <f t="shared" ref="O515:O578" si="167">$B$11*G515+$B$12</f>
        <v>1.0572299999999997</v>
      </c>
      <c r="P515" s="13">
        <f t="shared" ref="P515:P578" si="168">ABS(N515-O515)</f>
        <v>1.5125873999999762E-2</v>
      </c>
      <c r="Q515" s="16">
        <f t="shared" ref="Q515:Q578" si="169">ABS(O515-N515)/O515</f>
        <v>1.4307079821798253E-2</v>
      </c>
      <c r="R515" s="14">
        <f t="shared" ref="R515:R578" ca="1" si="170">ROUND(N515*$B$29,6)+RANDBETWEEN(-1,1)*$B$24+RANDBETWEEN(-1,1)*$B$25</f>
        <v>3.8011430000000002</v>
      </c>
      <c r="S515" s="14">
        <f t="shared" ref="S515:S578" si="171">O515*$B$23</f>
        <v>3.8992461290322566</v>
      </c>
      <c r="T515" s="14">
        <f t="shared" ref="T515:T578" ca="1" si="172">ABS(R515-S515)</f>
        <v>9.8103129032256486E-2</v>
      </c>
      <c r="U515" s="16">
        <f t="shared" ref="U515:U578" ca="1" si="173">ABS(S515-R515)/S515</f>
        <v>2.5159511809685231E-2</v>
      </c>
      <c r="V515" s="14">
        <f t="shared" ref="V515:V578" si="174">$B$44*S515+$B$45</f>
        <v>4.2750000000000004</v>
      </c>
      <c r="W515" s="14">
        <f t="shared" ref="W515:W578" ca="1" si="175">$B$46*R515+$B$47</f>
        <v>4.1988570000000003</v>
      </c>
      <c r="X515" s="14">
        <f t="shared" ref="X515:X578" ca="1" si="176">ABS(V515-W515)</f>
        <v>7.6143000000000072E-2</v>
      </c>
      <c r="Y515" s="28">
        <f t="shared" ref="Y515:Y578" ca="1" si="177">IF(V515 = 0, ABS(V515-W515)/(V515+0.0001), ABS(V515-W515)/V515)</f>
        <v>1.7811228070175454E-2</v>
      </c>
      <c r="Z515" s="29">
        <f t="shared" ref="Z515:Z578" ca="1" si="178">ROUND((W515+5/3)/(1/12),6)</f>
        <v>70.386284000000003</v>
      </c>
      <c r="AA515" s="16">
        <f t="shared" ref="AA515:AA578" ca="1" si="179">ABS(G515-Z515)/G515</f>
        <v>1.2815091164095481E-2</v>
      </c>
      <c r="AB515" s="2"/>
    </row>
    <row r="516" spans="6:28" x14ac:dyDescent="0.25">
      <c r="F516" s="13">
        <v>514</v>
      </c>
      <c r="G516" s="13">
        <f t="shared" si="160"/>
        <v>71.400000000000006</v>
      </c>
      <c r="H516" s="13">
        <f t="shared" si="161"/>
        <v>344.54999999999995</v>
      </c>
      <c r="I516" s="14">
        <f t="shared" si="162"/>
        <v>4.2833329999999998</v>
      </c>
      <c r="J516" s="14">
        <f t="shared" si="163"/>
        <v>1671.4573330000001</v>
      </c>
      <c r="K516" s="14">
        <f t="shared" si="164"/>
        <v>0.69145733300000001</v>
      </c>
      <c r="L516" s="14">
        <f t="shared" si="165"/>
        <v>1039.9588229999999</v>
      </c>
      <c r="M516" s="14">
        <v>1030.4100000000001</v>
      </c>
      <c r="N516" s="13">
        <f t="shared" si="166"/>
        <v>1.0399588229999999</v>
      </c>
      <c r="O516" s="13">
        <f t="shared" si="167"/>
        <v>1.0549399999999998</v>
      </c>
      <c r="P516" s="13">
        <f t="shared" si="168"/>
        <v>1.4981176999999901E-2</v>
      </c>
      <c r="Q516" s="16">
        <f t="shared" si="169"/>
        <v>1.4200975410923753E-2</v>
      </c>
      <c r="R516" s="14">
        <f t="shared" ca="1" si="170"/>
        <v>3.7925364985422743</v>
      </c>
      <c r="S516" s="14">
        <f t="shared" si="171"/>
        <v>3.8908002150537624</v>
      </c>
      <c r="T516" s="14">
        <f t="shared" ca="1" si="172"/>
        <v>9.8263716511488131E-2</v>
      </c>
      <c r="U516" s="16">
        <f t="shared" ca="1" si="173"/>
        <v>2.5255400195388942E-2</v>
      </c>
      <c r="V516" s="14">
        <f t="shared" si="174"/>
        <v>4.2833333333333332</v>
      </c>
      <c r="W516" s="14">
        <f t="shared" ca="1" si="175"/>
        <v>4.2074635014577257</v>
      </c>
      <c r="X516" s="14">
        <f t="shared" ca="1" si="176"/>
        <v>7.5869831875607474E-2</v>
      </c>
      <c r="Y516" s="28">
        <f t="shared" ca="1" si="177"/>
        <v>1.7712801216095132E-2</v>
      </c>
      <c r="Z516" s="29">
        <f t="shared" ca="1" si="178"/>
        <v>70.489562000000006</v>
      </c>
      <c r="AA516" s="16">
        <f t="shared" ca="1" si="179"/>
        <v>1.2751232492997186E-2</v>
      </c>
      <c r="AB516" s="2"/>
    </row>
    <row r="517" spans="6:28" x14ac:dyDescent="0.25">
      <c r="F517" s="13">
        <v>515</v>
      </c>
      <c r="G517" s="13">
        <f t="shared" si="160"/>
        <v>71.5</v>
      </c>
      <c r="H517" s="13">
        <f t="shared" si="161"/>
        <v>344.65</v>
      </c>
      <c r="I517" s="14">
        <f t="shared" si="162"/>
        <v>4.2916670000000003</v>
      </c>
      <c r="J517" s="14">
        <f t="shared" si="163"/>
        <v>1665.7970089999999</v>
      </c>
      <c r="K517" s="14">
        <f t="shared" si="164"/>
        <v>0.68579700899999985</v>
      </c>
      <c r="L517" s="14">
        <f t="shared" si="165"/>
        <v>1037.816368</v>
      </c>
      <c r="M517" s="14">
        <v>1028.1199999999999</v>
      </c>
      <c r="N517" s="13">
        <f t="shared" si="166"/>
        <v>1.0378163680000001</v>
      </c>
      <c r="O517" s="13">
        <f t="shared" si="167"/>
        <v>1.0526499999999999</v>
      </c>
      <c r="P517" s="13">
        <f t="shared" si="168"/>
        <v>1.4833631999999763E-2</v>
      </c>
      <c r="Q517" s="16">
        <f t="shared" si="169"/>
        <v>1.4091703795183361E-2</v>
      </c>
      <c r="R517" s="14">
        <f t="shared" ca="1" si="170"/>
        <v>3.7858991370262389</v>
      </c>
      <c r="S517" s="14">
        <f t="shared" si="171"/>
        <v>3.8823543010752681</v>
      </c>
      <c r="T517" s="14">
        <f t="shared" ca="1" si="172"/>
        <v>9.6455164049029207E-2</v>
      </c>
      <c r="U517" s="16">
        <f t="shared" ca="1" si="173"/>
        <v>2.4844503249565528E-2</v>
      </c>
      <c r="V517" s="14">
        <f t="shared" si="174"/>
        <v>4.2916666666666661</v>
      </c>
      <c r="W517" s="14">
        <f t="shared" ca="1" si="175"/>
        <v>4.2141008629737611</v>
      </c>
      <c r="X517" s="14">
        <f t="shared" ca="1" si="176"/>
        <v>7.7565803692905E-2</v>
      </c>
      <c r="Y517" s="28">
        <f t="shared" ca="1" si="177"/>
        <v>1.8073585326502137E-2</v>
      </c>
      <c r="Z517" s="29">
        <f t="shared" ca="1" si="178"/>
        <v>70.569209999999998</v>
      </c>
      <c r="AA517" s="16">
        <f t="shared" ca="1" si="179"/>
        <v>1.3018041958041984E-2</v>
      </c>
      <c r="AB517" s="2"/>
    </row>
    <row r="518" spans="6:28" x14ac:dyDescent="0.25">
      <c r="F518" s="13">
        <v>516</v>
      </c>
      <c r="G518" s="13">
        <f t="shared" si="160"/>
        <v>71.599999999999994</v>
      </c>
      <c r="H518" s="13">
        <f t="shared" si="161"/>
        <v>344.75</v>
      </c>
      <c r="I518" s="14">
        <f t="shared" si="162"/>
        <v>4.3</v>
      </c>
      <c r="J518" s="14">
        <f t="shared" si="163"/>
        <v>1660.158774</v>
      </c>
      <c r="K518" s="14">
        <f t="shared" si="164"/>
        <v>0.68015877400000013</v>
      </c>
      <c r="L518" s="14">
        <f t="shared" si="165"/>
        <v>1035.67677</v>
      </c>
      <c r="M518" s="14">
        <v>1026.06</v>
      </c>
      <c r="N518" s="13">
        <f t="shared" si="166"/>
        <v>1.0356767700000002</v>
      </c>
      <c r="O518" s="13">
        <f t="shared" si="167"/>
        <v>1.05036</v>
      </c>
      <c r="P518" s="13">
        <f t="shared" si="168"/>
        <v>1.4683229999999714E-2</v>
      </c>
      <c r="Q518" s="16">
        <f t="shared" si="169"/>
        <v>1.3979235690620087E-2</v>
      </c>
      <c r="R518" s="14">
        <f t="shared" ca="1" si="170"/>
        <v>3.7780951370262392</v>
      </c>
      <c r="S518" s="14">
        <f t="shared" si="171"/>
        <v>3.8739083870967739</v>
      </c>
      <c r="T518" s="14">
        <f t="shared" ca="1" si="172"/>
        <v>9.581325007053465E-2</v>
      </c>
      <c r="U518" s="16">
        <f t="shared" ca="1" si="173"/>
        <v>2.4732967457276409E-2</v>
      </c>
      <c r="V518" s="14">
        <f t="shared" si="174"/>
        <v>4.3</v>
      </c>
      <c r="W518" s="14">
        <f t="shared" ca="1" si="175"/>
        <v>4.2219048629737603</v>
      </c>
      <c r="X518" s="14">
        <f t="shared" ca="1" si="176"/>
        <v>7.8095137026239492E-2</v>
      </c>
      <c r="Y518" s="28">
        <f t="shared" ca="1" si="177"/>
        <v>1.8161659773544069E-2</v>
      </c>
      <c r="Z518" s="29">
        <f t="shared" ca="1" si="178"/>
        <v>70.662858</v>
      </c>
      <c r="AA518" s="16">
        <f t="shared" ca="1" si="179"/>
        <v>1.3088575418994336E-2</v>
      </c>
      <c r="AB518" s="2"/>
    </row>
    <row r="519" spans="6:28" x14ac:dyDescent="0.25">
      <c r="F519" s="13">
        <v>517</v>
      </c>
      <c r="G519" s="13">
        <f t="shared" si="160"/>
        <v>71.7</v>
      </c>
      <c r="H519" s="13">
        <f t="shared" si="161"/>
        <v>344.84999999999997</v>
      </c>
      <c r="I519" s="14">
        <f t="shared" si="162"/>
        <v>4.3083330000000002</v>
      </c>
      <c r="J519" s="14">
        <f t="shared" si="163"/>
        <v>1654.5425290000001</v>
      </c>
      <c r="K519" s="14">
        <f t="shared" si="164"/>
        <v>0.674542529</v>
      </c>
      <c r="L519" s="14">
        <f t="shared" si="165"/>
        <v>1033.540033</v>
      </c>
      <c r="M519" s="14">
        <v>1023.88</v>
      </c>
      <c r="N519" s="13">
        <f t="shared" si="166"/>
        <v>1.033540033</v>
      </c>
      <c r="O519" s="13">
        <f t="shared" si="167"/>
        <v>1.0480699999999998</v>
      </c>
      <c r="P519" s="13">
        <f t="shared" si="168"/>
        <v>1.4529966999999866E-2</v>
      </c>
      <c r="Q519" s="16">
        <f t="shared" si="169"/>
        <v>1.3863546328012316E-2</v>
      </c>
      <c r="R519" s="14">
        <f t="shared" ca="1" si="170"/>
        <v>3.7699050000000001</v>
      </c>
      <c r="S519" s="14">
        <f t="shared" si="171"/>
        <v>3.8654624731182787</v>
      </c>
      <c r="T519" s="14">
        <f t="shared" ca="1" si="172"/>
        <v>9.5557473118278669E-2</v>
      </c>
      <c r="U519" s="16">
        <f t="shared" ca="1" si="173"/>
        <v>2.4720838394582112E-2</v>
      </c>
      <c r="V519" s="14">
        <f t="shared" si="174"/>
        <v>4.3083333333333336</v>
      </c>
      <c r="W519" s="14">
        <f t="shared" ca="1" si="175"/>
        <v>4.2300950000000004</v>
      </c>
      <c r="X519" s="14">
        <f t="shared" ca="1" si="176"/>
        <v>7.8238333333333188E-2</v>
      </c>
      <c r="Y519" s="28">
        <f t="shared" ca="1" si="177"/>
        <v>1.8159767891682752E-2</v>
      </c>
      <c r="Z519" s="29">
        <f t="shared" ca="1" si="178"/>
        <v>70.761139999999997</v>
      </c>
      <c r="AA519" s="16">
        <f t="shared" ca="1" si="179"/>
        <v>1.3094281729428248E-2</v>
      </c>
      <c r="AB519" s="2"/>
    </row>
    <row r="520" spans="6:28" x14ac:dyDescent="0.25">
      <c r="F520" s="13">
        <v>518</v>
      </c>
      <c r="G520" s="13">
        <f t="shared" si="160"/>
        <v>71.800000000000011</v>
      </c>
      <c r="H520" s="13">
        <f t="shared" si="161"/>
        <v>344.95</v>
      </c>
      <c r="I520" s="14">
        <f t="shared" si="162"/>
        <v>4.3166669999999998</v>
      </c>
      <c r="J520" s="14">
        <f t="shared" si="163"/>
        <v>1648.9481800000001</v>
      </c>
      <c r="K520" s="14">
        <f t="shared" si="164"/>
        <v>0.66894818000000011</v>
      </c>
      <c r="L520" s="14">
        <f t="shared" si="165"/>
        <v>1031.4061650000001</v>
      </c>
      <c r="M520" s="14">
        <v>1021.69</v>
      </c>
      <c r="N520" s="13">
        <f t="shared" si="166"/>
        <v>1.0314061650000002</v>
      </c>
      <c r="O520" s="13">
        <f t="shared" si="167"/>
        <v>1.0457799999999997</v>
      </c>
      <c r="P520" s="13">
        <f t="shared" si="168"/>
        <v>1.4373834999999557E-2</v>
      </c>
      <c r="Q520" s="16">
        <f t="shared" si="169"/>
        <v>1.3744606896287519E-2</v>
      </c>
      <c r="R520" s="14">
        <f t="shared" ca="1" si="170"/>
        <v>3.7625063644314869</v>
      </c>
      <c r="S520" s="14">
        <f t="shared" si="171"/>
        <v>3.8570165591397836</v>
      </c>
      <c r="T520" s="14">
        <f t="shared" ca="1" si="172"/>
        <v>9.4510194708296691E-2</v>
      </c>
      <c r="U520" s="16">
        <f t="shared" ca="1" si="173"/>
        <v>2.4503445411542375E-2</v>
      </c>
      <c r="V520" s="14">
        <f t="shared" si="174"/>
        <v>4.3166666666666673</v>
      </c>
      <c r="W520" s="14">
        <f t="shared" ca="1" si="175"/>
        <v>4.2374936355685131</v>
      </c>
      <c r="X520" s="14">
        <f t="shared" ca="1" si="176"/>
        <v>7.9173031098154212E-2</v>
      </c>
      <c r="Y520" s="28">
        <f t="shared" ca="1" si="177"/>
        <v>1.8341242725441128E-2</v>
      </c>
      <c r="Z520" s="29">
        <f t="shared" ca="1" si="178"/>
        <v>70.849924000000001</v>
      </c>
      <c r="AA520" s="16">
        <f t="shared" ca="1" si="179"/>
        <v>1.3232256267409606E-2</v>
      </c>
      <c r="AB520" s="2"/>
    </row>
    <row r="521" spans="6:28" x14ac:dyDescent="0.25">
      <c r="F521" s="13">
        <v>519</v>
      </c>
      <c r="G521" s="13">
        <f t="shared" si="160"/>
        <v>71.900000000000006</v>
      </c>
      <c r="H521" s="13">
        <f t="shared" si="161"/>
        <v>345.04999999999995</v>
      </c>
      <c r="I521" s="14">
        <f t="shared" si="162"/>
        <v>4.3250000000000002</v>
      </c>
      <c r="J521" s="14">
        <f t="shared" si="163"/>
        <v>1643.3756289999999</v>
      </c>
      <c r="K521" s="14">
        <f t="shared" si="164"/>
        <v>0.66337562899999991</v>
      </c>
      <c r="L521" s="14">
        <f t="shared" si="165"/>
        <v>1029.275171</v>
      </c>
      <c r="M521" s="14">
        <v>1019.62</v>
      </c>
      <c r="N521" s="13">
        <f t="shared" si="166"/>
        <v>1.0292751710000001</v>
      </c>
      <c r="O521" s="13">
        <f t="shared" si="167"/>
        <v>1.0434899999999998</v>
      </c>
      <c r="P521" s="13">
        <f t="shared" si="168"/>
        <v>1.4214828999999707E-2</v>
      </c>
      <c r="Q521" s="16">
        <f t="shared" si="169"/>
        <v>1.3622391206431982E-2</v>
      </c>
      <c r="R521" s="14">
        <f t="shared" ca="1" si="170"/>
        <v>3.753962635568513</v>
      </c>
      <c r="S521" s="14">
        <f t="shared" si="171"/>
        <v>3.8485706451612893</v>
      </c>
      <c r="T521" s="14">
        <f t="shared" ca="1" si="172"/>
        <v>9.4608009592776376E-2</v>
      </c>
      <c r="U521" s="16">
        <f t="shared" ca="1" si="173"/>
        <v>2.4582635558924881E-2</v>
      </c>
      <c r="V521" s="14">
        <f t="shared" si="174"/>
        <v>4.3250000000000002</v>
      </c>
      <c r="W521" s="14">
        <f t="shared" ca="1" si="175"/>
        <v>4.246037364431487</v>
      </c>
      <c r="X521" s="14">
        <f t="shared" ca="1" si="176"/>
        <v>7.8962635568513129E-2</v>
      </c>
      <c r="Y521" s="28">
        <f t="shared" ca="1" si="177"/>
        <v>1.8257256778846966E-2</v>
      </c>
      <c r="Z521" s="29">
        <f t="shared" ca="1" si="178"/>
        <v>70.952448000000004</v>
      </c>
      <c r="AA521" s="16">
        <f t="shared" ca="1" si="179"/>
        <v>1.3178748261474292E-2</v>
      </c>
      <c r="AB521" s="2"/>
    </row>
    <row r="522" spans="6:28" x14ac:dyDescent="0.25">
      <c r="F522" s="13">
        <v>520</v>
      </c>
      <c r="G522" s="13">
        <f t="shared" si="160"/>
        <v>72</v>
      </c>
      <c r="H522" s="13">
        <f t="shared" si="161"/>
        <v>345.15</v>
      </c>
      <c r="I522" s="14">
        <f t="shared" si="162"/>
        <v>4.3333329999999997</v>
      </c>
      <c r="J522" s="14">
        <f t="shared" si="163"/>
        <v>1637.824781</v>
      </c>
      <c r="K522" s="14">
        <f t="shared" si="164"/>
        <v>0.65782478099999997</v>
      </c>
      <c r="L522" s="14">
        <f t="shared" si="165"/>
        <v>1027.1470589999999</v>
      </c>
      <c r="M522" s="14">
        <v>1017.67</v>
      </c>
      <c r="N522" s="13">
        <f t="shared" si="166"/>
        <v>1.0271470589999998</v>
      </c>
      <c r="O522" s="13">
        <f t="shared" si="167"/>
        <v>1.0411999999999999</v>
      </c>
      <c r="P522" s="13">
        <f t="shared" si="168"/>
        <v>1.4052941000000096E-2</v>
      </c>
      <c r="Q522" s="16">
        <f t="shared" si="169"/>
        <v>1.3496869957741162E-2</v>
      </c>
      <c r="R522" s="14">
        <f t="shared" ca="1" si="170"/>
        <v>3.7465860000000002</v>
      </c>
      <c r="S522" s="14">
        <f t="shared" si="171"/>
        <v>3.8401247311827951</v>
      </c>
      <c r="T522" s="14">
        <f t="shared" ca="1" si="172"/>
        <v>9.3538731182794876E-2</v>
      </c>
      <c r="U522" s="16">
        <f t="shared" ca="1" si="173"/>
        <v>2.4358253372146081E-2</v>
      </c>
      <c r="V522" s="14">
        <f t="shared" si="174"/>
        <v>4.3333333333333339</v>
      </c>
      <c r="W522" s="14">
        <f t="shared" ca="1" si="175"/>
        <v>4.2534139999999994</v>
      </c>
      <c r="X522" s="14">
        <f t="shared" ca="1" si="176"/>
        <v>7.9919333333334563E-2</v>
      </c>
      <c r="Y522" s="28">
        <f t="shared" ca="1" si="177"/>
        <v>1.844292307692336E-2</v>
      </c>
      <c r="Z522" s="29">
        <f t="shared" ca="1" si="178"/>
        <v>71.040968000000007</v>
      </c>
      <c r="AA522" s="16">
        <f t="shared" ca="1" si="179"/>
        <v>1.3319888888888798E-2</v>
      </c>
      <c r="AB522" s="2"/>
    </row>
    <row r="523" spans="6:28" x14ac:dyDescent="0.25">
      <c r="F523" s="13">
        <v>521</v>
      </c>
      <c r="G523" s="13">
        <f t="shared" si="160"/>
        <v>72.099999999999994</v>
      </c>
      <c r="H523" s="13">
        <f t="shared" si="161"/>
        <v>345.25</v>
      </c>
      <c r="I523" s="14">
        <f t="shared" si="162"/>
        <v>4.3416670000000002</v>
      </c>
      <c r="J523" s="14">
        <f t="shared" si="163"/>
        <v>1632.295543</v>
      </c>
      <c r="K523" s="14">
        <f t="shared" si="164"/>
        <v>0.65229554299999992</v>
      </c>
      <c r="L523" s="14">
        <f t="shared" si="165"/>
        <v>1025.021835</v>
      </c>
      <c r="M523" s="14">
        <v>1015.48</v>
      </c>
      <c r="N523" s="13">
        <f t="shared" si="166"/>
        <v>1.025021835</v>
      </c>
      <c r="O523" s="13">
        <f t="shared" si="167"/>
        <v>1.03891</v>
      </c>
      <c r="P523" s="13">
        <f t="shared" si="168"/>
        <v>1.3888165000000008E-2</v>
      </c>
      <c r="Q523" s="16">
        <f t="shared" si="169"/>
        <v>1.3368015516262243E-2</v>
      </c>
      <c r="R523" s="14">
        <f t="shared" ca="1" si="170"/>
        <v>3.7380524985422743</v>
      </c>
      <c r="S523" s="14">
        <f t="shared" si="171"/>
        <v>3.8316788172043008</v>
      </c>
      <c r="T523" s="14">
        <f t="shared" ca="1" si="172"/>
        <v>9.3626318662026531E-2</v>
      </c>
      <c r="U523" s="16">
        <f t="shared" ca="1" si="173"/>
        <v>2.4434803418711095E-2</v>
      </c>
      <c r="V523" s="14">
        <f t="shared" si="174"/>
        <v>4.3416666666666668</v>
      </c>
      <c r="W523" s="14">
        <f t="shared" ca="1" si="175"/>
        <v>4.2619475014577262</v>
      </c>
      <c r="X523" s="14">
        <f t="shared" ca="1" si="176"/>
        <v>7.9719165208940623E-2</v>
      </c>
      <c r="Y523" s="28">
        <f t="shared" ca="1" si="177"/>
        <v>1.8361420009736805E-2</v>
      </c>
      <c r="Z523" s="29">
        <f t="shared" ca="1" si="178"/>
        <v>71.143370000000004</v>
      </c>
      <c r="AA523" s="16">
        <f t="shared" ca="1" si="179"/>
        <v>1.3268099861303605E-2</v>
      </c>
      <c r="AB523" s="2"/>
    </row>
    <row r="524" spans="6:28" x14ac:dyDescent="0.25">
      <c r="F524" s="13">
        <v>522</v>
      </c>
      <c r="G524" s="13">
        <f t="shared" si="160"/>
        <v>72.2</v>
      </c>
      <c r="H524" s="13">
        <f t="shared" si="161"/>
        <v>345.34999999999997</v>
      </c>
      <c r="I524" s="14">
        <f t="shared" si="162"/>
        <v>4.3499999999999996</v>
      </c>
      <c r="J524" s="14">
        <f t="shared" si="163"/>
        <v>1626.787818</v>
      </c>
      <c r="K524" s="14">
        <f t="shared" si="164"/>
        <v>0.64678781799999996</v>
      </c>
      <c r="L524" s="14">
        <f t="shared" si="165"/>
        <v>1022.899505</v>
      </c>
      <c r="M524" s="14">
        <v>1013.28</v>
      </c>
      <c r="N524" s="13">
        <f t="shared" si="166"/>
        <v>1.0228995049999998</v>
      </c>
      <c r="O524" s="13">
        <f t="shared" si="167"/>
        <v>1.0366199999999999</v>
      </c>
      <c r="P524" s="13">
        <f t="shared" si="168"/>
        <v>1.3720495000000055E-2</v>
      </c>
      <c r="Q524" s="16">
        <f t="shared" si="169"/>
        <v>1.3235800003858749E-2</v>
      </c>
      <c r="R524" s="14">
        <f t="shared" ca="1" si="170"/>
        <v>3.731093</v>
      </c>
      <c r="S524" s="14">
        <f t="shared" si="171"/>
        <v>3.8232329032258057</v>
      </c>
      <c r="T524" s="14">
        <f t="shared" ca="1" si="172"/>
        <v>9.2139903225805675E-2</v>
      </c>
      <c r="U524" s="16">
        <f t="shared" ca="1" si="173"/>
        <v>2.4099997451911381E-2</v>
      </c>
      <c r="V524" s="14">
        <f t="shared" si="174"/>
        <v>4.3499999999999996</v>
      </c>
      <c r="W524" s="14">
        <f t="shared" ca="1" si="175"/>
        <v>4.2689070000000005</v>
      </c>
      <c r="X524" s="14">
        <f t="shared" ca="1" si="176"/>
        <v>8.1092999999999194E-2</v>
      </c>
      <c r="Y524" s="28">
        <f t="shared" ca="1" si="177"/>
        <v>1.8642068965517056E-2</v>
      </c>
      <c r="Z524" s="29">
        <f t="shared" ca="1" si="178"/>
        <v>71.226883999999998</v>
      </c>
      <c r="AA524" s="16">
        <f t="shared" ca="1" si="179"/>
        <v>1.3478060941828317E-2</v>
      </c>
      <c r="AB524" s="2"/>
    </row>
    <row r="525" spans="6:28" x14ac:dyDescent="0.25">
      <c r="F525" s="13">
        <v>523</v>
      </c>
      <c r="G525" s="13">
        <f t="shared" si="160"/>
        <v>72.300000000000011</v>
      </c>
      <c r="H525" s="13">
        <f t="shared" si="161"/>
        <v>345.45</v>
      </c>
      <c r="I525" s="14">
        <f t="shared" si="162"/>
        <v>4.358333</v>
      </c>
      <c r="J525" s="14">
        <f t="shared" si="163"/>
        <v>1621.301514</v>
      </c>
      <c r="K525" s="14">
        <f t="shared" si="164"/>
        <v>0.64130151400000002</v>
      </c>
      <c r="L525" s="14">
        <f t="shared" si="165"/>
        <v>1020.780076</v>
      </c>
      <c r="M525" s="14">
        <v>1011.2</v>
      </c>
      <c r="N525" s="13">
        <f t="shared" si="166"/>
        <v>1.0207800759999999</v>
      </c>
      <c r="O525" s="13">
        <f t="shared" si="167"/>
        <v>1.0343299999999997</v>
      </c>
      <c r="P525" s="13">
        <f t="shared" si="168"/>
        <v>1.354992399999988E-2</v>
      </c>
      <c r="Q525" s="16">
        <f t="shared" si="169"/>
        <v>1.3100194328695757E-2</v>
      </c>
      <c r="R525" s="14">
        <f t="shared" ca="1" si="170"/>
        <v>3.7233727725947521</v>
      </c>
      <c r="S525" s="14">
        <f t="shared" si="171"/>
        <v>3.8147869892473105</v>
      </c>
      <c r="T525" s="14">
        <f t="shared" ca="1" si="172"/>
        <v>9.1414216652558444E-2</v>
      </c>
      <c r="U525" s="16">
        <f t="shared" ca="1" si="173"/>
        <v>2.3963124785270181E-2</v>
      </c>
      <c r="V525" s="14">
        <f t="shared" si="174"/>
        <v>4.3583333333333343</v>
      </c>
      <c r="W525" s="14">
        <f t="shared" ca="1" si="175"/>
        <v>4.2766272274052479</v>
      </c>
      <c r="X525" s="14">
        <f t="shared" ca="1" si="176"/>
        <v>8.1706105928086359E-2</v>
      </c>
      <c r="Y525" s="28">
        <f t="shared" ca="1" si="177"/>
        <v>1.8747098874513118E-2</v>
      </c>
      <c r="Z525" s="29">
        <f t="shared" ca="1" si="178"/>
        <v>71.319526999999994</v>
      </c>
      <c r="AA525" s="16">
        <f t="shared" ca="1" si="179"/>
        <v>1.3561175656985029E-2</v>
      </c>
      <c r="AB525" s="2"/>
    </row>
    <row r="526" spans="6:28" x14ac:dyDescent="0.25">
      <c r="F526" s="13">
        <v>524</v>
      </c>
      <c r="G526" s="13">
        <f t="shared" si="160"/>
        <v>72.400000000000006</v>
      </c>
      <c r="H526" s="13">
        <f t="shared" si="161"/>
        <v>345.54999999999995</v>
      </c>
      <c r="I526" s="14">
        <f t="shared" si="162"/>
        <v>4.3666669999999996</v>
      </c>
      <c r="J526" s="14">
        <f t="shared" si="163"/>
        <v>1615.836536</v>
      </c>
      <c r="K526" s="14">
        <f t="shared" si="164"/>
        <v>0.63583653600000001</v>
      </c>
      <c r="L526" s="14">
        <f t="shared" si="165"/>
        <v>1018.663552</v>
      </c>
      <c r="M526" s="14">
        <v>1009.11</v>
      </c>
      <c r="N526" s="13">
        <f t="shared" si="166"/>
        <v>1.018663552</v>
      </c>
      <c r="O526" s="13">
        <f t="shared" si="167"/>
        <v>1.0320399999999998</v>
      </c>
      <c r="P526" s="13">
        <f t="shared" si="168"/>
        <v>1.3376447999999819E-2</v>
      </c>
      <c r="Q526" s="16">
        <f t="shared" si="169"/>
        <v>1.2961172047594881E-2</v>
      </c>
      <c r="R526" s="14">
        <f t="shared" ca="1" si="170"/>
        <v>3.7156419999999999</v>
      </c>
      <c r="S526" s="14">
        <f t="shared" si="171"/>
        <v>3.8063410752688163</v>
      </c>
      <c r="T526" s="14">
        <f t="shared" ca="1" si="172"/>
        <v>9.0699075268816376E-2</v>
      </c>
      <c r="U526" s="16">
        <f t="shared" ca="1" si="173"/>
        <v>2.3828415130247072E-2</v>
      </c>
      <c r="V526" s="14">
        <f t="shared" si="174"/>
        <v>4.3666666666666671</v>
      </c>
      <c r="W526" s="14">
        <f t="shared" ca="1" si="175"/>
        <v>4.2843580000000001</v>
      </c>
      <c r="X526" s="14">
        <f t="shared" ca="1" si="176"/>
        <v>8.230866666666703E-2</v>
      </c>
      <c r="Y526" s="28">
        <f t="shared" ca="1" si="177"/>
        <v>1.8849312977099318E-2</v>
      </c>
      <c r="Z526" s="29">
        <f t="shared" ca="1" si="178"/>
        <v>71.412295999999998</v>
      </c>
      <c r="AA526" s="16">
        <f t="shared" ca="1" si="179"/>
        <v>1.3642320441989058E-2</v>
      </c>
      <c r="AB526" s="2"/>
    </row>
    <row r="527" spans="6:28" x14ac:dyDescent="0.25">
      <c r="F527" s="13">
        <v>525</v>
      </c>
      <c r="G527" s="13">
        <f t="shared" si="160"/>
        <v>72.5</v>
      </c>
      <c r="H527" s="13">
        <f t="shared" si="161"/>
        <v>345.65</v>
      </c>
      <c r="I527" s="14">
        <f t="shared" si="162"/>
        <v>4.375</v>
      </c>
      <c r="J527" s="14">
        <f t="shared" si="163"/>
        <v>1610.3927920000001</v>
      </c>
      <c r="K527" s="14">
        <f t="shared" si="164"/>
        <v>0.63039279200000009</v>
      </c>
      <c r="L527" s="14">
        <f t="shared" si="165"/>
        <v>1016.549941</v>
      </c>
      <c r="M527" s="14">
        <v>1006.79</v>
      </c>
      <c r="N527" s="13">
        <f t="shared" si="166"/>
        <v>1.0165499409999998</v>
      </c>
      <c r="O527" s="13">
        <f t="shared" si="167"/>
        <v>1.0297499999999999</v>
      </c>
      <c r="P527" s="13">
        <f t="shared" si="168"/>
        <v>1.3200059000000097E-2</v>
      </c>
      <c r="Q527" s="16">
        <f t="shared" si="169"/>
        <v>1.2818702597717987E-2</v>
      </c>
      <c r="R527" s="14">
        <f t="shared" ca="1" si="170"/>
        <v>3.7071504985422741</v>
      </c>
      <c r="S527" s="14">
        <f t="shared" si="171"/>
        <v>3.797895161290322</v>
      </c>
      <c r="T527" s="14">
        <f t="shared" ca="1" si="172"/>
        <v>9.0744662748047933E-2</v>
      </c>
      <c r="U527" s="16">
        <f t="shared" ca="1" si="173"/>
        <v>2.3893409084314414E-2</v>
      </c>
      <c r="V527" s="14">
        <f t="shared" si="174"/>
        <v>4.375</v>
      </c>
      <c r="W527" s="14">
        <f t="shared" ca="1" si="175"/>
        <v>4.2928495014577255</v>
      </c>
      <c r="X527" s="14">
        <f t="shared" ca="1" si="176"/>
        <v>8.2150498542274519E-2</v>
      </c>
      <c r="Y527" s="28">
        <f t="shared" ca="1" si="177"/>
        <v>1.8777256809662746E-2</v>
      </c>
      <c r="Z527" s="29">
        <f t="shared" ca="1" si="178"/>
        <v>71.514194000000003</v>
      </c>
      <c r="AA527" s="16">
        <f t="shared" ca="1" si="179"/>
        <v>1.3597324137930989E-2</v>
      </c>
      <c r="AB527" s="2"/>
    </row>
    <row r="528" spans="6:28" x14ac:dyDescent="0.25">
      <c r="F528" s="13">
        <v>526</v>
      </c>
      <c r="G528" s="13">
        <f t="shared" si="160"/>
        <v>72.599999999999994</v>
      </c>
      <c r="H528" s="13">
        <f t="shared" si="161"/>
        <v>345.75</v>
      </c>
      <c r="I528" s="14">
        <f t="shared" si="162"/>
        <v>4.3833330000000004</v>
      </c>
      <c r="J528" s="14">
        <f t="shared" si="163"/>
        <v>1604.9701889999999</v>
      </c>
      <c r="K528" s="14">
        <f t="shared" si="164"/>
        <v>0.6249701889999999</v>
      </c>
      <c r="L528" s="14">
        <f t="shared" si="165"/>
        <v>1014.439249</v>
      </c>
      <c r="M528" s="14">
        <v>1004.94</v>
      </c>
      <c r="N528" s="13">
        <f t="shared" si="166"/>
        <v>1.014439249</v>
      </c>
      <c r="O528" s="13">
        <f t="shared" si="167"/>
        <v>1.02746</v>
      </c>
      <c r="P528" s="13">
        <f t="shared" si="168"/>
        <v>1.3020750999999997E-2</v>
      </c>
      <c r="Q528" s="16">
        <f t="shared" si="169"/>
        <v>1.2672757090300349E-2</v>
      </c>
      <c r="R528" s="14">
        <f t="shared" ca="1" si="170"/>
        <v>3.7006183644314867</v>
      </c>
      <c r="S528" s="14">
        <f t="shared" si="171"/>
        <v>3.7894492473118278</v>
      </c>
      <c r="T528" s="14">
        <f t="shared" ca="1" si="172"/>
        <v>8.8830882880341022E-2</v>
      </c>
      <c r="U528" s="16">
        <f t="shared" ca="1" si="173"/>
        <v>2.3441634148644735E-2</v>
      </c>
      <c r="V528" s="14">
        <f t="shared" si="174"/>
        <v>4.3833333333333329</v>
      </c>
      <c r="W528" s="14">
        <f t="shared" ca="1" si="175"/>
        <v>4.2993816355685137</v>
      </c>
      <c r="X528" s="14">
        <f t="shared" ca="1" si="176"/>
        <v>8.3951697764819144E-2</v>
      </c>
      <c r="Y528" s="28">
        <f t="shared" ca="1" si="177"/>
        <v>1.9152478577525282E-2</v>
      </c>
      <c r="Z528" s="29">
        <f t="shared" ca="1" si="178"/>
        <v>71.592579999999998</v>
      </c>
      <c r="AA528" s="16">
        <f t="shared" ca="1" si="179"/>
        <v>1.3876308539944853E-2</v>
      </c>
      <c r="AB528" s="2"/>
    </row>
    <row r="529" spans="6:28" x14ac:dyDescent="0.25">
      <c r="F529" s="13">
        <v>527</v>
      </c>
      <c r="G529" s="13">
        <f t="shared" si="160"/>
        <v>72.7</v>
      </c>
      <c r="H529" s="13">
        <f t="shared" si="161"/>
        <v>345.84999999999997</v>
      </c>
      <c r="I529" s="14">
        <f t="shared" si="162"/>
        <v>4.391667</v>
      </c>
      <c r="J529" s="14">
        <f t="shared" si="163"/>
        <v>1599.568634</v>
      </c>
      <c r="K529" s="14">
        <f t="shared" si="164"/>
        <v>0.61956863399999995</v>
      </c>
      <c r="L529" s="14">
        <f t="shared" si="165"/>
        <v>1012.3314810000001</v>
      </c>
      <c r="M529" s="14">
        <v>1002.61</v>
      </c>
      <c r="N529" s="13">
        <f t="shared" si="166"/>
        <v>1.0123314810000001</v>
      </c>
      <c r="O529" s="13">
        <f t="shared" si="167"/>
        <v>1.0251699999999999</v>
      </c>
      <c r="P529" s="13">
        <f t="shared" si="168"/>
        <v>1.2838518999999771E-2</v>
      </c>
      <c r="Q529" s="16">
        <f t="shared" si="169"/>
        <v>1.2523307353902056E-2</v>
      </c>
      <c r="R529" s="14">
        <f t="shared" ca="1" si="170"/>
        <v>3.6921596355685131</v>
      </c>
      <c r="S529" s="14">
        <f t="shared" si="171"/>
        <v>3.781003333333333</v>
      </c>
      <c r="T529" s="14">
        <f t="shared" ca="1" si="172"/>
        <v>8.8843697764819929E-2</v>
      </c>
      <c r="U529" s="16">
        <f t="shared" ca="1" si="173"/>
        <v>2.3497386786616586E-2</v>
      </c>
      <c r="V529" s="14">
        <f t="shared" si="174"/>
        <v>4.3916666666666657</v>
      </c>
      <c r="W529" s="14">
        <f t="shared" ca="1" si="175"/>
        <v>4.3078403644314864</v>
      </c>
      <c r="X529" s="14">
        <f t="shared" ca="1" si="176"/>
        <v>8.3826302235179284E-2</v>
      </c>
      <c r="Y529" s="28">
        <f t="shared" ca="1" si="177"/>
        <v>1.9087583051653732E-2</v>
      </c>
      <c r="Z529" s="29">
        <f t="shared" ca="1" si="178"/>
        <v>71.694084000000004</v>
      </c>
      <c r="AA529" s="16">
        <f t="shared" ca="1" si="179"/>
        <v>1.383653370013754E-2</v>
      </c>
      <c r="AB529" s="2"/>
    </row>
    <row r="530" spans="6:28" x14ac:dyDescent="0.25">
      <c r="F530" s="13">
        <v>528</v>
      </c>
      <c r="G530" s="13">
        <f t="shared" si="160"/>
        <v>72.800000000000011</v>
      </c>
      <c r="H530" s="13">
        <f t="shared" si="161"/>
        <v>345.95</v>
      </c>
      <c r="I530" s="14">
        <f t="shared" si="162"/>
        <v>4.4000000000000004</v>
      </c>
      <c r="J530" s="14">
        <f t="shared" si="163"/>
        <v>1594.1880369999999</v>
      </c>
      <c r="K530" s="14">
        <f t="shared" si="164"/>
        <v>0.61418803699999991</v>
      </c>
      <c r="L530" s="14">
        <f t="shared" si="165"/>
        <v>1010.226643</v>
      </c>
      <c r="M530" s="14">
        <v>1000.51</v>
      </c>
      <c r="N530" s="13">
        <f t="shared" si="166"/>
        <v>1.010226643</v>
      </c>
      <c r="O530" s="13">
        <f t="shared" si="167"/>
        <v>1.0228799999999996</v>
      </c>
      <c r="P530" s="13">
        <f t="shared" si="168"/>
        <v>1.2653356999999588E-2</v>
      </c>
      <c r="Q530" s="16">
        <f t="shared" si="169"/>
        <v>1.2370323987173073E-2</v>
      </c>
      <c r="R530" s="14">
        <f t="shared" ca="1" si="170"/>
        <v>3.6844718629737607</v>
      </c>
      <c r="S530" s="14">
        <f t="shared" si="171"/>
        <v>3.772557419354837</v>
      </c>
      <c r="T530" s="14">
        <f t="shared" ca="1" si="172"/>
        <v>8.8085556381076291E-2</v>
      </c>
      <c r="U530" s="16">
        <f t="shared" ca="1" si="173"/>
        <v>2.3349030005258401E-2</v>
      </c>
      <c r="V530" s="14">
        <f t="shared" si="174"/>
        <v>4.4000000000000004</v>
      </c>
      <c r="W530" s="14">
        <f t="shared" ca="1" si="175"/>
        <v>4.3155281370262397</v>
      </c>
      <c r="X530" s="14">
        <f t="shared" ca="1" si="176"/>
        <v>8.4471862973760636E-2</v>
      </c>
      <c r="Y530" s="28">
        <f t="shared" ca="1" si="177"/>
        <v>1.9198150675854689E-2</v>
      </c>
      <c r="Z530" s="29">
        <f t="shared" ca="1" si="178"/>
        <v>71.786338000000001</v>
      </c>
      <c r="AA530" s="16">
        <f t="shared" ca="1" si="179"/>
        <v>1.3923928571428717E-2</v>
      </c>
      <c r="AB530" s="2"/>
    </row>
    <row r="531" spans="6:28" x14ac:dyDescent="0.25">
      <c r="F531" s="13">
        <v>529</v>
      </c>
      <c r="G531" s="13">
        <f t="shared" si="160"/>
        <v>72.900000000000006</v>
      </c>
      <c r="H531" s="13">
        <f t="shared" si="161"/>
        <v>346.04999999999995</v>
      </c>
      <c r="I531" s="14">
        <f t="shared" si="162"/>
        <v>4.4083329999999998</v>
      </c>
      <c r="J531" s="14">
        <f t="shared" si="163"/>
        <v>1588.828305</v>
      </c>
      <c r="K531" s="14">
        <f t="shared" si="164"/>
        <v>0.60882830500000007</v>
      </c>
      <c r="L531" s="14">
        <f t="shared" si="165"/>
        <v>1008.124742</v>
      </c>
      <c r="M531" s="14">
        <v>998.41249000000005</v>
      </c>
      <c r="N531" s="13">
        <f t="shared" si="166"/>
        <v>1.0081247419999999</v>
      </c>
      <c r="O531" s="13">
        <f t="shared" si="167"/>
        <v>1.0205899999999999</v>
      </c>
      <c r="P531" s="13">
        <f t="shared" si="168"/>
        <v>1.2465257999999979E-2</v>
      </c>
      <c r="Q531" s="16">
        <f t="shared" si="169"/>
        <v>1.2213776345055292E-2</v>
      </c>
      <c r="R531" s="14">
        <f t="shared" ca="1" si="170"/>
        <v>3.6779825014577261</v>
      </c>
      <c r="S531" s="14">
        <f t="shared" si="171"/>
        <v>3.7641115053763436</v>
      </c>
      <c r="T531" s="14">
        <f t="shared" ca="1" si="172"/>
        <v>8.6129003918617553E-2</v>
      </c>
      <c r="U531" s="16">
        <f t="shared" ca="1" si="173"/>
        <v>2.2881629249186176E-2</v>
      </c>
      <c r="V531" s="14">
        <f t="shared" si="174"/>
        <v>4.4083333333333332</v>
      </c>
      <c r="W531" s="14">
        <f t="shared" ca="1" si="175"/>
        <v>4.3220174985422739</v>
      </c>
      <c r="X531" s="14">
        <f t="shared" ca="1" si="176"/>
        <v>8.6315834791059309E-2</v>
      </c>
      <c r="Y531" s="28">
        <f t="shared" ca="1" si="177"/>
        <v>1.9580151559408541E-2</v>
      </c>
      <c r="Z531" s="29">
        <f t="shared" ca="1" si="178"/>
        <v>71.86421</v>
      </c>
      <c r="AA531" s="16">
        <f t="shared" ca="1" si="179"/>
        <v>1.4208367626886223E-2</v>
      </c>
      <c r="AB531" s="2"/>
    </row>
    <row r="532" spans="6:28" x14ac:dyDescent="0.25">
      <c r="F532" s="13">
        <v>530</v>
      </c>
      <c r="G532" s="13">
        <f t="shared" si="160"/>
        <v>73</v>
      </c>
      <c r="H532" s="13">
        <f t="shared" si="161"/>
        <v>346.15</v>
      </c>
      <c r="I532" s="14">
        <f t="shared" si="162"/>
        <v>4.4166670000000003</v>
      </c>
      <c r="J532" s="14">
        <f t="shared" si="163"/>
        <v>1583.4893480000001</v>
      </c>
      <c r="K532" s="14">
        <f t="shared" si="164"/>
        <v>0.60348934800000009</v>
      </c>
      <c r="L532" s="14">
        <f t="shared" si="165"/>
        <v>1006.025783</v>
      </c>
      <c r="M532" s="14">
        <v>996.19325000000003</v>
      </c>
      <c r="N532" s="13">
        <f t="shared" si="166"/>
        <v>1.0060257829999999</v>
      </c>
      <c r="O532" s="13">
        <f t="shared" si="167"/>
        <v>1.0183</v>
      </c>
      <c r="P532" s="13">
        <f t="shared" si="168"/>
        <v>1.2274217000000087E-2</v>
      </c>
      <c r="Q532" s="16">
        <f t="shared" si="169"/>
        <v>1.205363547088293E-2</v>
      </c>
      <c r="R532" s="14">
        <f t="shared" ca="1" si="170"/>
        <v>3.6687634985422739</v>
      </c>
      <c r="S532" s="14">
        <f t="shared" si="171"/>
        <v>3.7556655913978494</v>
      </c>
      <c r="T532" s="14">
        <f t="shared" ca="1" si="172"/>
        <v>8.6902092855575486E-2</v>
      </c>
      <c r="U532" s="16">
        <f t="shared" ca="1" si="173"/>
        <v>2.3138932564874804E-2</v>
      </c>
      <c r="V532" s="14">
        <f t="shared" si="174"/>
        <v>4.4166666666666661</v>
      </c>
      <c r="W532" s="14">
        <f t="shared" ca="1" si="175"/>
        <v>4.3312365014577257</v>
      </c>
      <c r="X532" s="14">
        <f t="shared" ca="1" si="176"/>
        <v>8.5430165208940423E-2</v>
      </c>
      <c r="Y532" s="28">
        <f t="shared" ca="1" si="177"/>
        <v>1.9342678915231795E-2</v>
      </c>
      <c r="Z532" s="29">
        <f t="shared" ca="1" si="178"/>
        <v>71.974838000000005</v>
      </c>
      <c r="AA532" s="16">
        <f t="shared" ca="1" si="179"/>
        <v>1.4043315068493076E-2</v>
      </c>
      <c r="AB532" s="2"/>
    </row>
    <row r="533" spans="6:28" x14ac:dyDescent="0.25">
      <c r="F533" s="13">
        <v>531</v>
      </c>
      <c r="G533" s="13">
        <f t="shared" si="160"/>
        <v>73.099999999999994</v>
      </c>
      <c r="H533" s="13">
        <f t="shared" si="161"/>
        <v>346.25</v>
      </c>
      <c r="I533" s="14">
        <f t="shared" si="162"/>
        <v>4.4249999999999998</v>
      </c>
      <c r="J533" s="14">
        <f t="shared" si="163"/>
        <v>1578.171075</v>
      </c>
      <c r="K533" s="14">
        <f t="shared" si="164"/>
        <v>0.598171075</v>
      </c>
      <c r="L533" s="14">
        <f t="shared" si="165"/>
        <v>1003.929771</v>
      </c>
      <c r="M533" s="14">
        <v>994.08821999999998</v>
      </c>
      <c r="N533" s="13">
        <f t="shared" si="166"/>
        <v>1.0039297709999999</v>
      </c>
      <c r="O533" s="13">
        <f t="shared" si="167"/>
        <v>1.0160100000000001</v>
      </c>
      <c r="P533" s="13">
        <f t="shared" si="168"/>
        <v>1.2080229000000164E-2</v>
      </c>
      <c r="Q533" s="16">
        <f t="shared" si="169"/>
        <v>1.1889872146927849E-2</v>
      </c>
      <c r="R533" s="14">
        <f t="shared" ca="1" si="170"/>
        <v>3.6626805014577259</v>
      </c>
      <c r="S533" s="14">
        <f t="shared" si="171"/>
        <v>3.7472196774193551</v>
      </c>
      <c r="T533" s="14">
        <f t="shared" ca="1" si="172"/>
        <v>8.4539175961629187E-2</v>
      </c>
      <c r="U533" s="16">
        <f t="shared" ca="1" si="173"/>
        <v>2.2560507053018531E-2</v>
      </c>
      <c r="V533" s="14">
        <f t="shared" si="174"/>
        <v>4.4249999999999989</v>
      </c>
      <c r="W533" s="14">
        <f t="shared" ca="1" si="175"/>
        <v>4.3373194985422741</v>
      </c>
      <c r="X533" s="14">
        <f t="shared" ca="1" si="176"/>
        <v>8.768050145772488E-2</v>
      </c>
      <c r="Y533" s="28">
        <f t="shared" ca="1" si="177"/>
        <v>1.9814802589316362E-2</v>
      </c>
      <c r="Z533" s="29">
        <f t="shared" ca="1" si="178"/>
        <v>72.047833999999995</v>
      </c>
      <c r="AA533" s="16">
        <f t="shared" ca="1" si="179"/>
        <v>1.4393515731874142E-2</v>
      </c>
      <c r="AB533" s="2"/>
    </row>
    <row r="534" spans="6:28" x14ac:dyDescent="0.25">
      <c r="F534" s="13">
        <v>532</v>
      </c>
      <c r="G534" s="13">
        <f t="shared" si="160"/>
        <v>73.2</v>
      </c>
      <c r="H534" s="13">
        <f t="shared" si="161"/>
        <v>346.34999999999997</v>
      </c>
      <c r="I534" s="14">
        <f t="shared" si="162"/>
        <v>4.4333330000000002</v>
      </c>
      <c r="J534" s="14">
        <f t="shared" si="163"/>
        <v>1572.8733970000001</v>
      </c>
      <c r="K534" s="14">
        <f t="shared" si="164"/>
        <v>0.59287339700000019</v>
      </c>
      <c r="L534" s="14">
        <f t="shared" si="165"/>
        <v>1001.836713</v>
      </c>
      <c r="M534" s="14">
        <v>991.98022000000003</v>
      </c>
      <c r="N534" s="13">
        <f t="shared" si="166"/>
        <v>1.0018367130000001</v>
      </c>
      <c r="O534" s="13">
        <f t="shared" si="167"/>
        <v>1.01372</v>
      </c>
      <c r="P534" s="13">
        <f t="shared" si="168"/>
        <v>1.1883286999999854E-2</v>
      </c>
      <c r="Q534" s="16">
        <f t="shared" si="169"/>
        <v>1.172245491851779E-2</v>
      </c>
      <c r="R534" s="14">
        <f t="shared" ca="1" si="170"/>
        <v>3.6546611370262392</v>
      </c>
      <c r="S534" s="14">
        <f t="shared" si="171"/>
        <v>3.73877376344086</v>
      </c>
      <c r="T534" s="14">
        <f t="shared" ca="1" si="172"/>
        <v>8.4112626414620806E-2</v>
      </c>
      <c r="U534" s="16">
        <f t="shared" ca="1" si="173"/>
        <v>2.2497383296391397E-2</v>
      </c>
      <c r="V534" s="14">
        <f t="shared" si="174"/>
        <v>4.4333333333333327</v>
      </c>
      <c r="W534" s="14">
        <f t="shared" ca="1" si="175"/>
        <v>4.3453388629737608</v>
      </c>
      <c r="X534" s="14">
        <f t="shared" ca="1" si="176"/>
        <v>8.7994470359571864E-2</v>
      </c>
      <c r="Y534" s="28">
        <f t="shared" ca="1" si="177"/>
        <v>1.9848376772835762E-2</v>
      </c>
      <c r="Z534" s="29">
        <f t="shared" ca="1" si="178"/>
        <v>72.144065999999995</v>
      </c>
      <c r="AA534" s="16">
        <f t="shared" ca="1" si="179"/>
        <v>1.4425327868852564E-2</v>
      </c>
      <c r="AB534" s="2"/>
    </row>
    <row r="535" spans="6:28" x14ac:dyDescent="0.25">
      <c r="F535" s="13">
        <v>533</v>
      </c>
      <c r="G535" s="13">
        <f t="shared" si="160"/>
        <v>73.300000000000011</v>
      </c>
      <c r="H535" s="13">
        <f t="shared" si="161"/>
        <v>346.45</v>
      </c>
      <c r="I535" s="14">
        <f t="shared" si="162"/>
        <v>4.4416669999999998</v>
      </c>
      <c r="J535" s="14">
        <f t="shared" si="163"/>
        <v>1567.596223</v>
      </c>
      <c r="K535" s="14">
        <f t="shared" si="164"/>
        <v>0.58759622300000003</v>
      </c>
      <c r="L535" s="14">
        <f t="shared" si="165"/>
        <v>999.74661300000002</v>
      </c>
      <c r="M535" s="14">
        <v>989.86924999999997</v>
      </c>
      <c r="N535" s="13">
        <f t="shared" si="166"/>
        <v>0.99974661300000012</v>
      </c>
      <c r="O535" s="13">
        <f t="shared" si="167"/>
        <v>1.0114299999999996</v>
      </c>
      <c r="P535" s="13">
        <f t="shared" si="168"/>
        <v>1.168338699999949E-2</v>
      </c>
      <c r="Q535" s="16">
        <f t="shared" si="169"/>
        <v>1.1551355012209935E-2</v>
      </c>
      <c r="R535" s="14">
        <f t="shared" ca="1" si="170"/>
        <v>3.6466409999999998</v>
      </c>
      <c r="S535" s="14">
        <f t="shared" si="171"/>
        <v>3.730327849462364</v>
      </c>
      <c r="T535" s="14">
        <f t="shared" ca="1" si="172"/>
        <v>8.3686849462364155E-2</v>
      </c>
      <c r="U535" s="16">
        <f t="shared" ca="1" si="173"/>
        <v>2.2434180811862308E-2</v>
      </c>
      <c r="V535" s="14">
        <f t="shared" si="174"/>
        <v>4.4416666666666682</v>
      </c>
      <c r="W535" s="14">
        <f t="shared" ca="1" si="175"/>
        <v>4.3533590000000002</v>
      </c>
      <c r="X535" s="14">
        <f t="shared" ca="1" si="176"/>
        <v>8.8307666666668005E-2</v>
      </c>
      <c r="Y535" s="28">
        <f t="shared" ca="1" si="177"/>
        <v>1.988165103189523E-2</v>
      </c>
      <c r="Z535" s="29">
        <f t="shared" ca="1" si="178"/>
        <v>72.240307999999999</v>
      </c>
      <c r="AA535" s="16">
        <f t="shared" ca="1" si="179"/>
        <v>1.4456916780354875E-2</v>
      </c>
      <c r="AB535" s="2"/>
    </row>
    <row r="536" spans="6:28" x14ac:dyDescent="0.25">
      <c r="F536" s="13">
        <v>534</v>
      </c>
      <c r="G536" s="13">
        <f t="shared" si="160"/>
        <v>73.400000000000006</v>
      </c>
      <c r="H536" s="13">
        <f t="shared" si="161"/>
        <v>346.54999999999995</v>
      </c>
      <c r="I536" s="14">
        <f t="shared" si="162"/>
        <v>4.45</v>
      </c>
      <c r="J536" s="14">
        <f t="shared" si="163"/>
        <v>1562.339465</v>
      </c>
      <c r="K536" s="14">
        <f t="shared" si="164"/>
        <v>0.582339465</v>
      </c>
      <c r="L536" s="14">
        <f t="shared" si="165"/>
        <v>997.65947800000004</v>
      </c>
      <c r="M536" s="14">
        <v>987.75537999999995</v>
      </c>
      <c r="N536" s="13">
        <f t="shared" si="166"/>
        <v>0.9976594780000001</v>
      </c>
      <c r="O536" s="13">
        <f t="shared" si="167"/>
        <v>1.0091399999999997</v>
      </c>
      <c r="P536" s="13">
        <f t="shared" si="168"/>
        <v>1.1480521999999604E-2</v>
      </c>
      <c r="Q536" s="16">
        <f t="shared" si="169"/>
        <v>1.1376540420555728E-2</v>
      </c>
      <c r="R536" s="14">
        <f t="shared" ca="1" si="170"/>
        <v>3.6382464985422742</v>
      </c>
      <c r="S536" s="14">
        <f t="shared" si="171"/>
        <v>3.7218819354838697</v>
      </c>
      <c r="T536" s="14">
        <f t="shared" ca="1" si="172"/>
        <v>8.3635436941595476E-2</v>
      </c>
      <c r="U536" s="16">
        <f t="shared" ca="1" si="173"/>
        <v>2.2471276196116712E-2</v>
      </c>
      <c r="V536" s="14">
        <f t="shared" si="174"/>
        <v>4.4500000000000011</v>
      </c>
      <c r="W536" s="14">
        <f t="shared" ca="1" si="175"/>
        <v>4.3617535014577253</v>
      </c>
      <c r="X536" s="14">
        <f t="shared" ca="1" si="176"/>
        <v>8.8246498542275731E-2</v>
      </c>
      <c r="Y536" s="28">
        <f t="shared" ca="1" si="177"/>
        <v>1.9830673829724879E-2</v>
      </c>
      <c r="Z536" s="29">
        <f t="shared" ca="1" si="178"/>
        <v>72.341042000000002</v>
      </c>
      <c r="AA536" s="16">
        <f t="shared" ca="1" si="179"/>
        <v>1.442722070844692E-2</v>
      </c>
      <c r="AB536" s="2"/>
    </row>
    <row r="537" spans="6:28" x14ac:dyDescent="0.25">
      <c r="F537" s="13">
        <v>535</v>
      </c>
      <c r="G537" s="13">
        <f t="shared" si="160"/>
        <v>73.5</v>
      </c>
      <c r="H537" s="13">
        <f t="shared" si="161"/>
        <v>346.65</v>
      </c>
      <c r="I537" s="14">
        <f t="shared" si="162"/>
        <v>4.4583329999999997</v>
      </c>
      <c r="J537" s="14">
        <f t="shared" si="163"/>
        <v>1557.103034</v>
      </c>
      <c r="K537" s="14">
        <f t="shared" si="164"/>
        <v>0.57710303400000007</v>
      </c>
      <c r="L537" s="14">
        <f t="shared" si="165"/>
        <v>995.57531300000005</v>
      </c>
      <c r="M537" s="14">
        <v>985.87000999999998</v>
      </c>
      <c r="N537" s="13">
        <f t="shared" si="166"/>
        <v>0.99557531300000002</v>
      </c>
      <c r="O537" s="13">
        <f t="shared" si="167"/>
        <v>1.00685</v>
      </c>
      <c r="P537" s="13">
        <f t="shared" si="168"/>
        <v>1.1274687000000005E-2</v>
      </c>
      <c r="Q537" s="16">
        <f t="shared" si="169"/>
        <v>1.1197980831305562E-2</v>
      </c>
      <c r="R537" s="14">
        <f t="shared" ca="1" si="170"/>
        <v>3.631040635568513</v>
      </c>
      <c r="S537" s="14">
        <f t="shared" si="171"/>
        <v>3.7134360215053763</v>
      </c>
      <c r="T537" s="14">
        <f t="shared" ca="1" si="172"/>
        <v>8.2395385936863352E-2</v>
      </c>
      <c r="U537" s="16">
        <f t="shared" ca="1" si="173"/>
        <v>2.2188449042798208E-2</v>
      </c>
      <c r="V537" s="14">
        <f t="shared" si="174"/>
        <v>4.4583333333333321</v>
      </c>
      <c r="W537" s="14">
        <f t="shared" ca="1" si="175"/>
        <v>4.368959364431487</v>
      </c>
      <c r="X537" s="14">
        <f t="shared" ca="1" si="176"/>
        <v>8.9373968901845124E-2</v>
      </c>
      <c r="Y537" s="28">
        <f t="shared" ca="1" si="177"/>
        <v>2.0046497697610126E-2</v>
      </c>
      <c r="Z537" s="29">
        <f t="shared" ca="1" si="178"/>
        <v>72.427511999999993</v>
      </c>
      <c r="AA537" s="16">
        <f t="shared" ca="1" si="179"/>
        <v>1.4591673469387851E-2</v>
      </c>
      <c r="AB537" s="2"/>
    </row>
    <row r="538" spans="6:28" x14ac:dyDescent="0.25">
      <c r="F538" s="13">
        <v>536</v>
      </c>
      <c r="G538" s="13">
        <f t="shared" si="160"/>
        <v>73.599999999999994</v>
      </c>
      <c r="H538" s="13">
        <f t="shared" si="161"/>
        <v>346.75</v>
      </c>
      <c r="I538" s="14">
        <f t="shared" si="162"/>
        <v>4.4666670000000002</v>
      </c>
      <c r="J538" s="14">
        <f t="shared" si="163"/>
        <v>1551.8868419999999</v>
      </c>
      <c r="K538" s="14">
        <f t="shared" si="164"/>
        <v>0.57188684199999984</v>
      </c>
      <c r="L538" s="14">
        <f t="shared" si="165"/>
        <v>993.49412299999995</v>
      </c>
      <c r="M538" s="14">
        <v>983.74994000000004</v>
      </c>
      <c r="N538" s="13">
        <f t="shared" si="166"/>
        <v>0.99349412300000006</v>
      </c>
      <c r="O538" s="13">
        <f t="shared" si="167"/>
        <v>1.0045600000000001</v>
      </c>
      <c r="P538" s="13">
        <f t="shared" si="168"/>
        <v>1.1065877000000057E-2</v>
      </c>
      <c r="Q538" s="16">
        <f t="shared" si="169"/>
        <v>1.1015645655809564E-2</v>
      </c>
      <c r="R538" s="14">
        <f t="shared" ca="1" si="170"/>
        <v>3.6238350000000001</v>
      </c>
      <c r="S538" s="14">
        <f t="shared" si="171"/>
        <v>3.7049901075268821</v>
      </c>
      <c r="T538" s="14">
        <f t="shared" ca="1" si="172"/>
        <v>8.1155107526881931E-2</v>
      </c>
      <c r="U538" s="16">
        <f t="shared" ca="1" si="173"/>
        <v>2.1904271042994437E-2</v>
      </c>
      <c r="V538" s="14">
        <f t="shared" si="174"/>
        <v>4.466666666666665</v>
      </c>
      <c r="W538" s="14">
        <f t="shared" ca="1" si="175"/>
        <v>4.3761650000000003</v>
      </c>
      <c r="X538" s="14">
        <f t="shared" ca="1" si="176"/>
        <v>9.0501666666664704E-2</v>
      </c>
      <c r="Y538" s="28">
        <f t="shared" ca="1" si="177"/>
        <v>2.0261567164178672E-2</v>
      </c>
      <c r="Z538" s="29">
        <f t="shared" ca="1" si="178"/>
        <v>72.513980000000004</v>
      </c>
      <c r="AA538" s="16">
        <f t="shared" ca="1" si="179"/>
        <v>1.4755706521739005E-2</v>
      </c>
      <c r="AB538" s="2"/>
    </row>
    <row r="539" spans="6:28" x14ac:dyDescent="0.25">
      <c r="F539" s="13">
        <v>537</v>
      </c>
      <c r="G539" s="13">
        <f t="shared" si="160"/>
        <v>73.7</v>
      </c>
      <c r="H539" s="13">
        <f t="shared" si="161"/>
        <v>346.84999999999997</v>
      </c>
      <c r="I539" s="14">
        <f t="shared" si="162"/>
        <v>4.4749999999999996</v>
      </c>
      <c r="J539" s="14">
        <f t="shared" si="163"/>
        <v>1546.6908000000001</v>
      </c>
      <c r="K539" s="14">
        <f t="shared" si="164"/>
        <v>0.56669080000000016</v>
      </c>
      <c r="L539" s="14">
        <f t="shared" si="165"/>
        <v>991.41591400000004</v>
      </c>
      <c r="M539" s="14">
        <v>981.62701000000004</v>
      </c>
      <c r="N539" s="13">
        <f t="shared" si="166"/>
        <v>0.99141591400000018</v>
      </c>
      <c r="O539" s="13">
        <f t="shared" si="167"/>
        <v>1.0022699999999998</v>
      </c>
      <c r="P539" s="13">
        <f t="shared" si="168"/>
        <v>1.0854085999999596E-2</v>
      </c>
      <c r="Q539" s="16">
        <f t="shared" si="169"/>
        <v>1.0829503028125754E-2</v>
      </c>
      <c r="R539" s="14">
        <f t="shared" ca="1" si="170"/>
        <v>3.6162647725947523</v>
      </c>
      <c r="S539" s="14">
        <f t="shared" si="171"/>
        <v>3.696544193548386</v>
      </c>
      <c r="T539" s="14">
        <f t="shared" ca="1" si="172"/>
        <v>8.0279420953633718E-2</v>
      </c>
      <c r="U539" s="16">
        <f t="shared" ca="1" si="173"/>
        <v>2.1717424911014499E-2</v>
      </c>
      <c r="V539" s="14">
        <f t="shared" si="174"/>
        <v>4.4750000000000005</v>
      </c>
      <c r="W539" s="14">
        <f t="shared" ca="1" si="175"/>
        <v>4.3837352274052481</v>
      </c>
      <c r="X539" s="14">
        <f t="shared" ca="1" si="176"/>
        <v>9.1264772594752408E-2</v>
      </c>
      <c r="Y539" s="28">
        <f t="shared" ca="1" si="177"/>
        <v>2.0394362591006122E-2</v>
      </c>
      <c r="Z539" s="29">
        <f t="shared" ca="1" si="178"/>
        <v>72.604822999999996</v>
      </c>
      <c r="AA539" s="16">
        <f t="shared" ca="1" si="179"/>
        <v>1.4859932157394935E-2</v>
      </c>
      <c r="AB539" s="2"/>
    </row>
    <row r="540" spans="6:28" x14ac:dyDescent="0.25">
      <c r="F540" s="13">
        <v>538</v>
      </c>
      <c r="G540" s="13">
        <f t="shared" si="160"/>
        <v>73.800000000000011</v>
      </c>
      <c r="H540" s="13">
        <f t="shared" si="161"/>
        <v>346.95</v>
      </c>
      <c r="I540" s="14">
        <f t="shared" si="162"/>
        <v>4.483333</v>
      </c>
      <c r="J540" s="14">
        <f t="shared" si="163"/>
        <v>1541.5148220000001</v>
      </c>
      <c r="K540" s="14">
        <f t="shared" si="164"/>
        <v>0.56151482200000014</v>
      </c>
      <c r="L540" s="14">
        <f t="shared" si="165"/>
        <v>989.34069099999999</v>
      </c>
      <c r="M540" s="14">
        <v>979.50129000000004</v>
      </c>
      <c r="N540" s="13">
        <f t="shared" si="166"/>
        <v>0.98934069100000011</v>
      </c>
      <c r="O540" s="13">
        <f t="shared" si="167"/>
        <v>0.99997999999999965</v>
      </c>
      <c r="P540" s="13">
        <f t="shared" si="168"/>
        <v>1.0639308999999542E-2</v>
      </c>
      <c r="Q540" s="16">
        <f t="shared" si="169"/>
        <v>1.0639521790435353E-2</v>
      </c>
      <c r="R540" s="14">
        <f t="shared" ca="1" si="170"/>
        <v>3.6086957725947522</v>
      </c>
      <c r="S540" s="14">
        <f t="shared" si="171"/>
        <v>3.6880982795698909</v>
      </c>
      <c r="T540" s="14">
        <f t="shared" ca="1" si="172"/>
        <v>7.9402506975138731E-2</v>
      </c>
      <c r="U540" s="16">
        <f t="shared" ca="1" si="173"/>
        <v>2.1529390204970005E-2</v>
      </c>
      <c r="V540" s="14">
        <f t="shared" si="174"/>
        <v>4.4833333333333343</v>
      </c>
      <c r="W540" s="14">
        <f t="shared" ca="1" si="175"/>
        <v>4.3913042274052483</v>
      </c>
      <c r="X540" s="14">
        <f t="shared" ca="1" si="176"/>
        <v>9.2029105928085997E-2</v>
      </c>
      <c r="Y540" s="28">
        <f t="shared" ca="1" si="177"/>
        <v>2.0526938125223639E-2</v>
      </c>
      <c r="Z540" s="29">
        <f t="shared" ca="1" si="178"/>
        <v>72.695650999999998</v>
      </c>
      <c r="AA540" s="16">
        <f t="shared" ca="1" si="179"/>
        <v>1.4964078590786087E-2</v>
      </c>
      <c r="AB540" s="2"/>
    </row>
    <row r="541" spans="6:28" x14ac:dyDescent="0.25">
      <c r="F541" s="13">
        <v>539</v>
      </c>
      <c r="G541" s="13">
        <f t="shared" si="160"/>
        <v>73.900000000000006</v>
      </c>
      <c r="H541" s="13">
        <f t="shared" si="161"/>
        <v>347.04999999999995</v>
      </c>
      <c r="I541" s="14">
        <f t="shared" si="162"/>
        <v>4.4916669999999996</v>
      </c>
      <c r="J541" s="14">
        <f t="shared" si="163"/>
        <v>1536.3588199999999</v>
      </c>
      <c r="K541" s="14">
        <f t="shared" si="164"/>
        <v>0.55635882000000003</v>
      </c>
      <c r="L541" s="14">
        <f t="shared" si="165"/>
        <v>987.26845900000001</v>
      </c>
      <c r="M541" s="14">
        <v>977.25810999999999</v>
      </c>
      <c r="N541" s="13">
        <f t="shared" si="166"/>
        <v>0.98726845900000004</v>
      </c>
      <c r="O541" s="13">
        <f t="shared" si="167"/>
        <v>0.99768999999999974</v>
      </c>
      <c r="P541" s="13">
        <f t="shared" si="168"/>
        <v>1.0421540999999701E-2</v>
      </c>
      <c r="Q541" s="16">
        <f t="shared" si="169"/>
        <v>1.0445670498852052E-2</v>
      </c>
      <c r="R541" s="14">
        <f t="shared" ca="1" si="170"/>
        <v>3.6011367725947521</v>
      </c>
      <c r="S541" s="14">
        <f t="shared" si="171"/>
        <v>3.6796523655913966</v>
      </c>
      <c r="T541" s="14">
        <f t="shared" ca="1" si="172"/>
        <v>7.8515592996644568E-2</v>
      </c>
      <c r="U541" s="16">
        <f t="shared" ca="1" si="173"/>
        <v>2.1337774657967039E-2</v>
      </c>
      <c r="V541" s="14">
        <f t="shared" si="174"/>
        <v>4.4916666666666671</v>
      </c>
      <c r="W541" s="14">
        <f t="shared" ca="1" si="175"/>
        <v>4.3988632274052479</v>
      </c>
      <c r="X541" s="14">
        <f t="shared" ca="1" si="176"/>
        <v>9.2803439261419207E-2</v>
      </c>
      <c r="Y541" s="28">
        <f t="shared" ca="1" si="177"/>
        <v>2.0661248073043235E-2</v>
      </c>
      <c r="Z541" s="29">
        <f t="shared" ca="1" si="178"/>
        <v>72.786359000000004</v>
      </c>
      <c r="AA541" s="16">
        <f t="shared" ca="1" si="179"/>
        <v>1.5069566982408675E-2</v>
      </c>
      <c r="AB541" s="2"/>
    </row>
    <row r="542" spans="6:28" x14ac:dyDescent="0.25">
      <c r="F542" s="13">
        <v>540</v>
      </c>
      <c r="G542" s="13">
        <f t="shared" si="160"/>
        <v>74</v>
      </c>
      <c r="H542" s="13">
        <f t="shared" si="161"/>
        <v>347.15</v>
      </c>
      <c r="I542" s="14">
        <f t="shared" si="162"/>
        <v>4.5</v>
      </c>
      <c r="J542" s="14">
        <f t="shared" si="163"/>
        <v>1531.222708</v>
      </c>
      <c r="K542" s="14">
        <f t="shared" si="164"/>
        <v>0.55122270800000006</v>
      </c>
      <c r="L542" s="14">
        <f t="shared" si="165"/>
        <v>985.19922399999996</v>
      </c>
      <c r="M542" s="14">
        <v>975.24158999999997</v>
      </c>
      <c r="N542" s="13">
        <f t="shared" si="166"/>
        <v>0.98519922400000004</v>
      </c>
      <c r="O542" s="13">
        <f t="shared" si="167"/>
        <v>0.99539999999999984</v>
      </c>
      <c r="P542" s="13">
        <f t="shared" si="168"/>
        <v>1.02007759999998E-2</v>
      </c>
      <c r="Q542" s="16">
        <f t="shared" si="169"/>
        <v>1.0247916415511153E-2</v>
      </c>
      <c r="R542" s="14">
        <f t="shared" ca="1" si="170"/>
        <v>3.5935887725947522</v>
      </c>
      <c r="S542" s="14">
        <f t="shared" si="171"/>
        <v>3.6712064516129024</v>
      </c>
      <c r="T542" s="14">
        <f t="shared" ca="1" si="172"/>
        <v>7.7617679018150199E-2</v>
      </c>
      <c r="U542" s="16">
        <f t="shared" ca="1" si="173"/>
        <v>2.1142281165922924E-2</v>
      </c>
      <c r="V542" s="14">
        <f t="shared" si="174"/>
        <v>4.5</v>
      </c>
      <c r="W542" s="14">
        <f t="shared" ca="1" si="175"/>
        <v>4.4064112274052478</v>
      </c>
      <c r="X542" s="14">
        <f t="shared" ca="1" si="176"/>
        <v>9.3588772594752179E-2</v>
      </c>
      <c r="Y542" s="28">
        <f t="shared" ca="1" si="177"/>
        <v>2.079750502105604E-2</v>
      </c>
      <c r="Z542" s="29">
        <f t="shared" ca="1" si="178"/>
        <v>72.876935000000003</v>
      </c>
      <c r="AA542" s="16">
        <f t="shared" ca="1" si="179"/>
        <v>1.5176554054054011E-2</v>
      </c>
      <c r="AB542" s="2"/>
    </row>
    <row r="543" spans="6:28" x14ac:dyDescent="0.25">
      <c r="F543" s="13">
        <v>541</v>
      </c>
      <c r="G543" s="13">
        <f t="shared" si="160"/>
        <v>74.099999999999994</v>
      </c>
      <c r="H543" s="13">
        <f t="shared" si="161"/>
        <v>347.25</v>
      </c>
      <c r="I543" s="14">
        <f t="shared" si="162"/>
        <v>4.5083330000000004</v>
      </c>
      <c r="J543" s="14">
        <f t="shared" si="163"/>
        <v>1526.106399</v>
      </c>
      <c r="K543" s="14">
        <f t="shared" si="164"/>
        <v>0.54610639900000013</v>
      </c>
      <c r="L543" s="14">
        <f t="shared" si="165"/>
        <v>983.13298899999995</v>
      </c>
      <c r="M543" s="14">
        <v>973.22189000000003</v>
      </c>
      <c r="N543" s="13">
        <f t="shared" si="166"/>
        <v>0.98313298900000001</v>
      </c>
      <c r="O543" s="13">
        <f t="shared" si="167"/>
        <v>0.99311000000000016</v>
      </c>
      <c r="P543" s="13">
        <f t="shared" si="168"/>
        <v>9.9770110000001466E-3</v>
      </c>
      <c r="Q543" s="16">
        <f t="shared" si="169"/>
        <v>1.0046229521402609E-2</v>
      </c>
      <c r="R543" s="14">
        <f t="shared" ca="1" si="170"/>
        <v>3.5856566355685131</v>
      </c>
      <c r="S543" s="14">
        <f t="shared" si="171"/>
        <v>3.662760537634409</v>
      </c>
      <c r="T543" s="14">
        <f t="shared" ca="1" si="172"/>
        <v>7.7103902065895902E-2</v>
      </c>
      <c r="U543" s="16">
        <f t="shared" ca="1" si="173"/>
        <v>2.1050762471000465E-2</v>
      </c>
      <c r="V543" s="14">
        <f t="shared" si="174"/>
        <v>4.5083333333333329</v>
      </c>
      <c r="W543" s="14">
        <f t="shared" ca="1" si="175"/>
        <v>4.4143433644314864</v>
      </c>
      <c r="X543" s="14">
        <f t="shared" ca="1" si="176"/>
        <v>9.398996890184641E-2</v>
      </c>
      <c r="Y543" s="28">
        <f t="shared" ca="1" si="177"/>
        <v>2.0848052251795878E-2</v>
      </c>
      <c r="Z543" s="29">
        <f t="shared" ca="1" si="178"/>
        <v>72.972120000000004</v>
      </c>
      <c r="AA543" s="16">
        <f t="shared" ca="1" si="179"/>
        <v>1.5221052631578819E-2</v>
      </c>
      <c r="AB543" s="2"/>
    </row>
    <row r="544" spans="6:28" x14ac:dyDescent="0.25">
      <c r="F544" s="13">
        <v>542</v>
      </c>
      <c r="G544" s="13">
        <f t="shared" si="160"/>
        <v>74.2</v>
      </c>
      <c r="H544" s="13">
        <f t="shared" si="161"/>
        <v>347.34999999999997</v>
      </c>
      <c r="I544" s="14">
        <f t="shared" si="162"/>
        <v>4.516667</v>
      </c>
      <c r="J544" s="14">
        <f t="shared" si="163"/>
        <v>1521.009808</v>
      </c>
      <c r="K544" s="14">
        <f t="shared" si="164"/>
        <v>0.54100980800000009</v>
      </c>
      <c r="L544" s="14">
        <f t="shared" si="165"/>
        <v>981.06976199999997</v>
      </c>
      <c r="M544" s="14">
        <v>971.31295999999998</v>
      </c>
      <c r="N544" s="13">
        <f t="shared" si="166"/>
        <v>0.98106976199999996</v>
      </c>
      <c r="O544" s="13">
        <f t="shared" si="167"/>
        <v>0.99081999999999981</v>
      </c>
      <c r="P544" s="13">
        <f t="shared" si="168"/>
        <v>9.7502379999998556E-3</v>
      </c>
      <c r="Q544" s="16">
        <f t="shared" si="169"/>
        <v>9.8405744736681303E-3</v>
      </c>
      <c r="R544" s="14">
        <f t="shared" ca="1" si="170"/>
        <v>3.579297501457726</v>
      </c>
      <c r="S544" s="14">
        <f t="shared" si="171"/>
        <v>3.654314623655913</v>
      </c>
      <c r="T544" s="14">
        <f t="shared" ca="1" si="172"/>
        <v>7.5017122198187014E-2</v>
      </c>
      <c r="U544" s="16">
        <f t="shared" ca="1" si="173"/>
        <v>2.0528369865191597E-2</v>
      </c>
      <c r="V544" s="14">
        <f t="shared" si="174"/>
        <v>4.5166666666666675</v>
      </c>
      <c r="W544" s="14">
        <f t="shared" ca="1" si="175"/>
        <v>4.4207024985422745</v>
      </c>
      <c r="X544" s="14">
        <f t="shared" ca="1" si="176"/>
        <v>9.5964168124393012E-2</v>
      </c>
      <c r="Y544" s="28">
        <f t="shared" ca="1" si="177"/>
        <v>2.1246679289533506E-2</v>
      </c>
      <c r="Z544" s="29">
        <f t="shared" ca="1" si="178"/>
        <v>73.048429999999996</v>
      </c>
      <c r="AA544" s="16">
        <f t="shared" ca="1" si="179"/>
        <v>1.5519811320754806E-2</v>
      </c>
      <c r="AB544" s="2"/>
    </row>
    <row r="545" spans="6:28" x14ac:dyDescent="0.25">
      <c r="F545" s="13">
        <v>543</v>
      </c>
      <c r="G545" s="13">
        <f t="shared" si="160"/>
        <v>74.300000000000011</v>
      </c>
      <c r="H545" s="13">
        <f t="shared" si="161"/>
        <v>347.45</v>
      </c>
      <c r="I545" s="14">
        <f t="shared" si="162"/>
        <v>4.5250000000000004</v>
      </c>
      <c r="J545" s="14">
        <f t="shared" si="163"/>
        <v>1515.9328499999999</v>
      </c>
      <c r="K545" s="14">
        <f t="shared" si="164"/>
        <v>0.53593285000000002</v>
      </c>
      <c r="L545" s="14">
        <f t="shared" si="165"/>
        <v>979.009546</v>
      </c>
      <c r="M545" s="14">
        <v>969.05927999999994</v>
      </c>
      <c r="N545" s="13">
        <f t="shared" si="166"/>
        <v>0.97900954600000001</v>
      </c>
      <c r="O545" s="13">
        <f t="shared" si="167"/>
        <v>0.98852999999999969</v>
      </c>
      <c r="P545" s="13">
        <f t="shared" si="168"/>
        <v>9.5204539999996785E-3</v>
      </c>
      <c r="Q545" s="16">
        <f t="shared" si="169"/>
        <v>9.6309206599695316E-3</v>
      </c>
      <c r="R545" s="14">
        <f t="shared" ca="1" si="170"/>
        <v>3.5710117725947521</v>
      </c>
      <c r="S545" s="14">
        <f t="shared" si="171"/>
        <v>3.6458687096774178</v>
      </c>
      <c r="T545" s="14">
        <f t="shared" ca="1" si="172"/>
        <v>7.485693708266572E-2</v>
      </c>
      <c r="U545" s="16">
        <f t="shared" ca="1" si="173"/>
        <v>2.053198923043199E-2</v>
      </c>
      <c r="V545" s="14">
        <f t="shared" si="174"/>
        <v>4.5250000000000004</v>
      </c>
      <c r="W545" s="14">
        <f t="shared" ca="1" si="175"/>
        <v>4.4289882274052479</v>
      </c>
      <c r="X545" s="14">
        <f t="shared" ca="1" si="176"/>
        <v>9.6011772594752465E-2</v>
      </c>
      <c r="Y545" s="28">
        <f t="shared" ca="1" si="177"/>
        <v>2.1218071291658001E-2</v>
      </c>
      <c r="Z545" s="29">
        <f t="shared" ca="1" si="178"/>
        <v>73.147858999999997</v>
      </c>
      <c r="AA545" s="16">
        <f t="shared" ca="1" si="179"/>
        <v>1.5506608344549318E-2</v>
      </c>
      <c r="AB545" s="2"/>
    </row>
    <row r="546" spans="6:28" x14ac:dyDescent="0.25">
      <c r="F546" s="13">
        <v>544</v>
      </c>
      <c r="G546" s="13">
        <f t="shared" si="160"/>
        <v>74.400000000000006</v>
      </c>
      <c r="H546" s="13">
        <f t="shared" si="161"/>
        <v>347.54999999999995</v>
      </c>
      <c r="I546" s="14">
        <f t="shared" si="162"/>
        <v>4.5333329999999998</v>
      </c>
      <c r="J546" s="14">
        <f t="shared" si="163"/>
        <v>1510.8754389999999</v>
      </c>
      <c r="K546" s="14">
        <f t="shared" si="164"/>
        <v>0.53087543899999989</v>
      </c>
      <c r="L546" s="14">
        <f t="shared" si="165"/>
        <v>976.95234600000003</v>
      </c>
      <c r="M546" s="14">
        <v>967.03039000000001</v>
      </c>
      <c r="N546" s="13">
        <f t="shared" si="166"/>
        <v>0.97695234600000003</v>
      </c>
      <c r="O546" s="13">
        <f t="shared" si="167"/>
        <v>0.98623999999999978</v>
      </c>
      <c r="P546" s="13">
        <f t="shared" si="168"/>
        <v>9.2876539999997565E-3</v>
      </c>
      <c r="Q546" s="16">
        <f t="shared" si="169"/>
        <v>9.4172351557427793E-3</v>
      </c>
      <c r="R546" s="14">
        <f t="shared" ca="1" si="170"/>
        <v>3.5631008629737608</v>
      </c>
      <c r="S546" s="14">
        <f t="shared" si="171"/>
        <v>3.6374227956989236</v>
      </c>
      <c r="T546" s="14">
        <f t="shared" ca="1" si="172"/>
        <v>7.4321932725162743E-2</v>
      </c>
      <c r="U546" s="16">
        <f t="shared" ca="1" si="173"/>
        <v>2.0432580125974036E-2</v>
      </c>
      <c r="V546" s="14">
        <f t="shared" si="174"/>
        <v>4.5333333333333332</v>
      </c>
      <c r="W546" s="14">
        <f t="shared" ca="1" si="175"/>
        <v>4.4368991370262396</v>
      </c>
      <c r="X546" s="14">
        <f t="shared" ca="1" si="176"/>
        <v>9.64341963070936E-2</v>
      </c>
      <c r="Y546" s="28">
        <f t="shared" ca="1" si="177"/>
        <v>2.1272249185388295E-2</v>
      </c>
      <c r="Z546" s="29">
        <f t="shared" ca="1" si="178"/>
        <v>73.242789999999999</v>
      </c>
      <c r="AA546" s="16">
        <f t="shared" ca="1" si="179"/>
        <v>1.5553897849462449E-2</v>
      </c>
      <c r="AB546" s="2"/>
    </row>
    <row r="547" spans="6:28" x14ac:dyDescent="0.25">
      <c r="F547" s="13">
        <v>545</v>
      </c>
      <c r="G547" s="13">
        <f t="shared" si="160"/>
        <v>74.5</v>
      </c>
      <c r="H547" s="13">
        <f t="shared" si="161"/>
        <v>347.65</v>
      </c>
      <c r="I547" s="14">
        <f t="shared" si="162"/>
        <v>4.5416670000000003</v>
      </c>
      <c r="J547" s="14">
        <f t="shared" si="163"/>
        <v>1505.837491</v>
      </c>
      <c r="K547" s="14">
        <f t="shared" si="164"/>
        <v>0.5258374910000001</v>
      </c>
      <c r="L547" s="14">
        <f t="shared" si="165"/>
        <v>974.89816699999994</v>
      </c>
      <c r="M547" s="14">
        <v>964.88523999999995</v>
      </c>
      <c r="N547" s="13">
        <f t="shared" si="166"/>
        <v>0.97489816699999998</v>
      </c>
      <c r="O547" s="13">
        <f t="shared" si="167"/>
        <v>0.98394999999999988</v>
      </c>
      <c r="P547" s="13">
        <f t="shared" si="168"/>
        <v>9.0518329999998981E-3</v>
      </c>
      <c r="Q547" s="16">
        <f t="shared" si="169"/>
        <v>9.1994847299150355E-3</v>
      </c>
      <c r="R547" s="14">
        <f t="shared" ca="1" si="170"/>
        <v>3.555619635568513</v>
      </c>
      <c r="S547" s="14">
        <f t="shared" si="171"/>
        <v>3.6289768817204293</v>
      </c>
      <c r="T547" s="14">
        <f t="shared" ca="1" si="172"/>
        <v>7.33572461519163E-2</v>
      </c>
      <c r="U547" s="16">
        <f t="shared" ca="1" si="173"/>
        <v>2.0214305172740317E-2</v>
      </c>
      <c r="V547" s="14">
        <f t="shared" si="174"/>
        <v>4.5416666666666661</v>
      </c>
      <c r="W547" s="14">
        <f t="shared" ca="1" si="175"/>
        <v>4.4443803644314865</v>
      </c>
      <c r="X547" s="14">
        <f t="shared" ca="1" si="176"/>
        <v>9.7286302235179534E-2</v>
      </c>
      <c r="Y547" s="28">
        <f t="shared" ca="1" si="177"/>
        <v>2.1420837189397333E-2</v>
      </c>
      <c r="Z547" s="29">
        <f t="shared" ca="1" si="178"/>
        <v>73.332564000000005</v>
      </c>
      <c r="AA547" s="16">
        <f t="shared" ca="1" si="179"/>
        <v>1.5670281879194566E-2</v>
      </c>
      <c r="AB547" s="2"/>
    </row>
    <row r="548" spans="6:28" x14ac:dyDescent="0.25">
      <c r="F548" s="13">
        <v>546</v>
      </c>
      <c r="G548" s="13">
        <f t="shared" si="160"/>
        <v>74.599999999999994</v>
      </c>
      <c r="H548" s="13">
        <f t="shared" si="161"/>
        <v>347.75</v>
      </c>
      <c r="I548" s="14">
        <f t="shared" si="162"/>
        <v>4.55</v>
      </c>
      <c r="J548" s="14">
        <f t="shared" si="163"/>
        <v>1500.818921</v>
      </c>
      <c r="K548" s="14">
        <f t="shared" si="164"/>
        <v>0.52081892100000005</v>
      </c>
      <c r="L548" s="14">
        <f t="shared" si="165"/>
        <v>972.84701500000006</v>
      </c>
      <c r="M548" s="14">
        <v>962.73749999999995</v>
      </c>
      <c r="N548" s="13">
        <f t="shared" si="166"/>
        <v>0.97284701500000004</v>
      </c>
      <c r="O548" s="13">
        <f t="shared" si="167"/>
        <v>0.98165999999999998</v>
      </c>
      <c r="P548" s="13">
        <f t="shared" si="168"/>
        <v>8.8129849999999399E-3</v>
      </c>
      <c r="Q548" s="16">
        <f t="shared" si="169"/>
        <v>8.9776348226472923E-3</v>
      </c>
      <c r="R548" s="14">
        <f t="shared" ca="1" si="170"/>
        <v>3.5485337725947521</v>
      </c>
      <c r="S548" s="14">
        <f t="shared" si="171"/>
        <v>3.6205309677419351</v>
      </c>
      <c r="T548" s="14">
        <f t="shared" ca="1" si="172"/>
        <v>7.1997195147182946E-2</v>
      </c>
      <c r="U548" s="16">
        <f t="shared" ca="1" si="173"/>
        <v>1.9885811166555606E-2</v>
      </c>
      <c r="V548" s="14">
        <f t="shared" si="174"/>
        <v>4.55</v>
      </c>
      <c r="W548" s="14">
        <f t="shared" ca="1" si="175"/>
        <v>4.4514662274052483</v>
      </c>
      <c r="X548" s="14">
        <f t="shared" ca="1" si="176"/>
        <v>9.853377259475149E-2</v>
      </c>
      <c r="Y548" s="28">
        <f t="shared" ca="1" si="177"/>
        <v>2.1655774196648679E-2</v>
      </c>
      <c r="Z548" s="29">
        <f t="shared" ca="1" si="178"/>
        <v>73.417595000000006</v>
      </c>
      <c r="AA548" s="16">
        <f t="shared" ca="1" si="179"/>
        <v>1.5849932975871162E-2</v>
      </c>
      <c r="AB548" s="2"/>
    </row>
    <row r="549" spans="6:28" x14ac:dyDescent="0.25">
      <c r="F549" s="13">
        <v>547</v>
      </c>
      <c r="G549" s="13">
        <f t="shared" si="160"/>
        <v>74.7</v>
      </c>
      <c r="H549" s="13">
        <f t="shared" si="161"/>
        <v>347.84999999999997</v>
      </c>
      <c r="I549" s="14">
        <f t="shared" si="162"/>
        <v>4.5583330000000002</v>
      </c>
      <c r="J549" s="14">
        <f t="shared" si="163"/>
        <v>1495.819647</v>
      </c>
      <c r="K549" s="14">
        <f t="shared" si="164"/>
        <v>0.51581964700000005</v>
      </c>
      <c r="L549" s="14">
        <f t="shared" si="165"/>
        <v>970.79889300000002</v>
      </c>
      <c r="M549" s="14">
        <v>960.81273999999996</v>
      </c>
      <c r="N549" s="13">
        <f t="shared" si="166"/>
        <v>0.97079889300000011</v>
      </c>
      <c r="O549" s="13">
        <f t="shared" si="167"/>
        <v>0.97936999999999985</v>
      </c>
      <c r="P549" s="13">
        <f t="shared" si="168"/>
        <v>8.5711069999997447E-3</v>
      </c>
      <c r="Q549" s="16">
        <f t="shared" si="169"/>
        <v>8.7516536140577576E-3</v>
      </c>
      <c r="R549" s="14">
        <f t="shared" ca="1" si="170"/>
        <v>3.540655862973761</v>
      </c>
      <c r="S549" s="14">
        <f t="shared" si="171"/>
        <v>3.6120850537634404</v>
      </c>
      <c r="T549" s="14">
        <f t="shared" ca="1" si="172"/>
        <v>7.1429190789679353E-2</v>
      </c>
      <c r="U549" s="16">
        <f t="shared" ca="1" si="173"/>
        <v>1.9775057820207501E-2</v>
      </c>
      <c r="V549" s="14">
        <f t="shared" si="174"/>
        <v>4.5583333333333336</v>
      </c>
      <c r="W549" s="14">
        <f t="shared" ca="1" si="175"/>
        <v>4.459344137026239</v>
      </c>
      <c r="X549" s="14">
        <f t="shared" ca="1" si="176"/>
        <v>9.8989196307094574E-2</v>
      </c>
      <c r="Y549" s="28">
        <f t="shared" ca="1" si="177"/>
        <v>2.1716094253841588E-2</v>
      </c>
      <c r="Z549" s="29">
        <f t="shared" ca="1" si="178"/>
        <v>73.512129999999999</v>
      </c>
      <c r="AA549" s="16">
        <f t="shared" ca="1" si="179"/>
        <v>1.5901874163319996E-2</v>
      </c>
      <c r="AB549" s="2"/>
    </row>
    <row r="550" spans="6:28" x14ac:dyDescent="0.25">
      <c r="F550" s="13">
        <v>548</v>
      </c>
      <c r="G550" s="13">
        <f t="shared" si="160"/>
        <v>74.800000000000011</v>
      </c>
      <c r="H550" s="13">
        <f t="shared" si="161"/>
        <v>347.95</v>
      </c>
      <c r="I550" s="14">
        <f t="shared" si="162"/>
        <v>4.5666669999999998</v>
      </c>
      <c r="J550" s="14">
        <f t="shared" si="163"/>
        <v>1490.8395840000001</v>
      </c>
      <c r="K550" s="14">
        <f t="shared" si="164"/>
        <v>0.51083958400000018</v>
      </c>
      <c r="L550" s="14">
        <f t="shared" si="165"/>
        <v>968.75380700000005</v>
      </c>
      <c r="M550" s="14">
        <v>958.65949000000001</v>
      </c>
      <c r="N550" s="13">
        <f t="shared" si="166"/>
        <v>0.96875380700000002</v>
      </c>
      <c r="O550" s="13">
        <f t="shared" si="167"/>
        <v>0.97707999999999973</v>
      </c>
      <c r="P550" s="13">
        <f t="shared" si="168"/>
        <v>8.3261929999997042E-3</v>
      </c>
      <c r="Q550" s="16">
        <f t="shared" si="169"/>
        <v>8.5215059155849121E-3</v>
      </c>
      <c r="R550" s="14">
        <f t="shared" ca="1" si="170"/>
        <v>3.5336037725947524</v>
      </c>
      <c r="S550" s="14">
        <f t="shared" si="171"/>
        <v>3.6036391397849452</v>
      </c>
      <c r="T550" s="14">
        <f t="shared" ca="1" si="172"/>
        <v>7.0035367190192765E-2</v>
      </c>
      <c r="U550" s="16">
        <f t="shared" ca="1" si="173"/>
        <v>1.94346227448213E-2</v>
      </c>
      <c r="V550" s="14">
        <f t="shared" si="174"/>
        <v>4.5666666666666664</v>
      </c>
      <c r="W550" s="14">
        <f t="shared" ca="1" si="175"/>
        <v>4.466396227405248</v>
      </c>
      <c r="X550" s="14">
        <f t="shared" ca="1" si="176"/>
        <v>0.10027043926141843</v>
      </c>
      <c r="Y550" s="28">
        <f t="shared" ca="1" si="177"/>
        <v>2.1957030495201119E-2</v>
      </c>
      <c r="Z550" s="29">
        <f t="shared" ca="1" si="178"/>
        <v>73.596755000000002</v>
      </c>
      <c r="AA550" s="16">
        <f t="shared" ca="1" si="179"/>
        <v>1.6086163101604406E-2</v>
      </c>
      <c r="AB550" s="2"/>
    </row>
    <row r="551" spans="6:28" x14ac:dyDescent="0.25">
      <c r="F551" s="13">
        <v>549</v>
      </c>
      <c r="G551" s="13">
        <f t="shared" si="160"/>
        <v>74.900000000000006</v>
      </c>
      <c r="H551" s="13">
        <f t="shared" si="161"/>
        <v>348.04999999999995</v>
      </c>
      <c r="I551" s="14">
        <f t="shared" si="162"/>
        <v>4.5750000000000002</v>
      </c>
      <c r="J551" s="14">
        <f t="shared" si="163"/>
        <v>1485.8786500000001</v>
      </c>
      <c r="K551" s="14">
        <f t="shared" si="164"/>
        <v>0.5058786500000001</v>
      </c>
      <c r="L551" s="14">
        <f t="shared" si="165"/>
        <v>966.71176100000002</v>
      </c>
      <c r="M551" s="14">
        <v>956.72829000000002</v>
      </c>
      <c r="N551" s="13">
        <f t="shared" si="166"/>
        <v>0.966711761</v>
      </c>
      <c r="O551" s="13">
        <f t="shared" si="167"/>
        <v>0.97478999999999982</v>
      </c>
      <c r="P551" s="13">
        <f t="shared" si="168"/>
        <v>8.0782389999998205E-3</v>
      </c>
      <c r="Q551" s="16">
        <f t="shared" si="169"/>
        <v>8.287158259727553E-3</v>
      </c>
      <c r="R551" s="14">
        <f t="shared" ca="1" si="170"/>
        <v>3.5257478629737609</v>
      </c>
      <c r="S551" s="14">
        <f t="shared" si="171"/>
        <v>3.595193225806451</v>
      </c>
      <c r="T551" s="14">
        <f t="shared" ca="1" si="172"/>
        <v>6.9445362832690094E-2</v>
      </c>
      <c r="U551" s="16">
        <f t="shared" ca="1" si="173"/>
        <v>1.9316169805341284E-2</v>
      </c>
      <c r="V551" s="14">
        <f t="shared" si="174"/>
        <v>4.5749999999999993</v>
      </c>
      <c r="W551" s="14">
        <f t="shared" ca="1" si="175"/>
        <v>4.4742521370262391</v>
      </c>
      <c r="X551" s="14">
        <f t="shared" ca="1" si="176"/>
        <v>0.10074786297376015</v>
      </c>
      <c r="Y551" s="28">
        <f t="shared" ca="1" si="177"/>
        <v>2.2021390813936649E-2</v>
      </c>
      <c r="Z551" s="29">
        <f t="shared" ca="1" si="178"/>
        <v>73.691025999999994</v>
      </c>
      <c r="AA551" s="16">
        <f t="shared" ca="1" si="179"/>
        <v>1.6141174899866648E-2</v>
      </c>
      <c r="AB551" s="2"/>
    </row>
    <row r="552" spans="6:28" x14ac:dyDescent="0.25">
      <c r="F552" s="13">
        <v>550</v>
      </c>
      <c r="G552" s="13">
        <f t="shared" si="160"/>
        <v>75</v>
      </c>
      <c r="H552" s="13">
        <f t="shared" si="161"/>
        <v>348.15</v>
      </c>
      <c r="I552" s="14">
        <f t="shared" si="162"/>
        <v>4.5833329999999997</v>
      </c>
      <c r="J552" s="14">
        <f t="shared" si="163"/>
        <v>1480.936762</v>
      </c>
      <c r="K552" s="14">
        <f t="shared" si="164"/>
        <v>0.50093676200000004</v>
      </c>
      <c r="L552" s="14">
        <f t="shared" si="165"/>
        <v>964.67275900000004</v>
      </c>
      <c r="M552" s="14">
        <v>954.68165999999997</v>
      </c>
      <c r="N552" s="13">
        <f t="shared" si="166"/>
        <v>0.96467275900000016</v>
      </c>
      <c r="O552" s="13">
        <f t="shared" si="167"/>
        <v>0.97249999999999992</v>
      </c>
      <c r="P552" s="13">
        <f t="shared" si="168"/>
        <v>7.8272409999997627E-3</v>
      </c>
      <c r="Q552" s="16">
        <f t="shared" si="169"/>
        <v>8.0485768637529702E-3</v>
      </c>
      <c r="R552" s="14">
        <f t="shared" ca="1" si="170"/>
        <v>3.519488501457726</v>
      </c>
      <c r="S552" s="14">
        <f t="shared" si="171"/>
        <v>3.5867473118279567</v>
      </c>
      <c r="T552" s="14">
        <f t="shared" ca="1" si="172"/>
        <v>6.7258810370230737E-2</v>
      </c>
      <c r="U552" s="16">
        <f t="shared" ca="1" si="173"/>
        <v>1.8752034788855208E-2</v>
      </c>
      <c r="V552" s="14">
        <f t="shared" si="174"/>
        <v>4.583333333333333</v>
      </c>
      <c r="W552" s="14">
        <f t="shared" ca="1" si="175"/>
        <v>4.480511498542274</v>
      </c>
      <c r="X552" s="14">
        <f t="shared" ca="1" si="176"/>
        <v>0.102821834791059</v>
      </c>
      <c r="Y552" s="28">
        <f t="shared" ca="1" si="177"/>
        <v>2.2433854863503782E-2</v>
      </c>
      <c r="Z552" s="29">
        <f t="shared" ca="1" si="178"/>
        <v>73.766137999999998</v>
      </c>
      <c r="AA552" s="16">
        <f t="shared" ca="1" si="179"/>
        <v>1.6451493333333359E-2</v>
      </c>
      <c r="AB552" s="2"/>
    </row>
    <row r="553" spans="6:28" x14ac:dyDescent="0.25">
      <c r="F553" s="13">
        <v>551</v>
      </c>
      <c r="G553" s="13">
        <f t="shared" si="160"/>
        <v>75.099999999999994</v>
      </c>
      <c r="H553" s="13">
        <f t="shared" si="161"/>
        <v>348.25</v>
      </c>
      <c r="I553" s="14">
        <f t="shared" si="162"/>
        <v>4.5916670000000002</v>
      </c>
      <c r="J553" s="14">
        <f t="shared" si="163"/>
        <v>1476.0138380000001</v>
      </c>
      <c r="K553" s="14">
        <f t="shared" si="164"/>
        <v>0.4960138380000001</v>
      </c>
      <c r="L553" s="14">
        <f t="shared" si="165"/>
        <v>962.63680699999998</v>
      </c>
      <c r="M553" s="14">
        <v>952.63211000000001</v>
      </c>
      <c r="N553" s="13">
        <f t="shared" si="166"/>
        <v>0.96263680700000009</v>
      </c>
      <c r="O553" s="13">
        <f t="shared" si="167"/>
        <v>0.97021000000000002</v>
      </c>
      <c r="P553" s="13">
        <f t="shared" si="168"/>
        <v>7.5731929999999226E-3</v>
      </c>
      <c r="Q553" s="16">
        <f t="shared" si="169"/>
        <v>7.8057255645684158E-3</v>
      </c>
      <c r="R553" s="14">
        <f t="shared" ca="1" si="170"/>
        <v>3.5112702274052476</v>
      </c>
      <c r="S553" s="14">
        <f t="shared" si="171"/>
        <v>3.5783013978494624</v>
      </c>
      <c r="T553" s="14">
        <f t="shared" ca="1" si="172"/>
        <v>6.7031170444214805E-2</v>
      </c>
      <c r="U553" s="16">
        <f t="shared" ca="1" si="173"/>
        <v>1.8732678718595401E-2</v>
      </c>
      <c r="V553" s="14">
        <f t="shared" si="174"/>
        <v>4.5916666666666659</v>
      </c>
      <c r="W553" s="14">
        <f t="shared" ca="1" si="175"/>
        <v>4.4887297725947519</v>
      </c>
      <c r="X553" s="14">
        <f t="shared" ca="1" si="176"/>
        <v>0.10293689407191398</v>
      </c>
      <c r="Y553" s="28">
        <f t="shared" ca="1" si="177"/>
        <v>2.2418198345970381E-2</v>
      </c>
      <c r="Z553" s="29">
        <f t="shared" ca="1" si="178"/>
        <v>73.864756999999997</v>
      </c>
      <c r="AA553" s="16">
        <f t="shared" ca="1" si="179"/>
        <v>1.644797603195735E-2</v>
      </c>
      <c r="AB553" s="2"/>
    </row>
    <row r="554" spans="6:28" x14ac:dyDescent="0.25">
      <c r="F554" s="13">
        <v>552</v>
      </c>
      <c r="G554" s="13">
        <f t="shared" si="160"/>
        <v>75.2</v>
      </c>
      <c r="H554" s="13">
        <f t="shared" si="161"/>
        <v>348.34999999999997</v>
      </c>
      <c r="I554" s="14">
        <f t="shared" si="162"/>
        <v>4.5999999999999996</v>
      </c>
      <c r="J554" s="14">
        <f t="shared" si="163"/>
        <v>1471.109796</v>
      </c>
      <c r="K554" s="14">
        <f t="shared" si="164"/>
        <v>0.49110979599999993</v>
      </c>
      <c r="L554" s="14">
        <f t="shared" si="165"/>
        <v>960.60390800000005</v>
      </c>
      <c r="M554" s="14">
        <v>950.57971999999995</v>
      </c>
      <c r="N554" s="13">
        <f t="shared" si="166"/>
        <v>0.96060390800000006</v>
      </c>
      <c r="O554" s="13">
        <f t="shared" si="167"/>
        <v>0.96791999999999989</v>
      </c>
      <c r="P554" s="13">
        <f t="shared" si="168"/>
        <v>7.3160919999998297E-3</v>
      </c>
      <c r="Q554" s="16">
        <f t="shared" si="169"/>
        <v>7.558570956277203E-3</v>
      </c>
      <c r="R554" s="14">
        <f t="shared" ca="1" si="170"/>
        <v>3.5042611370262389</v>
      </c>
      <c r="S554" s="14">
        <f t="shared" si="171"/>
        <v>3.5698554838709673</v>
      </c>
      <c r="T554" s="14">
        <f t="shared" ca="1" si="172"/>
        <v>6.5594346844728424E-2</v>
      </c>
      <c r="U554" s="16">
        <f t="shared" ca="1" si="173"/>
        <v>1.8374510436372424E-2</v>
      </c>
      <c r="V554" s="14">
        <f t="shared" si="174"/>
        <v>4.5999999999999996</v>
      </c>
      <c r="W554" s="14">
        <f t="shared" ca="1" si="175"/>
        <v>4.4957388629737611</v>
      </c>
      <c r="X554" s="14">
        <f t="shared" ca="1" si="176"/>
        <v>0.10426113702623852</v>
      </c>
      <c r="Y554" s="28">
        <f t="shared" ca="1" si="177"/>
        <v>2.2665464570921418E-2</v>
      </c>
      <c r="Z554" s="29">
        <f t="shared" ca="1" si="178"/>
        <v>73.948865999999995</v>
      </c>
      <c r="AA554" s="16">
        <f t="shared" ca="1" si="179"/>
        <v>1.6637420212766058E-2</v>
      </c>
      <c r="AB554" s="2"/>
    </row>
    <row r="555" spans="6:28" x14ac:dyDescent="0.25">
      <c r="F555" s="13">
        <v>553</v>
      </c>
      <c r="G555" s="13">
        <f t="shared" si="160"/>
        <v>75.300000000000011</v>
      </c>
      <c r="H555" s="13">
        <f t="shared" si="161"/>
        <v>348.45</v>
      </c>
      <c r="I555" s="14">
        <f t="shared" si="162"/>
        <v>4.608333</v>
      </c>
      <c r="J555" s="14">
        <f t="shared" si="163"/>
        <v>1466.224555</v>
      </c>
      <c r="K555" s="14">
        <f t="shared" si="164"/>
        <v>0.48622455499999995</v>
      </c>
      <c r="L555" s="14">
        <f t="shared" si="165"/>
        <v>958.57406700000001</v>
      </c>
      <c r="M555" s="14">
        <v>948.52450999999996</v>
      </c>
      <c r="N555" s="13">
        <f t="shared" si="166"/>
        <v>0.95857406700000003</v>
      </c>
      <c r="O555" s="13">
        <f t="shared" si="167"/>
        <v>0.96562999999999977</v>
      </c>
      <c r="P555" s="13">
        <f t="shared" si="168"/>
        <v>7.0559329999997367E-3</v>
      </c>
      <c r="Q555" s="16">
        <f t="shared" si="169"/>
        <v>7.3070772449071991E-3</v>
      </c>
      <c r="R555" s="14">
        <f t="shared" ca="1" si="170"/>
        <v>3.496064862973761</v>
      </c>
      <c r="S555" s="14">
        <f t="shared" si="171"/>
        <v>3.5614095698924721</v>
      </c>
      <c r="T555" s="14">
        <f t="shared" ca="1" si="172"/>
        <v>6.5344706918711193E-2</v>
      </c>
      <c r="U555" s="16">
        <f t="shared" ca="1" si="173"/>
        <v>1.8347989928236226E-2</v>
      </c>
      <c r="V555" s="14">
        <f t="shared" si="174"/>
        <v>4.6083333333333334</v>
      </c>
      <c r="W555" s="14">
        <f t="shared" ca="1" si="175"/>
        <v>4.5039351370262395</v>
      </c>
      <c r="X555" s="14">
        <f t="shared" ca="1" si="176"/>
        <v>0.1043981963070939</v>
      </c>
      <c r="Y555" s="28">
        <f t="shared" ca="1" si="177"/>
        <v>2.2654219813474263E-2</v>
      </c>
      <c r="Z555" s="29">
        <f t="shared" ca="1" si="178"/>
        <v>74.047222000000005</v>
      </c>
      <c r="AA555" s="16">
        <f t="shared" ca="1" si="179"/>
        <v>1.6637158034528636E-2</v>
      </c>
      <c r="AB555" s="2"/>
    </row>
    <row r="556" spans="6:28" x14ac:dyDescent="0.25">
      <c r="F556" s="13">
        <v>554</v>
      </c>
      <c r="G556" s="13">
        <f t="shared" si="160"/>
        <v>75.400000000000006</v>
      </c>
      <c r="H556" s="13">
        <f t="shared" si="161"/>
        <v>348.54999999999995</v>
      </c>
      <c r="I556" s="14">
        <f t="shared" si="162"/>
        <v>4.6166669999999996</v>
      </c>
      <c r="J556" s="14">
        <f t="shared" si="163"/>
        <v>1461.3580340000001</v>
      </c>
      <c r="K556" s="14">
        <f t="shared" si="164"/>
        <v>0.4813580340000001</v>
      </c>
      <c r="L556" s="14">
        <f t="shared" si="165"/>
        <v>956.54728899999998</v>
      </c>
      <c r="M556" s="14">
        <v>946.46646999999996</v>
      </c>
      <c r="N556" s="13">
        <f t="shared" si="166"/>
        <v>0.95654728900000008</v>
      </c>
      <c r="O556" s="13">
        <f t="shared" si="167"/>
        <v>0.96333999999999986</v>
      </c>
      <c r="P556" s="13">
        <f t="shared" si="168"/>
        <v>6.7927109999997848E-3</v>
      </c>
      <c r="Q556" s="16">
        <f t="shared" si="169"/>
        <v>7.0512082961361362E-3</v>
      </c>
      <c r="R556" s="14">
        <f t="shared" ca="1" si="170"/>
        <v>3.4890690000000002</v>
      </c>
      <c r="S556" s="14">
        <f t="shared" si="171"/>
        <v>3.5529636559139779</v>
      </c>
      <c r="T556" s="14">
        <f t="shared" ca="1" si="172"/>
        <v>6.3894655913977694E-2</v>
      </c>
      <c r="U556" s="16">
        <f t="shared" ca="1" si="173"/>
        <v>1.7983481426167638E-2</v>
      </c>
      <c r="V556" s="14">
        <f t="shared" si="174"/>
        <v>4.6166666666666671</v>
      </c>
      <c r="W556" s="14">
        <f t="shared" ca="1" si="175"/>
        <v>4.5109309999999994</v>
      </c>
      <c r="X556" s="14">
        <f t="shared" ca="1" si="176"/>
        <v>0.10573566666666778</v>
      </c>
      <c r="Y556" s="28">
        <f t="shared" ca="1" si="177"/>
        <v>2.2903032490974969E-2</v>
      </c>
      <c r="Z556" s="29">
        <f t="shared" ca="1" si="178"/>
        <v>74.131172000000007</v>
      </c>
      <c r="AA556" s="16">
        <f t="shared" ca="1" si="179"/>
        <v>1.6827957559681684E-2</v>
      </c>
      <c r="AB556" s="2"/>
    </row>
    <row r="557" spans="6:28" x14ac:dyDescent="0.25">
      <c r="F557" s="13">
        <v>555</v>
      </c>
      <c r="G557" s="13">
        <f t="shared" si="160"/>
        <v>75.5</v>
      </c>
      <c r="H557" s="13">
        <f t="shared" si="161"/>
        <v>348.65</v>
      </c>
      <c r="I557" s="14">
        <f t="shared" si="162"/>
        <v>4.625</v>
      </c>
      <c r="J557" s="14">
        <f t="shared" si="163"/>
        <v>1456.5101520000001</v>
      </c>
      <c r="K557" s="14">
        <f t="shared" si="164"/>
        <v>0.47651015200000013</v>
      </c>
      <c r="L557" s="14">
        <f t="shared" si="165"/>
        <v>954.52357700000005</v>
      </c>
      <c r="M557" s="14">
        <v>944.51649999999995</v>
      </c>
      <c r="N557" s="13">
        <f t="shared" si="166"/>
        <v>0.95452357700000012</v>
      </c>
      <c r="O557" s="13">
        <f t="shared" si="167"/>
        <v>0.96104999999999996</v>
      </c>
      <c r="P557" s="13">
        <f t="shared" si="168"/>
        <v>6.5264229999998369E-3</v>
      </c>
      <c r="Q557" s="16">
        <f t="shared" si="169"/>
        <v>6.7909297122936757E-3</v>
      </c>
      <c r="R557" s="14">
        <f t="shared" ca="1" si="170"/>
        <v>3.4816762274052477</v>
      </c>
      <c r="S557" s="14">
        <f t="shared" si="171"/>
        <v>3.5445177419354836</v>
      </c>
      <c r="T557" s="14">
        <f t="shared" ca="1" si="172"/>
        <v>6.2841514530235898E-2</v>
      </c>
      <c r="U557" s="16">
        <f t="shared" ca="1" si="173"/>
        <v>1.7729214269899887E-2</v>
      </c>
      <c r="V557" s="14">
        <f t="shared" si="174"/>
        <v>4.625</v>
      </c>
      <c r="W557" s="14">
        <f t="shared" ca="1" si="175"/>
        <v>4.5183237725947523</v>
      </c>
      <c r="X557" s="14">
        <f t="shared" ca="1" si="176"/>
        <v>0.10667622740524774</v>
      </c>
      <c r="Y557" s="28">
        <f t="shared" ca="1" si="177"/>
        <v>2.3065130249783294E-2</v>
      </c>
      <c r="Z557" s="29">
        <f t="shared" ca="1" si="178"/>
        <v>74.219885000000005</v>
      </c>
      <c r="AA557" s="16">
        <f t="shared" ca="1" si="179"/>
        <v>1.6955165562913842E-2</v>
      </c>
      <c r="AB557" s="2"/>
    </row>
    <row r="558" spans="6:28" x14ac:dyDescent="0.25">
      <c r="F558" s="13">
        <v>556</v>
      </c>
      <c r="G558" s="13">
        <f t="shared" si="160"/>
        <v>75.599999999999994</v>
      </c>
      <c r="H558" s="13">
        <f t="shared" si="161"/>
        <v>348.75</v>
      </c>
      <c r="I558" s="14">
        <f t="shared" si="162"/>
        <v>4.6333330000000004</v>
      </c>
      <c r="J558" s="14">
        <f t="shared" si="163"/>
        <v>1451.6808289999999</v>
      </c>
      <c r="K558" s="14">
        <f t="shared" si="164"/>
        <v>0.47168082899999986</v>
      </c>
      <c r="L558" s="14">
        <f t="shared" si="165"/>
        <v>952.50293599999998</v>
      </c>
      <c r="M558" s="14">
        <v>942.34213</v>
      </c>
      <c r="N558" s="13">
        <f t="shared" si="166"/>
        <v>0.95250293600000002</v>
      </c>
      <c r="O558" s="13">
        <f t="shared" si="167"/>
        <v>0.95876000000000006</v>
      </c>
      <c r="P558" s="13">
        <f t="shared" si="168"/>
        <v>6.2570640000000344E-3</v>
      </c>
      <c r="Q558" s="16">
        <f t="shared" si="169"/>
        <v>6.5262046810463867E-3</v>
      </c>
      <c r="R558" s="14">
        <f t="shared" ca="1" si="170"/>
        <v>3.4743277725947523</v>
      </c>
      <c r="S558" s="14">
        <f t="shared" si="171"/>
        <v>3.5360718279569894</v>
      </c>
      <c r="T558" s="14">
        <f t="shared" ca="1" si="172"/>
        <v>6.1744055362237038E-2</v>
      </c>
      <c r="U558" s="16">
        <f t="shared" ca="1" si="173"/>
        <v>1.7461199423064452E-2</v>
      </c>
      <c r="V558" s="14">
        <f t="shared" si="174"/>
        <v>4.6333333333333329</v>
      </c>
      <c r="W558" s="14">
        <f t="shared" ca="1" si="175"/>
        <v>4.5256722274052477</v>
      </c>
      <c r="X558" s="14">
        <f t="shared" ca="1" si="176"/>
        <v>0.1076611059280852</v>
      </c>
      <c r="Y558" s="28">
        <f t="shared" ca="1" si="177"/>
        <v>2.3236209912536377E-2</v>
      </c>
      <c r="Z558" s="29">
        <f t="shared" ca="1" si="178"/>
        <v>74.308066999999994</v>
      </c>
      <c r="AA558" s="16">
        <f t="shared" ca="1" si="179"/>
        <v>1.7089060846560852E-2</v>
      </c>
      <c r="AB558" s="2"/>
    </row>
    <row r="559" spans="6:28" x14ac:dyDescent="0.25">
      <c r="F559" s="13">
        <v>557</v>
      </c>
      <c r="G559" s="13">
        <f t="shared" si="160"/>
        <v>75.7</v>
      </c>
      <c r="H559" s="13">
        <f t="shared" si="161"/>
        <v>348.84999999999997</v>
      </c>
      <c r="I559" s="14">
        <f t="shared" si="162"/>
        <v>4.641667</v>
      </c>
      <c r="J559" s="14">
        <f t="shared" si="163"/>
        <v>1446.869985</v>
      </c>
      <c r="K559" s="14">
        <f t="shared" si="164"/>
        <v>0.46686998499999999</v>
      </c>
      <c r="L559" s="14">
        <f t="shared" si="165"/>
        <v>950.48536999999999</v>
      </c>
      <c r="M559" s="14">
        <v>940.27588000000003</v>
      </c>
      <c r="N559" s="13">
        <f t="shared" si="166"/>
        <v>0.95048537000000011</v>
      </c>
      <c r="O559" s="13">
        <f t="shared" si="167"/>
        <v>0.95646999999999993</v>
      </c>
      <c r="P559" s="13">
        <f t="shared" si="168"/>
        <v>5.9846299999998243E-3</v>
      </c>
      <c r="Q559" s="16">
        <f t="shared" si="169"/>
        <v>6.2569970830238528E-3</v>
      </c>
      <c r="R559" s="14">
        <f t="shared" ca="1" si="170"/>
        <v>3.4669462274052476</v>
      </c>
      <c r="S559" s="14">
        <f t="shared" si="171"/>
        <v>3.5276259139784942</v>
      </c>
      <c r="T559" s="14">
        <f t="shared" ca="1" si="172"/>
        <v>6.0679686573246627E-2</v>
      </c>
      <c r="U559" s="16">
        <f t="shared" ca="1" si="173"/>
        <v>1.7201281556754249E-2</v>
      </c>
      <c r="V559" s="14">
        <f t="shared" si="174"/>
        <v>4.6416666666666657</v>
      </c>
      <c r="W559" s="14">
        <f t="shared" ca="1" si="175"/>
        <v>4.5330537725947524</v>
      </c>
      <c r="X559" s="14">
        <f t="shared" ca="1" si="176"/>
        <v>0.10861289407191332</v>
      </c>
      <c r="Y559" s="28">
        <f t="shared" ca="1" si="177"/>
        <v>2.3399546299155478E-2</v>
      </c>
      <c r="Z559" s="29">
        <f t="shared" ca="1" si="178"/>
        <v>74.396645000000007</v>
      </c>
      <c r="AA559" s="16">
        <f t="shared" ca="1" si="179"/>
        <v>1.7217371202113557E-2</v>
      </c>
      <c r="AB559" s="2"/>
    </row>
    <row r="560" spans="6:28" x14ac:dyDescent="0.25">
      <c r="F560" s="13">
        <v>558</v>
      </c>
      <c r="G560" s="13">
        <f t="shared" si="160"/>
        <v>75.800000000000011</v>
      </c>
      <c r="H560" s="13">
        <f t="shared" si="161"/>
        <v>348.95</v>
      </c>
      <c r="I560" s="14">
        <f t="shared" si="162"/>
        <v>4.6500000000000004</v>
      </c>
      <c r="J560" s="14">
        <f t="shared" si="163"/>
        <v>1442.07754</v>
      </c>
      <c r="K560" s="14">
        <f t="shared" si="164"/>
        <v>0.46207754000000012</v>
      </c>
      <c r="L560" s="14">
        <f t="shared" si="165"/>
        <v>948.47088299999996</v>
      </c>
      <c r="M560" s="14">
        <v>938.20690000000002</v>
      </c>
      <c r="N560" s="13">
        <f t="shared" si="166"/>
        <v>0.94847088299999993</v>
      </c>
      <c r="O560" s="13">
        <f t="shared" si="167"/>
        <v>0.95417999999999958</v>
      </c>
      <c r="P560" s="13">
        <f t="shared" si="168"/>
        <v>5.7091169999996527E-3</v>
      </c>
      <c r="Q560" s="16">
        <f t="shared" si="169"/>
        <v>5.9832704521155912E-3</v>
      </c>
      <c r="R560" s="14">
        <f t="shared" ca="1" si="170"/>
        <v>3.4596089999999999</v>
      </c>
      <c r="S560" s="14">
        <f t="shared" si="171"/>
        <v>3.5191799999999982</v>
      </c>
      <c r="T560" s="14">
        <f t="shared" ca="1" si="172"/>
        <v>5.9570999999998264E-2</v>
      </c>
      <c r="U560" s="16">
        <f t="shared" ca="1" si="173"/>
        <v>1.6927522888854307E-2</v>
      </c>
      <c r="V560" s="14">
        <f t="shared" si="174"/>
        <v>4.6500000000000012</v>
      </c>
      <c r="W560" s="14">
        <f t="shared" ca="1" si="175"/>
        <v>4.5403909999999996</v>
      </c>
      <c r="X560" s="14">
        <f t="shared" ca="1" si="176"/>
        <v>0.10960900000000162</v>
      </c>
      <c r="Y560" s="28">
        <f t="shared" ca="1" si="177"/>
        <v>2.3571827956989588E-2</v>
      </c>
      <c r="Z560" s="29">
        <f t="shared" ca="1" si="178"/>
        <v>74.484691999999995</v>
      </c>
      <c r="AA560" s="16">
        <f t="shared" ca="1" si="179"/>
        <v>1.7352348284960628E-2</v>
      </c>
      <c r="AB560" s="2"/>
    </row>
    <row r="561" spans="6:28" x14ac:dyDescent="0.25">
      <c r="F561" s="13">
        <v>559</v>
      </c>
      <c r="G561" s="13">
        <f t="shared" si="160"/>
        <v>75.900000000000006</v>
      </c>
      <c r="H561" s="13">
        <f t="shared" si="161"/>
        <v>349.04999999999995</v>
      </c>
      <c r="I561" s="14">
        <f t="shared" si="162"/>
        <v>4.6583329999999998</v>
      </c>
      <c r="J561" s="14">
        <f t="shared" si="163"/>
        <v>1437.3034170000001</v>
      </c>
      <c r="K561" s="14">
        <f t="shared" si="164"/>
        <v>0.4573034170000001</v>
      </c>
      <c r="L561" s="14">
        <f t="shared" si="165"/>
        <v>946.45947899999999</v>
      </c>
      <c r="M561" s="14">
        <v>936.13529000000005</v>
      </c>
      <c r="N561" s="13">
        <f t="shared" si="166"/>
        <v>0.94645947899999994</v>
      </c>
      <c r="O561" s="13">
        <f t="shared" si="167"/>
        <v>0.9518899999999999</v>
      </c>
      <c r="P561" s="13">
        <f t="shared" si="168"/>
        <v>5.430520999999966E-3</v>
      </c>
      <c r="Q561" s="16">
        <f t="shared" si="169"/>
        <v>5.7049879712991695E-3</v>
      </c>
      <c r="R561" s="14">
        <f t="shared" ca="1" si="170"/>
        <v>3.4530545014577259</v>
      </c>
      <c r="S561" s="14">
        <f t="shared" si="171"/>
        <v>3.5107340860215048</v>
      </c>
      <c r="T561" s="14">
        <f t="shared" ca="1" si="172"/>
        <v>5.7679584563778974E-2</v>
      </c>
      <c r="U561" s="16">
        <f t="shared" ca="1" si="173"/>
        <v>1.6429493989145626E-2</v>
      </c>
      <c r="V561" s="14">
        <f t="shared" si="174"/>
        <v>4.6583333333333332</v>
      </c>
      <c r="W561" s="14">
        <f t="shared" ca="1" si="175"/>
        <v>4.5469454985422741</v>
      </c>
      <c r="X561" s="14">
        <f t="shared" ca="1" si="176"/>
        <v>0.11138783479105907</v>
      </c>
      <c r="Y561" s="28">
        <f t="shared" ca="1" si="177"/>
        <v>2.3911520885379407E-2</v>
      </c>
      <c r="Z561" s="29">
        <f t="shared" ca="1" si="178"/>
        <v>74.563345999999996</v>
      </c>
      <c r="AA561" s="16">
        <f t="shared" ca="1" si="179"/>
        <v>1.7610724637681291E-2</v>
      </c>
      <c r="AB561" s="2"/>
    </row>
    <row r="562" spans="6:28" x14ac:dyDescent="0.25">
      <c r="F562" s="13">
        <v>560</v>
      </c>
      <c r="G562" s="13">
        <f t="shared" si="160"/>
        <v>76</v>
      </c>
      <c r="H562" s="13">
        <f t="shared" si="161"/>
        <v>349.15</v>
      </c>
      <c r="I562" s="14">
        <f t="shared" si="162"/>
        <v>4.6666670000000003</v>
      </c>
      <c r="J562" s="14">
        <f t="shared" si="163"/>
        <v>1432.5475349999999</v>
      </c>
      <c r="K562" s="14">
        <f t="shared" si="164"/>
        <v>0.45254753499999989</v>
      </c>
      <c r="L562" s="14">
        <f t="shared" si="165"/>
        <v>944.45116199999995</v>
      </c>
      <c r="M562" s="14">
        <v>934.28021999999999</v>
      </c>
      <c r="N562" s="13">
        <f t="shared" si="166"/>
        <v>0.94445116200000001</v>
      </c>
      <c r="O562" s="13">
        <f t="shared" si="167"/>
        <v>0.9496</v>
      </c>
      <c r="P562" s="13">
        <f t="shared" si="168"/>
        <v>5.1488379999999889E-3</v>
      </c>
      <c r="Q562" s="16">
        <f t="shared" si="169"/>
        <v>5.4221124684077386E-3</v>
      </c>
      <c r="R562" s="14">
        <f t="shared" ca="1" si="170"/>
        <v>3.444947</v>
      </c>
      <c r="S562" s="14">
        <f t="shared" si="171"/>
        <v>3.5022881720430106</v>
      </c>
      <c r="T562" s="14">
        <f t="shared" ca="1" si="172"/>
        <v>5.7341172043010591E-2</v>
      </c>
      <c r="U562" s="16">
        <f t="shared" ca="1" si="173"/>
        <v>1.6372488278016663E-2</v>
      </c>
      <c r="V562" s="14">
        <f t="shared" si="174"/>
        <v>4.6666666666666661</v>
      </c>
      <c r="W562" s="14">
        <f t="shared" ca="1" si="175"/>
        <v>4.555053</v>
      </c>
      <c r="X562" s="14">
        <f t="shared" ca="1" si="176"/>
        <v>0.11161366666666606</v>
      </c>
      <c r="Y562" s="28">
        <f t="shared" ca="1" si="177"/>
        <v>2.3917214285714156E-2</v>
      </c>
      <c r="Z562" s="29">
        <f t="shared" ca="1" si="178"/>
        <v>74.660635999999997</v>
      </c>
      <c r="AA562" s="16">
        <f t="shared" ca="1" si="179"/>
        <v>1.7623210526315835E-2</v>
      </c>
      <c r="AB562" s="2"/>
    </row>
    <row r="563" spans="6:28" x14ac:dyDescent="0.25">
      <c r="F563" s="13">
        <v>561</v>
      </c>
      <c r="G563" s="13">
        <f t="shared" si="160"/>
        <v>76.099999999999994</v>
      </c>
      <c r="H563" s="13">
        <f t="shared" si="161"/>
        <v>349.25</v>
      </c>
      <c r="I563" s="14">
        <f t="shared" si="162"/>
        <v>4.6749999999999998</v>
      </c>
      <c r="J563" s="14">
        <f t="shared" si="163"/>
        <v>1427.8098170000001</v>
      </c>
      <c r="K563" s="14">
        <f t="shared" si="164"/>
        <v>0.447809817</v>
      </c>
      <c r="L563" s="14">
        <f t="shared" si="165"/>
        <v>942.44593599999996</v>
      </c>
      <c r="M563" s="14">
        <v>932.20288000000005</v>
      </c>
      <c r="N563" s="13">
        <f t="shared" si="166"/>
        <v>0.94244593599999993</v>
      </c>
      <c r="O563" s="13">
        <f t="shared" si="167"/>
        <v>0.9473100000000001</v>
      </c>
      <c r="P563" s="13">
        <f t="shared" si="168"/>
        <v>4.8640640000001678E-3</v>
      </c>
      <c r="Q563" s="16">
        <f t="shared" si="169"/>
        <v>5.1346064118400177E-3</v>
      </c>
      <c r="R563" s="14">
        <f t="shared" ca="1" si="170"/>
        <v>3.4376222274052477</v>
      </c>
      <c r="S563" s="14">
        <f t="shared" si="171"/>
        <v>3.4938422580645163</v>
      </c>
      <c r="T563" s="14">
        <f t="shared" ca="1" si="172"/>
        <v>5.6220030659268616E-2</v>
      </c>
      <c r="U563" s="16">
        <f t="shared" ca="1" si="173"/>
        <v>1.609117599098845E-2</v>
      </c>
      <c r="V563" s="14">
        <f t="shared" si="174"/>
        <v>4.6749999999999989</v>
      </c>
      <c r="W563" s="14">
        <f t="shared" ca="1" si="175"/>
        <v>4.5623777725947523</v>
      </c>
      <c r="X563" s="14">
        <f t="shared" ca="1" si="176"/>
        <v>0.11262222740524663</v>
      </c>
      <c r="Y563" s="28">
        <f t="shared" ca="1" si="177"/>
        <v>2.4090316022512655E-2</v>
      </c>
      <c r="Z563" s="29">
        <f t="shared" ca="1" si="178"/>
        <v>74.748532999999995</v>
      </c>
      <c r="AA563" s="16">
        <f t="shared" ca="1" si="179"/>
        <v>1.7759093298291718E-2</v>
      </c>
      <c r="AB563" s="2"/>
    </row>
    <row r="564" spans="6:28" x14ac:dyDescent="0.25">
      <c r="F564" s="13">
        <v>562</v>
      </c>
      <c r="G564" s="13">
        <f t="shared" si="160"/>
        <v>76.2</v>
      </c>
      <c r="H564" s="13">
        <f t="shared" si="161"/>
        <v>349.34999999999997</v>
      </c>
      <c r="I564" s="14">
        <f t="shared" si="162"/>
        <v>4.6833330000000002</v>
      </c>
      <c r="J564" s="14">
        <f t="shared" si="163"/>
        <v>1423.0901839999999</v>
      </c>
      <c r="K564" s="14">
        <f t="shared" si="164"/>
        <v>0.44309018399999989</v>
      </c>
      <c r="L564" s="14">
        <f t="shared" si="165"/>
        <v>940.443805</v>
      </c>
      <c r="M564" s="14">
        <v>930.23212000000001</v>
      </c>
      <c r="N564" s="13">
        <f t="shared" si="166"/>
        <v>0.94044380500000002</v>
      </c>
      <c r="O564" s="13">
        <f t="shared" si="167"/>
        <v>0.94501999999999997</v>
      </c>
      <c r="P564" s="13">
        <f t="shared" si="168"/>
        <v>4.5761949999999496E-3</v>
      </c>
      <c r="Q564" s="16">
        <f t="shared" si="169"/>
        <v>4.8424319062029897E-3</v>
      </c>
      <c r="R564" s="14">
        <f t="shared" ca="1" si="170"/>
        <v>3.431111501457726</v>
      </c>
      <c r="S564" s="14">
        <f t="shared" si="171"/>
        <v>3.4853963440860212</v>
      </c>
      <c r="T564" s="14">
        <f t="shared" ca="1" si="172"/>
        <v>5.4284842628295138E-2</v>
      </c>
      <c r="U564" s="16">
        <f t="shared" ca="1" si="173"/>
        <v>1.5574941059545497E-2</v>
      </c>
      <c r="V564" s="14">
        <f t="shared" si="174"/>
        <v>4.6833333333333336</v>
      </c>
      <c r="W564" s="14">
        <f t="shared" ca="1" si="175"/>
        <v>4.5688884985422735</v>
      </c>
      <c r="X564" s="14">
        <f t="shared" ca="1" si="176"/>
        <v>0.11444483479106005</v>
      </c>
      <c r="Y564" s="28">
        <f t="shared" ca="1" si="177"/>
        <v>2.4436619528340222E-2</v>
      </c>
      <c r="Z564" s="29">
        <f t="shared" ca="1" si="178"/>
        <v>74.826661999999999</v>
      </c>
      <c r="AA564" s="16">
        <f t="shared" ca="1" si="179"/>
        <v>1.8022808398950183E-2</v>
      </c>
      <c r="AB564" s="2"/>
    </row>
    <row r="565" spans="6:28" x14ac:dyDescent="0.25">
      <c r="F565" s="13">
        <v>563</v>
      </c>
      <c r="G565" s="13">
        <f t="shared" si="160"/>
        <v>76.300000000000011</v>
      </c>
      <c r="H565" s="13">
        <f t="shared" si="161"/>
        <v>349.45</v>
      </c>
      <c r="I565" s="14">
        <f t="shared" si="162"/>
        <v>4.6916669999999998</v>
      </c>
      <c r="J565" s="14">
        <f t="shared" si="163"/>
        <v>1418.3885600000001</v>
      </c>
      <c r="K565" s="14">
        <f t="shared" si="164"/>
        <v>0.43838856000000015</v>
      </c>
      <c r="L565" s="14">
        <f t="shared" si="165"/>
        <v>938.44477300000005</v>
      </c>
      <c r="M565" s="14">
        <v>928.04055000000005</v>
      </c>
      <c r="N565" s="13">
        <f t="shared" si="166"/>
        <v>0.93844477300000007</v>
      </c>
      <c r="O565" s="13">
        <f t="shared" si="167"/>
        <v>0.94272999999999962</v>
      </c>
      <c r="P565" s="13">
        <f t="shared" si="168"/>
        <v>4.2852269999995585E-3</v>
      </c>
      <c r="Q565" s="16">
        <f t="shared" si="169"/>
        <v>4.5455506878953255E-3</v>
      </c>
      <c r="R565" s="14">
        <f t="shared" ca="1" si="170"/>
        <v>3.4230497725947524</v>
      </c>
      <c r="S565" s="14">
        <f t="shared" si="171"/>
        <v>3.4769504301075251</v>
      </c>
      <c r="T565" s="14">
        <f t="shared" ca="1" si="172"/>
        <v>5.3900657512772732E-2</v>
      </c>
      <c r="U565" s="16">
        <f t="shared" ca="1" si="173"/>
        <v>1.5502279539575101E-2</v>
      </c>
      <c r="V565" s="14">
        <f t="shared" si="174"/>
        <v>4.6916666666666682</v>
      </c>
      <c r="W565" s="14">
        <f t="shared" ca="1" si="175"/>
        <v>4.5769502274052476</v>
      </c>
      <c r="X565" s="14">
        <f t="shared" ca="1" si="176"/>
        <v>0.11471643926142061</v>
      </c>
      <c r="Y565" s="28">
        <f t="shared" ca="1" si="177"/>
        <v>2.4451106059272591E-2</v>
      </c>
      <c r="Z565" s="29">
        <f t="shared" ca="1" si="178"/>
        <v>74.923402999999993</v>
      </c>
      <c r="AA565" s="16">
        <f t="shared" ca="1" si="179"/>
        <v>1.8041900393185029E-2</v>
      </c>
      <c r="AB565" s="2"/>
    </row>
    <row r="566" spans="6:28" x14ac:dyDescent="0.25">
      <c r="F566" s="13">
        <v>564</v>
      </c>
      <c r="G566" s="13">
        <f t="shared" si="160"/>
        <v>76.400000000000006</v>
      </c>
      <c r="H566" s="13">
        <f t="shared" si="161"/>
        <v>349.54999999999995</v>
      </c>
      <c r="I566" s="14">
        <f t="shared" si="162"/>
        <v>4.7</v>
      </c>
      <c r="J566" s="14">
        <f t="shared" si="163"/>
        <v>1413.704866</v>
      </c>
      <c r="K566" s="14">
        <f t="shared" si="164"/>
        <v>0.43370486600000002</v>
      </c>
      <c r="L566" s="14">
        <f t="shared" si="165"/>
        <v>936.44884300000001</v>
      </c>
      <c r="M566" s="14">
        <v>926.28150000000005</v>
      </c>
      <c r="N566" s="13">
        <f t="shared" si="166"/>
        <v>0.93644884299999998</v>
      </c>
      <c r="O566" s="13">
        <f t="shared" si="167"/>
        <v>0.94043999999999972</v>
      </c>
      <c r="P566" s="13">
        <f t="shared" si="168"/>
        <v>3.9911569999997454E-3</v>
      </c>
      <c r="Q566" s="16">
        <f t="shared" si="169"/>
        <v>4.2439251839561766E-3</v>
      </c>
      <c r="R566" s="14">
        <f t="shared" ca="1" si="170"/>
        <v>3.4153618629737608</v>
      </c>
      <c r="S566" s="14">
        <f t="shared" si="171"/>
        <v>3.4685045161290309</v>
      </c>
      <c r="T566" s="14">
        <f t="shared" ca="1" si="172"/>
        <v>5.3142653155270114E-2</v>
      </c>
      <c r="U566" s="16">
        <f t="shared" ca="1" si="173"/>
        <v>1.5321488816909232E-2</v>
      </c>
      <c r="V566" s="14">
        <f t="shared" si="174"/>
        <v>4.7000000000000011</v>
      </c>
      <c r="W566" s="14">
        <f t="shared" ca="1" si="175"/>
        <v>4.5846381370262392</v>
      </c>
      <c r="X566" s="14">
        <f t="shared" ca="1" si="176"/>
        <v>0.11536186297376183</v>
      </c>
      <c r="Y566" s="28">
        <f t="shared" ca="1" si="177"/>
        <v>2.4545077228459958E-2</v>
      </c>
      <c r="Z566" s="29">
        <f t="shared" ca="1" si="178"/>
        <v>75.015658000000002</v>
      </c>
      <c r="AA566" s="16">
        <f t="shared" ca="1" si="179"/>
        <v>1.8119659685863921E-2</v>
      </c>
      <c r="AB566" s="2"/>
    </row>
    <row r="567" spans="6:28" x14ac:dyDescent="0.25">
      <c r="F567" s="13">
        <v>565</v>
      </c>
      <c r="G567" s="13">
        <f t="shared" si="160"/>
        <v>76.5</v>
      </c>
      <c r="H567" s="13">
        <f t="shared" si="161"/>
        <v>349.65</v>
      </c>
      <c r="I567" s="14">
        <f t="shared" si="162"/>
        <v>4.7083329999999997</v>
      </c>
      <c r="J567" s="14">
        <f t="shared" si="163"/>
        <v>1409.0390259999999</v>
      </c>
      <c r="K567" s="14">
        <f t="shared" si="164"/>
        <v>0.42903902599999988</v>
      </c>
      <c r="L567" s="14">
        <f t="shared" si="165"/>
        <v>934.45601899999997</v>
      </c>
      <c r="M567" s="14">
        <v>924.08496000000002</v>
      </c>
      <c r="N567" s="13">
        <f t="shared" si="166"/>
        <v>0.93445601899999997</v>
      </c>
      <c r="O567" s="13">
        <f t="shared" si="167"/>
        <v>0.93815000000000004</v>
      </c>
      <c r="P567" s="13">
        <f t="shared" si="168"/>
        <v>3.6939810000000683E-3</v>
      </c>
      <c r="Q567" s="16">
        <f t="shared" si="169"/>
        <v>3.9375163886372841E-3</v>
      </c>
      <c r="R567" s="14">
        <f t="shared" ca="1" si="170"/>
        <v>3.4084997725947521</v>
      </c>
      <c r="S567" s="14">
        <f t="shared" si="171"/>
        <v>3.4600586021505375</v>
      </c>
      <c r="T567" s="14">
        <f t="shared" ca="1" si="172"/>
        <v>5.155882955578539E-2</v>
      </c>
      <c r="U567" s="16">
        <f t="shared" ca="1" si="173"/>
        <v>1.4901143444142803E-2</v>
      </c>
      <c r="V567" s="14">
        <f t="shared" si="174"/>
        <v>4.7083333333333321</v>
      </c>
      <c r="W567" s="14">
        <f t="shared" ca="1" si="175"/>
        <v>4.5915002274052483</v>
      </c>
      <c r="X567" s="14">
        <f t="shared" ca="1" si="176"/>
        <v>0.11683310592808382</v>
      </c>
      <c r="Y567" s="28">
        <f t="shared" ca="1" si="177"/>
        <v>2.4814110993575333E-2</v>
      </c>
      <c r="Z567" s="29">
        <f t="shared" ca="1" si="178"/>
        <v>75.098003000000006</v>
      </c>
      <c r="AA567" s="16">
        <f t="shared" ca="1" si="179"/>
        <v>1.8326758169934568E-2</v>
      </c>
      <c r="AB567" s="2"/>
    </row>
    <row r="568" spans="6:28" x14ac:dyDescent="0.25">
      <c r="F568" s="13">
        <v>566</v>
      </c>
      <c r="G568" s="13">
        <f t="shared" si="160"/>
        <v>76.599999999999994</v>
      </c>
      <c r="H568" s="13">
        <f t="shared" si="161"/>
        <v>349.75</v>
      </c>
      <c r="I568" s="14">
        <f t="shared" si="162"/>
        <v>4.7166670000000002</v>
      </c>
      <c r="J568" s="14">
        <f t="shared" si="163"/>
        <v>1404.3909630000001</v>
      </c>
      <c r="K568" s="14">
        <f t="shared" si="164"/>
        <v>0.42439096300000001</v>
      </c>
      <c r="L568" s="14">
        <f t="shared" si="165"/>
        <v>932.46630500000003</v>
      </c>
      <c r="M568" s="14">
        <v>922.10275999999999</v>
      </c>
      <c r="N568" s="13">
        <f t="shared" si="166"/>
        <v>0.93246630500000005</v>
      </c>
      <c r="O568" s="13">
        <f t="shared" si="167"/>
        <v>0.93586000000000014</v>
      </c>
      <c r="P568" s="13">
        <f t="shared" si="168"/>
        <v>3.3936950000000854E-3</v>
      </c>
      <c r="Q568" s="16">
        <f t="shared" si="169"/>
        <v>3.6262849144103656E-3</v>
      </c>
      <c r="R568" s="14">
        <f t="shared" ca="1" si="170"/>
        <v>3.4016173644314867</v>
      </c>
      <c r="S568" s="14">
        <f t="shared" si="171"/>
        <v>3.4516126881720433</v>
      </c>
      <c r="T568" s="14">
        <f t="shared" ca="1" si="172"/>
        <v>4.9995323740556596E-2</v>
      </c>
      <c r="U568" s="16">
        <f t="shared" ca="1" si="173"/>
        <v>1.4484627406742404E-2</v>
      </c>
      <c r="V568" s="14">
        <f t="shared" si="174"/>
        <v>4.7166666666666659</v>
      </c>
      <c r="W568" s="14">
        <f t="shared" ca="1" si="175"/>
        <v>4.5983826355685133</v>
      </c>
      <c r="X568" s="14">
        <f t="shared" ca="1" si="176"/>
        <v>0.11828403109815255</v>
      </c>
      <c r="Y568" s="28">
        <f t="shared" ca="1" si="177"/>
        <v>2.5077886451905139E-2</v>
      </c>
      <c r="Z568" s="29">
        <f t="shared" ca="1" si="178"/>
        <v>75.180592000000004</v>
      </c>
      <c r="AA568" s="16">
        <f t="shared" ca="1" si="179"/>
        <v>1.8530130548302742E-2</v>
      </c>
      <c r="AB568" s="2"/>
    </row>
    <row r="569" spans="6:28" x14ac:dyDescent="0.25">
      <c r="F569" s="13">
        <v>567</v>
      </c>
      <c r="G569" s="13">
        <f t="shared" si="160"/>
        <v>76.7</v>
      </c>
      <c r="H569" s="13">
        <f t="shared" si="161"/>
        <v>349.84999999999997</v>
      </c>
      <c r="I569" s="14">
        <f t="shared" si="162"/>
        <v>4.7249999999999996</v>
      </c>
      <c r="J569" s="14">
        <f t="shared" si="163"/>
        <v>1399.7606020000001</v>
      </c>
      <c r="K569" s="14">
        <f t="shared" si="164"/>
        <v>0.41976060199999998</v>
      </c>
      <c r="L569" s="14">
        <f t="shared" si="165"/>
        <v>930.47970399999997</v>
      </c>
      <c r="M569" s="14">
        <v>920.11761999999999</v>
      </c>
      <c r="N569" s="13">
        <f t="shared" si="166"/>
        <v>0.93047970400000002</v>
      </c>
      <c r="O569" s="13">
        <f t="shared" si="167"/>
        <v>0.93356999999999979</v>
      </c>
      <c r="P569" s="13">
        <f t="shared" si="168"/>
        <v>3.0902959999997703E-3</v>
      </c>
      <c r="Q569" s="16">
        <f t="shared" si="169"/>
        <v>3.3101920584420784E-3</v>
      </c>
      <c r="R569" s="14">
        <f t="shared" ca="1" si="170"/>
        <v>3.393995772594752</v>
      </c>
      <c r="S569" s="14">
        <f t="shared" si="171"/>
        <v>3.4431667741935477</v>
      </c>
      <c r="T569" s="14">
        <f t="shared" ca="1" si="172"/>
        <v>4.9171001598795616E-2</v>
      </c>
      <c r="U569" s="16">
        <f t="shared" ca="1" si="173"/>
        <v>1.4280749328592241E-2</v>
      </c>
      <c r="V569" s="14">
        <f t="shared" si="174"/>
        <v>4.7249999999999996</v>
      </c>
      <c r="W569" s="14">
        <f t="shared" ca="1" si="175"/>
        <v>4.606004227405248</v>
      </c>
      <c r="X569" s="14">
        <f t="shared" ca="1" si="176"/>
        <v>0.11899577259475169</v>
      </c>
      <c r="Y569" s="28">
        <f t="shared" ca="1" si="177"/>
        <v>2.5184290496243746E-2</v>
      </c>
      <c r="Z569" s="29">
        <f t="shared" ca="1" si="178"/>
        <v>75.272051000000005</v>
      </c>
      <c r="AA569" s="16">
        <f t="shared" ca="1" si="179"/>
        <v>1.8617327249022139E-2</v>
      </c>
      <c r="AB569" s="2"/>
    </row>
    <row r="570" spans="6:28" x14ac:dyDescent="0.25">
      <c r="F570" s="13">
        <v>568</v>
      </c>
      <c r="G570" s="13">
        <f t="shared" si="160"/>
        <v>76.800000000000011</v>
      </c>
      <c r="H570" s="13">
        <f t="shared" si="161"/>
        <v>349.95</v>
      </c>
      <c r="I570" s="14">
        <f t="shared" si="162"/>
        <v>4.733333</v>
      </c>
      <c r="J570" s="14">
        <f t="shared" si="163"/>
        <v>1395.147866</v>
      </c>
      <c r="K570" s="14">
        <f t="shared" si="164"/>
        <v>0.41514786600000009</v>
      </c>
      <c r="L570" s="14">
        <f t="shared" si="165"/>
        <v>928.49621999999999</v>
      </c>
      <c r="M570" s="14">
        <v>918.23735999999997</v>
      </c>
      <c r="N570" s="13">
        <f t="shared" si="166"/>
        <v>0.92849621999999998</v>
      </c>
      <c r="O570" s="13">
        <f t="shared" si="167"/>
        <v>0.93127999999999966</v>
      </c>
      <c r="P570" s="13">
        <f t="shared" si="168"/>
        <v>2.7837799999996804E-3</v>
      </c>
      <c r="Q570" s="16">
        <f t="shared" si="169"/>
        <v>2.9891976634306345E-3</v>
      </c>
      <c r="R570" s="14">
        <f t="shared" ca="1" si="170"/>
        <v>3.3871471370262389</v>
      </c>
      <c r="S570" s="14">
        <f t="shared" si="171"/>
        <v>3.4347208602150525</v>
      </c>
      <c r="T570" s="14">
        <f t="shared" ca="1" si="172"/>
        <v>4.7573723188813588E-2</v>
      </c>
      <c r="U570" s="16">
        <f t="shared" ca="1" si="173"/>
        <v>1.385082663917991E-2</v>
      </c>
      <c r="V570" s="14">
        <f t="shared" si="174"/>
        <v>4.7333333333333343</v>
      </c>
      <c r="W570" s="14">
        <f t="shared" ca="1" si="175"/>
        <v>4.6128528629737611</v>
      </c>
      <c r="X570" s="14">
        <f t="shared" ca="1" si="176"/>
        <v>0.12048047035957321</v>
      </c>
      <c r="Y570" s="28">
        <f t="shared" ca="1" si="177"/>
        <v>2.5453620498501379E-2</v>
      </c>
      <c r="Z570" s="29">
        <f t="shared" ca="1" si="178"/>
        <v>75.354234000000005</v>
      </c>
      <c r="AA570" s="16">
        <f t="shared" ca="1" si="179"/>
        <v>1.8825078125000078E-2</v>
      </c>
      <c r="AB570" s="2"/>
    </row>
    <row r="571" spans="6:28" x14ac:dyDescent="0.25">
      <c r="F571" s="13">
        <v>569</v>
      </c>
      <c r="G571" s="13">
        <f t="shared" si="160"/>
        <v>76.900000000000006</v>
      </c>
      <c r="H571" s="13">
        <f t="shared" si="161"/>
        <v>350.04999999999995</v>
      </c>
      <c r="I571" s="14">
        <f t="shared" si="162"/>
        <v>4.7416669999999996</v>
      </c>
      <c r="J571" s="14">
        <f t="shared" si="163"/>
        <v>1390.55268</v>
      </c>
      <c r="K571" s="14">
        <f t="shared" si="164"/>
        <v>0.41055268000000011</v>
      </c>
      <c r="L571" s="14">
        <f t="shared" si="165"/>
        <v>926.51585599999999</v>
      </c>
      <c r="M571" s="14">
        <v>916.13886000000002</v>
      </c>
      <c r="N571" s="13">
        <f t="shared" si="166"/>
        <v>0.92651585599999997</v>
      </c>
      <c r="O571" s="13">
        <f t="shared" si="167"/>
        <v>0.92898999999999976</v>
      </c>
      <c r="P571" s="13">
        <f t="shared" si="168"/>
        <v>2.4741439999997894E-3</v>
      </c>
      <c r="Q571" s="16">
        <f t="shared" si="169"/>
        <v>2.663262252553623E-3</v>
      </c>
      <c r="R571" s="14">
        <f t="shared" ca="1" si="170"/>
        <v>3.3795269999999999</v>
      </c>
      <c r="S571" s="14">
        <f t="shared" si="171"/>
        <v>3.4262749462365583</v>
      </c>
      <c r="T571" s="14">
        <f t="shared" ca="1" si="172"/>
        <v>4.6747946236558313E-2</v>
      </c>
      <c r="U571" s="16">
        <f t="shared" ca="1" si="173"/>
        <v>1.364395647462751E-2</v>
      </c>
      <c r="V571" s="14">
        <f t="shared" si="174"/>
        <v>4.7416666666666671</v>
      </c>
      <c r="W571" s="14">
        <f t="shared" ca="1" si="175"/>
        <v>4.6204730000000005</v>
      </c>
      <c r="X571" s="14">
        <f t="shared" ca="1" si="176"/>
        <v>0.12119366666666664</v>
      </c>
      <c r="Y571" s="28">
        <f t="shared" ca="1" si="177"/>
        <v>2.5559297012302279E-2</v>
      </c>
      <c r="Z571" s="29">
        <f t="shared" ca="1" si="178"/>
        <v>75.445676000000006</v>
      </c>
      <c r="AA571" s="16">
        <f t="shared" ca="1" si="179"/>
        <v>1.8911885565669695E-2</v>
      </c>
      <c r="AB571" s="2"/>
    </row>
    <row r="572" spans="6:28" x14ac:dyDescent="0.25">
      <c r="F572" s="13">
        <v>570</v>
      </c>
      <c r="G572" s="13">
        <f t="shared" si="160"/>
        <v>77</v>
      </c>
      <c r="H572" s="13">
        <f t="shared" si="161"/>
        <v>350.15</v>
      </c>
      <c r="I572" s="14">
        <f t="shared" si="162"/>
        <v>4.75</v>
      </c>
      <c r="J572" s="14">
        <f t="shared" si="163"/>
        <v>1385.97497</v>
      </c>
      <c r="K572" s="14">
        <f t="shared" si="164"/>
        <v>0.40597496999999994</v>
      </c>
      <c r="L572" s="14">
        <f t="shared" si="165"/>
        <v>924.53861700000004</v>
      </c>
      <c r="M572" s="14">
        <v>914.25242000000003</v>
      </c>
      <c r="N572" s="13">
        <f t="shared" si="166"/>
        <v>0.92453861700000017</v>
      </c>
      <c r="O572" s="13">
        <f t="shared" si="167"/>
        <v>0.92669999999999986</v>
      </c>
      <c r="P572" s="13">
        <f t="shared" si="168"/>
        <v>2.1613829999996836E-3</v>
      </c>
      <c r="Q572" s="16">
        <f t="shared" si="169"/>
        <v>2.3323438005823718E-3</v>
      </c>
      <c r="R572" s="14">
        <f t="shared" ca="1" si="170"/>
        <v>3.3723042274052477</v>
      </c>
      <c r="S572" s="14">
        <f t="shared" si="171"/>
        <v>3.417829032258064</v>
      </c>
      <c r="T572" s="14">
        <f t="shared" ca="1" si="172"/>
        <v>4.5524804852816292E-2</v>
      </c>
      <c r="U572" s="16">
        <f t="shared" ca="1" si="173"/>
        <v>1.3319801670342571E-2</v>
      </c>
      <c r="V572" s="14">
        <f t="shared" si="174"/>
        <v>4.75</v>
      </c>
      <c r="W572" s="14">
        <f t="shared" ca="1" si="175"/>
        <v>4.6276957725947518</v>
      </c>
      <c r="X572" s="14">
        <f t="shared" ca="1" si="176"/>
        <v>0.12230422740524816</v>
      </c>
      <c r="Y572" s="28">
        <f t="shared" ca="1" si="177"/>
        <v>2.5748258401104875E-2</v>
      </c>
      <c r="Z572" s="29">
        <f t="shared" ca="1" si="178"/>
        <v>75.532348999999996</v>
      </c>
      <c r="AA572" s="16">
        <f t="shared" ca="1" si="179"/>
        <v>1.9060402597402645E-2</v>
      </c>
      <c r="AB572" s="2"/>
    </row>
    <row r="573" spans="6:28" x14ac:dyDescent="0.25">
      <c r="F573" s="13">
        <v>571</v>
      </c>
      <c r="G573" s="13">
        <f t="shared" si="160"/>
        <v>77.099999999999994</v>
      </c>
      <c r="H573" s="13">
        <f t="shared" si="161"/>
        <v>350.25</v>
      </c>
      <c r="I573" s="14">
        <f t="shared" si="162"/>
        <v>4.7583330000000004</v>
      </c>
      <c r="J573" s="14">
        <f t="shared" si="163"/>
        <v>1381.414659</v>
      </c>
      <c r="K573" s="14">
        <f t="shared" si="164"/>
        <v>0.40141465900000006</v>
      </c>
      <c r="L573" s="14">
        <f t="shared" si="165"/>
        <v>922.56450400000006</v>
      </c>
      <c r="M573" s="14">
        <v>912.36276999999995</v>
      </c>
      <c r="N573" s="13">
        <f t="shared" si="166"/>
        <v>0.92256450400000012</v>
      </c>
      <c r="O573" s="13">
        <f t="shared" si="167"/>
        <v>0.92440999999999995</v>
      </c>
      <c r="P573" s="13">
        <f t="shared" si="168"/>
        <v>1.8454959999998355E-3</v>
      </c>
      <c r="Q573" s="16">
        <f t="shared" si="169"/>
        <v>1.9964041929445113E-3</v>
      </c>
      <c r="R573" s="14">
        <f t="shared" ca="1" si="170"/>
        <v>3.3647286355685133</v>
      </c>
      <c r="S573" s="14">
        <f t="shared" si="171"/>
        <v>3.4093831182795697</v>
      </c>
      <c r="T573" s="14">
        <f t="shared" ca="1" si="172"/>
        <v>4.4654482711056431E-2</v>
      </c>
      <c r="U573" s="16">
        <f t="shared" ca="1" si="173"/>
        <v>1.3097525611492383E-2</v>
      </c>
      <c r="V573" s="14">
        <f t="shared" si="174"/>
        <v>4.7583333333333329</v>
      </c>
      <c r="W573" s="14">
        <f t="shared" ca="1" si="175"/>
        <v>4.6352713644314871</v>
      </c>
      <c r="X573" s="14">
        <f t="shared" ca="1" si="176"/>
        <v>0.12306196890184573</v>
      </c>
      <c r="Y573" s="28">
        <f t="shared" ca="1" si="177"/>
        <v>2.5862410277095429E-2</v>
      </c>
      <c r="Z573" s="29">
        <f t="shared" ca="1" si="178"/>
        <v>75.623255999999998</v>
      </c>
      <c r="AA573" s="16">
        <f t="shared" ca="1" si="179"/>
        <v>1.9153618677042756E-2</v>
      </c>
      <c r="AB573" s="2"/>
    </row>
    <row r="574" spans="6:28" x14ac:dyDescent="0.25">
      <c r="F574" s="13">
        <v>572</v>
      </c>
      <c r="G574" s="13">
        <f t="shared" si="160"/>
        <v>77.2</v>
      </c>
      <c r="H574" s="13">
        <f t="shared" si="161"/>
        <v>350.34999999999997</v>
      </c>
      <c r="I574" s="14">
        <f t="shared" si="162"/>
        <v>4.766667</v>
      </c>
      <c r="J574" s="14">
        <f t="shared" si="163"/>
        <v>1376.8716750000001</v>
      </c>
      <c r="K574" s="14">
        <f t="shared" si="164"/>
        <v>0.39687167500000009</v>
      </c>
      <c r="L574" s="14">
        <f t="shared" si="165"/>
        <v>920.59352200000001</v>
      </c>
      <c r="M574" s="14">
        <v>910.25636999999995</v>
      </c>
      <c r="N574" s="13">
        <f t="shared" si="166"/>
        <v>0.920593522</v>
      </c>
      <c r="O574" s="13">
        <f t="shared" si="167"/>
        <v>0.92211999999999983</v>
      </c>
      <c r="P574" s="13">
        <f t="shared" si="168"/>
        <v>1.5264779999998312E-3</v>
      </c>
      <c r="Q574" s="16">
        <f t="shared" si="169"/>
        <v>1.6554005986203872E-3</v>
      </c>
      <c r="R574" s="14">
        <f t="shared" ca="1" si="170"/>
        <v>3.3575288629737607</v>
      </c>
      <c r="S574" s="14">
        <f t="shared" si="171"/>
        <v>3.4009372043010746</v>
      </c>
      <c r="T574" s="14">
        <f t="shared" ca="1" si="172"/>
        <v>4.340834132731386E-2</v>
      </c>
      <c r="U574" s="16">
        <f t="shared" ca="1" si="173"/>
        <v>1.2763640937685203E-2</v>
      </c>
      <c r="V574" s="14">
        <f t="shared" si="174"/>
        <v>4.7666666666666666</v>
      </c>
      <c r="W574" s="14">
        <f t="shared" ca="1" si="175"/>
        <v>4.6424711370262397</v>
      </c>
      <c r="X574" s="14">
        <f t="shared" ca="1" si="176"/>
        <v>0.1241955296404269</v>
      </c>
      <c r="Y574" s="28">
        <f t="shared" ca="1" si="177"/>
        <v>2.6055006218271379E-2</v>
      </c>
      <c r="Z574" s="29">
        <f t="shared" ca="1" si="178"/>
        <v>75.709654</v>
      </c>
      <c r="AA574" s="16">
        <f t="shared" ca="1" si="179"/>
        <v>1.930500000000003E-2</v>
      </c>
      <c r="AB574" s="2"/>
    </row>
    <row r="575" spans="6:28" x14ac:dyDescent="0.25">
      <c r="F575" s="13">
        <v>573</v>
      </c>
      <c r="G575" s="13">
        <f t="shared" si="160"/>
        <v>77.300000000000011</v>
      </c>
      <c r="H575" s="13">
        <f t="shared" si="161"/>
        <v>350.45</v>
      </c>
      <c r="I575" s="14">
        <f t="shared" si="162"/>
        <v>4.7750000000000004</v>
      </c>
      <c r="J575" s="14">
        <f t="shared" si="163"/>
        <v>1372.3459419999999</v>
      </c>
      <c r="K575" s="14">
        <f t="shared" si="164"/>
        <v>0.39234594199999995</v>
      </c>
      <c r="L575" s="14">
        <f t="shared" si="165"/>
        <v>918.62567300000001</v>
      </c>
      <c r="M575" s="14">
        <v>908.25426000000004</v>
      </c>
      <c r="N575" s="13">
        <f t="shared" si="166"/>
        <v>0.91862567299999998</v>
      </c>
      <c r="O575" s="13">
        <f t="shared" si="167"/>
        <v>0.9198299999999997</v>
      </c>
      <c r="P575" s="13">
        <f t="shared" si="168"/>
        <v>1.2043269999997275E-3</v>
      </c>
      <c r="Q575" s="16">
        <f t="shared" si="169"/>
        <v>1.3092930215362925E-3</v>
      </c>
      <c r="R575" s="14">
        <f t="shared" ca="1" si="170"/>
        <v>3.3511431370262392</v>
      </c>
      <c r="S575" s="14">
        <f t="shared" si="171"/>
        <v>3.3924912903225795</v>
      </c>
      <c r="T575" s="14">
        <f t="shared" ca="1" si="172"/>
        <v>4.1348153296340229E-2</v>
      </c>
      <c r="U575" s="16">
        <f t="shared" ca="1" si="173"/>
        <v>1.2188138379099151E-2</v>
      </c>
      <c r="V575" s="14">
        <f t="shared" si="174"/>
        <v>4.7750000000000004</v>
      </c>
      <c r="W575" s="14">
        <f t="shared" ca="1" si="175"/>
        <v>4.6488568629737603</v>
      </c>
      <c r="X575" s="14">
        <f t="shared" ca="1" si="176"/>
        <v>0.12614313702624003</v>
      </c>
      <c r="Y575" s="28">
        <f t="shared" ca="1" si="177"/>
        <v>2.6417410895547649E-2</v>
      </c>
      <c r="Z575" s="29">
        <f t="shared" ca="1" si="178"/>
        <v>75.786282</v>
      </c>
      <c r="AA575" s="16">
        <f t="shared" ca="1" si="179"/>
        <v>1.9582380336352023E-2</v>
      </c>
      <c r="AB575" s="2"/>
    </row>
    <row r="576" spans="6:28" x14ac:dyDescent="0.25">
      <c r="F576" s="13">
        <v>574</v>
      </c>
      <c r="G576" s="13">
        <f t="shared" si="160"/>
        <v>77.400000000000006</v>
      </c>
      <c r="H576" s="13">
        <f t="shared" si="161"/>
        <v>350.54999999999995</v>
      </c>
      <c r="I576" s="14">
        <f t="shared" si="162"/>
        <v>4.7833329999999998</v>
      </c>
      <c r="J576" s="14">
        <f t="shared" si="163"/>
        <v>1367.837387</v>
      </c>
      <c r="K576" s="14">
        <f t="shared" si="164"/>
        <v>0.38783738700000003</v>
      </c>
      <c r="L576" s="14">
        <f t="shared" si="165"/>
        <v>916.66096000000005</v>
      </c>
      <c r="M576" s="14">
        <v>906.24941000000001</v>
      </c>
      <c r="N576" s="13">
        <f t="shared" si="166"/>
        <v>0.91666095999999997</v>
      </c>
      <c r="O576" s="13">
        <f t="shared" si="167"/>
        <v>0.9175399999999998</v>
      </c>
      <c r="P576" s="13">
        <f t="shared" si="168"/>
        <v>8.7903999999983107E-4</v>
      </c>
      <c r="Q576" s="16">
        <f t="shared" si="169"/>
        <v>9.5803997645860803E-4</v>
      </c>
      <c r="R576" s="14">
        <f t="shared" ca="1" si="170"/>
        <v>3.3439663644314868</v>
      </c>
      <c r="S576" s="14">
        <f t="shared" si="171"/>
        <v>3.3840453763440852</v>
      </c>
      <c r="T576" s="14">
        <f t="shared" ca="1" si="172"/>
        <v>4.0079011912598439E-2</v>
      </c>
      <c r="U576" s="16">
        <f t="shared" ca="1" si="173"/>
        <v>1.1843520832423749E-2</v>
      </c>
      <c r="V576" s="14">
        <f t="shared" si="174"/>
        <v>4.7833333333333332</v>
      </c>
      <c r="W576" s="14">
        <f t="shared" ca="1" si="175"/>
        <v>4.6560336355685132</v>
      </c>
      <c r="X576" s="14">
        <f t="shared" ca="1" si="176"/>
        <v>0.12729969776481997</v>
      </c>
      <c r="Y576" s="28">
        <f t="shared" ca="1" si="177"/>
        <v>2.6613177233063411E-2</v>
      </c>
      <c r="Z576" s="29">
        <f t="shared" ca="1" si="178"/>
        <v>75.872404000000003</v>
      </c>
      <c r="AA576" s="16">
        <f t="shared" ca="1" si="179"/>
        <v>1.9736382428940602E-2</v>
      </c>
      <c r="AB576" s="2"/>
    </row>
    <row r="577" spans="6:28" x14ac:dyDescent="0.25">
      <c r="F577" s="13">
        <v>575</v>
      </c>
      <c r="G577" s="13">
        <f t="shared" si="160"/>
        <v>77.5</v>
      </c>
      <c r="H577" s="13">
        <f t="shared" si="161"/>
        <v>350.65</v>
      </c>
      <c r="I577" s="14">
        <f t="shared" si="162"/>
        <v>4.7916670000000003</v>
      </c>
      <c r="J577" s="14">
        <f t="shared" si="163"/>
        <v>1363.3459379999999</v>
      </c>
      <c r="K577" s="14">
        <f t="shared" si="164"/>
        <v>0.38334593799999994</v>
      </c>
      <c r="L577" s="14">
        <f t="shared" si="165"/>
        <v>914.699389</v>
      </c>
      <c r="M577" s="14">
        <v>904.24194</v>
      </c>
      <c r="N577" s="13">
        <f t="shared" si="166"/>
        <v>0.91469938900000003</v>
      </c>
      <c r="O577" s="13">
        <f t="shared" si="167"/>
        <v>0.9152499999999999</v>
      </c>
      <c r="P577" s="13">
        <f t="shared" si="168"/>
        <v>5.5061099999986762E-4</v>
      </c>
      <c r="Q577" s="16">
        <f t="shared" si="169"/>
        <v>6.0159628516784228E-4</v>
      </c>
      <c r="R577" s="14">
        <f t="shared" ca="1" si="170"/>
        <v>3.3372075014577258</v>
      </c>
      <c r="S577" s="14">
        <f t="shared" si="171"/>
        <v>3.3755994623655909</v>
      </c>
      <c r="T577" s="14">
        <f t="shared" ca="1" si="172"/>
        <v>3.8391960907865119E-2</v>
      </c>
      <c r="U577" s="16">
        <f t="shared" ca="1" si="173"/>
        <v>1.1373375702862674E-2</v>
      </c>
      <c r="V577" s="14">
        <f t="shared" si="174"/>
        <v>4.7916666666666661</v>
      </c>
      <c r="W577" s="14">
        <f t="shared" ca="1" si="175"/>
        <v>4.6627924985422737</v>
      </c>
      <c r="X577" s="14">
        <f t="shared" ca="1" si="176"/>
        <v>0.12887416812439234</v>
      </c>
      <c r="Y577" s="28">
        <f t="shared" ca="1" si="177"/>
        <v>2.6895478565090579E-2</v>
      </c>
      <c r="Z577" s="29">
        <f t="shared" ca="1" si="178"/>
        <v>75.953509999999994</v>
      </c>
      <c r="AA577" s="16">
        <f t="shared" ca="1" si="179"/>
        <v>1.9954709677419427E-2</v>
      </c>
      <c r="AB577" s="2"/>
    </row>
    <row r="578" spans="6:28" x14ac:dyDescent="0.25">
      <c r="F578" s="13">
        <v>576</v>
      </c>
      <c r="G578" s="13">
        <f t="shared" si="160"/>
        <v>77.599999999999994</v>
      </c>
      <c r="H578" s="13">
        <f t="shared" si="161"/>
        <v>350.75</v>
      </c>
      <c r="I578" s="14">
        <f t="shared" si="162"/>
        <v>4.8</v>
      </c>
      <c r="J578" s="14">
        <f t="shared" si="163"/>
        <v>1358.871521</v>
      </c>
      <c r="K578" s="14">
        <f t="shared" si="164"/>
        <v>0.37887152099999999</v>
      </c>
      <c r="L578" s="14">
        <f t="shared" si="165"/>
        <v>912.74095999999997</v>
      </c>
      <c r="M578" s="14">
        <v>902.44344000000001</v>
      </c>
      <c r="N578" s="13">
        <f t="shared" si="166"/>
        <v>0.91274095999999993</v>
      </c>
      <c r="O578" s="13">
        <f t="shared" si="167"/>
        <v>0.91295999999999999</v>
      </c>
      <c r="P578" s="13">
        <f t="shared" si="168"/>
        <v>2.1904000000005919E-4</v>
      </c>
      <c r="Q578" s="16">
        <f t="shared" si="169"/>
        <v>2.3992288818793726E-4</v>
      </c>
      <c r="R578" s="14">
        <f t="shared" ca="1" si="170"/>
        <v>3.328885862973761</v>
      </c>
      <c r="S578" s="14">
        <f t="shared" si="171"/>
        <v>3.3671535483870967</v>
      </c>
      <c r="T578" s="14">
        <f t="shared" ca="1" si="172"/>
        <v>3.8267685413335695E-2</v>
      </c>
      <c r="U578" s="16">
        <f t="shared" ca="1" si="173"/>
        <v>1.1364995644961405E-2</v>
      </c>
      <c r="V578" s="14">
        <f t="shared" si="174"/>
        <v>4.7999999999999989</v>
      </c>
      <c r="W578" s="14">
        <f t="shared" ca="1" si="175"/>
        <v>4.6711141370262386</v>
      </c>
      <c r="X578" s="14">
        <f t="shared" ca="1" si="176"/>
        <v>0.12888586297376037</v>
      </c>
      <c r="Y578" s="28">
        <f t="shared" ca="1" si="177"/>
        <v>2.6851221452866749E-2</v>
      </c>
      <c r="Z578" s="29">
        <f t="shared" ca="1" si="178"/>
        <v>76.053370000000001</v>
      </c>
      <c r="AA578" s="16">
        <f t="shared" ca="1" si="179"/>
        <v>1.9930798969072079E-2</v>
      </c>
      <c r="AB578" s="2"/>
    </row>
    <row r="579" spans="6:28" x14ac:dyDescent="0.25">
      <c r="F579" s="13">
        <v>577</v>
      </c>
      <c r="G579" s="13">
        <f t="shared" ref="G579:G602" si="180">F579*0.1+20</f>
        <v>77.7</v>
      </c>
      <c r="H579" s="13">
        <f t="shared" ref="H579:H602" si="181">G579+273.15</f>
        <v>350.84999999999997</v>
      </c>
      <c r="I579" s="14">
        <f t="shared" ref="I579:I602" si="182">ROUND(1/12*G579-5/3,6)</f>
        <v>4.8083330000000002</v>
      </c>
      <c r="J579" s="14">
        <f t="shared" ref="J579:J602" si="183">ROUND(10000*EXP(($B$3)+($B$4/H579)+($B$5/(H579^2))+($B$6/(H579^3))),6)</f>
        <v>1354.4140629999999</v>
      </c>
      <c r="K579" s="14">
        <f t="shared" ref="K579:K602" si="184">$B$9*(2*$B$8+J579)-$B$9*$B$10</f>
        <v>0.37441406299999991</v>
      </c>
      <c r="L579" s="14">
        <f t="shared" ref="L579:L602" si="185">ROUND(1/(1/(J579+2*$B$8)+1/($B$7)),6)</f>
        <v>910.78567699999996</v>
      </c>
      <c r="M579" s="14">
        <v>900.21909000000005</v>
      </c>
      <c r="N579" s="13">
        <f t="shared" ref="N579:N602" si="186">$B$9*(L579+$B$10)*(L579/(L579+$B$10))</f>
        <v>0.9107856769999999</v>
      </c>
      <c r="O579" s="13">
        <f t="shared" ref="O579:O602" si="187">$B$11*G579+$B$12</f>
        <v>0.91066999999999987</v>
      </c>
      <c r="P579" s="13">
        <f t="shared" ref="P579:P602" si="188">ABS(N579-O579)</f>
        <v>1.1567700000003622E-4</v>
      </c>
      <c r="Q579" s="16">
        <f t="shared" ref="Q579:Q602" si="189">ABS(O579-N579)/O579</f>
        <v>1.2702405920919351E-4</v>
      </c>
      <c r="R579" s="14">
        <f t="shared" ref="R579:R602" ca="1" si="190">ROUND(N579*$B$29,6)+RANDBETWEEN(-1,1)*$B$24+RANDBETWEEN(-1,1)*$B$25</f>
        <v>3.3217646355685133</v>
      </c>
      <c r="S579" s="14">
        <f t="shared" ref="S579:S602" si="191">O579*$B$23</f>
        <v>3.3587076344086015</v>
      </c>
      <c r="T579" s="14">
        <f t="shared" ref="T579:T602" ca="1" si="192">ABS(R579-S579)</f>
        <v>3.6942998840088226E-2</v>
      </c>
      <c r="U579" s="16">
        <f t="shared" ref="U579:U602" ca="1" si="193">ABS(S579-R579)/S579</f>
        <v>1.099917077081141E-2</v>
      </c>
      <c r="V579" s="14">
        <f t="shared" ref="V579:V602" si="194">$B$44*S579+$B$45</f>
        <v>4.8083333333333336</v>
      </c>
      <c r="W579" s="14">
        <f t="shared" ref="W579:W602" ca="1" si="195">$B$46*R579+$B$47</f>
        <v>4.6782353644314867</v>
      </c>
      <c r="X579" s="14">
        <f t="shared" ref="X579:X602" ca="1" si="196">ABS(V579-W579)</f>
        <v>0.13009796890184688</v>
      </c>
      <c r="Y579" s="28">
        <f t="shared" ref="Y579:Y602" ca="1" si="197">IF(V579 = 0, ABS(V579-W579)/(V579+0.0001), ABS(V579-W579)/V579)</f>
        <v>2.7056769962255849E-2</v>
      </c>
      <c r="Z579" s="29">
        <f t="shared" ref="Z579:Z602" ca="1" si="198">ROUND((W579+5/3)/(1/12),6)</f>
        <v>76.138824</v>
      </c>
      <c r="AA579" s="16">
        <f t="shared" ref="AA579:AA602" ca="1" si="199">ABS(G579-Z579)/G579</f>
        <v>2.0092355212355254E-2</v>
      </c>
      <c r="AB579" s="2"/>
    </row>
    <row r="580" spans="6:28" x14ac:dyDescent="0.25">
      <c r="F580" s="13">
        <v>578</v>
      </c>
      <c r="G580" s="13">
        <f t="shared" si="180"/>
        <v>77.800000000000011</v>
      </c>
      <c r="H580" s="13">
        <f t="shared" si="181"/>
        <v>350.95</v>
      </c>
      <c r="I580" s="14">
        <f t="shared" si="182"/>
        <v>4.8166669999999998</v>
      </c>
      <c r="J580" s="14">
        <f t="shared" si="183"/>
        <v>1349.9734920000001</v>
      </c>
      <c r="K580" s="14">
        <f t="shared" si="184"/>
        <v>0.36997349200000018</v>
      </c>
      <c r="L580" s="14">
        <f t="shared" si="185"/>
        <v>908.83354299999996</v>
      </c>
      <c r="M580" s="14">
        <v>898.30911000000003</v>
      </c>
      <c r="N580" s="13">
        <f t="shared" si="186"/>
        <v>0.90883354300000008</v>
      </c>
      <c r="O580" s="13">
        <f t="shared" si="187"/>
        <v>0.90837999999999974</v>
      </c>
      <c r="P580" s="13">
        <f t="shared" si="188"/>
        <v>4.5354300000033376E-4</v>
      </c>
      <c r="Q580" s="16">
        <f t="shared" si="189"/>
        <v>4.9928774301540534E-4</v>
      </c>
      <c r="R580" s="14">
        <f t="shared" ca="1" si="190"/>
        <v>3.3154261370262392</v>
      </c>
      <c r="S580" s="14">
        <f t="shared" si="191"/>
        <v>3.3502617204301064</v>
      </c>
      <c r="T580" s="14">
        <f t="shared" ca="1" si="192"/>
        <v>3.4835583403867165E-2</v>
      </c>
      <c r="U580" s="16">
        <f t="shared" ca="1" si="193"/>
        <v>1.0397869274342834E-2</v>
      </c>
      <c r="V580" s="14">
        <f t="shared" si="194"/>
        <v>4.8166666666666664</v>
      </c>
      <c r="W580" s="14">
        <f t="shared" ca="1" si="195"/>
        <v>4.6845738629737603</v>
      </c>
      <c r="X580" s="14">
        <f t="shared" ca="1" si="196"/>
        <v>0.1320928036929061</v>
      </c>
      <c r="Y580" s="28">
        <f t="shared" ca="1" si="197"/>
        <v>2.7424111493336907E-2</v>
      </c>
      <c r="Z580" s="29">
        <f t="shared" ca="1" si="198"/>
        <v>76.214886000000007</v>
      </c>
      <c r="AA580" s="16">
        <f t="shared" ca="1" si="199"/>
        <v>2.0374215938303394E-2</v>
      </c>
      <c r="AB580" s="2"/>
    </row>
    <row r="581" spans="6:28" x14ac:dyDescent="0.25">
      <c r="F581" s="13">
        <v>579</v>
      </c>
      <c r="G581" s="13">
        <f t="shared" si="180"/>
        <v>77.900000000000006</v>
      </c>
      <c r="H581" s="13">
        <f t="shared" si="181"/>
        <v>351.04999999999995</v>
      </c>
      <c r="I581" s="14">
        <f t="shared" si="182"/>
        <v>4.8250000000000002</v>
      </c>
      <c r="J581" s="14">
        <f t="shared" si="183"/>
        <v>1345.5497359999999</v>
      </c>
      <c r="K581" s="14">
        <f t="shared" si="184"/>
        <v>0.36554973599999996</v>
      </c>
      <c r="L581" s="14">
        <f t="shared" si="185"/>
        <v>906.88456099999996</v>
      </c>
      <c r="M581" s="14">
        <v>896.39612999999997</v>
      </c>
      <c r="N581" s="13">
        <f t="shared" si="186"/>
        <v>0.90688456099999992</v>
      </c>
      <c r="O581" s="13">
        <f t="shared" si="187"/>
        <v>0.90608999999999984</v>
      </c>
      <c r="P581" s="13">
        <f t="shared" si="188"/>
        <v>7.9456100000008245E-4</v>
      </c>
      <c r="Q581" s="16">
        <f t="shared" si="189"/>
        <v>8.7691178580503331E-4</v>
      </c>
      <c r="R581" s="14">
        <f t="shared" ca="1" si="190"/>
        <v>3.3083063644314867</v>
      </c>
      <c r="S581" s="14">
        <f t="shared" si="191"/>
        <v>3.3418158064516121</v>
      </c>
      <c r="T581" s="14">
        <f t="shared" ca="1" si="192"/>
        <v>3.3509442020125402E-2</v>
      </c>
      <c r="U581" s="16">
        <f t="shared" ca="1" si="193"/>
        <v>1.0027315675338254E-2</v>
      </c>
      <c r="V581" s="14">
        <f t="shared" si="194"/>
        <v>4.8250000000000002</v>
      </c>
      <c r="W581" s="14">
        <f t="shared" ca="1" si="195"/>
        <v>4.6916936355685133</v>
      </c>
      <c r="X581" s="14">
        <f t="shared" ca="1" si="196"/>
        <v>0.13330636443148691</v>
      </c>
      <c r="Y581" s="28">
        <f t="shared" ca="1" si="197"/>
        <v>2.7628262058339254E-2</v>
      </c>
      <c r="Z581" s="29">
        <f t="shared" ca="1" si="198"/>
        <v>76.300324000000003</v>
      </c>
      <c r="AA581" s="16">
        <f t="shared" ca="1" si="199"/>
        <v>2.0534993581514789E-2</v>
      </c>
      <c r="AB581" s="2"/>
    </row>
    <row r="582" spans="6:28" x14ac:dyDescent="0.25">
      <c r="F582" s="13">
        <v>580</v>
      </c>
      <c r="G582" s="13">
        <f t="shared" si="180"/>
        <v>78</v>
      </c>
      <c r="H582" s="13">
        <f t="shared" si="181"/>
        <v>351.15</v>
      </c>
      <c r="I582" s="14">
        <f t="shared" si="182"/>
        <v>4.8333329999999997</v>
      </c>
      <c r="J582" s="14">
        <f t="shared" si="183"/>
        <v>1341.142724</v>
      </c>
      <c r="K582" s="14">
        <f t="shared" si="184"/>
        <v>0.36114272400000003</v>
      </c>
      <c r="L582" s="14">
        <f t="shared" si="185"/>
        <v>904.93873399999995</v>
      </c>
      <c r="M582" s="14">
        <v>894.27039000000002</v>
      </c>
      <c r="N582" s="13">
        <f t="shared" si="186"/>
        <v>0.90493873400000002</v>
      </c>
      <c r="O582" s="13">
        <f t="shared" si="187"/>
        <v>0.90379999999999994</v>
      </c>
      <c r="P582" s="13">
        <f t="shared" si="188"/>
        <v>1.1387340000000856E-3</v>
      </c>
      <c r="Q582" s="16">
        <f t="shared" si="189"/>
        <v>1.2599402522682959E-3</v>
      </c>
      <c r="R582" s="14">
        <f t="shared" ca="1" si="190"/>
        <v>3.3008122274052476</v>
      </c>
      <c r="S582" s="14">
        <f t="shared" si="191"/>
        <v>3.3333698924731179</v>
      </c>
      <c r="T582" s="14">
        <f t="shared" ca="1" si="192"/>
        <v>3.2557665067870278E-2</v>
      </c>
      <c r="U582" s="16">
        <f t="shared" ca="1" si="193"/>
        <v>9.7671923963154484E-3</v>
      </c>
      <c r="V582" s="14">
        <f t="shared" si="194"/>
        <v>4.833333333333333</v>
      </c>
      <c r="W582" s="14">
        <f t="shared" ca="1" si="195"/>
        <v>4.6991877725947528</v>
      </c>
      <c r="X582" s="14">
        <f t="shared" ca="1" si="196"/>
        <v>0.13414556073858019</v>
      </c>
      <c r="Y582" s="28">
        <f t="shared" ca="1" si="197"/>
        <v>2.7754253945913146E-2</v>
      </c>
      <c r="Z582" s="29">
        <f t="shared" ca="1" si="198"/>
        <v>76.390253000000001</v>
      </c>
      <c r="AA582" s="16">
        <f t="shared" ca="1" si="199"/>
        <v>2.0637782051282035E-2</v>
      </c>
      <c r="AB582" s="2"/>
    </row>
    <row r="583" spans="6:28" x14ac:dyDescent="0.25">
      <c r="F583" s="13">
        <v>581</v>
      </c>
      <c r="G583" s="13">
        <f t="shared" si="180"/>
        <v>78.099999999999994</v>
      </c>
      <c r="H583" s="13">
        <f t="shared" si="181"/>
        <v>351.25</v>
      </c>
      <c r="I583" s="14">
        <f t="shared" si="182"/>
        <v>4.8416670000000002</v>
      </c>
      <c r="J583" s="14">
        <f t="shared" si="183"/>
        <v>1336.7523839999999</v>
      </c>
      <c r="K583" s="14">
        <f t="shared" si="184"/>
        <v>0.35675238399999998</v>
      </c>
      <c r="L583" s="14">
        <f t="shared" si="185"/>
        <v>902.99606400000005</v>
      </c>
      <c r="M583" s="14">
        <v>892.45658000000003</v>
      </c>
      <c r="N583" s="13">
        <f t="shared" si="186"/>
        <v>0.90299606399999999</v>
      </c>
      <c r="O583" s="13">
        <f t="shared" si="187"/>
        <v>0.90151000000000003</v>
      </c>
      <c r="P583" s="13">
        <f t="shared" si="188"/>
        <v>1.4860639999999536E-3</v>
      </c>
      <c r="Q583" s="16">
        <f t="shared" si="189"/>
        <v>1.6484165455734863E-3</v>
      </c>
      <c r="R583" s="14">
        <f t="shared" ca="1" si="190"/>
        <v>3.294122364431487</v>
      </c>
      <c r="S583" s="14">
        <f t="shared" si="191"/>
        <v>3.3249239784946236</v>
      </c>
      <c r="T583" s="14">
        <f t="shared" ca="1" si="192"/>
        <v>3.080161406313664E-2</v>
      </c>
      <c r="U583" s="16">
        <f t="shared" ca="1" si="193"/>
        <v>9.2638551324359091E-3</v>
      </c>
      <c r="V583" s="14">
        <f t="shared" si="194"/>
        <v>4.8416666666666659</v>
      </c>
      <c r="W583" s="14">
        <f t="shared" ca="1" si="195"/>
        <v>4.7058776355685126</v>
      </c>
      <c r="X583" s="14">
        <f t="shared" ca="1" si="196"/>
        <v>0.13578903109815332</v>
      </c>
      <c r="Y583" s="28">
        <f t="shared" ca="1" si="197"/>
        <v>2.8045927249188297E-2</v>
      </c>
      <c r="Z583" s="29">
        <f t="shared" ca="1" si="198"/>
        <v>76.470532000000006</v>
      </c>
      <c r="AA583" s="16">
        <f t="shared" ca="1" si="199"/>
        <v>2.0863866837387821E-2</v>
      </c>
      <c r="AB583" s="2"/>
    </row>
    <row r="584" spans="6:28" x14ac:dyDescent="0.25">
      <c r="F584" s="13">
        <v>582</v>
      </c>
      <c r="G584" s="13">
        <f t="shared" si="180"/>
        <v>78.2</v>
      </c>
      <c r="H584" s="13">
        <f t="shared" si="181"/>
        <v>351.34999999999997</v>
      </c>
      <c r="I584" s="14">
        <f t="shared" si="182"/>
        <v>4.8499999999999996</v>
      </c>
      <c r="J584" s="14">
        <f t="shared" si="183"/>
        <v>1332.378645</v>
      </c>
      <c r="K584" s="14">
        <f t="shared" si="184"/>
        <v>0.35237864499999993</v>
      </c>
      <c r="L584" s="14">
        <f t="shared" si="185"/>
        <v>901.056555</v>
      </c>
      <c r="M584" s="14">
        <v>890.63933999999995</v>
      </c>
      <c r="N584" s="13">
        <f t="shared" si="186"/>
        <v>0.90105655500000015</v>
      </c>
      <c r="O584" s="13">
        <f t="shared" si="187"/>
        <v>0.89921999999999991</v>
      </c>
      <c r="P584" s="13">
        <f t="shared" si="188"/>
        <v>1.8365550000002395E-3</v>
      </c>
      <c r="Q584" s="16">
        <f t="shared" si="189"/>
        <v>2.0423867351707478E-3</v>
      </c>
      <c r="R584" s="14">
        <f t="shared" ca="1" si="190"/>
        <v>3.2870483644314867</v>
      </c>
      <c r="S584" s="14">
        <f t="shared" si="191"/>
        <v>3.3164780645161285</v>
      </c>
      <c r="T584" s="14">
        <f t="shared" ca="1" si="192"/>
        <v>2.9429700084641741E-2</v>
      </c>
      <c r="U584" s="16">
        <f t="shared" ca="1" si="193"/>
        <v>8.8737810147209613E-3</v>
      </c>
      <c r="V584" s="14">
        <f t="shared" si="194"/>
        <v>4.8499999999999996</v>
      </c>
      <c r="W584" s="14">
        <f t="shared" ca="1" si="195"/>
        <v>4.7129516355685137</v>
      </c>
      <c r="X584" s="14">
        <f t="shared" ca="1" si="196"/>
        <v>0.13704836443148594</v>
      </c>
      <c r="Y584" s="28">
        <f t="shared" ca="1" si="197"/>
        <v>2.8257394728141431E-2</v>
      </c>
      <c r="Z584" s="29">
        <f t="shared" ca="1" si="198"/>
        <v>76.555419999999998</v>
      </c>
      <c r="AA584" s="16">
        <f t="shared" ca="1" si="199"/>
        <v>2.1030434782608756E-2</v>
      </c>
      <c r="AB584" s="2"/>
    </row>
    <row r="585" spans="6:28" x14ac:dyDescent="0.25">
      <c r="F585" s="13">
        <v>583</v>
      </c>
      <c r="G585" s="13">
        <f t="shared" si="180"/>
        <v>78.300000000000011</v>
      </c>
      <c r="H585" s="13">
        <f t="shared" si="181"/>
        <v>351.45</v>
      </c>
      <c r="I585" s="14">
        <f t="shared" si="182"/>
        <v>4.858333</v>
      </c>
      <c r="J585" s="14">
        <f t="shared" si="183"/>
        <v>1328.021438</v>
      </c>
      <c r="K585" s="14">
        <f t="shared" si="184"/>
        <v>0.34802143799999996</v>
      </c>
      <c r="L585" s="14">
        <f t="shared" si="185"/>
        <v>899.12020900000005</v>
      </c>
      <c r="M585" s="14">
        <v>888.40206000000001</v>
      </c>
      <c r="N585" s="13">
        <f t="shared" si="186"/>
        <v>0.899120209</v>
      </c>
      <c r="O585" s="13">
        <f t="shared" si="187"/>
        <v>0.89692999999999956</v>
      </c>
      <c r="P585" s="13">
        <f t="shared" si="188"/>
        <v>2.1902090000004426E-3</v>
      </c>
      <c r="Q585" s="16">
        <f t="shared" si="189"/>
        <v>2.441895131170151E-3</v>
      </c>
      <c r="R585" s="14">
        <f t="shared" ca="1" si="190"/>
        <v>3.2799853644314867</v>
      </c>
      <c r="S585" s="14">
        <f t="shared" si="191"/>
        <v>3.3080321505376324</v>
      </c>
      <c r="T585" s="14">
        <f t="shared" ca="1" si="192"/>
        <v>2.8046786106145749E-2</v>
      </c>
      <c r="U585" s="16">
        <f t="shared" ca="1" si="193"/>
        <v>8.4783898190310784E-3</v>
      </c>
      <c r="V585" s="14">
        <f t="shared" si="194"/>
        <v>4.8583333333333343</v>
      </c>
      <c r="W585" s="14">
        <f t="shared" ca="1" si="195"/>
        <v>4.7200146355685133</v>
      </c>
      <c r="X585" s="14">
        <f t="shared" ca="1" si="196"/>
        <v>0.13831869776482097</v>
      </c>
      <c r="Y585" s="28">
        <f t="shared" ca="1" si="197"/>
        <v>2.8470400912141532E-2</v>
      </c>
      <c r="Z585" s="29">
        <f t="shared" ca="1" si="198"/>
        <v>76.640175999999997</v>
      </c>
      <c r="AA585" s="16">
        <f t="shared" ca="1" si="199"/>
        <v>2.1198263090677068E-2</v>
      </c>
      <c r="AB585" s="2"/>
    </row>
    <row r="586" spans="6:28" x14ac:dyDescent="0.25">
      <c r="F586" s="13">
        <v>584</v>
      </c>
      <c r="G586" s="13">
        <f t="shared" si="180"/>
        <v>78.400000000000006</v>
      </c>
      <c r="H586" s="13">
        <f t="shared" si="181"/>
        <v>351.54999999999995</v>
      </c>
      <c r="I586" s="14">
        <f t="shared" si="182"/>
        <v>4.8666669999999996</v>
      </c>
      <c r="J586" s="14">
        <f t="shared" si="183"/>
        <v>1323.6806899999999</v>
      </c>
      <c r="K586" s="14">
        <f t="shared" si="184"/>
        <v>0.34368069000000001</v>
      </c>
      <c r="L586" s="14">
        <f t="shared" si="185"/>
        <v>897.18702900000005</v>
      </c>
      <c r="M586" s="14">
        <v>886.57910000000004</v>
      </c>
      <c r="N586" s="13">
        <f t="shared" si="186"/>
        <v>0.89718702900000002</v>
      </c>
      <c r="O586" s="13">
        <f t="shared" si="187"/>
        <v>0.89463999999999988</v>
      </c>
      <c r="P586" s="13">
        <f t="shared" si="188"/>
        <v>2.547029000000145E-3</v>
      </c>
      <c r="Q586" s="16">
        <f t="shared" si="189"/>
        <v>2.8469876151302705E-3</v>
      </c>
      <c r="R586" s="14">
        <f t="shared" ca="1" si="190"/>
        <v>3.2721626355685132</v>
      </c>
      <c r="S586" s="14">
        <f t="shared" si="191"/>
        <v>3.2995862365591391</v>
      </c>
      <c r="T586" s="14">
        <f t="shared" ca="1" si="192"/>
        <v>2.7423600990625907E-2</v>
      </c>
      <c r="U586" s="16">
        <f t="shared" ca="1" si="193"/>
        <v>8.3112242034394206E-3</v>
      </c>
      <c r="V586" s="14">
        <f t="shared" si="194"/>
        <v>4.8666666666666671</v>
      </c>
      <c r="W586" s="14">
        <f t="shared" ca="1" si="195"/>
        <v>4.7278373644314868</v>
      </c>
      <c r="X586" s="14">
        <f t="shared" ca="1" si="196"/>
        <v>0.13882930223518031</v>
      </c>
      <c r="Y586" s="28">
        <f t="shared" ca="1" si="197"/>
        <v>2.8526568952434307E-2</v>
      </c>
      <c r="Z586" s="29">
        <f t="shared" ca="1" si="198"/>
        <v>76.734048000000001</v>
      </c>
      <c r="AA586" s="16">
        <f t="shared" ca="1" si="199"/>
        <v>2.1249387755102093E-2</v>
      </c>
      <c r="AB586" s="2"/>
    </row>
    <row r="587" spans="6:28" x14ac:dyDescent="0.25">
      <c r="F587" s="13">
        <v>585</v>
      </c>
      <c r="G587" s="13">
        <f t="shared" si="180"/>
        <v>78.5</v>
      </c>
      <c r="H587" s="13">
        <f t="shared" si="181"/>
        <v>351.65</v>
      </c>
      <c r="I587" s="14">
        <f t="shared" si="182"/>
        <v>4.875</v>
      </c>
      <c r="J587" s="14">
        <f t="shared" si="183"/>
        <v>1319.3563340000001</v>
      </c>
      <c r="K587" s="14">
        <f t="shared" si="184"/>
        <v>0.33935633400000009</v>
      </c>
      <c r="L587" s="14">
        <f t="shared" si="185"/>
        <v>895.25701700000002</v>
      </c>
      <c r="M587" s="14">
        <v>884.75280999999995</v>
      </c>
      <c r="N587" s="13">
        <f t="shared" si="186"/>
        <v>0.89525701700000015</v>
      </c>
      <c r="O587" s="13">
        <f t="shared" si="187"/>
        <v>0.89234999999999998</v>
      </c>
      <c r="P587" s="13">
        <f t="shared" si="188"/>
        <v>2.9070170000001783E-3</v>
      </c>
      <c r="Q587" s="16">
        <f t="shared" si="189"/>
        <v>3.2577094189501633E-3</v>
      </c>
      <c r="R587" s="14">
        <f t="shared" ca="1" si="190"/>
        <v>3.2651226355685132</v>
      </c>
      <c r="S587" s="14">
        <f t="shared" si="191"/>
        <v>3.2911403225806448</v>
      </c>
      <c r="T587" s="14">
        <f t="shared" ca="1" si="192"/>
        <v>2.6017687012131585E-2</v>
      </c>
      <c r="U587" s="16">
        <f t="shared" ca="1" si="193"/>
        <v>7.9053715314485982E-3</v>
      </c>
      <c r="V587" s="14">
        <f t="shared" si="194"/>
        <v>4.875</v>
      </c>
      <c r="W587" s="14">
        <f t="shared" ca="1" si="195"/>
        <v>4.7348773644314868</v>
      </c>
      <c r="X587" s="14">
        <f t="shared" ca="1" si="196"/>
        <v>0.14012263556851323</v>
      </c>
      <c r="Y587" s="28">
        <f t="shared" ca="1" si="197"/>
        <v>2.8743104732002714E-2</v>
      </c>
      <c r="Z587" s="29">
        <f t="shared" ca="1" si="198"/>
        <v>76.818528000000001</v>
      </c>
      <c r="AA587" s="16">
        <f t="shared" ca="1" si="199"/>
        <v>2.1420025477706998E-2</v>
      </c>
      <c r="AB587" s="2"/>
    </row>
    <row r="588" spans="6:28" x14ac:dyDescent="0.25">
      <c r="F588" s="13">
        <v>586</v>
      </c>
      <c r="G588" s="13">
        <f t="shared" si="180"/>
        <v>78.599999999999994</v>
      </c>
      <c r="H588" s="13">
        <f t="shared" si="181"/>
        <v>351.75</v>
      </c>
      <c r="I588" s="14">
        <f t="shared" si="182"/>
        <v>4.8833330000000004</v>
      </c>
      <c r="J588" s="14">
        <f t="shared" si="183"/>
        <v>1315.0482979999999</v>
      </c>
      <c r="K588" s="14">
        <f t="shared" si="184"/>
        <v>0.33504829800000002</v>
      </c>
      <c r="L588" s="14">
        <f t="shared" si="185"/>
        <v>893.33017600000005</v>
      </c>
      <c r="M588" s="14">
        <v>882.81978000000004</v>
      </c>
      <c r="N588" s="13">
        <f t="shared" si="186"/>
        <v>0.89333017600000009</v>
      </c>
      <c r="O588" s="13">
        <f t="shared" si="187"/>
        <v>0.89006000000000007</v>
      </c>
      <c r="P588" s="13">
        <f t="shared" si="188"/>
        <v>3.2701760000000135E-3</v>
      </c>
      <c r="Q588" s="16">
        <f t="shared" si="189"/>
        <v>3.6741073635485396E-3</v>
      </c>
      <c r="R588" s="14">
        <f t="shared" ca="1" si="190"/>
        <v>3.2588761370262391</v>
      </c>
      <c r="S588" s="14">
        <f t="shared" si="191"/>
        <v>3.2826944086021506</v>
      </c>
      <c r="T588" s="14">
        <f t="shared" ca="1" si="192"/>
        <v>2.3818271575911432E-2</v>
      </c>
      <c r="U588" s="16">
        <f t="shared" ca="1" si="193"/>
        <v>7.2557078458161508E-3</v>
      </c>
      <c r="V588" s="14">
        <f t="shared" si="194"/>
        <v>4.8833333333333329</v>
      </c>
      <c r="W588" s="14">
        <f t="shared" ca="1" si="195"/>
        <v>4.7411238629737609</v>
      </c>
      <c r="X588" s="14">
        <f t="shared" ca="1" si="196"/>
        <v>0.14220947035957199</v>
      </c>
      <c r="Y588" s="28">
        <f t="shared" ca="1" si="197"/>
        <v>2.9121393247693927E-2</v>
      </c>
      <c r="Z588" s="29">
        <f t="shared" ca="1" si="198"/>
        <v>76.893485999999996</v>
      </c>
      <c r="AA588" s="16">
        <f t="shared" ca="1" si="199"/>
        <v>2.171137404580151E-2</v>
      </c>
      <c r="AB588" s="2"/>
    </row>
    <row r="589" spans="6:28" x14ac:dyDescent="0.25">
      <c r="F589" s="13">
        <v>587</v>
      </c>
      <c r="G589" s="13">
        <f t="shared" si="180"/>
        <v>78.7</v>
      </c>
      <c r="H589" s="13">
        <f t="shared" si="181"/>
        <v>351.84999999999997</v>
      </c>
      <c r="I589" s="14">
        <f t="shared" si="182"/>
        <v>4.891667</v>
      </c>
      <c r="J589" s="14">
        <f t="shared" si="183"/>
        <v>1310.756515</v>
      </c>
      <c r="K589" s="14">
        <f t="shared" si="184"/>
        <v>0.33075651500000003</v>
      </c>
      <c r="L589" s="14">
        <f t="shared" si="185"/>
        <v>891.40650800000003</v>
      </c>
      <c r="M589" s="14">
        <v>880.88396</v>
      </c>
      <c r="N589" s="13">
        <f t="shared" si="186"/>
        <v>0.89140650799999999</v>
      </c>
      <c r="O589" s="13">
        <f t="shared" si="187"/>
        <v>0.88776999999999995</v>
      </c>
      <c r="P589" s="13">
        <f t="shared" si="188"/>
        <v>3.6365080000000383E-3</v>
      </c>
      <c r="Q589" s="16">
        <f t="shared" si="189"/>
        <v>4.0962276265249318E-3</v>
      </c>
      <c r="R589" s="14">
        <f t="shared" ca="1" si="190"/>
        <v>3.2518483644314871</v>
      </c>
      <c r="S589" s="14">
        <f t="shared" si="191"/>
        <v>3.2742484946236554</v>
      </c>
      <c r="T589" s="14">
        <f t="shared" ca="1" si="192"/>
        <v>2.2400130192168355E-2</v>
      </c>
      <c r="U589" s="16">
        <f t="shared" ca="1" si="193"/>
        <v>6.8413042653755708E-3</v>
      </c>
      <c r="V589" s="14">
        <f t="shared" si="194"/>
        <v>4.8916666666666666</v>
      </c>
      <c r="W589" s="14">
        <f t="shared" ca="1" si="195"/>
        <v>4.7481516355685134</v>
      </c>
      <c r="X589" s="14">
        <f t="shared" ca="1" si="196"/>
        <v>0.14351503109815322</v>
      </c>
      <c r="Y589" s="28">
        <f t="shared" ca="1" si="197"/>
        <v>2.9338677566913777E-2</v>
      </c>
      <c r="Z589" s="29">
        <f t="shared" ca="1" si="198"/>
        <v>76.977819999999994</v>
      </c>
      <c r="AA589" s="16">
        <f t="shared" ca="1" si="199"/>
        <v>2.1882846251588421E-2</v>
      </c>
      <c r="AB589" s="2"/>
    </row>
    <row r="590" spans="6:28" x14ac:dyDescent="0.25">
      <c r="F590" s="13">
        <v>588</v>
      </c>
      <c r="G590" s="13">
        <f t="shared" si="180"/>
        <v>78.800000000000011</v>
      </c>
      <c r="H590" s="13">
        <f t="shared" si="181"/>
        <v>351.95</v>
      </c>
      <c r="I590" s="14">
        <f t="shared" si="182"/>
        <v>4.9000000000000004</v>
      </c>
      <c r="J590" s="14">
        <f t="shared" si="183"/>
        <v>1306.480914</v>
      </c>
      <c r="K590" s="14">
        <f t="shared" si="184"/>
        <v>0.32648091400000001</v>
      </c>
      <c r="L590" s="14">
        <f t="shared" si="185"/>
        <v>889.48601599999995</v>
      </c>
      <c r="M590" s="14">
        <v>878.94538</v>
      </c>
      <c r="N590" s="13">
        <f t="shared" si="186"/>
        <v>0.88948601599999988</v>
      </c>
      <c r="O590" s="13">
        <f t="shared" si="187"/>
        <v>0.8854799999999996</v>
      </c>
      <c r="P590" s="13">
        <f t="shared" si="188"/>
        <v>4.0060160000002787E-3</v>
      </c>
      <c r="Q590" s="16">
        <f t="shared" si="189"/>
        <v>4.5241179925015586E-3</v>
      </c>
      <c r="R590" s="14">
        <f t="shared" ca="1" si="190"/>
        <v>3.2448433644314867</v>
      </c>
      <c r="S590" s="14">
        <f t="shared" si="191"/>
        <v>3.2658025806451598</v>
      </c>
      <c r="T590" s="14">
        <f t="shared" ca="1" si="192"/>
        <v>2.0959216213673137E-2</v>
      </c>
      <c r="U590" s="16">
        <f t="shared" ca="1" si="193"/>
        <v>6.4177842034568548E-3</v>
      </c>
      <c r="V590" s="14">
        <f t="shared" si="194"/>
        <v>4.9000000000000004</v>
      </c>
      <c r="W590" s="14">
        <f t="shared" ca="1" si="195"/>
        <v>4.7551566355685129</v>
      </c>
      <c r="X590" s="14">
        <f t="shared" ca="1" si="196"/>
        <v>0.14484336443148749</v>
      </c>
      <c r="Y590" s="28">
        <f t="shared" ca="1" si="197"/>
        <v>2.95598702921403E-2</v>
      </c>
      <c r="Z590" s="29">
        <f t="shared" ca="1" si="198"/>
        <v>77.061880000000002</v>
      </c>
      <c r="AA590" s="16">
        <f t="shared" ca="1" si="199"/>
        <v>2.2057360406091485E-2</v>
      </c>
      <c r="AB590" s="2"/>
    </row>
    <row r="591" spans="6:28" x14ac:dyDescent="0.25">
      <c r="F591" s="13">
        <v>589</v>
      </c>
      <c r="G591" s="13">
        <f t="shared" si="180"/>
        <v>78.900000000000006</v>
      </c>
      <c r="H591" s="13">
        <f t="shared" si="181"/>
        <v>352.04999999999995</v>
      </c>
      <c r="I591" s="14">
        <f t="shared" si="182"/>
        <v>4.9083329999999998</v>
      </c>
      <c r="J591" s="14">
        <f t="shared" si="183"/>
        <v>1302.2214269999999</v>
      </c>
      <c r="K591" s="14">
        <f t="shared" si="184"/>
        <v>0.32222142699999989</v>
      </c>
      <c r="L591" s="14">
        <f t="shared" si="185"/>
        <v>887.56870200000003</v>
      </c>
      <c r="M591" s="14">
        <v>876.90125999999998</v>
      </c>
      <c r="N591" s="13">
        <f t="shared" si="186"/>
        <v>0.88756870200000004</v>
      </c>
      <c r="O591" s="13">
        <f t="shared" si="187"/>
        <v>0.8831899999999997</v>
      </c>
      <c r="P591" s="13">
        <f t="shared" si="188"/>
        <v>4.3787020000003452E-3</v>
      </c>
      <c r="Q591" s="16">
        <f t="shared" si="189"/>
        <v>4.9578256094389055E-3</v>
      </c>
      <c r="R591" s="14">
        <f t="shared" ca="1" si="190"/>
        <v>3.2374542274052476</v>
      </c>
      <c r="S591" s="14">
        <f t="shared" si="191"/>
        <v>3.2573566666666656</v>
      </c>
      <c r="T591" s="14">
        <f t="shared" ca="1" si="192"/>
        <v>1.9902439261417992E-2</v>
      </c>
      <c r="U591" s="16">
        <f t="shared" ca="1" si="193"/>
        <v>6.1099969386480034E-3</v>
      </c>
      <c r="V591" s="14">
        <f t="shared" si="194"/>
        <v>4.9083333333333332</v>
      </c>
      <c r="W591" s="14">
        <f t="shared" ca="1" si="195"/>
        <v>4.762545772594752</v>
      </c>
      <c r="X591" s="14">
        <f t="shared" ca="1" si="196"/>
        <v>0.14578756073858123</v>
      </c>
      <c r="Y591" s="28">
        <f t="shared" ca="1" si="197"/>
        <v>2.9702049726026736E-2</v>
      </c>
      <c r="Z591" s="29">
        <f t="shared" ca="1" si="198"/>
        <v>77.150548999999998</v>
      </c>
      <c r="AA591" s="16">
        <f t="shared" ca="1" si="199"/>
        <v>2.2173016476552693E-2</v>
      </c>
      <c r="AB591" s="2"/>
    </row>
    <row r="592" spans="6:28" x14ac:dyDescent="0.25">
      <c r="F592" s="13">
        <v>590</v>
      </c>
      <c r="G592" s="13">
        <f t="shared" si="180"/>
        <v>79</v>
      </c>
      <c r="H592" s="13">
        <f t="shared" si="181"/>
        <v>352.15</v>
      </c>
      <c r="I592" s="14">
        <f t="shared" si="182"/>
        <v>4.9166670000000003</v>
      </c>
      <c r="J592" s="14">
        <f t="shared" si="183"/>
        <v>1297.9779860000001</v>
      </c>
      <c r="K592" s="14">
        <f t="shared" si="184"/>
        <v>0.31797798600000005</v>
      </c>
      <c r="L592" s="14">
        <f t="shared" si="185"/>
        <v>885.65456900000004</v>
      </c>
      <c r="M592" s="14">
        <v>875.06008999999995</v>
      </c>
      <c r="N592" s="13">
        <f t="shared" si="186"/>
        <v>0.88565456900000006</v>
      </c>
      <c r="O592" s="13">
        <f t="shared" si="187"/>
        <v>0.88090000000000002</v>
      </c>
      <c r="P592" s="13">
        <f t="shared" si="188"/>
        <v>4.7545690000000418E-3</v>
      </c>
      <c r="Q592" s="16">
        <f t="shared" si="189"/>
        <v>5.3973992507663094E-3</v>
      </c>
      <c r="R592" s="14">
        <f t="shared" ca="1" si="190"/>
        <v>3.2300976355685131</v>
      </c>
      <c r="S592" s="14">
        <f t="shared" si="191"/>
        <v>3.2489107526881718</v>
      </c>
      <c r="T592" s="14">
        <f t="shared" ca="1" si="192"/>
        <v>1.8813117119658607E-2</v>
      </c>
      <c r="U592" s="16">
        <f t="shared" ca="1" si="193"/>
        <v>5.7905921558763966E-3</v>
      </c>
      <c r="V592" s="14">
        <f t="shared" si="194"/>
        <v>4.9166666666666661</v>
      </c>
      <c r="W592" s="14">
        <f t="shared" ca="1" si="195"/>
        <v>4.7699023644314869</v>
      </c>
      <c r="X592" s="14">
        <f t="shared" ca="1" si="196"/>
        <v>0.14676430223517922</v>
      </c>
      <c r="Y592" s="28">
        <f t="shared" ca="1" si="197"/>
        <v>2.9850366556307642E-2</v>
      </c>
      <c r="Z592" s="29">
        <f t="shared" ca="1" si="198"/>
        <v>77.238827999999998</v>
      </c>
      <c r="AA592" s="16">
        <f t="shared" ca="1" si="199"/>
        <v>2.2293316455696228E-2</v>
      </c>
      <c r="AB592" s="2"/>
    </row>
    <row r="593" spans="6:28" x14ac:dyDescent="0.25">
      <c r="F593" s="13">
        <v>591</v>
      </c>
      <c r="G593" s="13">
        <f t="shared" si="180"/>
        <v>79.099999999999994</v>
      </c>
      <c r="H593" s="13">
        <f t="shared" si="181"/>
        <v>352.25</v>
      </c>
      <c r="I593" s="14">
        <f t="shared" si="182"/>
        <v>4.9249999999999998</v>
      </c>
      <c r="J593" s="14">
        <f t="shared" si="183"/>
        <v>1293.750522</v>
      </c>
      <c r="K593" s="14">
        <f t="shared" si="184"/>
        <v>0.31375052200000009</v>
      </c>
      <c r="L593" s="14">
        <f t="shared" si="185"/>
        <v>883.74361799999997</v>
      </c>
      <c r="M593" s="14">
        <v>873.21577000000002</v>
      </c>
      <c r="N593" s="13">
        <f t="shared" si="186"/>
        <v>0.88374361800000001</v>
      </c>
      <c r="O593" s="13">
        <f t="shared" si="187"/>
        <v>0.87861000000000011</v>
      </c>
      <c r="P593" s="13">
        <f t="shared" si="188"/>
        <v>5.1336179999998954E-3</v>
      </c>
      <c r="Q593" s="16">
        <f t="shared" si="189"/>
        <v>5.8428859220813496E-3</v>
      </c>
      <c r="R593" s="14">
        <f t="shared" ca="1" si="190"/>
        <v>3.2235130000000001</v>
      </c>
      <c r="S593" s="14">
        <f t="shared" si="191"/>
        <v>3.2404648387096775</v>
      </c>
      <c r="T593" s="14">
        <f t="shared" ca="1" si="192"/>
        <v>1.6951838709677425E-2</v>
      </c>
      <c r="U593" s="16">
        <f t="shared" ca="1" si="193"/>
        <v>5.231298456682988E-3</v>
      </c>
      <c r="V593" s="14">
        <f t="shared" si="194"/>
        <v>4.9249999999999989</v>
      </c>
      <c r="W593" s="14">
        <f t="shared" ca="1" si="195"/>
        <v>4.7764869999999995</v>
      </c>
      <c r="X593" s="14">
        <f t="shared" ca="1" si="196"/>
        <v>0.14851299999999945</v>
      </c>
      <c r="Y593" s="28">
        <f t="shared" ca="1" si="197"/>
        <v>3.0154923857867916E-2</v>
      </c>
      <c r="Z593" s="29">
        <f t="shared" ca="1" si="198"/>
        <v>77.317843999999994</v>
      </c>
      <c r="AA593" s="16">
        <f t="shared" ca="1" si="199"/>
        <v>2.253041719342605E-2</v>
      </c>
      <c r="AB593" s="2"/>
    </row>
    <row r="594" spans="6:28" x14ac:dyDescent="0.25">
      <c r="F594" s="13">
        <v>592</v>
      </c>
      <c r="G594" s="13">
        <f t="shared" si="180"/>
        <v>79.2</v>
      </c>
      <c r="H594" s="13">
        <f t="shared" si="181"/>
        <v>352.34999999999997</v>
      </c>
      <c r="I594" s="14">
        <f t="shared" si="182"/>
        <v>4.9333330000000002</v>
      </c>
      <c r="J594" s="14">
        <f t="shared" si="183"/>
        <v>1289.538969</v>
      </c>
      <c r="K594" s="14">
        <f t="shared" si="184"/>
        <v>0.30953896899999989</v>
      </c>
      <c r="L594" s="14">
        <f t="shared" si="185"/>
        <v>881.83585300000004</v>
      </c>
      <c r="M594" s="14">
        <v>871.16413</v>
      </c>
      <c r="N594" s="13">
        <f t="shared" si="186"/>
        <v>0.88183585300000011</v>
      </c>
      <c r="O594" s="13">
        <f t="shared" si="187"/>
        <v>0.87631999999999977</v>
      </c>
      <c r="P594" s="13">
        <f t="shared" si="188"/>
        <v>5.5158530000003481E-3</v>
      </c>
      <c r="Q594" s="16">
        <f t="shared" si="189"/>
        <v>6.2943365437287176E-3</v>
      </c>
      <c r="R594" s="14">
        <f t="shared" ca="1" si="190"/>
        <v>3.2169393644314868</v>
      </c>
      <c r="S594" s="14">
        <f t="shared" si="191"/>
        <v>3.2320189247311819</v>
      </c>
      <c r="T594" s="14">
        <f t="shared" ca="1" si="192"/>
        <v>1.5079560299695149E-2</v>
      </c>
      <c r="U594" s="16">
        <f t="shared" ca="1" si="193"/>
        <v>4.665678218746621E-3</v>
      </c>
      <c r="V594" s="14">
        <f t="shared" si="194"/>
        <v>4.9333333333333336</v>
      </c>
      <c r="W594" s="14">
        <f t="shared" ca="1" si="195"/>
        <v>4.7830606355685132</v>
      </c>
      <c r="X594" s="14">
        <f t="shared" ca="1" si="196"/>
        <v>0.15027269776482033</v>
      </c>
      <c r="Y594" s="28">
        <f t="shared" ca="1" si="197"/>
        <v>3.0460681979355472E-2</v>
      </c>
      <c r="Z594" s="29">
        <f t="shared" ca="1" si="198"/>
        <v>77.396727999999996</v>
      </c>
      <c r="AA594" s="16">
        <f t="shared" ca="1" si="199"/>
        <v>2.2768585858585943E-2</v>
      </c>
      <c r="AB594" s="2"/>
    </row>
    <row r="595" spans="6:28" x14ac:dyDescent="0.25">
      <c r="F595" s="13">
        <v>593</v>
      </c>
      <c r="G595" s="13">
        <f t="shared" si="180"/>
        <v>79.300000000000011</v>
      </c>
      <c r="H595" s="13">
        <f t="shared" si="181"/>
        <v>352.45</v>
      </c>
      <c r="I595" s="14">
        <f t="shared" si="182"/>
        <v>4.9416669999999998</v>
      </c>
      <c r="J595" s="14">
        <f t="shared" si="183"/>
        <v>1285.343259</v>
      </c>
      <c r="K595" s="14">
        <f t="shared" si="184"/>
        <v>0.30534325900000003</v>
      </c>
      <c r="L595" s="14">
        <f t="shared" si="185"/>
        <v>879.93127500000003</v>
      </c>
      <c r="M595" s="14">
        <v>869.31413999999995</v>
      </c>
      <c r="N595" s="13">
        <f t="shared" si="186"/>
        <v>0.87993127500000001</v>
      </c>
      <c r="O595" s="13">
        <f t="shared" si="187"/>
        <v>0.87402999999999964</v>
      </c>
      <c r="P595" s="13">
        <f t="shared" si="188"/>
        <v>5.9012750000003722E-3</v>
      </c>
      <c r="Q595" s="16">
        <f t="shared" si="189"/>
        <v>6.7517991373298109E-3</v>
      </c>
      <c r="R595" s="14">
        <f t="shared" ca="1" si="190"/>
        <v>3.209210862973761</v>
      </c>
      <c r="S595" s="14">
        <f t="shared" si="191"/>
        <v>3.2235730107526868</v>
      </c>
      <c r="T595" s="14">
        <f t="shared" ca="1" si="192"/>
        <v>1.4362147778925749E-2</v>
      </c>
      <c r="U595" s="16">
        <f t="shared" ca="1" si="193"/>
        <v>4.4553505476745093E-3</v>
      </c>
      <c r="V595" s="14">
        <f t="shared" si="194"/>
        <v>4.9416666666666673</v>
      </c>
      <c r="W595" s="14">
        <f t="shared" ca="1" si="195"/>
        <v>4.7907891370262394</v>
      </c>
      <c r="X595" s="14">
        <f t="shared" ca="1" si="196"/>
        <v>0.15087752964042789</v>
      </c>
      <c r="Y595" s="28">
        <f t="shared" ca="1" si="197"/>
        <v>3.0531709202110194E-2</v>
      </c>
      <c r="Z595" s="29">
        <f t="shared" ca="1" si="198"/>
        <v>77.489469999999997</v>
      </c>
      <c r="AA595" s="16">
        <f t="shared" ca="1" si="199"/>
        <v>2.2831399747793368E-2</v>
      </c>
      <c r="AB595" s="2"/>
    </row>
    <row r="596" spans="6:28" x14ac:dyDescent="0.25">
      <c r="F596" s="13">
        <v>594</v>
      </c>
      <c r="G596" s="13">
        <f t="shared" si="180"/>
        <v>79.400000000000006</v>
      </c>
      <c r="H596" s="13">
        <f t="shared" si="181"/>
        <v>352.54999999999995</v>
      </c>
      <c r="I596" s="14">
        <f t="shared" si="182"/>
        <v>4.95</v>
      </c>
      <c r="J596" s="14">
        <f t="shared" si="183"/>
        <v>1281.163325</v>
      </c>
      <c r="K596" s="14">
        <f t="shared" si="184"/>
        <v>0.30116332500000009</v>
      </c>
      <c r="L596" s="14">
        <f t="shared" si="185"/>
        <v>878.02988600000003</v>
      </c>
      <c r="M596" s="14">
        <v>867.46108000000004</v>
      </c>
      <c r="N596" s="13">
        <f t="shared" si="186"/>
        <v>0.87802988599999998</v>
      </c>
      <c r="O596" s="13">
        <f t="shared" si="187"/>
        <v>0.87173999999999974</v>
      </c>
      <c r="P596" s="13">
        <f t="shared" si="188"/>
        <v>6.2898860000002443E-3</v>
      </c>
      <c r="Q596" s="16">
        <f t="shared" si="189"/>
        <v>7.2153233762363165E-3</v>
      </c>
      <c r="R596" s="14">
        <f t="shared" ca="1" si="190"/>
        <v>3.2030563644314869</v>
      </c>
      <c r="S596" s="14">
        <f t="shared" si="191"/>
        <v>3.2151270967741925</v>
      </c>
      <c r="T596" s="14">
        <f t="shared" ca="1" si="192"/>
        <v>1.2070732342705615E-2</v>
      </c>
      <c r="U596" s="16">
        <f t="shared" ca="1" si="193"/>
        <v>3.7543561978674016E-3</v>
      </c>
      <c r="V596" s="14">
        <f t="shared" si="194"/>
        <v>4.95</v>
      </c>
      <c r="W596" s="14">
        <f t="shared" ca="1" si="195"/>
        <v>4.7969436355685131</v>
      </c>
      <c r="X596" s="14">
        <f t="shared" ca="1" si="196"/>
        <v>0.15305636443148707</v>
      </c>
      <c r="Y596" s="28">
        <f t="shared" ca="1" si="197"/>
        <v>3.0920477662926681E-2</v>
      </c>
      <c r="Z596" s="29">
        <f t="shared" ca="1" si="198"/>
        <v>77.563323999999994</v>
      </c>
      <c r="AA596" s="16">
        <f t="shared" ca="1" si="199"/>
        <v>2.3131939546599638E-2</v>
      </c>
      <c r="AB596" s="2"/>
    </row>
    <row r="597" spans="6:28" x14ac:dyDescent="0.25">
      <c r="F597" s="13">
        <v>595</v>
      </c>
      <c r="G597" s="13">
        <f t="shared" si="180"/>
        <v>79.5</v>
      </c>
      <c r="H597" s="13">
        <f t="shared" si="181"/>
        <v>352.65</v>
      </c>
      <c r="I597" s="14">
        <f t="shared" si="182"/>
        <v>4.9583329999999997</v>
      </c>
      <c r="J597" s="14">
        <f t="shared" si="183"/>
        <v>1276.9991</v>
      </c>
      <c r="K597" s="14">
        <f t="shared" si="184"/>
        <v>0.29699910000000007</v>
      </c>
      <c r="L597" s="14">
        <f t="shared" si="185"/>
        <v>876.13168800000005</v>
      </c>
      <c r="M597" s="14">
        <v>865.50359000000003</v>
      </c>
      <c r="N597" s="13">
        <f t="shared" si="186"/>
        <v>0.87613168800000008</v>
      </c>
      <c r="O597" s="13">
        <f t="shared" si="187"/>
        <v>0.86944999999999983</v>
      </c>
      <c r="P597" s="13">
        <f t="shared" si="188"/>
        <v>6.681688000000241E-3</v>
      </c>
      <c r="Q597" s="16">
        <f t="shared" si="189"/>
        <v>7.6849594571283481E-3</v>
      </c>
      <c r="R597" s="14">
        <f t="shared" ca="1" si="190"/>
        <v>3.1961441370262391</v>
      </c>
      <c r="S597" s="14">
        <f t="shared" si="191"/>
        <v>3.2066811827956982</v>
      </c>
      <c r="T597" s="14">
        <f t="shared" ca="1" si="192"/>
        <v>1.053704576945913E-2</v>
      </c>
      <c r="U597" s="16">
        <f t="shared" ca="1" si="193"/>
        <v>3.2859661340802707E-3</v>
      </c>
      <c r="V597" s="14">
        <f t="shared" si="194"/>
        <v>4.958333333333333</v>
      </c>
      <c r="W597" s="14">
        <f t="shared" ca="1" si="195"/>
        <v>4.8038558629737604</v>
      </c>
      <c r="X597" s="14">
        <f t="shared" ca="1" si="196"/>
        <v>0.1544774703595726</v>
      </c>
      <c r="Y597" s="28">
        <f t="shared" ca="1" si="197"/>
        <v>3.1155120072518847E-2</v>
      </c>
      <c r="Z597" s="29">
        <f t="shared" ca="1" si="198"/>
        <v>77.646270000000001</v>
      </c>
      <c r="AA597" s="16">
        <f t="shared" ca="1" si="199"/>
        <v>2.3317358490566022E-2</v>
      </c>
      <c r="AB597" s="2"/>
    </row>
    <row r="598" spans="6:28" x14ac:dyDescent="0.25">
      <c r="F598" s="13">
        <v>596</v>
      </c>
      <c r="G598" s="13">
        <f t="shared" si="180"/>
        <v>79.599999999999994</v>
      </c>
      <c r="H598" s="13">
        <f t="shared" si="181"/>
        <v>352.75</v>
      </c>
      <c r="I598" s="14">
        <f t="shared" si="182"/>
        <v>4.9666670000000002</v>
      </c>
      <c r="J598" s="14">
        <f t="shared" si="183"/>
        <v>1272.8505170000001</v>
      </c>
      <c r="K598" s="14">
        <f t="shared" si="184"/>
        <v>0.2928505170000002</v>
      </c>
      <c r="L598" s="14">
        <f t="shared" si="185"/>
        <v>874.23668399999997</v>
      </c>
      <c r="M598" s="14">
        <v>863.44237999999996</v>
      </c>
      <c r="N598" s="13">
        <f t="shared" si="186"/>
        <v>0.87423668399999999</v>
      </c>
      <c r="O598" s="13">
        <f t="shared" si="187"/>
        <v>0.86716000000000015</v>
      </c>
      <c r="P598" s="13">
        <f t="shared" si="188"/>
        <v>7.0766839999998332E-3</v>
      </c>
      <c r="Q598" s="16">
        <f t="shared" si="189"/>
        <v>8.1607592601132799E-3</v>
      </c>
      <c r="R598" s="14">
        <f t="shared" ca="1" si="190"/>
        <v>3.1880534985422742</v>
      </c>
      <c r="S598" s="14">
        <f t="shared" si="191"/>
        <v>3.1982352688172049</v>
      </c>
      <c r="T598" s="14">
        <f t="shared" ca="1" si="192"/>
        <v>1.0181770274930724E-2</v>
      </c>
      <c r="U598" s="16">
        <f t="shared" ca="1" si="193"/>
        <v>3.1835588751718763E-3</v>
      </c>
      <c r="V598" s="14">
        <f t="shared" si="194"/>
        <v>4.966666666666665</v>
      </c>
      <c r="W598" s="14">
        <f t="shared" ca="1" si="195"/>
        <v>4.8119465014577258</v>
      </c>
      <c r="X598" s="14">
        <f t="shared" ca="1" si="196"/>
        <v>0.15472016520893916</v>
      </c>
      <c r="Y598" s="28">
        <f t="shared" ca="1" si="197"/>
        <v>3.1151711115893804E-2</v>
      </c>
      <c r="Z598" s="29">
        <f t="shared" ca="1" si="198"/>
        <v>77.743358000000001</v>
      </c>
      <c r="AA598" s="16">
        <f t="shared" ca="1" si="199"/>
        <v>2.3324648241205951E-2</v>
      </c>
      <c r="AB598" s="2"/>
    </row>
    <row r="599" spans="6:28" x14ac:dyDescent="0.25">
      <c r="F599" s="13">
        <v>597</v>
      </c>
      <c r="G599" s="13">
        <f t="shared" si="180"/>
        <v>79.7</v>
      </c>
      <c r="H599" s="13">
        <f t="shared" si="181"/>
        <v>352.84999999999997</v>
      </c>
      <c r="I599" s="14">
        <f t="shared" si="182"/>
        <v>4.9749999999999996</v>
      </c>
      <c r="J599" s="14">
        <f t="shared" si="183"/>
        <v>1268.7175110000001</v>
      </c>
      <c r="K599" s="14">
        <f t="shared" si="184"/>
        <v>0.28871751099999998</v>
      </c>
      <c r="L599" s="14">
        <f t="shared" si="185"/>
        <v>872.344875</v>
      </c>
      <c r="M599" s="14">
        <v>861.48009000000002</v>
      </c>
      <c r="N599" s="13">
        <f t="shared" si="186"/>
        <v>0.87234487500000002</v>
      </c>
      <c r="O599" s="13">
        <f t="shared" si="187"/>
        <v>0.86486999999999981</v>
      </c>
      <c r="P599" s="13">
        <f t="shared" si="188"/>
        <v>7.474875000000214E-3</v>
      </c>
      <c r="Q599" s="16">
        <f t="shared" si="189"/>
        <v>8.6427729022861416E-3</v>
      </c>
      <c r="R599" s="14">
        <f t="shared" ca="1" si="190"/>
        <v>3.1815388629737611</v>
      </c>
      <c r="S599" s="14">
        <f t="shared" si="191"/>
        <v>3.1897893548387088</v>
      </c>
      <c r="T599" s="14">
        <f t="shared" ca="1" si="192"/>
        <v>8.250491864947751E-3</v>
      </c>
      <c r="U599" s="16">
        <f t="shared" ca="1" si="193"/>
        <v>2.5865318825621748E-3</v>
      </c>
      <c r="V599" s="14">
        <f t="shared" si="194"/>
        <v>4.9749999999999996</v>
      </c>
      <c r="W599" s="14">
        <f t="shared" ca="1" si="195"/>
        <v>4.8184611370262385</v>
      </c>
      <c r="X599" s="14">
        <f t="shared" ca="1" si="196"/>
        <v>0.15653886297376118</v>
      </c>
      <c r="Y599" s="28">
        <f t="shared" ca="1" si="197"/>
        <v>3.1465098085178132E-2</v>
      </c>
      <c r="Z599" s="29">
        <f t="shared" ca="1" si="198"/>
        <v>77.821534</v>
      </c>
      <c r="AA599" s="16">
        <f t="shared" ca="1" si="199"/>
        <v>2.3569209535759136E-2</v>
      </c>
      <c r="AB599" s="2"/>
    </row>
    <row r="600" spans="6:28" x14ac:dyDescent="0.25">
      <c r="F600" s="13">
        <v>598</v>
      </c>
      <c r="G600" s="13">
        <f t="shared" si="180"/>
        <v>79.800000000000011</v>
      </c>
      <c r="H600" s="13">
        <f t="shared" si="181"/>
        <v>352.95</v>
      </c>
      <c r="I600" s="14">
        <f t="shared" si="182"/>
        <v>4.983333</v>
      </c>
      <c r="J600" s="14">
        <f t="shared" si="183"/>
        <v>1264.6000160000001</v>
      </c>
      <c r="K600" s="14">
        <f t="shared" si="184"/>
        <v>0.28460001600000018</v>
      </c>
      <c r="L600" s="14">
        <f t="shared" si="185"/>
        <v>870.45626400000003</v>
      </c>
      <c r="M600" s="14">
        <v>859.71689000000003</v>
      </c>
      <c r="N600" s="13">
        <f t="shared" si="186"/>
        <v>0.87045626400000009</v>
      </c>
      <c r="O600" s="13">
        <f t="shared" si="187"/>
        <v>0.86257999999999968</v>
      </c>
      <c r="P600" s="13">
        <f t="shared" si="188"/>
        <v>7.8762640000004103E-3</v>
      </c>
      <c r="Q600" s="16">
        <f t="shared" si="189"/>
        <v>9.1310533515736661E-3</v>
      </c>
      <c r="R600" s="14">
        <f t="shared" ca="1" si="190"/>
        <v>3.1746606355685132</v>
      </c>
      <c r="S600" s="14">
        <f t="shared" si="191"/>
        <v>3.1813434408602137</v>
      </c>
      <c r="T600" s="14">
        <f t="shared" ca="1" si="192"/>
        <v>6.682805291700511E-3</v>
      </c>
      <c r="U600" s="16">
        <f t="shared" ca="1" si="193"/>
        <v>2.1006236566189552E-3</v>
      </c>
      <c r="V600" s="14">
        <f t="shared" si="194"/>
        <v>4.9833333333333343</v>
      </c>
      <c r="W600" s="14">
        <f t="shared" ca="1" si="195"/>
        <v>4.8253393644314873</v>
      </c>
      <c r="X600" s="14">
        <f t="shared" ca="1" si="196"/>
        <v>0.15799396890184703</v>
      </c>
      <c r="Y600" s="28">
        <f t="shared" ca="1" si="197"/>
        <v>3.1704475364919132E-2</v>
      </c>
      <c r="Z600" s="29">
        <f t="shared" ca="1" si="198"/>
        <v>77.904071999999999</v>
      </c>
      <c r="AA600" s="16">
        <f t="shared" ca="1" si="199"/>
        <v>2.375849624060165E-2</v>
      </c>
      <c r="AB600" s="2"/>
    </row>
    <row r="601" spans="6:28" x14ac:dyDescent="0.25">
      <c r="F601" s="13">
        <v>599</v>
      </c>
      <c r="G601" s="13">
        <f t="shared" si="180"/>
        <v>79.900000000000006</v>
      </c>
      <c r="H601" s="13">
        <f t="shared" si="181"/>
        <v>353.04999999999995</v>
      </c>
      <c r="I601" s="14">
        <f t="shared" si="182"/>
        <v>4.9916669999999996</v>
      </c>
      <c r="J601" s="14">
        <f t="shared" si="183"/>
        <v>1260.4979659999999</v>
      </c>
      <c r="K601" s="14">
        <f t="shared" si="184"/>
        <v>0.28049796599999999</v>
      </c>
      <c r="L601" s="14">
        <f t="shared" si="185"/>
        <v>868.57085199999995</v>
      </c>
      <c r="M601" s="14">
        <v>857.64869999999996</v>
      </c>
      <c r="N601" s="13">
        <f t="shared" si="186"/>
        <v>0.86857085200000006</v>
      </c>
      <c r="O601" s="13">
        <f t="shared" si="187"/>
        <v>0.86028999999999978</v>
      </c>
      <c r="P601" s="13">
        <f t="shared" si="188"/>
        <v>8.2808520000002828E-3</v>
      </c>
      <c r="Q601" s="16">
        <f t="shared" si="189"/>
        <v>9.6256518150859421E-3</v>
      </c>
      <c r="R601" s="14">
        <f t="shared" ca="1" si="190"/>
        <v>3.1685651370262389</v>
      </c>
      <c r="S601" s="14">
        <f t="shared" si="191"/>
        <v>3.1728975268817194</v>
      </c>
      <c r="T601" s="14">
        <f t="shared" ca="1" si="192"/>
        <v>4.3323898554805673E-3</v>
      </c>
      <c r="U601" s="16">
        <f t="shared" ca="1" si="193"/>
        <v>1.3654364248373257E-3</v>
      </c>
      <c r="V601" s="14">
        <f t="shared" si="194"/>
        <v>4.9916666666666671</v>
      </c>
      <c r="W601" s="14">
        <f t="shared" ca="1" si="195"/>
        <v>4.8314348629737616</v>
      </c>
      <c r="X601" s="14">
        <f t="shared" ca="1" si="196"/>
        <v>0.16023180369290557</v>
      </c>
      <c r="Y601" s="28">
        <f t="shared" ca="1" si="197"/>
        <v>3.209986050609126E-2</v>
      </c>
      <c r="Z601" s="29">
        <f t="shared" ca="1" si="198"/>
        <v>77.977217999999993</v>
      </c>
      <c r="AA601" s="16">
        <f t="shared" ca="1" si="199"/>
        <v>2.4064856070087761E-2</v>
      </c>
      <c r="AB601" s="2"/>
    </row>
    <row r="602" spans="6:28" x14ac:dyDescent="0.25">
      <c r="F602" s="13">
        <v>600</v>
      </c>
      <c r="G602" s="13">
        <f t="shared" si="180"/>
        <v>80</v>
      </c>
      <c r="H602" s="13">
        <f t="shared" si="181"/>
        <v>353.15</v>
      </c>
      <c r="I602" s="14">
        <f t="shared" si="182"/>
        <v>5</v>
      </c>
      <c r="J602" s="14">
        <f t="shared" si="183"/>
        <v>1256.411296</v>
      </c>
      <c r="K602" s="14">
        <f t="shared" si="184"/>
        <v>0.27641129600000003</v>
      </c>
      <c r="L602" s="14">
        <f t="shared" si="185"/>
        <v>866.68863999999996</v>
      </c>
      <c r="M602" s="14">
        <v>855.97986000000003</v>
      </c>
      <c r="N602" s="13">
        <f t="shared" si="186"/>
        <v>0.8666886399999999</v>
      </c>
      <c r="O602" s="13">
        <f t="shared" si="187"/>
        <v>0.85799999999999987</v>
      </c>
      <c r="P602" s="13">
        <f t="shared" si="188"/>
        <v>8.6886400000000252E-3</v>
      </c>
      <c r="Q602" s="16">
        <f t="shared" si="189"/>
        <v>1.0126620046620077E-2</v>
      </c>
      <c r="R602" s="14">
        <f t="shared" ca="1" si="190"/>
        <v>3.1616991370262393</v>
      </c>
      <c r="S602" s="14">
        <f t="shared" si="191"/>
        <v>3.1644516129032252</v>
      </c>
      <c r="T602" s="14">
        <f t="shared" ca="1" si="192"/>
        <v>2.7524758769859048E-3</v>
      </c>
      <c r="U602" s="16">
        <f t="shared" ca="1" si="193"/>
        <v>8.6981133342742018E-4</v>
      </c>
      <c r="V602" s="14">
        <f t="shared" si="194"/>
        <v>5</v>
      </c>
      <c r="W602" s="14">
        <f t="shared" ca="1" si="195"/>
        <v>4.8383008629737603</v>
      </c>
      <c r="X602" s="14">
        <f t="shared" ca="1" si="196"/>
        <v>0.16169913702623973</v>
      </c>
      <c r="Y602" s="28">
        <f t="shared" ca="1" si="197"/>
        <v>3.2339827405247948E-2</v>
      </c>
      <c r="Z602" s="29">
        <f t="shared" ca="1" si="198"/>
        <v>78.059610000000006</v>
      </c>
      <c r="AA602" s="16">
        <f t="shared" ca="1" si="199"/>
        <v>2.4254874999999919E-2</v>
      </c>
      <c r="AB602" s="2"/>
    </row>
  </sheetData>
  <mergeCells count="4">
    <mergeCell ref="A20:C20"/>
    <mergeCell ref="C26:C28"/>
    <mergeCell ref="A40:C40"/>
    <mergeCell ref="A1:C1"/>
  </mergeCells>
  <pageMargins left="0.25" right="0.25" top="0.75" bottom="0.75" header="0.3" footer="0.3"/>
  <pageSetup paperSize="9" scale="2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1A383-ED84-4AD0-97EF-5ABAC74CC455}">
  <dimension ref="A1:K602"/>
  <sheetViews>
    <sheetView workbookViewId="0">
      <pane ySplit="1" topLeftCell="A2" activePane="bottomLeft" state="frozen"/>
      <selection pane="bottomLeft" activeCell="K17" sqref="K17"/>
    </sheetView>
  </sheetViews>
  <sheetFormatPr defaultRowHeight="15" x14ac:dyDescent="0.25"/>
  <cols>
    <col min="1" max="1" width="9.140625" style="3"/>
    <col min="2" max="2" width="14.28515625" style="3" customWidth="1"/>
    <col min="3" max="3" width="11.42578125" style="3" customWidth="1"/>
    <col min="4" max="4" width="11.42578125" customWidth="1"/>
    <col min="5" max="5" width="9.140625" style="10"/>
    <col min="6" max="6" width="18.42578125" style="10" customWidth="1"/>
    <col min="7" max="8" width="18.42578125" customWidth="1"/>
    <col min="9" max="9" width="14.85546875" style="10" customWidth="1"/>
    <col min="10" max="10" width="16.5703125" customWidth="1"/>
    <col min="11" max="11" width="13.5703125" customWidth="1"/>
  </cols>
  <sheetData>
    <row r="1" spans="1:11" x14ac:dyDescent="0.25">
      <c r="A1" s="3" t="s">
        <v>0</v>
      </c>
      <c r="B1" s="3" t="s">
        <v>71</v>
      </c>
      <c r="C1" s="3" t="s">
        <v>72</v>
      </c>
      <c r="E1" s="10" t="s">
        <v>73</v>
      </c>
      <c r="F1" s="10" t="s">
        <v>74</v>
      </c>
      <c r="I1" s="10" t="s">
        <v>75</v>
      </c>
    </row>
    <row r="2" spans="1:11" x14ac:dyDescent="0.25">
      <c r="A2" s="3" cm="1">
        <f t="array" ref="A2:A602">_xlfn.SEQUENCE(601,1,0,1)</f>
        <v>0</v>
      </c>
      <c r="B2" s="3">
        <f>0.1*A2+20</f>
        <v>20</v>
      </c>
      <c r="C2" s="12">
        <f>ROUND(1/12*B2-5/3,6)</f>
        <v>0</v>
      </c>
      <c r="D2" s="7"/>
      <c r="E2" s="10">
        <f>(ADC!I2+5/3)/(1/12)</f>
        <v>20.275890665976604</v>
      </c>
      <c r="F2" s="11">
        <f t="shared" ref="F2:F65" si="0">ABS(B2-E2)/B2</f>
        <v>1.3794533298830203E-2</v>
      </c>
      <c r="G2" s="8" t="s">
        <v>76</v>
      </c>
      <c r="H2" s="8">
        <f>MAX(F:F)</f>
        <v>3.4167944178600571E-2</v>
      </c>
      <c r="I2" s="10">
        <f>ABS(C2-ADC!I2)</f>
        <v>2.2990888831383356E-2</v>
      </c>
      <c r="J2" s="9" t="s">
        <v>78</v>
      </c>
      <c r="K2" s="9">
        <f>MAX(I:I)</f>
        <v>0.10217837780282091</v>
      </c>
    </row>
    <row r="3" spans="1:11" x14ac:dyDescent="0.25">
      <c r="A3" s="3">
        <v>1</v>
      </c>
      <c r="B3" s="3">
        <f t="shared" ref="B3:B66" si="1">0.1*A3+20</f>
        <v>20.100000000000001</v>
      </c>
      <c r="C3" s="12">
        <f t="shared" ref="C3:C66" si="2">ROUND(1/12*B3-5/3,6)</f>
        <v>8.3330000000000001E-3</v>
      </c>
      <c r="D3" s="7"/>
      <c r="E3" s="10">
        <f>(ADC!I3+5/3)/(1/12)</f>
        <v>20.355420717484947</v>
      </c>
      <c r="F3" s="11">
        <f t="shared" si="0"/>
        <v>1.2707498382335583E-2</v>
      </c>
      <c r="G3" s="8" t="s">
        <v>77</v>
      </c>
      <c r="H3" s="8">
        <f>MIN(F:F)</f>
        <v>4.1076466659163664E-6</v>
      </c>
      <c r="I3" s="10">
        <f>ABS(C3-ADC!I3)</f>
        <v>2.1285393123745323E-2</v>
      </c>
      <c r="J3" s="9" t="s">
        <v>79</v>
      </c>
      <c r="K3" s="9">
        <f>MIN(I:I)</f>
        <v>7.6244061651686845E-6</v>
      </c>
    </row>
    <row r="4" spans="1:11" x14ac:dyDescent="0.25">
      <c r="A4" s="3">
        <v>2</v>
      </c>
      <c r="B4" s="3">
        <f t="shared" si="1"/>
        <v>20.2</v>
      </c>
      <c r="C4" s="12">
        <f t="shared" si="2"/>
        <v>1.6667000000000001E-2</v>
      </c>
      <c r="D4" s="7"/>
      <c r="E4" s="10">
        <f>(ADC!I4+5/3)/(1/12)</f>
        <v>20.423606467950389</v>
      </c>
      <c r="F4" s="11">
        <f t="shared" si="0"/>
        <v>1.1069627126256918E-2</v>
      </c>
      <c r="G4" s="2"/>
      <c r="H4" s="2"/>
      <c r="I4" s="10">
        <f>ABS(C4-ADC!I4)</f>
        <v>1.8633538995865624E-2</v>
      </c>
    </row>
    <row r="5" spans="1:11" x14ac:dyDescent="0.25">
      <c r="A5" s="3">
        <v>3</v>
      </c>
      <c r="B5" s="3">
        <f t="shared" si="1"/>
        <v>20.3</v>
      </c>
      <c r="C5" s="12">
        <f t="shared" si="2"/>
        <v>2.5000000000000001E-2</v>
      </c>
      <c r="D5" s="7"/>
      <c r="E5" s="10">
        <f>(ADC!I5+5/3)/(1/12)</f>
        <v>20.503787216480262</v>
      </c>
      <c r="F5" s="11">
        <f t="shared" si="0"/>
        <v>1.003877913695869E-2</v>
      </c>
      <c r="G5" s="2"/>
      <c r="H5" s="2"/>
      <c r="I5" s="10">
        <f>ABS(C5-ADC!I5)</f>
        <v>1.6982268040021668E-2</v>
      </c>
    </row>
    <row r="6" spans="1:11" x14ac:dyDescent="0.25">
      <c r="A6" s="3">
        <v>4</v>
      </c>
      <c r="B6" s="3">
        <f t="shared" si="1"/>
        <v>20.399999999999999</v>
      </c>
      <c r="C6" s="12">
        <f t="shared" si="2"/>
        <v>3.3333000000000002E-2</v>
      </c>
      <c r="D6" s="7"/>
      <c r="E6" s="10">
        <f>(ADC!I6+5/3)/(1/12)</f>
        <v>20.572642676346835</v>
      </c>
      <c r="F6" s="11">
        <f t="shared" si="0"/>
        <v>8.4628762915115712E-3</v>
      </c>
      <c r="G6" s="2"/>
      <c r="H6" s="2"/>
      <c r="I6" s="10">
        <f>ABS(C6-ADC!I6)</f>
        <v>1.438722302890267E-2</v>
      </c>
    </row>
    <row r="7" spans="1:11" x14ac:dyDescent="0.25">
      <c r="A7" s="3">
        <v>5</v>
      </c>
      <c r="B7" s="3">
        <f t="shared" si="1"/>
        <v>20.5</v>
      </c>
      <c r="C7" s="12">
        <f t="shared" si="2"/>
        <v>4.1667000000000003E-2</v>
      </c>
      <c r="D7" s="7"/>
      <c r="E7" s="10">
        <f>(ADC!I7+5/3)/(1/12)</f>
        <v>20.653473883204615</v>
      </c>
      <c r="F7" s="11">
        <f t="shared" si="0"/>
        <v>7.4865308880300097E-3</v>
      </c>
      <c r="G7" s="2"/>
      <c r="H7" s="2"/>
      <c r="I7" s="10">
        <f>ABS(C7-ADC!I7)</f>
        <v>1.2789156933717828E-2</v>
      </c>
    </row>
    <row r="8" spans="1:11" x14ac:dyDescent="0.25">
      <c r="A8" s="3">
        <v>6</v>
      </c>
      <c r="B8" s="3">
        <f t="shared" si="1"/>
        <v>20.6</v>
      </c>
      <c r="C8" s="12">
        <f t="shared" si="2"/>
        <v>0.05</v>
      </c>
      <c r="D8" s="7"/>
      <c r="E8" s="10">
        <f>(ADC!I8+5/3)/(1/12)</f>
        <v>20.734625409563524</v>
      </c>
      <c r="F8" s="11">
        <f t="shared" si="0"/>
        <v>6.535214056481671E-3</v>
      </c>
      <c r="G8" s="2"/>
      <c r="H8" s="2"/>
      <c r="I8" s="10">
        <f>ABS(C8-ADC!I8)</f>
        <v>1.1218784130293431E-2</v>
      </c>
    </row>
    <row r="9" spans="1:11" x14ac:dyDescent="0.25">
      <c r="A9" s="3">
        <v>7</v>
      </c>
      <c r="B9" s="3">
        <f t="shared" si="1"/>
        <v>20.7</v>
      </c>
      <c r="C9" s="12">
        <f t="shared" si="2"/>
        <v>5.8333000000000003E-2</v>
      </c>
      <c r="D9" s="7"/>
      <c r="E9" s="10">
        <f>(ADC!I9+5/3)/(1/12)</f>
        <v>20.816097160192271</v>
      </c>
      <c r="F9" s="11">
        <f t="shared" si="0"/>
        <v>5.6085584633947727E-3</v>
      </c>
      <c r="G9" s="2"/>
      <c r="H9" s="2"/>
      <c r="I9" s="10">
        <f>ABS(C9-ADC!I9)</f>
        <v>9.6750966826890036E-3</v>
      </c>
    </row>
    <row r="10" spans="1:11" x14ac:dyDescent="0.25">
      <c r="A10" s="3">
        <v>8</v>
      </c>
      <c r="B10" s="3">
        <f t="shared" si="1"/>
        <v>20.8</v>
      </c>
      <c r="C10" s="12">
        <f t="shared" si="2"/>
        <v>6.6667000000000004E-2</v>
      </c>
      <c r="D10" s="7"/>
      <c r="E10" s="10">
        <f>(ADC!I10+5/3)/(1/12)</f>
        <v>20.897889026201895</v>
      </c>
      <c r="F10" s="11">
        <f t="shared" si="0"/>
        <v>4.7062031827833813E-3</v>
      </c>
      <c r="G10" s="2"/>
      <c r="H10" s="2"/>
      <c r="I10" s="10">
        <f>ABS(C10-ADC!I10)</f>
        <v>8.1570855168243556E-3</v>
      </c>
    </row>
    <row r="11" spans="1:11" x14ac:dyDescent="0.25">
      <c r="A11" s="3">
        <v>9</v>
      </c>
      <c r="B11" s="3">
        <f t="shared" si="1"/>
        <v>20.9</v>
      </c>
      <c r="C11" s="12">
        <f t="shared" si="2"/>
        <v>7.4999999999999997E-2</v>
      </c>
      <c r="D11" s="7"/>
      <c r="E11" s="10">
        <f>(ADC!I11+5/3)/(1/12)</f>
        <v>20.980000899998931</v>
      </c>
      <c r="F11" s="11">
        <f t="shared" si="0"/>
        <v>3.8277942583221218E-3</v>
      </c>
      <c r="G11" s="2"/>
      <c r="H11" s="2"/>
      <c r="I11" s="10">
        <f>ABS(C11-ADC!I11)</f>
        <v>6.6667416665772972E-3</v>
      </c>
    </row>
    <row r="12" spans="1:11" x14ac:dyDescent="0.25">
      <c r="A12" s="3">
        <v>10</v>
      </c>
      <c r="B12" s="3">
        <f t="shared" si="1"/>
        <v>21</v>
      </c>
      <c r="C12" s="12">
        <f t="shared" si="2"/>
        <v>8.3333000000000004E-2</v>
      </c>
      <c r="D12" s="7"/>
      <c r="E12" s="10">
        <f>(ADC!I12+5/3)/(1/12)</f>
        <v>21.062432671631921</v>
      </c>
      <c r="F12" s="11">
        <f t="shared" si="0"/>
        <v>2.9729843634248099E-3</v>
      </c>
      <c r="G12" s="2"/>
      <c r="H12" s="2"/>
      <c r="I12" s="10">
        <f>ABS(C12-ADC!I12)</f>
        <v>5.2030559693267003E-3</v>
      </c>
    </row>
    <row r="13" spans="1:11" x14ac:dyDescent="0.25">
      <c r="A13" s="3">
        <v>11</v>
      </c>
      <c r="B13" s="3">
        <f t="shared" si="1"/>
        <v>21.1</v>
      </c>
      <c r="C13" s="12">
        <f t="shared" si="2"/>
        <v>9.1666999999999998E-2</v>
      </c>
      <c r="D13" s="7"/>
      <c r="E13" s="10">
        <f>(ADC!I13+5/3)/(1/12)</f>
        <v>21.133606083306404</v>
      </c>
      <c r="F13" s="11">
        <f t="shared" si="0"/>
        <v>1.5927053699716809E-3</v>
      </c>
      <c r="G13" s="2"/>
      <c r="H13" s="2"/>
      <c r="I13" s="10">
        <f>ABS(C13-ADC!I13)</f>
        <v>2.8001736088667101E-3</v>
      </c>
    </row>
    <row r="14" spans="1:11" x14ac:dyDescent="0.25">
      <c r="A14" s="3">
        <v>12</v>
      </c>
      <c r="B14" s="3">
        <f t="shared" si="1"/>
        <v>21.2</v>
      </c>
      <c r="C14" s="12">
        <f t="shared" si="2"/>
        <v>0.1</v>
      </c>
      <c r="D14" s="7"/>
      <c r="E14" s="10">
        <f>(ADC!I14+5/3)/(1/12)</f>
        <v>21.21668702081914</v>
      </c>
      <c r="F14" s="11">
        <f t="shared" si="0"/>
        <v>7.8712362354439605E-4</v>
      </c>
      <c r="G14" s="2"/>
      <c r="H14" s="2"/>
      <c r="I14" s="10">
        <f>ABS(C14-ADC!I14)</f>
        <v>1.3905850682615351E-3</v>
      </c>
    </row>
    <row r="15" spans="1:11" x14ac:dyDescent="0.25">
      <c r="A15" s="3">
        <v>13</v>
      </c>
      <c r="B15" s="3">
        <f t="shared" si="1"/>
        <v>21.3</v>
      </c>
      <c r="C15" s="12">
        <f t="shared" si="2"/>
        <v>0.108333</v>
      </c>
      <c r="D15" s="7"/>
      <c r="E15" s="10">
        <f>(ADC!I15+5/3)/(1/12)</f>
        <v>21.300087492873985</v>
      </c>
      <c r="F15" s="11">
        <f t="shared" si="0"/>
        <v>4.1076466659163664E-6</v>
      </c>
      <c r="G15" s="2"/>
      <c r="H15" s="2"/>
      <c r="I15" s="10">
        <f>ABS(C15-ADC!I15)</f>
        <v>7.6244061651686845E-6</v>
      </c>
    </row>
    <row r="16" spans="1:11" x14ac:dyDescent="0.25">
      <c r="A16" s="3">
        <v>14</v>
      </c>
      <c r="B16" s="3">
        <f t="shared" si="1"/>
        <v>21.4</v>
      </c>
      <c r="C16" s="12">
        <f t="shared" si="2"/>
        <v>0.11666700000000001</v>
      </c>
      <c r="D16" s="7"/>
      <c r="E16" s="10">
        <f>(ADC!I16+5/3)/(1/12)</f>
        <v>21.383807367123886</v>
      </c>
      <c r="F16" s="11">
        <f t="shared" si="0"/>
        <v>7.5666508766881362E-4</v>
      </c>
      <c r="G16" s="2"/>
      <c r="H16" s="2"/>
      <c r="I16" s="10">
        <f>ABS(C16-ADC!I16)</f>
        <v>1.3497194063430973E-3</v>
      </c>
    </row>
    <row r="17" spans="1:9" x14ac:dyDescent="0.25">
      <c r="A17" s="3">
        <v>15</v>
      </c>
      <c r="B17" s="3">
        <f t="shared" si="1"/>
        <v>21.5</v>
      </c>
      <c r="C17" s="12">
        <f t="shared" si="2"/>
        <v>0.125</v>
      </c>
      <c r="D17" s="7"/>
      <c r="E17" s="10">
        <f>(ADC!I17+5/3)/(1/12)</f>
        <v>21.467846500719098</v>
      </c>
      <c r="F17" s="11">
        <f t="shared" si="0"/>
        <v>1.4955115944605606E-3</v>
      </c>
      <c r="G17" s="2"/>
      <c r="H17" s="2"/>
      <c r="I17" s="10">
        <f>ABS(C17-ADC!I17)</f>
        <v>2.6794582734086109E-3</v>
      </c>
    </row>
    <row r="18" spans="1:9" x14ac:dyDescent="0.25">
      <c r="A18" s="3">
        <v>16</v>
      </c>
      <c r="B18" s="3">
        <f t="shared" si="1"/>
        <v>21.6</v>
      </c>
      <c r="C18" s="12">
        <f t="shared" si="2"/>
        <v>0.13333300000000001</v>
      </c>
      <c r="D18" s="7"/>
      <c r="E18" s="10">
        <f>(ADC!I18+5/3)/(1/12)</f>
        <v>21.540675574858209</v>
      </c>
      <c r="F18" s="11">
        <f t="shared" si="0"/>
        <v>2.7465011639718584E-3</v>
      </c>
      <c r="G18" s="2"/>
      <c r="H18" s="2"/>
      <c r="I18" s="10">
        <f>ABS(C18-ADC!I18)</f>
        <v>4.9433687618161692E-3</v>
      </c>
    </row>
    <row r="19" spans="1:9" x14ac:dyDescent="0.25">
      <c r="A19" s="3">
        <v>17</v>
      </c>
      <c r="B19" s="3">
        <f t="shared" si="1"/>
        <v>21.7</v>
      </c>
      <c r="C19" s="12">
        <f t="shared" si="2"/>
        <v>0.14166699999999999</v>
      </c>
      <c r="D19" s="7"/>
      <c r="E19" s="10">
        <f>(ADC!I19+5/3)/(1/12)</f>
        <v>21.625362622225342</v>
      </c>
      <c r="F19" s="11">
        <f t="shared" si="0"/>
        <v>3.4395104965279704E-3</v>
      </c>
      <c r="G19" s="2"/>
      <c r="H19" s="2"/>
      <c r="I19" s="10">
        <f>ABS(C19-ADC!I19)</f>
        <v>6.2201148145548391E-3</v>
      </c>
    </row>
    <row r="20" spans="1:9" x14ac:dyDescent="0.25">
      <c r="A20" s="3">
        <v>18</v>
      </c>
      <c r="B20" s="3">
        <f t="shared" si="1"/>
        <v>21.8</v>
      </c>
      <c r="C20" s="12">
        <f t="shared" si="2"/>
        <v>0.15</v>
      </c>
      <c r="D20" s="7"/>
      <c r="E20" s="10">
        <f>(ADC!I20+5/3)/(1/12)</f>
        <v>21.710368482309523</v>
      </c>
      <c r="F20" s="11">
        <f t="shared" si="0"/>
        <v>4.111537508737515E-3</v>
      </c>
      <c r="G20" s="2"/>
      <c r="H20" s="2"/>
      <c r="I20" s="10">
        <f>ABS(C20-ADC!I20)</f>
        <v>7.469293140873412E-3</v>
      </c>
    </row>
    <row r="21" spans="1:9" x14ac:dyDescent="0.25">
      <c r="A21" s="3">
        <v>19</v>
      </c>
      <c r="B21" s="3">
        <f t="shared" si="1"/>
        <v>21.9</v>
      </c>
      <c r="C21" s="12">
        <f t="shared" si="2"/>
        <v>0.158333</v>
      </c>
      <c r="D21" s="7"/>
      <c r="E21" s="10">
        <f>(ADC!I21+5/3)/(1/12)</f>
        <v>21.79569299163547</v>
      </c>
      <c r="F21" s="11">
        <f t="shared" si="0"/>
        <v>4.7628770942707305E-3</v>
      </c>
      <c r="G21" s="2"/>
      <c r="H21" s="2"/>
      <c r="I21" s="10">
        <f>ABS(C21-ADC!I21)</f>
        <v>8.6919173637111102E-3</v>
      </c>
    </row>
    <row r="22" spans="1:9" x14ac:dyDescent="0.25">
      <c r="A22" s="3">
        <v>20</v>
      </c>
      <c r="B22" s="3">
        <f t="shared" si="1"/>
        <v>22</v>
      </c>
      <c r="C22" s="12">
        <f t="shared" si="2"/>
        <v>0.16666700000000001</v>
      </c>
      <c r="D22" s="7"/>
      <c r="E22" s="10">
        <f>(ADC!I22+5/3)/(1/12)</f>
        <v>21.869846372822291</v>
      </c>
      <c r="F22" s="11">
        <f t="shared" si="0"/>
        <v>5.9160739626231288E-3</v>
      </c>
      <c r="G22" s="2"/>
      <c r="H22" s="2"/>
      <c r="I22" s="10">
        <f>ABS(C22-ADC!I22)</f>
        <v>1.0846468931475811E-2</v>
      </c>
    </row>
    <row r="23" spans="1:9" x14ac:dyDescent="0.25">
      <c r="A23" s="3">
        <v>21</v>
      </c>
      <c r="B23" s="3">
        <f t="shared" si="1"/>
        <v>22.1</v>
      </c>
      <c r="C23" s="12">
        <f t="shared" si="2"/>
        <v>0.17499999999999999</v>
      </c>
      <c r="D23" s="7"/>
      <c r="E23" s="10">
        <f>(ADC!I23+5/3)/(1/12)</f>
        <v>21.955817593547753</v>
      </c>
      <c r="F23" s="11">
        <f t="shared" si="0"/>
        <v>6.5240907896945049E-3</v>
      </c>
      <c r="G23" s="2"/>
      <c r="H23" s="2"/>
      <c r="I23" s="10">
        <f>ABS(C23-ADC!I23)</f>
        <v>1.2015200537687343E-2</v>
      </c>
    </row>
    <row r="24" spans="1:9" x14ac:dyDescent="0.25">
      <c r="A24" s="3">
        <v>22</v>
      </c>
      <c r="B24" s="3">
        <f t="shared" si="1"/>
        <v>22.2</v>
      </c>
      <c r="C24" s="12">
        <f t="shared" si="2"/>
        <v>0.183333</v>
      </c>
      <c r="D24" s="7"/>
      <c r="E24" s="10">
        <f>(ADC!I24+5/3)/(1/12)</f>
        <v>22.042106952235091</v>
      </c>
      <c r="F24" s="11">
        <f t="shared" si="0"/>
        <v>7.1122994488697338E-3</v>
      </c>
      <c r="G24" s="2"/>
      <c r="H24" s="2"/>
      <c r="I24" s="10">
        <f>ABS(C24-ADC!I24)</f>
        <v>1.3157420647076007E-2</v>
      </c>
    </row>
    <row r="25" spans="1:9" x14ac:dyDescent="0.25">
      <c r="A25" s="3">
        <v>23</v>
      </c>
      <c r="B25" s="3">
        <f t="shared" si="1"/>
        <v>22.3</v>
      </c>
      <c r="C25" s="12">
        <f t="shared" si="2"/>
        <v>0.191667</v>
      </c>
      <c r="D25" s="7"/>
      <c r="E25" s="10">
        <f>(ADC!I25+5/3)/(1/12)</f>
        <v>22.117254556599715</v>
      </c>
      <c r="F25" s="11">
        <f t="shared" si="0"/>
        <v>8.1948629327482491E-3</v>
      </c>
      <c r="G25" s="2"/>
      <c r="H25" s="2"/>
      <c r="I25" s="10">
        <f>ABS(C25-ADC!I25)</f>
        <v>1.5229120283357239E-2</v>
      </c>
    </row>
    <row r="26" spans="1:9" x14ac:dyDescent="0.25">
      <c r="A26" s="3">
        <v>24</v>
      </c>
      <c r="B26" s="3">
        <f t="shared" si="1"/>
        <v>22.4</v>
      </c>
      <c r="C26" s="12">
        <f t="shared" si="2"/>
        <v>0.2</v>
      </c>
      <c r="D26" s="7"/>
      <c r="E26" s="10">
        <f>(ADC!I26+5/3)/(1/12)</f>
        <v>22.204189613498247</v>
      </c>
      <c r="F26" s="11">
        <f t="shared" si="0"/>
        <v>8.7415351116853276E-3</v>
      </c>
      <c r="G26" s="2"/>
      <c r="H26" s="2"/>
      <c r="I26" s="10">
        <f>ABS(C26-ADC!I26)</f>
        <v>1.6317532208479757E-2</v>
      </c>
    </row>
    <row r="27" spans="1:9" x14ac:dyDescent="0.25">
      <c r="A27" s="3">
        <v>25</v>
      </c>
      <c r="B27" s="3">
        <f t="shared" si="1"/>
        <v>22.5</v>
      </c>
      <c r="C27" s="12">
        <f t="shared" si="2"/>
        <v>0.20833299999999999</v>
      </c>
      <c r="D27" s="7"/>
      <c r="E27" s="10">
        <f>(ADC!I27+5/3)/(1/12)</f>
        <v>22.29144224543937</v>
      </c>
      <c r="F27" s="11">
        <f t="shared" si="0"/>
        <v>9.2692335360279945E-3</v>
      </c>
      <c r="G27" s="2"/>
      <c r="H27" s="2"/>
      <c r="I27" s="10">
        <f>ABS(C27-ADC!I27)</f>
        <v>1.7379479546719256E-2</v>
      </c>
    </row>
    <row r="28" spans="1:9" x14ac:dyDescent="0.25">
      <c r="A28" s="3">
        <v>26</v>
      </c>
      <c r="B28" s="3">
        <f t="shared" si="1"/>
        <v>22.6</v>
      </c>
      <c r="C28" s="12">
        <f t="shared" si="2"/>
        <v>0.216667</v>
      </c>
      <c r="D28" s="7"/>
      <c r="E28" s="10">
        <f>(ADC!I28+5/3)/(1/12)</f>
        <v>22.36758263152559</v>
      </c>
      <c r="F28" s="11">
        <f t="shared" si="0"/>
        <v>1.0283954357274855E-2</v>
      </c>
      <c r="G28" s="2"/>
      <c r="H28" s="2"/>
      <c r="I28" s="10">
        <f>ABS(C28-ADC!I28)</f>
        <v>1.9368447372867692E-2</v>
      </c>
    </row>
    <row r="29" spans="1:9" x14ac:dyDescent="0.25">
      <c r="A29" s="3">
        <v>27</v>
      </c>
      <c r="B29" s="3">
        <f t="shared" si="1"/>
        <v>22.7</v>
      </c>
      <c r="C29" s="12">
        <f t="shared" si="2"/>
        <v>0.22500000000000001</v>
      </c>
      <c r="D29" s="7"/>
      <c r="E29" s="10">
        <f>(ADC!I29+5/3)/(1/12)</f>
        <v>22.455479845140296</v>
      </c>
      <c r="F29" s="11">
        <f t="shared" si="0"/>
        <v>1.0771812989414245E-2</v>
      </c>
      <c r="G29" s="2"/>
      <c r="H29" s="2"/>
      <c r="I29" s="10">
        <f>ABS(C29-ADC!I29)</f>
        <v>2.0376679571642214E-2</v>
      </c>
    </row>
    <row r="30" spans="1:9" x14ac:dyDescent="0.25">
      <c r="A30" s="3">
        <v>28</v>
      </c>
      <c r="B30" s="3">
        <f t="shared" si="1"/>
        <v>22.8</v>
      </c>
      <c r="C30" s="12">
        <f t="shared" si="2"/>
        <v>0.23333300000000001</v>
      </c>
      <c r="D30" s="7"/>
      <c r="E30" s="10">
        <f>(ADC!I30+5/3)/(1/12)</f>
        <v>22.54369401397409</v>
      </c>
      <c r="F30" s="11">
        <f t="shared" si="0"/>
        <v>1.1241490615171532E-2</v>
      </c>
      <c r="G30" s="2"/>
      <c r="H30" s="2"/>
      <c r="I30" s="10">
        <f>ABS(C30-ADC!I30)</f>
        <v>2.1358498835492623E-2</v>
      </c>
    </row>
    <row r="31" spans="1:9" x14ac:dyDescent="0.25">
      <c r="A31" s="3">
        <v>29</v>
      </c>
      <c r="B31" s="3">
        <f t="shared" si="1"/>
        <v>22.9</v>
      </c>
      <c r="C31" s="12">
        <f t="shared" si="2"/>
        <v>0.24166699999999999</v>
      </c>
      <c r="D31" s="7"/>
      <c r="E31" s="10">
        <f>(ADC!I31+5/3)/(1/12)</f>
        <v>22.620825588863486</v>
      </c>
      <c r="F31" s="11">
        <f t="shared" si="0"/>
        <v>1.2191022320371732E-2</v>
      </c>
      <c r="G31" s="2"/>
      <c r="H31" s="2"/>
      <c r="I31" s="10">
        <f>ABS(C31-ADC!I31)</f>
        <v>2.3264867594709721E-2</v>
      </c>
    </row>
    <row r="32" spans="1:9" x14ac:dyDescent="0.25">
      <c r="A32" s="3">
        <v>30</v>
      </c>
      <c r="B32" s="3">
        <f t="shared" si="1"/>
        <v>23</v>
      </c>
      <c r="C32" s="12">
        <f t="shared" si="2"/>
        <v>0.25</v>
      </c>
      <c r="D32" s="7"/>
      <c r="E32" s="10">
        <f>(ADC!I32+5/3)/(1/12)</f>
        <v>22.709683116093018</v>
      </c>
      <c r="F32" s="11">
        <f t="shared" si="0"/>
        <v>1.2622473213347047E-2</v>
      </c>
      <c r="G32" s="2"/>
      <c r="H32" s="2"/>
      <c r="I32" s="10">
        <f>ABS(C32-ADC!I32)</f>
        <v>2.4193073658915237E-2</v>
      </c>
    </row>
    <row r="33" spans="1:9" x14ac:dyDescent="0.25">
      <c r="A33" s="3">
        <v>31</v>
      </c>
      <c r="B33" s="3">
        <f t="shared" si="1"/>
        <v>23.1</v>
      </c>
      <c r="C33" s="12">
        <f t="shared" si="2"/>
        <v>0.25833299999999998</v>
      </c>
      <c r="D33" s="7"/>
      <c r="E33" s="10">
        <f>(ADC!I33+5/3)/(1/12)</f>
        <v>22.787477905514361</v>
      </c>
      <c r="F33" s="11">
        <f t="shared" si="0"/>
        <v>1.3529094999378362E-2</v>
      </c>
      <c r="G33" s="2"/>
      <c r="H33" s="2"/>
      <c r="I33" s="10">
        <f>ABS(C33-ADC!I33)</f>
        <v>2.6043174540469893E-2</v>
      </c>
    </row>
    <row r="34" spans="1:9" x14ac:dyDescent="0.25">
      <c r="A34" s="3">
        <v>32</v>
      </c>
      <c r="B34" s="3">
        <f t="shared" si="1"/>
        <v>23.2</v>
      </c>
      <c r="C34" s="12">
        <f t="shared" si="2"/>
        <v>0.26666699999999999</v>
      </c>
      <c r="D34" s="7"/>
      <c r="E34" s="10">
        <f>(ADC!I34+5/3)/(1/12)</f>
        <v>22.876977934998592</v>
      </c>
      <c r="F34" s="11">
        <f t="shared" si="0"/>
        <v>1.3923364870750295E-2</v>
      </c>
      <c r="G34" s="2"/>
      <c r="H34" s="2"/>
      <c r="I34" s="10">
        <f>ABS(C34-ADC!I34)</f>
        <v>2.691883875011758E-2</v>
      </c>
    </row>
    <row r="35" spans="1:9" x14ac:dyDescent="0.25">
      <c r="A35" s="3">
        <v>33</v>
      </c>
      <c r="B35" s="3">
        <f t="shared" si="1"/>
        <v>23.3</v>
      </c>
      <c r="C35" s="12">
        <f t="shared" si="2"/>
        <v>0.27500000000000002</v>
      </c>
      <c r="D35" s="7"/>
      <c r="E35" s="10">
        <f>(ADC!I35+5/3)/(1/12)</f>
        <v>22.955435137107877</v>
      </c>
      <c r="F35" s="11">
        <f t="shared" si="0"/>
        <v>1.4788191540434509E-2</v>
      </c>
      <c r="G35" s="2"/>
      <c r="H35" s="2"/>
      <c r="I35" s="10">
        <f>ABS(C35-ADC!I35)</f>
        <v>2.8713738574343756E-2</v>
      </c>
    </row>
    <row r="36" spans="1:9" x14ac:dyDescent="0.25">
      <c r="A36" s="3">
        <v>34</v>
      </c>
      <c r="B36" s="3">
        <f t="shared" si="1"/>
        <v>23.4</v>
      </c>
      <c r="C36" s="12">
        <f t="shared" si="2"/>
        <v>0.283333</v>
      </c>
      <c r="D36" s="7"/>
      <c r="E36" s="10">
        <f>(ADC!I36+5/3)/(1/12)</f>
        <v>23.045576754256963</v>
      </c>
      <c r="F36" s="11">
        <f t="shared" si="0"/>
        <v>1.5146292553121173E-2</v>
      </c>
      <c r="G36" s="2"/>
      <c r="H36" s="2"/>
      <c r="I36" s="10">
        <f>ABS(C36-ADC!I36)</f>
        <v>2.9534937145253348E-2</v>
      </c>
    </row>
    <row r="37" spans="1:9" x14ac:dyDescent="0.25">
      <c r="A37" s="3">
        <v>35</v>
      </c>
      <c r="B37" s="3">
        <f t="shared" si="1"/>
        <v>23.5</v>
      </c>
      <c r="C37" s="12">
        <f t="shared" si="2"/>
        <v>0.29166700000000001</v>
      </c>
      <c r="D37" s="7"/>
      <c r="E37" s="10">
        <f>(ADC!I37+5/3)/(1/12)</f>
        <v>23.136033696055119</v>
      </c>
      <c r="F37" s="11">
        <f t="shared" si="0"/>
        <v>1.5487927827441756E-2</v>
      </c>
      <c r="G37" s="2"/>
      <c r="H37" s="2"/>
      <c r="I37" s="10">
        <f>ABS(C37-ADC!I37)</f>
        <v>3.0330858662073412E-2</v>
      </c>
    </row>
    <row r="38" spans="1:9" x14ac:dyDescent="0.25">
      <c r="A38" s="3">
        <v>36</v>
      </c>
      <c r="B38" s="3">
        <f t="shared" si="1"/>
        <v>23.6</v>
      </c>
      <c r="C38" s="12">
        <f t="shared" si="2"/>
        <v>0.3</v>
      </c>
      <c r="D38" s="7"/>
      <c r="E38" s="10">
        <f>(ADC!I38+5/3)/(1/12)</f>
        <v>23.215477777854023</v>
      </c>
      <c r="F38" s="11">
        <f t="shared" si="0"/>
        <v>1.6293314497710952E-2</v>
      </c>
      <c r="G38" s="2"/>
      <c r="H38" s="2"/>
      <c r="I38" s="10">
        <f>ABS(C38-ADC!I38)</f>
        <v>3.2043518512165081E-2</v>
      </c>
    </row>
    <row r="39" spans="1:9" x14ac:dyDescent="0.25">
      <c r="A39" s="3">
        <v>37</v>
      </c>
      <c r="B39" s="3">
        <f t="shared" si="1"/>
        <v>23.7</v>
      </c>
      <c r="C39" s="12">
        <f t="shared" si="2"/>
        <v>0.30833300000000002</v>
      </c>
      <c r="D39" s="7"/>
      <c r="E39" s="10">
        <f>(ADC!I39+5/3)/(1/12)</f>
        <v>23.306574836488767</v>
      </c>
      <c r="F39" s="11">
        <f t="shared" si="0"/>
        <v>1.6600217869672227E-2</v>
      </c>
      <c r="G39" s="2"/>
      <c r="H39" s="2"/>
      <c r="I39" s="10">
        <f>ABS(C39-ADC!I39)</f>
        <v>3.2785096959269677E-2</v>
      </c>
    </row>
    <row r="40" spans="1:9" x14ac:dyDescent="0.25">
      <c r="A40" s="3">
        <v>38</v>
      </c>
      <c r="B40" s="3">
        <f t="shared" si="1"/>
        <v>23.8</v>
      </c>
      <c r="C40" s="12">
        <f t="shared" si="2"/>
        <v>0.31666699999999998</v>
      </c>
      <c r="D40" s="7"/>
      <c r="E40" s="10">
        <f>(ADC!I40+5/3)/(1/12)</f>
        <v>23.386679102390897</v>
      </c>
      <c r="F40" s="11">
        <f t="shared" si="0"/>
        <v>1.7366424269290085E-2</v>
      </c>
      <c r="G40" s="2"/>
      <c r="H40" s="2"/>
      <c r="I40" s="10">
        <f>ABS(C40-ADC!I40)</f>
        <v>3.4443741467425348E-2</v>
      </c>
    </row>
    <row r="41" spans="1:9" x14ac:dyDescent="0.25">
      <c r="A41" s="3">
        <v>39</v>
      </c>
      <c r="B41" s="3">
        <f t="shared" si="1"/>
        <v>23.9</v>
      </c>
      <c r="C41" s="12">
        <f t="shared" si="2"/>
        <v>0.32500000000000001</v>
      </c>
      <c r="D41" s="7"/>
      <c r="E41" s="10">
        <f>(ADC!I41+5/3)/(1/12)</f>
        <v>23.478415253774003</v>
      </c>
      <c r="F41" s="11">
        <f t="shared" si="0"/>
        <v>1.7639529130794807E-2</v>
      </c>
      <c r="G41" s="2"/>
      <c r="H41" s="2"/>
      <c r="I41" s="10">
        <f>ABS(C41-ADC!I41)</f>
        <v>3.5132062185499913E-2</v>
      </c>
    </row>
    <row r="42" spans="1:9" x14ac:dyDescent="0.25">
      <c r="A42" s="3">
        <v>40</v>
      </c>
      <c r="B42" s="3">
        <f t="shared" si="1"/>
        <v>24</v>
      </c>
      <c r="C42" s="12">
        <f t="shared" si="2"/>
        <v>0.33333299999999999</v>
      </c>
      <c r="D42" s="7"/>
      <c r="E42" s="10">
        <f>(ADC!I42+5/3)/(1/12)</f>
        <v>23.559178734684814</v>
      </c>
      <c r="F42" s="11">
        <f t="shared" si="0"/>
        <v>1.8367552721466101E-2</v>
      </c>
      <c r="G42" s="2"/>
      <c r="H42" s="2"/>
      <c r="I42" s="10">
        <f>ABS(C42-ADC!I42)</f>
        <v>3.6734772109599134E-2</v>
      </c>
    </row>
    <row r="43" spans="1:9" x14ac:dyDescent="0.25">
      <c r="A43" s="3">
        <v>41</v>
      </c>
      <c r="B43" s="3">
        <f t="shared" si="1"/>
        <v>24.1</v>
      </c>
      <c r="C43" s="12">
        <f t="shared" si="2"/>
        <v>0.341667</v>
      </c>
      <c r="D43" s="7"/>
      <c r="E43" s="10">
        <f>(ADC!I43+5/3)/(1/12)</f>
        <v>23.640276632847943</v>
      </c>
      <c r="F43" s="11">
        <f t="shared" si="0"/>
        <v>1.9075658388052214E-2</v>
      </c>
      <c r="G43" s="2"/>
      <c r="H43" s="2"/>
      <c r="I43" s="10">
        <f>ABS(C43-ADC!I43)</f>
        <v>3.8310613929338266E-2</v>
      </c>
    </row>
    <row r="44" spans="1:9" x14ac:dyDescent="0.25">
      <c r="A44" s="3">
        <v>42</v>
      </c>
      <c r="B44" s="3">
        <f t="shared" si="1"/>
        <v>24.2</v>
      </c>
      <c r="C44" s="12">
        <f t="shared" si="2"/>
        <v>0.35</v>
      </c>
      <c r="D44" s="7"/>
      <c r="E44" s="10">
        <f>(ADC!I44+5/3)/(1/12)</f>
        <v>23.721708716325068</v>
      </c>
      <c r="F44" s="11">
        <f t="shared" si="0"/>
        <v>1.9764102631195501E-2</v>
      </c>
      <c r="G44" s="2"/>
      <c r="H44" s="2"/>
      <c r="I44" s="10">
        <f>ABS(C44-ADC!I44)</f>
        <v>3.985760697291113E-2</v>
      </c>
    </row>
    <row r="45" spans="1:9" x14ac:dyDescent="0.25">
      <c r="A45" s="3">
        <v>43</v>
      </c>
      <c r="B45" s="3">
        <f t="shared" si="1"/>
        <v>24.3</v>
      </c>
      <c r="C45" s="12">
        <f t="shared" si="2"/>
        <v>0.35833300000000001</v>
      </c>
      <c r="D45" s="7"/>
      <c r="E45" s="10">
        <f>(ADC!I45+5/3)/(1/12)</f>
        <v>23.803474731699794</v>
      </c>
      <c r="F45" s="11">
        <f t="shared" si="0"/>
        <v>2.0433138613177245E-2</v>
      </c>
      <c r="G45" s="2"/>
      <c r="H45" s="2"/>
      <c r="I45" s="10">
        <f>ABS(C45-ADC!I45)</f>
        <v>4.1376772358350744E-2</v>
      </c>
    </row>
    <row r="46" spans="1:9" x14ac:dyDescent="0.25">
      <c r="A46" s="3">
        <v>44</v>
      </c>
      <c r="B46" s="3">
        <f t="shared" si="1"/>
        <v>24.4</v>
      </c>
      <c r="C46" s="12">
        <f t="shared" si="2"/>
        <v>0.36666700000000002</v>
      </c>
      <c r="D46" s="7"/>
      <c r="E46" s="10">
        <f>(ADC!I46+5/3)/(1/12)</f>
        <v>23.896819428060837</v>
      </c>
      <c r="F46" s="11">
        <f t="shared" si="0"/>
        <v>2.0622154587670548E-2</v>
      </c>
      <c r="G46" s="2"/>
      <c r="H46" s="2"/>
      <c r="I46" s="10">
        <f>ABS(C46-ADC!I46)</f>
        <v>4.1932047661597249E-2</v>
      </c>
    </row>
    <row r="47" spans="1:9" x14ac:dyDescent="0.25">
      <c r="A47" s="3">
        <v>45</v>
      </c>
      <c r="B47" s="3">
        <f t="shared" si="1"/>
        <v>24.5</v>
      </c>
      <c r="C47" s="12">
        <f t="shared" si="2"/>
        <v>0.375</v>
      </c>
      <c r="D47" s="7"/>
      <c r="E47" s="10">
        <f>(ADC!I47+5/3)/(1/12)</f>
        <v>23.979242084921417</v>
      </c>
      <c r="F47" s="11">
        <f t="shared" si="0"/>
        <v>2.1255425105248298E-2</v>
      </c>
      <c r="G47" s="2"/>
      <c r="H47" s="2"/>
      <c r="I47" s="10">
        <f>ABS(C47-ADC!I47)</f>
        <v>4.3396492923215402E-2</v>
      </c>
    </row>
    <row r="48" spans="1:9" x14ac:dyDescent="0.25">
      <c r="A48" s="3">
        <v>46</v>
      </c>
      <c r="B48" s="3">
        <f t="shared" si="1"/>
        <v>24.6</v>
      </c>
      <c r="C48" s="12">
        <f t="shared" si="2"/>
        <v>0.38333299999999998</v>
      </c>
      <c r="D48" s="7"/>
      <c r="E48" s="10">
        <f>(ADC!I48+5/3)/(1/12)</f>
        <v>24.061997887156085</v>
      </c>
      <c r="F48" s="11">
        <f t="shared" si="0"/>
        <v>2.1870004587151059E-2</v>
      </c>
      <c r="G48" s="2"/>
      <c r="H48" s="2"/>
      <c r="I48" s="10">
        <f>ABS(C48-ADC!I48)</f>
        <v>4.4833176070326108E-2</v>
      </c>
    </row>
    <row r="49" spans="1:9" x14ac:dyDescent="0.25">
      <c r="A49" s="3">
        <v>47</v>
      </c>
      <c r="B49" s="3">
        <f t="shared" si="1"/>
        <v>24.7</v>
      </c>
      <c r="C49" s="12">
        <f t="shared" si="2"/>
        <v>0.39166699999999999</v>
      </c>
      <c r="D49" s="7"/>
      <c r="E49" s="10">
        <f>(ADC!I49+5/3)/(1/12)</f>
        <v>24.156300126590626</v>
      </c>
      <c r="F49" s="11">
        <f t="shared" si="0"/>
        <v>2.2012140623861271E-2</v>
      </c>
      <c r="G49" s="2"/>
      <c r="H49" s="2"/>
      <c r="I49" s="10">
        <f>ABS(C49-ADC!I49)</f>
        <v>4.5308656117447943E-2</v>
      </c>
    </row>
    <row r="50" spans="1:9" x14ac:dyDescent="0.25">
      <c r="A50" s="3">
        <v>48</v>
      </c>
      <c r="B50" s="3">
        <f t="shared" si="1"/>
        <v>24.8</v>
      </c>
      <c r="C50" s="12">
        <f t="shared" si="2"/>
        <v>0.4</v>
      </c>
      <c r="D50" s="7"/>
      <c r="E50" s="10">
        <f>(ADC!I50+5/3)/(1/12)</f>
        <v>24.239710865286661</v>
      </c>
      <c r="F50" s="11">
        <f t="shared" si="0"/>
        <v>2.2592303819086293E-2</v>
      </c>
      <c r="G50" s="2"/>
      <c r="H50" s="2"/>
      <c r="I50" s="10">
        <f>ABS(C50-ADC!I50)</f>
        <v>4.669076122611171E-2</v>
      </c>
    </row>
    <row r="51" spans="1:9" x14ac:dyDescent="0.25">
      <c r="A51" s="3">
        <v>49</v>
      </c>
      <c r="B51" s="3">
        <f t="shared" si="1"/>
        <v>24.9</v>
      </c>
      <c r="C51" s="12">
        <f t="shared" si="2"/>
        <v>0.408333</v>
      </c>
      <c r="D51" s="7"/>
      <c r="E51" s="10">
        <f>(ADC!I51+5/3)/(1/12)</f>
        <v>24.32345389281318</v>
      </c>
      <c r="F51" s="11">
        <f t="shared" si="0"/>
        <v>2.3154462136016792E-2</v>
      </c>
      <c r="G51" s="2"/>
      <c r="H51" s="2"/>
      <c r="I51" s="10">
        <f>ABS(C51-ADC!I51)</f>
        <v>4.8045175598901813E-2</v>
      </c>
    </row>
    <row r="52" spans="1:9" x14ac:dyDescent="0.25">
      <c r="A52" s="3">
        <v>50</v>
      </c>
      <c r="B52" s="3">
        <f t="shared" si="1"/>
        <v>25</v>
      </c>
      <c r="C52" s="12">
        <f t="shared" si="2"/>
        <v>0.41666700000000001</v>
      </c>
      <c r="D52" s="7"/>
      <c r="E52" s="10">
        <f>(ADC!I52+5/3)/(1/12)</f>
        <v>24.418710887797349</v>
      </c>
      <c r="F52" s="11">
        <f t="shared" si="0"/>
        <v>2.3251564488106027E-2</v>
      </c>
      <c r="G52" s="2"/>
      <c r="H52" s="2"/>
      <c r="I52" s="10">
        <f>ABS(C52-ADC!I52)</f>
        <v>4.8441092683554399E-2</v>
      </c>
    </row>
    <row r="53" spans="1:9" x14ac:dyDescent="0.25">
      <c r="A53" s="3">
        <v>51</v>
      </c>
      <c r="B53" s="3">
        <f t="shared" si="1"/>
        <v>25.1</v>
      </c>
      <c r="C53" s="12">
        <f t="shared" si="2"/>
        <v>0.42499999999999999</v>
      </c>
      <c r="D53" s="7"/>
      <c r="E53" s="10">
        <f>(ADC!I53+5/3)/(1/12)</f>
        <v>24.503107043334108</v>
      </c>
      <c r="F53" s="11">
        <f t="shared" si="0"/>
        <v>2.3780595883103328E-2</v>
      </c>
      <c r="G53" s="2"/>
      <c r="H53" s="2"/>
      <c r="I53" s="10">
        <f>ABS(C53-ADC!I53)</f>
        <v>4.9741079722157522E-2</v>
      </c>
    </row>
    <row r="54" spans="1:9" x14ac:dyDescent="0.25">
      <c r="A54" s="3">
        <v>52</v>
      </c>
      <c r="B54" s="3">
        <f t="shared" si="1"/>
        <v>25.2</v>
      </c>
      <c r="C54" s="12">
        <f t="shared" si="2"/>
        <v>0.43333300000000002</v>
      </c>
      <c r="D54" s="7"/>
      <c r="E54" s="10">
        <f>(ADC!I54+5/3)/(1/12)</f>
        <v>24.587834582816818</v>
      </c>
      <c r="F54" s="11">
        <f t="shared" si="0"/>
        <v>2.4292278459650058E-2</v>
      </c>
      <c r="G54" s="2"/>
      <c r="H54" s="2"/>
      <c r="I54" s="10">
        <f>ABS(C54-ADC!I54)</f>
        <v>5.1013451431932144E-2</v>
      </c>
    </row>
    <row r="55" spans="1:9" x14ac:dyDescent="0.25">
      <c r="A55" s="3">
        <v>53</v>
      </c>
      <c r="B55" s="3">
        <f t="shared" si="1"/>
        <v>25.3</v>
      </c>
      <c r="C55" s="12">
        <f t="shared" si="2"/>
        <v>0.44166699999999998</v>
      </c>
      <c r="D55" s="7"/>
      <c r="E55" s="10">
        <f>(ADC!I55+5/3)/(1/12)</f>
        <v>24.684043374532884</v>
      </c>
      <c r="F55" s="11">
        <f t="shared" si="0"/>
        <v>2.4346111678542171E-2</v>
      </c>
      <c r="G55" s="2"/>
      <c r="H55" s="2"/>
      <c r="I55" s="10">
        <f>ABS(C55-ADC!I55)</f>
        <v>5.1330052122259773E-2</v>
      </c>
    </row>
    <row r="56" spans="1:9" x14ac:dyDescent="0.25">
      <c r="A56" s="3">
        <v>54</v>
      </c>
      <c r="B56" s="3">
        <f t="shared" si="1"/>
        <v>25.4</v>
      </c>
      <c r="C56" s="12">
        <f t="shared" si="2"/>
        <v>0.45</v>
      </c>
      <c r="D56" s="7"/>
      <c r="E56" s="10">
        <f>(ADC!I56+5/3)/(1/12)</f>
        <v>24.769422118139182</v>
      </c>
      <c r="F56" s="11">
        <f t="shared" si="0"/>
        <v>2.4825900860662053E-2</v>
      </c>
      <c r="G56" s="2"/>
      <c r="H56" s="2"/>
      <c r="I56" s="10">
        <f>ABS(C56-ADC!I56)</f>
        <v>5.2548156821735026E-2</v>
      </c>
    </row>
    <row r="57" spans="1:9" x14ac:dyDescent="0.25">
      <c r="A57" s="3">
        <v>55</v>
      </c>
      <c r="B57" s="3">
        <f t="shared" si="1"/>
        <v>25.5</v>
      </c>
      <c r="C57" s="12">
        <f t="shared" si="2"/>
        <v>0.45833299999999999</v>
      </c>
      <c r="D57" s="7"/>
      <c r="E57" s="10">
        <f>(ADC!I57+5/3)/(1/12)</f>
        <v>24.855131285030165</v>
      </c>
      <c r="F57" s="11">
        <f t="shared" si="0"/>
        <v>2.5288969214503337E-2</v>
      </c>
      <c r="G57" s="2"/>
      <c r="H57" s="2"/>
      <c r="I57" s="10">
        <f>ABS(C57-ADC!I57)</f>
        <v>5.3738726247486435E-2</v>
      </c>
    </row>
    <row r="58" spans="1:9" x14ac:dyDescent="0.25">
      <c r="A58" s="3">
        <v>56</v>
      </c>
      <c r="B58" s="3">
        <f t="shared" si="1"/>
        <v>25.6</v>
      </c>
      <c r="C58" s="12">
        <f t="shared" si="2"/>
        <v>0.466667</v>
      </c>
      <c r="D58" s="7"/>
      <c r="E58" s="10">
        <f>(ADC!I58+5/3)/(1/12)</f>
        <v>24.941170555843634</v>
      </c>
      <c r="F58" s="11">
        <f t="shared" si="0"/>
        <v>2.5735525162358108E-2</v>
      </c>
      <c r="G58" s="2"/>
      <c r="H58" s="2"/>
      <c r="I58" s="10">
        <f>ABS(C58-ADC!I58)</f>
        <v>5.4902787013030585E-2</v>
      </c>
    </row>
    <row r="59" spans="1:9" x14ac:dyDescent="0.25">
      <c r="A59" s="3">
        <v>57</v>
      </c>
      <c r="B59" s="3">
        <f t="shared" si="1"/>
        <v>25.7</v>
      </c>
      <c r="C59" s="12">
        <f t="shared" si="2"/>
        <v>0.47499999999999998</v>
      </c>
      <c r="D59" s="7"/>
      <c r="E59" s="10">
        <f>(ADC!I59+5/3)/(1/12)</f>
        <v>25.038647093729566</v>
      </c>
      <c r="F59" s="11">
        <f t="shared" si="0"/>
        <v>2.5733576119472131E-2</v>
      </c>
      <c r="G59" s="2"/>
      <c r="H59" s="2"/>
      <c r="I59" s="10">
        <f>ABS(C59-ADC!I59)</f>
        <v>5.5112742189202923E-2</v>
      </c>
    </row>
    <row r="60" spans="1:9" x14ac:dyDescent="0.25">
      <c r="A60" s="3">
        <v>58</v>
      </c>
      <c r="B60" s="3">
        <f t="shared" si="1"/>
        <v>25.8</v>
      </c>
      <c r="C60" s="12">
        <f t="shared" si="2"/>
        <v>0.48333300000000001</v>
      </c>
      <c r="D60" s="7"/>
      <c r="E60" s="10">
        <f>(ADC!I60+5/3)/(1/12)</f>
        <v>25.125334838984045</v>
      </c>
      <c r="F60" s="11">
        <f t="shared" si="0"/>
        <v>2.6149812442478888E-2</v>
      </c>
      <c r="G60" s="2"/>
      <c r="H60" s="2"/>
      <c r="I60" s="10">
        <f>ABS(C60-ADC!I60)</f>
        <v>5.622176341799634E-2</v>
      </c>
    </row>
    <row r="61" spans="1:9" x14ac:dyDescent="0.25">
      <c r="A61" s="3">
        <v>59</v>
      </c>
      <c r="B61" s="3">
        <f t="shared" si="1"/>
        <v>25.9</v>
      </c>
      <c r="C61" s="12">
        <f t="shared" si="2"/>
        <v>0.49166700000000002</v>
      </c>
      <c r="D61" s="7"/>
      <c r="E61" s="10">
        <f>(ADC!I61+5/3)/(1/12)</f>
        <v>25.212351655884145</v>
      </c>
      <c r="F61" s="11">
        <f t="shared" si="0"/>
        <v>2.6550129116442219E-2</v>
      </c>
      <c r="G61" s="2"/>
      <c r="H61" s="2"/>
      <c r="I61" s="10">
        <f>ABS(C61-ADC!I61)</f>
        <v>5.730436200965483E-2</v>
      </c>
    </row>
    <row r="62" spans="1:9" x14ac:dyDescent="0.25">
      <c r="A62" s="3">
        <v>60</v>
      </c>
      <c r="B62" s="3">
        <f t="shared" si="1"/>
        <v>26</v>
      </c>
      <c r="C62" s="12">
        <f t="shared" si="2"/>
        <v>0.5</v>
      </c>
      <c r="D62" s="7"/>
      <c r="E62" s="10">
        <f>(ADC!I62+5/3)/(1/12)</f>
        <v>25.299697189105931</v>
      </c>
      <c r="F62" s="11">
        <f t="shared" si="0"/>
        <v>2.6934723495925732E-2</v>
      </c>
      <c r="G62" s="2"/>
      <c r="H62" s="2"/>
      <c r="I62" s="10">
        <f>ABS(C62-ADC!I62)</f>
        <v>5.8358567574506137E-2</v>
      </c>
    </row>
    <row r="63" spans="1:9" x14ac:dyDescent="0.25">
      <c r="A63" s="3">
        <v>61</v>
      </c>
      <c r="B63" s="3">
        <f t="shared" si="1"/>
        <v>26.1</v>
      </c>
      <c r="C63" s="12">
        <f t="shared" si="2"/>
        <v>0.50833300000000003</v>
      </c>
      <c r="D63" s="7"/>
      <c r="E63" s="10">
        <f>(ADC!I63+5/3)/(1/12)</f>
        <v>25.387371083838492</v>
      </c>
      <c r="F63" s="11">
        <f t="shared" si="0"/>
        <v>2.7303789891245586E-2</v>
      </c>
      <c r="G63" s="2"/>
      <c r="H63" s="2"/>
      <c r="I63" s="10">
        <f>ABS(C63-ADC!I63)</f>
        <v>5.9385409680125845E-2</v>
      </c>
    </row>
    <row r="64" spans="1:9" x14ac:dyDescent="0.25">
      <c r="A64" s="3">
        <v>62</v>
      </c>
      <c r="B64" s="3">
        <f t="shared" si="1"/>
        <v>26.2</v>
      </c>
      <c r="C64" s="12">
        <f t="shared" si="2"/>
        <v>0.51666699999999999</v>
      </c>
      <c r="D64" s="7"/>
      <c r="E64" s="10">
        <f>(ADC!I64+5/3)/(1/12)</f>
        <v>25.48642668328409</v>
      </c>
      <c r="F64" s="11">
        <f t="shared" si="0"/>
        <v>2.7235622775416368E-2</v>
      </c>
      <c r="G64" s="2"/>
      <c r="H64" s="2"/>
      <c r="I64" s="10">
        <f>ABS(C64-ADC!I64)</f>
        <v>5.946477639299258E-2</v>
      </c>
    </row>
    <row r="65" spans="1:9" x14ac:dyDescent="0.25">
      <c r="A65" s="3">
        <v>63</v>
      </c>
      <c r="B65" s="3">
        <f t="shared" si="1"/>
        <v>26.3</v>
      </c>
      <c r="C65" s="12">
        <f t="shared" si="2"/>
        <v>0.52500000000000002</v>
      </c>
      <c r="D65" s="7"/>
      <c r="E65" s="10">
        <f>(ADC!I65+5/3)/(1/12)</f>
        <v>25.57474538573814</v>
      </c>
      <c r="F65" s="11">
        <f t="shared" si="0"/>
        <v>2.7576221074595456E-2</v>
      </c>
      <c r="G65" s="2"/>
      <c r="H65" s="2"/>
      <c r="I65" s="10">
        <f>ABS(C65-ADC!I65)</f>
        <v>6.0437884521821583E-2</v>
      </c>
    </row>
    <row r="66" spans="1:9" x14ac:dyDescent="0.25">
      <c r="A66" s="3">
        <v>64</v>
      </c>
      <c r="B66" s="3">
        <f t="shared" si="1"/>
        <v>26.4</v>
      </c>
      <c r="C66" s="12">
        <f t="shared" si="2"/>
        <v>0.53333299999999995</v>
      </c>
      <c r="D66" s="7"/>
      <c r="E66" s="10">
        <f>(ADC!I66+5/3)/(1/12)</f>
        <v>25.663391323565463</v>
      </c>
      <c r="F66" s="11">
        <f t="shared" ref="F66:F129" si="3">ABS(B66-E66)/B66</f>
        <v>2.7901843804338463E-2</v>
      </c>
      <c r="G66" s="2"/>
      <c r="H66" s="2"/>
      <c r="I66" s="10">
        <f>ABS(C66-ADC!I66)</f>
        <v>6.1383723036211424E-2</v>
      </c>
    </row>
    <row r="67" spans="1:9" x14ac:dyDescent="0.25">
      <c r="A67" s="3">
        <v>65</v>
      </c>
      <c r="B67" s="3">
        <f t="shared" ref="B67:B130" si="4">0.1*A67+20</f>
        <v>26.5</v>
      </c>
      <c r="C67" s="12">
        <f t="shared" ref="C67:C130" si="5">ROUND(1/12*B67-5/3,6)</f>
        <v>0.54166700000000001</v>
      </c>
      <c r="D67" s="7"/>
      <c r="E67" s="10">
        <f>(ADC!I67+5/3)/(1/12)</f>
        <v>25.752364118557328</v>
      </c>
      <c r="F67" s="11">
        <f t="shared" si="3"/>
        <v>2.8212674771421604E-2</v>
      </c>
      <c r="G67" s="2"/>
      <c r="H67" s="2"/>
      <c r="I67" s="10">
        <f>ABS(C67-ADC!I67)</f>
        <v>6.2303323453556325E-2</v>
      </c>
    </row>
    <row r="68" spans="1:9" x14ac:dyDescent="0.25">
      <c r="A68" s="3">
        <v>66</v>
      </c>
      <c r="B68" s="3">
        <f t="shared" si="4"/>
        <v>26.6</v>
      </c>
      <c r="C68" s="12">
        <f t="shared" si="5"/>
        <v>0.55000000000000004</v>
      </c>
      <c r="D68" s="7"/>
      <c r="E68" s="10">
        <f>(ADC!I68+5/3)/(1/12)</f>
        <v>25.841663381709498</v>
      </c>
      <c r="F68" s="11">
        <f t="shared" si="3"/>
        <v>2.8508895424455005E-2</v>
      </c>
      <c r="G68" s="2"/>
      <c r="H68" s="2"/>
      <c r="I68" s="10">
        <f>ABS(C68-ADC!I68)</f>
        <v>6.3194718190875576E-2</v>
      </c>
    </row>
    <row r="69" spans="1:9" x14ac:dyDescent="0.25">
      <c r="A69" s="3">
        <v>67</v>
      </c>
      <c r="B69" s="3">
        <f t="shared" si="4"/>
        <v>26.7</v>
      </c>
      <c r="C69" s="12">
        <f t="shared" si="5"/>
        <v>0.55833299999999997</v>
      </c>
      <c r="D69" s="7"/>
      <c r="E69" s="10">
        <f>(ADC!I69+5/3)/(1/12)</f>
        <v>25.931288717585115</v>
      </c>
      <c r="F69" s="11">
        <f t="shared" si="3"/>
        <v>2.8790684734639853E-2</v>
      </c>
      <c r="G69" s="2"/>
      <c r="H69" s="2"/>
      <c r="I69" s="10">
        <f>ABS(C69-ADC!I69)</f>
        <v>6.4058940201240699E-2</v>
      </c>
    </row>
    <row r="70" spans="1:9" x14ac:dyDescent="0.25">
      <c r="A70" s="3">
        <v>68</v>
      </c>
      <c r="B70" s="3">
        <f t="shared" si="4"/>
        <v>26.8</v>
      </c>
      <c r="C70" s="12">
        <f t="shared" si="5"/>
        <v>0.56666700000000003</v>
      </c>
      <c r="D70" s="7"/>
      <c r="E70" s="10">
        <f>(ADC!I70+5/3)/(1/12)</f>
        <v>26.021239730048514</v>
      </c>
      <c r="F70" s="11">
        <f t="shared" si="3"/>
        <v>2.9058219028040563E-2</v>
      </c>
      <c r="G70" s="2"/>
      <c r="H70" s="2"/>
      <c r="I70" s="10">
        <f>ABS(C70-ADC!I70)</f>
        <v>6.489702249595708E-2</v>
      </c>
    </row>
    <row r="71" spans="1:9" x14ac:dyDescent="0.25">
      <c r="A71" s="3">
        <v>69</v>
      </c>
      <c r="B71" s="3">
        <f t="shared" si="4"/>
        <v>26.9</v>
      </c>
      <c r="C71" s="12">
        <f t="shared" si="5"/>
        <v>0.57499999999999996</v>
      </c>
      <c r="D71" s="7"/>
      <c r="E71" s="10">
        <f>(ADC!I71+5/3)/(1/12)</f>
        <v>26.111516012562021</v>
      </c>
      <c r="F71" s="11">
        <f t="shared" si="3"/>
        <v>2.9311672395463863E-2</v>
      </c>
      <c r="G71" s="2"/>
      <c r="H71" s="2"/>
      <c r="I71" s="10">
        <f>ABS(C71-ADC!I71)</f>
        <v>6.5706998953165008E-2</v>
      </c>
    </row>
    <row r="72" spans="1:9" x14ac:dyDescent="0.25">
      <c r="A72" s="3">
        <v>70</v>
      </c>
      <c r="B72" s="3">
        <f t="shared" si="4"/>
        <v>27</v>
      </c>
      <c r="C72" s="12">
        <f t="shared" si="5"/>
        <v>0.58333299999999999</v>
      </c>
      <c r="D72" s="7"/>
      <c r="E72" s="10">
        <f>(ADC!I72+5/3)/(1/12)</f>
        <v>26.202117152583554</v>
      </c>
      <c r="F72" s="11">
        <f t="shared" si="3"/>
        <v>2.9551216570979477E-2</v>
      </c>
      <c r="G72" s="2"/>
      <c r="H72" s="2"/>
      <c r="I72" s="10">
        <f>ABS(C72-ADC!I72)</f>
        <v>6.6489903951370555E-2</v>
      </c>
    </row>
    <row r="73" spans="1:9" x14ac:dyDescent="0.25">
      <c r="A73" s="3">
        <v>71</v>
      </c>
      <c r="B73" s="3">
        <f t="shared" si="4"/>
        <v>27.1</v>
      </c>
      <c r="C73" s="12">
        <f t="shared" si="5"/>
        <v>0.59166700000000005</v>
      </c>
      <c r="D73" s="7"/>
      <c r="E73" s="10">
        <f>(ADC!I73+5/3)/(1/12)</f>
        <v>26.293042731407539</v>
      </c>
      <c r="F73" s="11">
        <f t="shared" si="3"/>
        <v>2.9777020981271683E-2</v>
      </c>
      <c r="G73" s="2"/>
      <c r="H73" s="2"/>
      <c r="I73" s="10">
        <f>ABS(C73-ADC!I73)</f>
        <v>6.7246772382705267E-2</v>
      </c>
    </row>
    <row r="74" spans="1:9" x14ac:dyDescent="0.25">
      <c r="A74" s="3">
        <v>72</v>
      </c>
      <c r="B74" s="3">
        <f t="shared" si="4"/>
        <v>27.2</v>
      </c>
      <c r="C74" s="12">
        <f t="shared" si="5"/>
        <v>0.6</v>
      </c>
      <c r="D74" s="7"/>
      <c r="E74" s="10">
        <f>(ADC!I74+5/3)/(1/12)</f>
        <v>26.384292325491945</v>
      </c>
      <c r="F74" s="11">
        <f t="shared" si="3"/>
        <v>2.9989252739266711E-2</v>
      </c>
      <c r="G74" s="2"/>
      <c r="H74" s="2"/>
      <c r="I74" s="10">
        <f>ABS(C74-ADC!I74)</f>
        <v>6.7975639542337762E-2</v>
      </c>
    </row>
    <row r="75" spans="1:9" x14ac:dyDescent="0.25">
      <c r="A75" s="3">
        <v>73</v>
      </c>
      <c r="B75" s="3">
        <f t="shared" si="4"/>
        <v>27.3</v>
      </c>
      <c r="C75" s="12">
        <f t="shared" si="5"/>
        <v>0.60833300000000001</v>
      </c>
      <c r="D75" s="7"/>
      <c r="E75" s="10">
        <f>(ADC!I75+5/3)/(1/12)</f>
        <v>26.475865506036055</v>
      </c>
      <c r="F75" s="11">
        <f t="shared" si="3"/>
        <v>3.0188076701976048E-2</v>
      </c>
      <c r="G75" s="2"/>
      <c r="H75" s="2"/>
      <c r="I75" s="10">
        <f>ABS(C75-ADC!I75)</f>
        <v>6.8677541163662426E-2</v>
      </c>
    </row>
    <row r="76" spans="1:9" x14ac:dyDescent="0.25">
      <c r="A76" s="3">
        <v>74</v>
      </c>
      <c r="B76" s="3">
        <f t="shared" si="4"/>
        <v>27.4</v>
      </c>
      <c r="C76" s="12">
        <f t="shared" si="5"/>
        <v>0.61666699999999997</v>
      </c>
      <c r="D76" s="7"/>
      <c r="E76" s="10">
        <f>(ADC!I76+5/3)/(1/12)</f>
        <v>26.55683928207797</v>
      </c>
      <c r="F76" s="11">
        <f t="shared" si="3"/>
        <v>3.077228897525652E-2</v>
      </c>
      <c r="G76" s="2"/>
      <c r="H76" s="2"/>
      <c r="I76" s="10">
        <f>ABS(C76-ADC!I76)</f>
        <v>7.0263726493502654E-2</v>
      </c>
    </row>
    <row r="77" spans="1:9" x14ac:dyDescent="0.25">
      <c r="A77" s="3">
        <v>75</v>
      </c>
      <c r="B77" s="3">
        <f t="shared" si="4"/>
        <v>27.5</v>
      </c>
      <c r="C77" s="12">
        <f t="shared" si="5"/>
        <v>0.625</v>
      </c>
      <c r="D77" s="7"/>
      <c r="E77" s="10">
        <f>(ADC!I77+5/3)/(1/12)</f>
        <v>26.649069367943682</v>
      </c>
      <c r="F77" s="11">
        <f t="shared" si="3"/>
        <v>3.0942932074775213E-2</v>
      </c>
      <c r="G77" s="2"/>
      <c r="H77" s="2"/>
      <c r="I77" s="10">
        <f>ABS(C77-ADC!I77)</f>
        <v>7.0910886004693419E-2</v>
      </c>
    </row>
    <row r="78" spans="1:9" x14ac:dyDescent="0.25">
      <c r="A78" s="3">
        <v>76</v>
      </c>
      <c r="B78" s="3">
        <f t="shared" si="4"/>
        <v>27.6</v>
      </c>
      <c r="C78" s="12">
        <f t="shared" si="5"/>
        <v>0.63333300000000003</v>
      </c>
      <c r="D78" s="7"/>
      <c r="E78" s="10">
        <f>(ADC!I78+5/3)/(1/12)</f>
        <v>26.741621728815218</v>
      </c>
      <c r="F78" s="11">
        <f t="shared" si="3"/>
        <v>3.1100661999448664E-2</v>
      </c>
      <c r="G78" s="2"/>
      <c r="H78" s="2"/>
      <c r="I78" s="10">
        <f>ABS(C78-ADC!I78)</f>
        <v>7.1531189265398809E-2</v>
      </c>
    </row>
    <row r="79" spans="1:9" x14ac:dyDescent="0.25">
      <c r="A79" s="3">
        <v>77</v>
      </c>
      <c r="B79" s="3">
        <f t="shared" si="4"/>
        <v>27.7</v>
      </c>
      <c r="C79" s="12">
        <f t="shared" si="5"/>
        <v>0.64166699999999999</v>
      </c>
      <c r="D79" s="7"/>
      <c r="E79" s="10">
        <f>(ADC!I79+5/3)/(1/12)</f>
        <v>26.834495909401213</v>
      </c>
      <c r="F79" s="11">
        <f t="shared" si="3"/>
        <v>3.1245635039667392E-2</v>
      </c>
      <c r="G79" s="2"/>
      <c r="H79" s="2"/>
      <c r="I79" s="10">
        <f>ABS(C79-ADC!I79)</f>
        <v>7.2125674216565683E-2</v>
      </c>
    </row>
    <row r="80" spans="1:9" x14ac:dyDescent="0.25">
      <c r="A80" s="3">
        <v>78</v>
      </c>
      <c r="B80" s="3">
        <f t="shared" si="4"/>
        <v>27.8</v>
      </c>
      <c r="C80" s="12">
        <f t="shared" si="5"/>
        <v>0.65</v>
      </c>
      <c r="D80" s="7"/>
      <c r="E80" s="10">
        <f>(ADC!I80+5/3)/(1/12)</f>
        <v>26.927691452698195</v>
      </c>
      <c r="F80" s="11">
        <f t="shared" si="3"/>
        <v>3.137800529862611E-2</v>
      </c>
      <c r="G80" s="2"/>
      <c r="H80" s="2"/>
      <c r="I80" s="10">
        <f>ABS(C80-ADC!I80)</f>
        <v>7.2692378941817459E-2</v>
      </c>
    </row>
    <row r="81" spans="1:9" x14ac:dyDescent="0.25">
      <c r="A81" s="3">
        <v>79</v>
      </c>
      <c r="B81" s="3">
        <f t="shared" si="4"/>
        <v>27.9</v>
      </c>
      <c r="C81" s="12">
        <f t="shared" si="5"/>
        <v>0.65833299999999995</v>
      </c>
      <c r="D81" s="7"/>
      <c r="E81" s="10">
        <f>(ADC!I81+5/3)/(1/12)</f>
        <v>27.021207882544896</v>
      </c>
      <c r="F81" s="11">
        <f t="shared" si="3"/>
        <v>3.1497925356813707E-2</v>
      </c>
      <c r="G81" s="2"/>
      <c r="H81" s="2"/>
      <c r="I81" s="10">
        <f>ABS(C81-ADC!I81)</f>
        <v>7.3232343121258925E-2</v>
      </c>
    </row>
    <row r="82" spans="1:9" x14ac:dyDescent="0.25">
      <c r="A82" s="3">
        <v>80</v>
      </c>
      <c r="B82" s="3">
        <f t="shared" si="4"/>
        <v>28</v>
      </c>
      <c r="C82" s="12">
        <f t="shared" si="5"/>
        <v>0.66666700000000001</v>
      </c>
      <c r="D82" s="7"/>
      <c r="E82" s="10">
        <f>(ADC!I82+5/3)/(1/12)</f>
        <v>27.115044731022813</v>
      </c>
      <c r="F82" s="11">
        <f t="shared" si="3"/>
        <v>3.1605545320613819E-2</v>
      </c>
      <c r="G82" s="2"/>
      <c r="H82" s="2"/>
      <c r="I82" s="10">
        <f>ABS(C82-ADC!I82)</f>
        <v>7.3746605748099214E-2</v>
      </c>
    </row>
    <row r="83" spans="1:9" x14ac:dyDescent="0.25">
      <c r="A83" s="3">
        <v>81</v>
      </c>
      <c r="B83" s="3">
        <f t="shared" si="4"/>
        <v>28.1</v>
      </c>
      <c r="C83" s="12">
        <f t="shared" si="5"/>
        <v>0.67500000000000004</v>
      </c>
      <c r="D83" s="7"/>
      <c r="E83" s="10">
        <f>(ADC!I83+5/3)/(1/12)</f>
        <v>27.209201517686996</v>
      </c>
      <c r="F83" s="11">
        <f t="shared" si="3"/>
        <v>3.1701013605445041E-2</v>
      </c>
      <c r="G83" s="2"/>
      <c r="H83" s="2"/>
      <c r="I83" s="10">
        <f>ABS(C83-ADC!I83)</f>
        <v>7.4233206859417256E-2</v>
      </c>
    </row>
    <row r="84" spans="1:9" x14ac:dyDescent="0.25">
      <c r="A84" s="3">
        <v>82</v>
      </c>
      <c r="B84" s="3">
        <f t="shared" si="4"/>
        <v>28.200000000000003</v>
      </c>
      <c r="C84" s="12">
        <f t="shared" si="5"/>
        <v>0.68333299999999997</v>
      </c>
      <c r="D84" s="7"/>
      <c r="E84" s="10">
        <f>(ADC!I84+5/3)/(1/12)</f>
        <v>27.29284417790355</v>
      </c>
      <c r="F84" s="11">
        <f t="shared" si="3"/>
        <v>3.2168646173633068E-2</v>
      </c>
      <c r="G84" s="2"/>
      <c r="H84" s="2"/>
      <c r="I84" s="10">
        <f>ABS(C84-ADC!I84)</f>
        <v>7.5595985174704339E-2</v>
      </c>
    </row>
    <row r="85" spans="1:9" x14ac:dyDescent="0.25">
      <c r="A85" s="3">
        <v>83</v>
      </c>
      <c r="B85" s="3">
        <f t="shared" si="4"/>
        <v>28.3</v>
      </c>
      <c r="C85" s="12">
        <f t="shared" si="5"/>
        <v>0.69166700000000003</v>
      </c>
      <c r="D85" s="7"/>
      <c r="E85" s="10">
        <f>(ADC!I85+5/3)/(1/12)</f>
        <v>27.387650578321715</v>
      </c>
      <c r="F85" s="11">
        <f t="shared" si="3"/>
        <v>3.2238495465663812E-2</v>
      </c>
      <c r="G85" s="2"/>
      <c r="H85" s="2"/>
      <c r="I85" s="10">
        <f>ABS(C85-ADC!I85)</f>
        <v>7.6029451806523762E-2</v>
      </c>
    </row>
    <row r="86" spans="1:9" x14ac:dyDescent="0.25">
      <c r="A86" s="3">
        <v>84</v>
      </c>
      <c r="B86" s="3">
        <f t="shared" si="4"/>
        <v>28.4</v>
      </c>
      <c r="C86" s="12">
        <f t="shared" si="5"/>
        <v>0.7</v>
      </c>
      <c r="D86" s="7"/>
      <c r="E86" s="10">
        <f>(ADC!I86+5/3)/(1/12)</f>
        <v>27.482775457266776</v>
      </c>
      <c r="F86" s="11">
        <f t="shared" si="3"/>
        <v>3.2296638828634608E-2</v>
      </c>
      <c r="G86" s="2"/>
      <c r="H86" s="2"/>
      <c r="I86" s="10">
        <f>ABS(C86-ADC!I86)</f>
        <v>7.6435378561102052E-2</v>
      </c>
    </row>
    <row r="87" spans="1:9" x14ac:dyDescent="0.25">
      <c r="A87" s="3">
        <v>85</v>
      </c>
      <c r="B87" s="3">
        <f t="shared" si="4"/>
        <v>28.5</v>
      </c>
      <c r="C87" s="12">
        <f t="shared" si="5"/>
        <v>0.70833299999999999</v>
      </c>
      <c r="D87" s="7"/>
      <c r="E87" s="10">
        <f>(ADC!I87+5/3)/(1/12)</f>
        <v>27.578218311369252</v>
      </c>
      <c r="F87" s="11">
        <f t="shared" si="3"/>
        <v>3.2343217144938534E-2</v>
      </c>
      <c r="G87" s="2"/>
      <c r="H87" s="2"/>
      <c r="I87" s="10">
        <f>ABS(C87-ADC!I87)</f>
        <v>7.6814807385895967E-2</v>
      </c>
    </row>
    <row r="88" spans="1:9" x14ac:dyDescent="0.25">
      <c r="A88" s="3">
        <v>86</v>
      </c>
      <c r="B88" s="3">
        <f t="shared" si="4"/>
        <v>28.6</v>
      </c>
      <c r="C88" s="12">
        <f t="shared" si="5"/>
        <v>0.71666700000000005</v>
      </c>
      <c r="D88" s="7"/>
      <c r="E88" s="10">
        <f>(ADC!I88+5/3)/(1/12)</f>
        <v>27.673978629082637</v>
      </c>
      <c r="F88" s="11">
        <f t="shared" si="3"/>
        <v>3.2378369612495274E-2</v>
      </c>
      <c r="G88" s="2"/>
      <c r="H88" s="2"/>
      <c r="I88" s="10">
        <f>ABS(C88-ADC!I88)</f>
        <v>7.7168780909780188E-2</v>
      </c>
    </row>
    <row r="89" spans="1:9" x14ac:dyDescent="0.25">
      <c r="A89" s="3">
        <v>87</v>
      </c>
      <c r="B89" s="3">
        <f t="shared" si="4"/>
        <v>28.700000000000003</v>
      </c>
      <c r="C89" s="12">
        <f t="shared" si="5"/>
        <v>0.72499999999999998</v>
      </c>
      <c r="D89" s="7"/>
      <c r="E89" s="10">
        <f>(ADC!I89+5/3)/(1/12)</f>
        <v>27.759278537912955</v>
      </c>
      <c r="F89" s="11">
        <f t="shared" si="3"/>
        <v>3.2777751292231622E-2</v>
      </c>
      <c r="G89" s="2"/>
      <c r="H89" s="2"/>
      <c r="I89" s="10">
        <f>ABS(C89-ADC!I89)</f>
        <v>7.8393455173920712E-2</v>
      </c>
    </row>
    <row r="90" spans="1:9" x14ac:dyDescent="0.25">
      <c r="A90" s="3">
        <v>88</v>
      </c>
      <c r="B90" s="3">
        <f t="shared" si="4"/>
        <v>28.8</v>
      </c>
      <c r="C90" s="12">
        <f t="shared" si="5"/>
        <v>0.73333300000000001</v>
      </c>
      <c r="D90" s="7"/>
      <c r="E90" s="10">
        <f>(ADC!I90+5/3)/(1/12)</f>
        <v>27.855683521013081</v>
      </c>
      <c r="F90" s="11">
        <f t="shared" si="3"/>
        <v>3.2788766631490281E-2</v>
      </c>
      <c r="G90" s="2"/>
      <c r="H90" s="2"/>
      <c r="I90" s="10">
        <f>ABS(C90-ADC!I90)</f>
        <v>7.8692706582243366E-2</v>
      </c>
    </row>
    <row r="91" spans="1:9" x14ac:dyDescent="0.25">
      <c r="A91" s="3">
        <v>89</v>
      </c>
      <c r="B91" s="3">
        <f t="shared" si="4"/>
        <v>28.9</v>
      </c>
      <c r="C91" s="12">
        <f t="shared" si="5"/>
        <v>0.74166699999999997</v>
      </c>
      <c r="D91" s="7"/>
      <c r="E91" s="10">
        <f>(ADC!I91+5/3)/(1/12)</f>
        <v>27.952404418114039</v>
      </c>
      <c r="F91" s="11">
        <f t="shared" si="3"/>
        <v>3.2788774459721788E-2</v>
      </c>
      <c r="G91" s="2"/>
      <c r="H91" s="2"/>
      <c r="I91" s="10">
        <f>ABS(C91-ADC!I91)</f>
        <v>7.8966631823830236E-2</v>
      </c>
    </row>
    <row r="92" spans="1:9" x14ac:dyDescent="0.25">
      <c r="A92" s="3">
        <v>90</v>
      </c>
      <c r="B92" s="3">
        <f t="shared" si="4"/>
        <v>29</v>
      </c>
      <c r="C92" s="12">
        <f t="shared" si="5"/>
        <v>0.75</v>
      </c>
      <c r="D92" s="7"/>
      <c r="E92" s="10">
        <f>(ADC!I92+5/3)/(1/12)</f>
        <v>28.049440696382867</v>
      </c>
      <c r="F92" s="11">
        <f t="shared" si="3"/>
        <v>3.2777907021280459E-2</v>
      </c>
      <c r="G92" s="2"/>
      <c r="H92" s="2"/>
      <c r="I92" s="10">
        <f>ABS(C92-ADC!I92)</f>
        <v>7.9213275301427966E-2</v>
      </c>
    </row>
    <row r="93" spans="1:9" x14ac:dyDescent="0.25">
      <c r="A93" s="3">
        <v>91</v>
      </c>
      <c r="B93" s="3">
        <f t="shared" si="4"/>
        <v>29.1</v>
      </c>
      <c r="C93" s="12">
        <f t="shared" si="5"/>
        <v>0.75833300000000003</v>
      </c>
      <c r="D93" s="7"/>
      <c r="E93" s="10">
        <f>(ADC!I93+5/3)/(1/12)</f>
        <v>28.136059758072467</v>
      </c>
      <c r="F93" s="11">
        <f t="shared" si="3"/>
        <v>3.3125094224313915E-2</v>
      </c>
      <c r="G93" s="2"/>
      <c r="H93" s="2"/>
      <c r="I93" s="10">
        <f>ABS(C93-ADC!I93)</f>
        <v>8.0328020160628122E-2</v>
      </c>
    </row>
    <row r="94" spans="1:9" x14ac:dyDescent="0.25">
      <c r="A94" s="3">
        <v>92</v>
      </c>
      <c r="B94" s="3">
        <f t="shared" si="4"/>
        <v>29.200000000000003</v>
      </c>
      <c r="C94" s="12">
        <f t="shared" si="5"/>
        <v>0.76666699999999999</v>
      </c>
      <c r="D94" s="7"/>
      <c r="E94" s="10">
        <f>(ADC!I94+5/3)/(1/12)</f>
        <v>28.233736526481565</v>
      </c>
      <c r="F94" s="11">
        <f t="shared" si="3"/>
        <v>3.309121484652186E-2</v>
      </c>
      <c r="G94" s="2"/>
      <c r="H94" s="2"/>
      <c r="I94" s="10">
        <f>ABS(C94-ADC!I94)</f>
        <v>8.0522289459869723E-2</v>
      </c>
    </row>
    <row r="95" spans="1:9" x14ac:dyDescent="0.25">
      <c r="A95" s="3">
        <v>93</v>
      </c>
      <c r="B95" s="3">
        <f t="shared" si="4"/>
        <v>29.3</v>
      </c>
      <c r="C95" s="12">
        <f t="shared" si="5"/>
        <v>0.77500000000000002</v>
      </c>
      <c r="D95" s="7"/>
      <c r="E95" s="10">
        <f>(ADC!I95+5/3)/(1/12)</f>
        <v>28.331727047858156</v>
      </c>
      <c r="F95" s="11">
        <f t="shared" si="3"/>
        <v>3.3046858434875259E-2</v>
      </c>
      <c r="G95" s="2"/>
      <c r="H95" s="2"/>
      <c r="I95" s="10">
        <f>ABS(C95-ADC!I95)</f>
        <v>8.0689412678487282E-2</v>
      </c>
    </row>
    <row r="96" spans="1:9" x14ac:dyDescent="0.25">
      <c r="A96" s="3">
        <v>94</v>
      </c>
      <c r="B96" s="3">
        <f t="shared" si="4"/>
        <v>29.4</v>
      </c>
      <c r="C96" s="12">
        <f t="shared" si="5"/>
        <v>0.78333299999999995</v>
      </c>
      <c r="D96" s="7"/>
      <c r="E96" s="10">
        <f>(ADC!I96+5/3)/(1/12)</f>
        <v>28.419332889513434</v>
      </c>
      <c r="F96" s="11">
        <f t="shared" si="3"/>
        <v>3.3356024166209669E-2</v>
      </c>
      <c r="G96" s="2"/>
      <c r="H96" s="2"/>
      <c r="I96" s="10">
        <f>ABS(C96-ADC!I96)</f>
        <v>8.1721925873880275E-2</v>
      </c>
    </row>
    <row r="97" spans="1:9" x14ac:dyDescent="0.25">
      <c r="A97" s="3">
        <v>95</v>
      </c>
      <c r="B97" s="3">
        <f t="shared" si="4"/>
        <v>29.5</v>
      </c>
      <c r="C97" s="12">
        <f t="shared" si="5"/>
        <v>0.79166700000000001</v>
      </c>
      <c r="D97" s="7"/>
      <c r="E97" s="10">
        <f>(ADC!I97+5/3)/(1/12)</f>
        <v>28.517960654443918</v>
      </c>
      <c r="F97" s="11">
        <f t="shared" si="3"/>
        <v>3.3289469340884129E-2</v>
      </c>
      <c r="G97" s="2"/>
      <c r="H97" s="2"/>
      <c r="I97" s="10">
        <f>ABS(C97-ADC!I97)</f>
        <v>8.1836945463007127E-2</v>
      </c>
    </row>
    <row r="98" spans="1:9" x14ac:dyDescent="0.25">
      <c r="A98" s="3">
        <v>96</v>
      </c>
      <c r="B98" s="3">
        <f t="shared" si="4"/>
        <v>29.6</v>
      </c>
      <c r="C98" s="12">
        <f t="shared" si="5"/>
        <v>0.8</v>
      </c>
      <c r="D98" s="7"/>
      <c r="E98" s="10">
        <f>(ADC!I98+5/3)/(1/12)</f>
        <v>28.616900494308453</v>
      </c>
      <c r="F98" s="11">
        <f t="shared" si="3"/>
        <v>3.3212821138227981E-2</v>
      </c>
      <c r="G98" s="2"/>
      <c r="H98" s="2"/>
      <c r="I98" s="10">
        <f>ABS(C98-ADC!I98)</f>
        <v>8.1924958807629067E-2</v>
      </c>
    </row>
    <row r="99" spans="1:9" x14ac:dyDescent="0.25">
      <c r="A99" s="3">
        <v>97</v>
      </c>
      <c r="B99" s="3">
        <f t="shared" si="4"/>
        <v>29.700000000000003</v>
      </c>
      <c r="C99" s="12">
        <f t="shared" si="5"/>
        <v>0.80833299999999997</v>
      </c>
      <c r="D99" s="7"/>
      <c r="E99" s="10">
        <f>(ADC!I99+5/3)/(1/12)</f>
        <v>28.705488286419907</v>
      </c>
      <c r="F99" s="11">
        <f t="shared" si="3"/>
        <v>3.3485242881484696E-2</v>
      </c>
      <c r="G99" s="2"/>
      <c r="H99" s="2"/>
      <c r="I99" s="10">
        <f>ABS(C99-ADC!I99)</f>
        <v>8.2875642798341143E-2</v>
      </c>
    </row>
    <row r="100" spans="1:9" x14ac:dyDescent="0.25">
      <c r="A100" s="3">
        <v>98</v>
      </c>
      <c r="B100" s="3">
        <f t="shared" si="4"/>
        <v>29.8</v>
      </c>
      <c r="C100" s="12">
        <f t="shared" si="5"/>
        <v>0.81666700000000003</v>
      </c>
      <c r="D100" s="7"/>
      <c r="E100" s="10">
        <f>(ADC!I100+5/3)/(1/12)</f>
        <v>28.805062006625381</v>
      </c>
      <c r="F100" s="11">
        <f t="shared" si="3"/>
        <v>3.3387180985725504E-2</v>
      </c>
      <c r="G100" s="2"/>
      <c r="H100" s="2"/>
      <c r="I100" s="10">
        <f>ABS(C100-ADC!I100)</f>
        <v>8.2911832781218497E-2</v>
      </c>
    </row>
    <row r="101" spans="1:9" x14ac:dyDescent="0.25">
      <c r="A101" s="3">
        <v>99</v>
      </c>
      <c r="B101" s="3">
        <f t="shared" si="4"/>
        <v>29.9</v>
      </c>
      <c r="C101" s="12">
        <f t="shared" si="5"/>
        <v>0.82499999999999996</v>
      </c>
      <c r="D101" s="7"/>
      <c r="E101" s="10">
        <f>(ADC!I101+5/3)/(1/12)</f>
        <v>28.894305507411861</v>
      </c>
      <c r="F101" s="11">
        <f t="shared" si="3"/>
        <v>3.3635267310640052E-2</v>
      </c>
      <c r="G101" s="2"/>
      <c r="H101" s="2"/>
      <c r="I101" s="10">
        <f>ABS(C101-ADC!I101)</f>
        <v>8.380787438234516E-2</v>
      </c>
    </row>
    <row r="102" spans="1:9" x14ac:dyDescent="0.25">
      <c r="A102" s="3">
        <v>100</v>
      </c>
      <c r="B102" s="3">
        <f t="shared" si="4"/>
        <v>30</v>
      </c>
      <c r="C102" s="12">
        <f t="shared" si="5"/>
        <v>0.83333299999999999</v>
      </c>
      <c r="D102" s="7"/>
      <c r="E102" s="10">
        <f>(ADC!I102+5/3)/(1/12)</f>
        <v>28.994510818031152</v>
      </c>
      <c r="F102" s="11">
        <f t="shared" si="3"/>
        <v>3.3516306065628262E-2</v>
      </c>
      <c r="G102" s="2"/>
      <c r="H102" s="2"/>
      <c r="I102" s="10">
        <f>ABS(C102-ADC!I102)</f>
        <v>8.3790431830737644E-2</v>
      </c>
    </row>
    <row r="103" spans="1:9" x14ac:dyDescent="0.25">
      <c r="A103" s="3">
        <v>101</v>
      </c>
      <c r="B103" s="3">
        <f t="shared" si="4"/>
        <v>30.1</v>
      </c>
      <c r="C103" s="12">
        <f t="shared" si="5"/>
        <v>0.84166700000000005</v>
      </c>
      <c r="D103" s="7"/>
      <c r="E103" s="10">
        <f>(ADC!I103+5/3)/(1/12)</f>
        <v>29.084407784361218</v>
      </c>
      <c r="F103" s="11">
        <f t="shared" si="3"/>
        <v>3.3740605170723692E-2</v>
      </c>
      <c r="G103" s="2"/>
      <c r="H103" s="2"/>
      <c r="I103" s="10">
        <f>ABS(C103-ADC!I103)</f>
        <v>8.463301796989886E-2</v>
      </c>
    </row>
    <row r="104" spans="1:9" x14ac:dyDescent="0.25">
      <c r="A104" s="3">
        <v>102</v>
      </c>
      <c r="B104" s="3">
        <f t="shared" si="4"/>
        <v>30.200000000000003</v>
      </c>
      <c r="C104" s="12">
        <f t="shared" si="5"/>
        <v>0.85</v>
      </c>
      <c r="D104" s="7"/>
      <c r="E104" s="10">
        <f>(ADC!I104+5/3)/(1/12)</f>
        <v>29.174636409100426</v>
      </c>
      <c r="F104" s="11">
        <f t="shared" si="3"/>
        <v>3.3952436784754195E-2</v>
      </c>
      <c r="G104" s="2"/>
      <c r="H104" s="2"/>
      <c r="I104" s="10">
        <f>ABS(C104-ADC!I104)</f>
        <v>8.5446965908298145E-2</v>
      </c>
    </row>
    <row r="105" spans="1:9" x14ac:dyDescent="0.25">
      <c r="A105" s="3">
        <v>103</v>
      </c>
      <c r="B105" s="3">
        <f t="shared" si="4"/>
        <v>30.3</v>
      </c>
      <c r="C105" s="12">
        <f t="shared" si="5"/>
        <v>0.85833300000000001</v>
      </c>
      <c r="D105" s="7"/>
      <c r="E105" s="10">
        <f>(ADC!I105+5/3)/(1/12)</f>
        <v>29.275790483112264</v>
      </c>
      <c r="F105" s="11">
        <f t="shared" si="3"/>
        <v>3.3802294286723995E-2</v>
      </c>
      <c r="G105" s="2"/>
      <c r="H105" s="2"/>
      <c r="I105" s="10">
        <f>ABS(C105-ADC!I105)</f>
        <v>8.5350459740644813E-2</v>
      </c>
    </row>
    <row r="106" spans="1:9" x14ac:dyDescent="0.25">
      <c r="A106" s="3">
        <v>104</v>
      </c>
      <c r="B106" s="3">
        <f t="shared" si="4"/>
        <v>30.4</v>
      </c>
      <c r="C106" s="12">
        <f t="shared" si="5"/>
        <v>0.86666699999999997</v>
      </c>
      <c r="D106" s="7"/>
      <c r="E106" s="10">
        <f>(ADC!I106+5/3)/(1/12)</f>
        <v>29.366669125455431</v>
      </c>
      <c r="F106" s="11">
        <f t="shared" si="3"/>
        <v>3.3991147188966044E-2</v>
      </c>
      <c r="G106" s="2"/>
      <c r="H106" s="2"/>
      <c r="I106" s="10">
        <f>ABS(C106-ADC!I106)</f>
        <v>8.6111239545381024E-2</v>
      </c>
    </row>
    <row r="107" spans="1:9" x14ac:dyDescent="0.25">
      <c r="A107" s="3">
        <v>105</v>
      </c>
      <c r="B107" s="3">
        <f t="shared" si="4"/>
        <v>30.5</v>
      </c>
      <c r="C107" s="12">
        <f t="shared" si="5"/>
        <v>0.875</v>
      </c>
      <c r="D107" s="7"/>
      <c r="E107" s="10">
        <f>(ADC!I107+5/3)/(1/12)</f>
        <v>29.457877702552683</v>
      </c>
      <c r="F107" s="11">
        <f t="shared" si="3"/>
        <v>3.4167944178600571E-2</v>
      </c>
      <c r="G107" s="2"/>
      <c r="H107" s="2"/>
      <c r="I107" s="10">
        <f>ABS(C107-ADC!I107)</f>
        <v>8.6843524787276749E-2</v>
      </c>
    </row>
    <row r="108" spans="1:9" x14ac:dyDescent="0.25">
      <c r="A108" s="3">
        <v>106</v>
      </c>
      <c r="B108" s="3">
        <f t="shared" si="4"/>
        <v>30.6</v>
      </c>
      <c r="C108" s="12">
        <f t="shared" si="5"/>
        <v>0.88333300000000003</v>
      </c>
      <c r="D108" s="7"/>
      <c r="E108" s="10">
        <f>(ADC!I108+5/3)/(1/12)</f>
        <v>29.559975160254492</v>
      </c>
      <c r="F108" s="11">
        <f t="shared" si="3"/>
        <v>3.3987739860964358E-2</v>
      </c>
      <c r="G108" s="2"/>
      <c r="H108" s="2"/>
      <c r="I108" s="10">
        <f>ABS(C108-ADC!I108)</f>
        <v>8.6668403312125553E-2</v>
      </c>
    </row>
    <row r="109" spans="1:9" x14ac:dyDescent="0.25">
      <c r="A109" s="3">
        <v>107</v>
      </c>
      <c r="B109" s="3">
        <f t="shared" si="4"/>
        <v>30.700000000000003</v>
      </c>
      <c r="C109" s="12">
        <f t="shared" si="5"/>
        <v>0.89166699999999999</v>
      </c>
      <c r="D109" s="7"/>
      <c r="E109" s="10">
        <f>(ADC!I109+5/3)/(1/12)</f>
        <v>29.651830203782605</v>
      </c>
      <c r="F109" s="11">
        <f t="shared" si="3"/>
        <v>3.4142338639003171E-2</v>
      </c>
      <c r="G109" s="2"/>
      <c r="H109" s="2"/>
      <c r="I109" s="10">
        <f>ABS(C109-ADC!I109)</f>
        <v>8.7347816351449836E-2</v>
      </c>
    </row>
    <row r="110" spans="1:9" x14ac:dyDescent="0.25">
      <c r="A110" s="3">
        <v>108</v>
      </c>
      <c r="B110" s="3">
        <f t="shared" si="4"/>
        <v>30.8</v>
      </c>
      <c r="C110" s="12">
        <f t="shared" si="5"/>
        <v>0.9</v>
      </c>
      <c r="D110" s="7"/>
      <c r="E110" s="10">
        <f>(ADC!I110+5/3)/(1/12)</f>
        <v>29.754549633767869</v>
      </c>
      <c r="F110" s="11">
        <f t="shared" si="3"/>
        <v>3.3943193708835438E-2</v>
      </c>
      <c r="G110" s="2"/>
      <c r="H110" s="2"/>
      <c r="I110" s="10">
        <f>ABS(C110-ADC!I110)</f>
        <v>8.7120863852677699E-2</v>
      </c>
    </row>
    <row r="111" spans="1:9" x14ac:dyDescent="0.25">
      <c r="A111" s="3">
        <v>109</v>
      </c>
      <c r="B111" s="3">
        <f t="shared" si="4"/>
        <v>30.9</v>
      </c>
      <c r="C111" s="12">
        <f t="shared" si="5"/>
        <v>0.90833299999999995</v>
      </c>
      <c r="D111" s="7"/>
      <c r="E111" s="10">
        <f>(ADC!I111+5/3)/(1/12)</f>
        <v>29.847048698549962</v>
      </c>
      <c r="F111" s="11">
        <f t="shared" si="3"/>
        <v>3.4076093898059441E-2</v>
      </c>
      <c r="G111" s="2"/>
      <c r="H111" s="2"/>
      <c r="I111" s="10">
        <f>ABS(C111-ADC!I111)</f>
        <v>8.7745608454169899E-2</v>
      </c>
    </row>
    <row r="112" spans="1:9" x14ac:dyDescent="0.25">
      <c r="A112" s="3">
        <v>110</v>
      </c>
      <c r="B112" s="3">
        <f t="shared" si="4"/>
        <v>31</v>
      </c>
      <c r="C112" s="12">
        <f t="shared" si="5"/>
        <v>0.91666700000000001</v>
      </c>
      <c r="D112" s="7"/>
      <c r="E112" s="10">
        <f>(ADC!I112+5/3)/(1/12)</f>
        <v>29.95038756985959</v>
      </c>
      <c r="F112" s="11">
        <f t="shared" si="3"/>
        <v>3.3858465488400331E-2</v>
      </c>
      <c r="G112" s="2"/>
      <c r="H112" s="2"/>
      <c r="I112" s="10">
        <f>ABS(C112-ADC!I112)</f>
        <v>8.7468035845034153E-2</v>
      </c>
    </row>
    <row r="113" spans="1:9" x14ac:dyDescent="0.25">
      <c r="A113" s="3">
        <v>111</v>
      </c>
      <c r="B113" s="3">
        <f t="shared" si="4"/>
        <v>31.1</v>
      </c>
      <c r="C113" s="12">
        <f t="shared" si="5"/>
        <v>0.92500000000000004</v>
      </c>
      <c r="D113" s="7"/>
      <c r="E113" s="10">
        <f>(ADC!I113+5/3)/(1/12)</f>
        <v>30.043528163443742</v>
      </c>
      <c r="F113" s="11">
        <f t="shared" si="3"/>
        <v>3.3970155516278425E-2</v>
      </c>
      <c r="G113" s="2"/>
      <c r="H113" s="2"/>
      <c r="I113" s="10">
        <f>ABS(C113-ADC!I113)</f>
        <v>8.803931971302148E-2</v>
      </c>
    </row>
    <row r="114" spans="1:9" x14ac:dyDescent="0.25">
      <c r="A114" s="3">
        <v>112</v>
      </c>
      <c r="B114" s="3">
        <f t="shared" si="4"/>
        <v>31.200000000000003</v>
      </c>
      <c r="C114" s="12">
        <f t="shared" si="5"/>
        <v>0.93333299999999997</v>
      </c>
      <c r="D114" s="7"/>
      <c r="E114" s="10">
        <f>(ADC!I114+5/3)/(1/12)</f>
        <v>30.136994441269845</v>
      </c>
      <c r="F114" s="11">
        <f t="shared" si="3"/>
        <v>3.4070690984940949E-2</v>
      </c>
      <c r="G114" s="2"/>
      <c r="H114" s="2"/>
      <c r="I114" s="10">
        <f>ABS(C114-ADC!I114)</f>
        <v>8.8583463227513093E-2</v>
      </c>
    </row>
    <row r="115" spans="1:9" x14ac:dyDescent="0.25">
      <c r="A115" s="3">
        <v>113</v>
      </c>
      <c r="B115" s="3">
        <f t="shared" si="4"/>
        <v>31.3</v>
      </c>
      <c r="C115" s="12">
        <f t="shared" si="5"/>
        <v>0.94166700000000003</v>
      </c>
      <c r="D115" s="7"/>
      <c r="E115" s="10">
        <f>(ADC!I115+5/3)/(1/12)</f>
        <v>30.241263480318466</v>
      </c>
      <c r="F115" s="11">
        <f t="shared" si="3"/>
        <v>3.382544791314808E-2</v>
      </c>
      <c r="G115" s="2"/>
      <c r="H115" s="2"/>
      <c r="I115" s="10">
        <f>ABS(C115-ADC!I115)</f>
        <v>8.8228376640127837E-2</v>
      </c>
    </row>
    <row r="116" spans="1:9" x14ac:dyDescent="0.25">
      <c r="A116" s="3">
        <v>114</v>
      </c>
      <c r="B116" s="3">
        <f t="shared" si="4"/>
        <v>31.4</v>
      </c>
      <c r="C116" s="12">
        <f t="shared" si="5"/>
        <v>0.95</v>
      </c>
      <c r="D116" s="7"/>
      <c r="E116" s="10">
        <f>(ADC!I116+5/3)/(1/12)</f>
        <v>30.335367474119895</v>
      </c>
      <c r="F116" s="11">
        <f t="shared" si="3"/>
        <v>3.3905494454780367E-2</v>
      </c>
      <c r="G116" s="2"/>
      <c r="H116" s="2"/>
      <c r="I116" s="10">
        <f>ABS(C116-ADC!I116)</f>
        <v>8.8719377156675439E-2</v>
      </c>
    </row>
    <row r="117" spans="1:9" x14ac:dyDescent="0.25">
      <c r="A117" s="3">
        <v>115</v>
      </c>
      <c r="B117" s="3">
        <f t="shared" si="4"/>
        <v>31.5</v>
      </c>
      <c r="C117" s="12">
        <f t="shared" si="5"/>
        <v>0.95833299999999999</v>
      </c>
      <c r="D117" s="7"/>
      <c r="E117" s="10">
        <f>(ADC!I117+5/3)/(1/12)</f>
        <v>30.42979524186855</v>
      </c>
      <c r="F117" s="11">
        <f t="shared" si="3"/>
        <v>3.3974754226395225E-2</v>
      </c>
      <c r="G117" s="2"/>
      <c r="H117" s="2"/>
      <c r="I117" s="10">
        <f>ABS(C117-ADC!I117)</f>
        <v>8.9183396510954194E-2</v>
      </c>
    </row>
    <row r="118" spans="1:9" x14ac:dyDescent="0.25">
      <c r="A118" s="3">
        <v>116</v>
      </c>
      <c r="B118" s="3">
        <f t="shared" si="4"/>
        <v>31.6</v>
      </c>
      <c r="C118" s="12">
        <f t="shared" si="5"/>
        <v>0.96666700000000005</v>
      </c>
      <c r="D118" s="7"/>
      <c r="E118" s="10">
        <f>(ADC!I118+5/3)/(1/12)</f>
        <v>30.545430930653151</v>
      </c>
      <c r="F118" s="11">
        <f t="shared" si="3"/>
        <v>3.3372438903381353E-2</v>
      </c>
      <c r="G118" s="2"/>
      <c r="H118" s="2"/>
      <c r="I118" s="10">
        <f>ABS(C118-ADC!I118)</f>
        <v>8.7881089112237576E-2</v>
      </c>
    </row>
    <row r="119" spans="1:9" x14ac:dyDescent="0.25">
      <c r="A119" s="3">
        <v>117</v>
      </c>
      <c r="B119" s="3">
        <f t="shared" si="4"/>
        <v>31.700000000000003</v>
      </c>
      <c r="C119" s="12">
        <f t="shared" si="5"/>
        <v>0.97499999999999998</v>
      </c>
      <c r="D119" s="7"/>
      <c r="E119" s="10">
        <f>(ADC!I119+5/3)/(1/12)</f>
        <v>30.640480680040017</v>
      </c>
      <c r="F119" s="11">
        <f t="shared" si="3"/>
        <v>3.3423322396214053E-2</v>
      </c>
      <c r="G119" s="2"/>
      <c r="H119" s="2"/>
      <c r="I119" s="10">
        <f>ABS(C119-ADC!I119)</f>
        <v>8.8293276663332088E-2</v>
      </c>
    </row>
    <row r="120" spans="1:9" x14ac:dyDescent="0.25">
      <c r="A120" s="3">
        <v>118</v>
      </c>
      <c r="B120" s="3">
        <f t="shared" si="4"/>
        <v>31.8</v>
      </c>
      <c r="C120" s="12">
        <f t="shared" si="5"/>
        <v>0.98333300000000001</v>
      </c>
      <c r="D120" s="7"/>
      <c r="E120" s="10">
        <f>(ADC!I120+5/3)/(1/12)</f>
        <v>30.735852223871966</v>
      </c>
      <c r="F120" s="11">
        <f t="shared" si="3"/>
        <v>3.3463766544906758E-2</v>
      </c>
      <c r="G120" s="2"/>
      <c r="H120" s="2"/>
      <c r="I120" s="10">
        <f>ABS(C120-ADC!I120)</f>
        <v>8.8678648010669381E-2</v>
      </c>
    </row>
    <row r="121" spans="1:9" x14ac:dyDescent="0.25">
      <c r="A121" s="3">
        <v>119</v>
      </c>
      <c r="B121" s="3">
        <f t="shared" si="4"/>
        <v>31.9</v>
      </c>
      <c r="C121" s="12">
        <f t="shared" si="5"/>
        <v>0.99166699999999997</v>
      </c>
      <c r="D121" s="7"/>
      <c r="E121" s="10">
        <f>(ADC!I121+5/3)/(1/12)</f>
        <v>30.831544900799493</v>
      </c>
      <c r="F121" s="11">
        <f t="shared" si="3"/>
        <v>3.3493890257069149E-2</v>
      </c>
      <c r="G121" s="2"/>
      <c r="H121" s="2"/>
      <c r="I121" s="10">
        <f>ABS(C121-ADC!I121)</f>
        <v>8.9038258266709192E-2</v>
      </c>
    </row>
    <row r="122" spans="1:9" x14ac:dyDescent="0.25">
      <c r="A122" s="3">
        <v>120</v>
      </c>
      <c r="B122" s="3">
        <f t="shared" si="4"/>
        <v>32</v>
      </c>
      <c r="C122" s="12">
        <f t="shared" si="5"/>
        <v>1</v>
      </c>
      <c r="D122" s="7"/>
      <c r="E122" s="10">
        <f>(ADC!I122+5/3)/(1/12)</f>
        <v>30.937953123017358</v>
      </c>
      <c r="F122" s="11">
        <f t="shared" si="3"/>
        <v>3.3188964905707552E-2</v>
      </c>
      <c r="G122" s="2"/>
      <c r="H122" s="2"/>
      <c r="I122" s="10">
        <f>ABS(C122-ADC!I122)</f>
        <v>8.8503906415220102E-2</v>
      </c>
    </row>
    <row r="123" spans="1:9" x14ac:dyDescent="0.25">
      <c r="A123" s="3">
        <v>121</v>
      </c>
      <c r="B123" s="3">
        <f t="shared" si="4"/>
        <v>32.1</v>
      </c>
      <c r="C123" s="12">
        <f t="shared" si="5"/>
        <v>1.0083329999999999</v>
      </c>
      <c r="D123" s="7"/>
      <c r="E123" s="10">
        <f>(ADC!I123+5/3)/(1/12)</f>
        <v>31.034274179051945</v>
      </c>
      <c r="F123" s="11">
        <f t="shared" si="3"/>
        <v>3.3200181337945688E-2</v>
      </c>
      <c r="G123" s="2"/>
      <c r="H123" s="2"/>
      <c r="I123" s="10">
        <f>ABS(C123-ADC!I123)</f>
        <v>8.8810151745671417E-2</v>
      </c>
    </row>
    <row r="124" spans="1:9" x14ac:dyDescent="0.25">
      <c r="A124" s="3">
        <v>122</v>
      </c>
      <c r="B124" s="3">
        <f t="shared" si="4"/>
        <v>32.200000000000003</v>
      </c>
      <c r="C124" s="12">
        <f t="shared" si="5"/>
        <v>1.016667</v>
      </c>
      <c r="D124" s="7"/>
      <c r="E124" s="10">
        <f>(ADC!I124+5/3)/(1/12)</f>
        <v>31.130914331712397</v>
      </c>
      <c r="F124" s="11">
        <f t="shared" si="3"/>
        <v>3.3201418269801428E-2</v>
      </c>
      <c r="G124" s="2"/>
      <c r="H124" s="2"/>
      <c r="I124" s="10">
        <f>ABS(C124-ADC!I124)</f>
        <v>8.9090805690633768E-2</v>
      </c>
    </row>
    <row r="125" spans="1:9" x14ac:dyDescent="0.25">
      <c r="A125" s="3">
        <v>123</v>
      </c>
      <c r="B125" s="3">
        <f t="shared" si="4"/>
        <v>32.299999999999997</v>
      </c>
      <c r="C125" s="12">
        <f t="shared" si="5"/>
        <v>1.0249999999999999</v>
      </c>
      <c r="D125" s="7"/>
      <c r="E125" s="10">
        <f>(ADC!I125+5/3)/(1/12)</f>
        <v>31.227872895577342</v>
      </c>
      <c r="F125" s="11">
        <f t="shared" si="3"/>
        <v>3.3192789610608529E-2</v>
      </c>
      <c r="G125" s="2"/>
      <c r="H125" s="2"/>
      <c r="I125" s="10">
        <f>ABS(C125-ADC!I125)</f>
        <v>8.9343925368555066E-2</v>
      </c>
    </row>
    <row r="126" spans="1:9" x14ac:dyDescent="0.25">
      <c r="A126" s="3">
        <v>124</v>
      </c>
      <c r="B126" s="3">
        <f t="shared" si="4"/>
        <v>32.4</v>
      </c>
      <c r="C126" s="12">
        <f t="shared" si="5"/>
        <v>1.0333330000000001</v>
      </c>
      <c r="D126" s="7"/>
      <c r="E126" s="10">
        <f>(ADC!I126+5/3)/(1/12)</f>
        <v>31.325149177237449</v>
      </c>
      <c r="F126" s="11">
        <f t="shared" si="3"/>
        <v>3.3174408109955228E-2</v>
      </c>
      <c r="G126" s="2"/>
      <c r="H126" s="2"/>
      <c r="I126" s="10">
        <f>ABS(C126-ADC!I126)</f>
        <v>8.9570568563546282E-2</v>
      </c>
    </row>
    <row r="127" spans="1:9" x14ac:dyDescent="0.25">
      <c r="A127" s="3">
        <v>125</v>
      </c>
      <c r="B127" s="3">
        <f t="shared" si="4"/>
        <v>32.5</v>
      </c>
      <c r="C127" s="12">
        <f t="shared" si="5"/>
        <v>1.0416669999999999</v>
      </c>
      <c r="D127" s="7"/>
      <c r="E127" s="10">
        <f>(ADC!I127+5/3)/(1/12)</f>
        <v>31.43307804255787</v>
      </c>
      <c r="F127" s="11">
        <f t="shared" si="3"/>
        <v>3.28283679212963E-2</v>
      </c>
      <c r="G127" s="2"/>
      <c r="H127" s="2"/>
      <c r="I127" s="10">
        <f>ABS(C127-ADC!I127)</f>
        <v>8.891049645351079E-2</v>
      </c>
    </row>
    <row r="128" spans="1:9" x14ac:dyDescent="0.25">
      <c r="A128" s="3">
        <v>126</v>
      </c>
      <c r="B128" s="3">
        <f t="shared" si="4"/>
        <v>32.6</v>
      </c>
      <c r="C128" s="12">
        <f t="shared" si="5"/>
        <v>1.05</v>
      </c>
      <c r="D128" s="7"/>
      <c r="E128" s="10">
        <f>(ADC!I128+5/3)/(1/12)</f>
        <v>31.53097571118159</v>
      </c>
      <c r="F128" s="11">
        <f t="shared" si="3"/>
        <v>3.2792156098724282E-2</v>
      </c>
      <c r="G128" s="2"/>
      <c r="H128" s="2"/>
      <c r="I128" s="10">
        <f>ABS(C128-ADC!I128)</f>
        <v>8.908535740153456E-2</v>
      </c>
    </row>
    <row r="129" spans="1:9" x14ac:dyDescent="0.25">
      <c r="A129" s="3">
        <v>127</v>
      </c>
      <c r="B129" s="3">
        <f t="shared" si="4"/>
        <v>32.700000000000003</v>
      </c>
      <c r="C129" s="12">
        <f t="shared" si="5"/>
        <v>1.058333</v>
      </c>
      <c r="D129" s="7"/>
      <c r="E129" s="10">
        <f>(ADC!I129+5/3)/(1/12)</f>
        <v>31.62918897194243</v>
      </c>
      <c r="F129" s="11">
        <f t="shared" si="3"/>
        <v>3.2746514619497645E-2</v>
      </c>
      <c r="G129" s="2"/>
      <c r="H129" s="2"/>
      <c r="I129" s="10">
        <f>ABS(C129-ADC!I129)</f>
        <v>8.9233919004797602E-2</v>
      </c>
    </row>
    <row r="130" spans="1:9" x14ac:dyDescent="0.25">
      <c r="A130" s="3">
        <v>128</v>
      </c>
      <c r="B130" s="3">
        <f t="shared" si="4"/>
        <v>32.799999999999997</v>
      </c>
      <c r="C130" s="12">
        <f t="shared" si="5"/>
        <v>1.066667</v>
      </c>
      <c r="D130" s="7"/>
      <c r="E130" s="10">
        <f>(ADC!I130+5/3)/(1/12)</f>
        <v>31.717417475424593</v>
      </c>
      <c r="F130" s="11">
        <f t="shared" ref="F130:F193" si="6">ABS(B130-E130)/B130</f>
        <v>3.3005564773640368E-2</v>
      </c>
      <c r="G130" s="2"/>
      <c r="H130" s="2"/>
      <c r="I130" s="10">
        <f>ABS(C130-ADC!I130)</f>
        <v>9.0215543714617374E-2</v>
      </c>
    </row>
    <row r="131" spans="1:9" x14ac:dyDescent="0.25">
      <c r="A131" s="3">
        <v>129</v>
      </c>
      <c r="B131" s="3">
        <f t="shared" ref="B131:B194" si="7">0.1*A131+20</f>
        <v>32.9</v>
      </c>
      <c r="C131" s="12">
        <f t="shared" ref="C131:C194" si="8">ROUND(1/12*B131-5/3,6)</f>
        <v>1.075</v>
      </c>
      <c r="D131" s="7"/>
      <c r="E131" s="10">
        <f>(ADC!I131+5/3)/(1/12)</f>
        <v>31.81627177620177</v>
      </c>
      <c r="F131" s="11">
        <f t="shared" si="6"/>
        <v>3.2940067592651327E-2</v>
      </c>
      <c r="G131" s="2"/>
      <c r="H131" s="2"/>
      <c r="I131" s="10">
        <f>ABS(C131-ADC!I131)</f>
        <v>9.031068531651909E-2</v>
      </c>
    </row>
    <row r="132" spans="1:9" x14ac:dyDescent="0.25">
      <c r="A132" s="3">
        <v>130</v>
      </c>
      <c r="B132" s="3">
        <f t="shared" si="7"/>
        <v>33</v>
      </c>
      <c r="C132" s="12">
        <f t="shared" si="8"/>
        <v>1.0833330000000001</v>
      </c>
      <c r="D132" s="7"/>
      <c r="E132" s="10">
        <f>(ADC!I132+5/3)/(1/12)</f>
        <v>31.915439525988347</v>
      </c>
      <c r="F132" s="11">
        <f t="shared" si="6"/>
        <v>3.2865468909444022E-2</v>
      </c>
      <c r="G132" s="2"/>
      <c r="H132" s="2"/>
      <c r="I132" s="10">
        <f>ABS(C132-ADC!I132)</f>
        <v>9.037970616763813E-2</v>
      </c>
    </row>
    <row r="133" spans="1:9" x14ac:dyDescent="0.25">
      <c r="A133" s="3">
        <v>131</v>
      </c>
      <c r="B133" s="3">
        <f t="shared" si="7"/>
        <v>33.1</v>
      </c>
      <c r="C133" s="12">
        <f t="shared" si="8"/>
        <v>1.0916669999999999</v>
      </c>
      <c r="D133" s="7"/>
      <c r="E133" s="10">
        <f>(ADC!I133+5/3)/(1/12)</f>
        <v>32.014919984114371</v>
      </c>
      <c r="F133" s="11">
        <f t="shared" si="6"/>
        <v>3.2781873591710878E-2</v>
      </c>
      <c r="G133" s="2"/>
      <c r="H133" s="2"/>
      <c r="I133" s="10">
        <f>ABS(C133-ADC!I133)</f>
        <v>9.0423667990469081E-2</v>
      </c>
    </row>
    <row r="134" spans="1:9" x14ac:dyDescent="0.25">
      <c r="A134" s="3">
        <v>132</v>
      </c>
      <c r="B134" s="3">
        <f t="shared" si="7"/>
        <v>33.200000000000003</v>
      </c>
      <c r="C134" s="12">
        <f t="shared" si="8"/>
        <v>1.1000000000000001</v>
      </c>
      <c r="D134" s="7"/>
      <c r="E134" s="10">
        <f>(ADC!I134+5/3)/(1/12)</f>
        <v>32.114712419284182</v>
      </c>
      <c r="F134" s="11">
        <f t="shared" si="6"/>
        <v>3.2689384961319914E-2</v>
      </c>
      <c r="G134" s="2"/>
      <c r="H134" s="2"/>
      <c r="I134" s="10">
        <f>ABS(C134-ADC!I134)</f>
        <v>9.0440631726318887E-2</v>
      </c>
    </row>
    <row r="135" spans="1:9" x14ac:dyDescent="0.25">
      <c r="A135" s="3">
        <v>133</v>
      </c>
      <c r="B135" s="3">
        <f t="shared" si="7"/>
        <v>33.299999999999997</v>
      </c>
      <c r="C135" s="12">
        <f t="shared" si="8"/>
        <v>1.108333</v>
      </c>
      <c r="D135" s="7"/>
      <c r="E135" s="10">
        <f>(ADC!I135+5/3)/(1/12)</f>
        <v>32.214816078553483</v>
      </c>
      <c r="F135" s="11">
        <f t="shared" si="6"/>
        <v>3.2588105749144579E-2</v>
      </c>
      <c r="G135" s="2"/>
      <c r="H135" s="2"/>
      <c r="I135" s="10">
        <f>ABS(C135-ADC!I135)</f>
        <v>9.0431660120543267E-2</v>
      </c>
    </row>
    <row r="136" spans="1:9" x14ac:dyDescent="0.25">
      <c r="A136" s="3">
        <v>134</v>
      </c>
      <c r="B136" s="3">
        <f t="shared" si="7"/>
        <v>33.4</v>
      </c>
      <c r="C136" s="12">
        <f t="shared" si="8"/>
        <v>1.1166670000000001</v>
      </c>
      <c r="D136" s="7"/>
      <c r="E136" s="10">
        <f>(ADC!I136+5/3)/(1/12)</f>
        <v>32.315230219917822</v>
      </c>
      <c r="F136" s="11">
        <f t="shared" si="6"/>
        <v>3.2478137128208871E-2</v>
      </c>
      <c r="G136" s="2"/>
      <c r="H136" s="2"/>
      <c r="I136" s="10">
        <f>ABS(C136-ADC!I136)</f>
        <v>9.0397815006848736E-2</v>
      </c>
    </row>
    <row r="137" spans="1:9" x14ac:dyDescent="0.25">
      <c r="A137" s="3">
        <v>135</v>
      </c>
      <c r="B137" s="3">
        <f t="shared" si="7"/>
        <v>33.5</v>
      </c>
      <c r="C137" s="12">
        <f t="shared" si="8"/>
        <v>1.125</v>
      </c>
      <c r="D137" s="7"/>
      <c r="E137" s="10">
        <f>(ADC!I137+5/3)/(1/12)</f>
        <v>32.415954079539276</v>
      </c>
      <c r="F137" s="11">
        <f t="shared" si="6"/>
        <v>3.2359579715245501E-2</v>
      </c>
      <c r="G137" s="2"/>
      <c r="H137" s="2"/>
      <c r="I137" s="10">
        <f>ABS(C137-ADC!I137)</f>
        <v>9.0337160038393982E-2</v>
      </c>
    </row>
    <row r="138" spans="1:9" x14ac:dyDescent="0.25">
      <c r="A138" s="3">
        <v>136</v>
      </c>
      <c r="B138" s="3">
        <f t="shared" si="7"/>
        <v>33.6</v>
      </c>
      <c r="C138" s="12">
        <f t="shared" si="8"/>
        <v>1.1333329999999999</v>
      </c>
      <c r="D138" s="7"/>
      <c r="E138" s="10">
        <f>(ADC!I138+5/3)/(1/12)</f>
        <v>32.516986896951856</v>
      </c>
      <c r="F138" s="11">
        <f t="shared" si="6"/>
        <v>3.2232532828813845E-2</v>
      </c>
      <c r="G138" s="2"/>
      <c r="H138" s="2"/>
      <c r="I138" s="10">
        <f>ABS(C138-ADC!I138)</f>
        <v>9.0250758587345103E-2</v>
      </c>
    </row>
    <row r="139" spans="1:9" x14ac:dyDescent="0.25">
      <c r="A139" s="3">
        <v>137</v>
      </c>
      <c r="B139" s="3">
        <f t="shared" si="7"/>
        <v>33.700000000000003</v>
      </c>
      <c r="C139" s="12">
        <f t="shared" si="8"/>
        <v>1.141667</v>
      </c>
      <c r="D139" s="7"/>
      <c r="E139" s="10">
        <f>(ADC!I139+5/3)/(1/12)</f>
        <v>32.618327904656297</v>
      </c>
      <c r="F139" s="11">
        <f t="shared" si="6"/>
        <v>3.2097094817320634E-2</v>
      </c>
      <c r="G139" s="2"/>
      <c r="H139" s="2"/>
      <c r="I139" s="10">
        <f>ABS(C139-ADC!I139)</f>
        <v>9.0139674611975806E-2</v>
      </c>
    </row>
    <row r="140" spans="1:9" x14ac:dyDescent="0.25">
      <c r="A140" s="3">
        <v>138</v>
      </c>
      <c r="B140" s="3">
        <f t="shared" si="7"/>
        <v>33.799999999999997</v>
      </c>
      <c r="C140" s="12">
        <f t="shared" si="8"/>
        <v>1.1499999999999999</v>
      </c>
      <c r="D140" s="7"/>
      <c r="E140" s="10">
        <f>(ADC!I140+5/3)/(1/12)</f>
        <v>32.719976330372866</v>
      </c>
      <c r="F140" s="11">
        <f t="shared" si="6"/>
        <v>3.1953363006719859E-2</v>
      </c>
      <c r="G140" s="2"/>
      <c r="H140" s="2"/>
      <c r="I140" s="10">
        <f>ABS(C140-ADC!I140)</f>
        <v>9.0001972468928271E-2</v>
      </c>
    </row>
    <row r="141" spans="1:9" x14ac:dyDescent="0.25">
      <c r="A141" s="3">
        <v>139</v>
      </c>
      <c r="B141" s="3">
        <f t="shared" si="7"/>
        <v>33.9</v>
      </c>
      <c r="C141" s="12">
        <f t="shared" si="8"/>
        <v>1.1583330000000001</v>
      </c>
      <c r="D141" s="7"/>
      <c r="E141" s="10">
        <f>(ADC!I141+5/3)/(1/12)</f>
        <v>32.821931387978097</v>
      </c>
      <c r="F141" s="11">
        <f t="shared" si="6"/>
        <v>3.180143398294695E-2</v>
      </c>
      <c r="G141" s="2"/>
      <c r="H141" s="2"/>
      <c r="I141" s="10">
        <f>ABS(C141-ADC!I141)</f>
        <v>8.9838717668492274E-2</v>
      </c>
    </row>
    <row r="142" spans="1:9" x14ac:dyDescent="0.25">
      <c r="A142" s="3">
        <v>140</v>
      </c>
      <c r="B142" s="3">
        <f t="shared" si="7"/>
        <v>34</v>
      </c>
      <c r="C142" s="12">
        <f t="shared" si="8"/>
        <v>1.1666669999999999</v>
      </c>
      <c r="D142" s="7"/>
      <c r="E142" s="10">
        <f>(ADC!I142+5/3)/(1/12)</f>
        <v>32.914037691520534</v>
      </c>
      <c r="F142" s="11">
        <f t="shared" si="6"/>
        <v>3.1940067896454892E-2</v>
      </c>
      <c r="G142" s="2"/>
      <c r="H142" s="2"/>
      <c r="I142" s="10">
        <f>ABS(C142-ADC!I142)</f>
        <v>9.0497192373289348E-2</v>
      </c>
    </row>
    <row r="143" spans="1:9" x14ac:dyDescent="0.25">
      <c r="A143" s="3">
        <v>141</v>
      </c>
      <c r="B143" s="3">
        <f t="shared" si="7"/>
        <v>34.1</v>
      </c>
      <c r="C143" s="12">
        <f t="shared" si="8"/>
        <v>1.175</v>
      </c>
      <c r="D143" s="7"/>
      <c r="E143" s="10">
        <f>(ADC!I143+5/3)/(1/12)</f>
        <v>33.016615840479616</v>
      </c>
      <c r="F143" s="11">
        <f t="shared" si="6"/>
        <v>3.177079646687346E-2</v>
      </c>
      <c r="G143" s="2"/>
      <c r="H143" s="2"/>
      <c r="I143" s="10">
        <f>ABS(C143-ADC!I143)</f>
        <v>9.0282013293365493E-2</v>
      </c>
    </row>
    <row r="144" spans="1:9" x14ac:dyDescent="0.25">
      <c r="A144" s="3">
        <v>142</v>
      </c>
      <c r="B144" s="3">
        <f t="shared" si="7"/>
        <v>34.200000000000003</v>
      </c>
      <c r="C144" s="12">
        <f t="shared" si="8"/>
        <v>1.183333</v>
      </c>
      <c r="D144" s="7"/>
      <c r="E144" s="10">
        <f>(ADC!I144+5/3)/(1/12)</f>
        <v>33.119498264374549</v>
      </c>
      <c r="F144" s="11">
        <f t="shared" si="6"/>
        <v>3.1593618000744263E-2</v>
      </c>
      <c r="G144" s="2"/>
      <c r="H144" s="2"/>
      <c r="I144" s="10">
        <f>ABS(C144-ADC!I144)</f>
        <v>9.004147796878792E-2</v>
      </c>
    </row>
    <row r="145" spans="1:9" x14ac:dyDescent="0.25">
      <c r="A145" s="3">
        <v>143</v>
      </c>
      <c r="B145" s="3">
        <f t="shared" si="7"/>
        <v>34.299999999999997</v>
      </c>
      <c r="C145" s="12">
        <f t="shared" si="8"/>
        <v>1.191667</v>
      </c>
      <c r="D145" s="7"/>
      <c r="E145" s="10">
        <f>(ADC!I145+5/3)/(1/12)</f>
        <v>33.22268416146499</v>
      </c>
      <c r="F145" s="11">
        <f t="shared" si="6"/>
        <v>3.1408625030175143E-2</v>
      </c>
      <c r="G145" s="2"/>
      <c r="H145" s="2"/>
      <c r="I145" s="10">
        <f>ABS(C145-ADC!I145)</f>
        <v>8.9776653211251389E-2</v>
      </c>
    </row>
    <row r="146" spans="1:9" x14ac:dyDescent="0.25">
      <c r="A146" s="3">
        <v>144</v>
      </c>
      <c r="B146" s="3">
        <f t="shared" si="7"/>
        <v>34.4</v>
      </c>
      <c r="C146" s="12">
        <f t="shared" si="8"/>
        <v>1.2</v>
      </c>
      <c r="D146" s="7"/>
      <c r="E146" s="10">
        <f>(ADC!I146+5/3)/(1/12)</f>
        <v>33.326172724395505</v>
      </c>
      <c r="F146" s="11">
        <f t="shared" si="6"/>
        <v>3.1215909174549233E-2</v>
      </c>
      <c r="G146" s="2"/>
      <c r="H146" s="2"/>
      <c r="I146" s="10">
        <f>ABS(C146-ADC!I146)</f>
        <v>8.9485606300374831E-2</v>
      </c>
    </row>
    <row r="147" spans="1:9" x14ac:dyDescent="0.25">
      <c r="A147" s="3">
        <v>145</v>
      </c>
      <c r="B147" s="3">
        <f t="shared" si="7"/>
        <v>34.5</v>
      </c>
      <c r="C147" s="12">
        <f t="shared" si="8"/>
        <v>1.2083330000000001</v>
      </c>
      <c r="D147" s="7"/>
      <c r="E147" s="10">
        <f>(ADC!I147+5/3)/(1/12)</f>
        <v>33.429963141236541</v>
      </c>
      <c r="F147" s="11">
        <f t="shared" si="6"/>
        <v>3.1015561123578509E-2</v>
      </c>
      <c r="G147" s="2"/>
      <c r="H147" s="2"/>
      <c r="I147" s="10">
        <f>ABS(C147-ADC!I147)</f>
        <v>8.9169404896955573E-2</v>
      </c>
    </row>
    <row r="148" spans="1:9" x14ac:dyDescent="0.25">
      <c r="A148" s="3">
        <v>146</v>
      </c>
      <c r="B148" s="3">
        <f t="shared" si="7"/>
        <v>34.6</v>
      </c>
      <c r="C148" s="12">
        <f t="shared" si="8"/>
        <v>1.2166669999999999</v>
      </c>
      <c r="D148" s="7"/>
      <c r="E148" s="10">
        <f>(ADC!I148+5/3)/(1/12)</f>
        <v>33.523973279454225</v>
      </c>
      <c r="F148" s="11">
        <f t="shared" si="6"/>
        <v>3.1099038166062905E-2</v>
      </c>
      <c r="G148" s="2"/>
      <c r="H148" s="2"/>
      <c r="I148" s="10">
        <f>ABS(C148-ADC!I148)</f>
        <v>8.966922671214772E-2</v>
      </c>
    </row>
    <row r="149" spans="1:9" x14ac:dyDescent="0.25">
      <c r="A149" s="3">
        <v>147</v>
      </c>
      <c r="B149" s="3">
        <f t="shared" si="7"/>
        <v>34.700000000000003</v>
      </c>
      <c r="C149" s="12">
        <f t="shared" si="8"/>
        <v>1.2250000000000001</v>
      </c>
      <c r="D149" s="7"/>
      <c r="E149" s="10">
        <f>(ADC!I149+5/3)/(1/12)</f>
        <v>33.628377193977364</v>
      </c>
      <c r="F149" s="11">
        <f t="shared" si="6"/>
        <v>3.0882501614485258E-2</v>
      </c>
      <c r="G149" s="2"/>
      <c r="H149" s="2"/>
      <c r="I149" s="10">
        <f>ABS(C149-ADC!I149)</f>
        <v>8.9301900501886911E-2</v>
      </c>
    </row>
    <row r="150" spans="1:9" x14ac:dyDescent="0.25">
      <c r="A150" s="3">
        <v>148</v>
      </c>
      <c r="B150" s="3">
        <f t="shared" si="7"/>
        <v>34.799999999999997</v>
      </c>
      <c r="C150" s="12">
        <f t="shared" si="8"/>
        <v>1.233333</v>
      </c>
      <c r="D150" s="7"/>
      <c r="E150" s="10">
        <f>(ADC!I150+5/3)/(1/12)</f>
        <v>33.733080494632347</v>
      </c>
      <c r="F150" s="11">
        <f t="shared" si="6"/>
        <v>3.0658606476081908E-2</v>
      </c>
      <c r="G150" s="2"/>
      <c r="H150" s="2"/>
      <c r="I150" s="10">
        <f>ABS(C150-ADC!I150)</f>
        <v>8.8909625447304741E-2</v>
      </c>
    </row>
    <row r="151" spans="1:9" x14ac:dyDescent="0.25">
      <c r="A151" s="3">
        <v>149</v>
      </c>
      <c r="B151" s="3">
        <f t="shared" si="7"/>
        <v>34.9</v>
      </c>
      <c r="C151" s="12">
        <f t="shared" si="8"/>
        <v>1.2416670000000001</v>
      </c>
      <c r="D151" s="7"/>
      <c r="E151" s="10">
        <f>(ADC!I151+5/3)/(1/12)</f>
        <v>33.828037893265389</v>
      </c>
      <c r="F151" s="11">
        <f t="shared" si="6"/>
        <v>3.0715246611306868E-2</v>
      </c>
      <c r="G151" s="2"/>
      <c r="H151" s="2"/>
      <c r="I151" s="10">
        <f>ABS(C151-ADC!I151)</f>
        <v>8.9330508894550853E-2</v>
      </c>
    </row>
    <row r="152" spans="1:9" x14ac:dyDescent="0.25">
      <c r="A152" s="3">
        <v>150</v>
      </c>
      <c r="B152" s="3">
        <f t="shared" si="7"/>
        <v>35</v>
      </c>
      <c r="C152" s="12">
        <f t="shared" si="8"/>
        <v>1.25</v>
      </c>
      <c r="D152" s="7"/>
      <c r="E152" s="10">
        <f>(ADC!I152+5/3)/(1/12)</f>
        <v>33.933349757509717</v>
      </c>
      <c r="F152" s="11">
        <f t="shared" si="6"/>
        <v>3.0475721214008086E-2</v>
      </c>
      <c r="G152" s="2"/>
      <c r="H152" s="2"/>
      <c r="I152" s="10">
        <f>ABS(C152-ADC!I152)</f>
        <v>8.8887520207524107E-2</v>
      </c>
    </row>
    <row r="153" spans="1:9" x14ac:dyDescent="0.25">
      <c r="A153" s="3">
        <v>151</v>
      </c>
      <c r="B153" s="3">
        <f t="shared" si="7"/>
        <v>35.1</v>
      </c>
      <c r="C153" s="12">
        <f t="shared" si="8"/>
        <v>1.2583329999999999</v>
      </c>
      <c r="D153" s="7"/>
      <c r="E153" s="10">
        <f>(ADC!I153+5/3)/(1/12)</f>
        <v>34.028938690536044</v>
      </c>
      <c r="F153" s="11">
        <f t="shared" si="6"/>
        <v>3.0514567221195353E-2</v>
      </c>
      <c r="G153" s="2"/>
      <c r="H153" s="2"/>
      <c r="I153" s="10">
        <f>ABS(C153-ADC!I153)</f>
        <v>8.9254775788663032E-2</v>
      </c>
    </row>
    <row r="154" spans="1:9" x14ac:dyDescent="0.25">
      <c r="A154" s="3">
        <v>152</v>
      </c>
      <c r="B154" s="3">
        <f t="shared" si="7"/>
        <v>35.200000000000003</v>
      </c>
      <c r="C154" s="12">
        <f t="shared" si="8"/>
        <v>1.266667</v>
      </c>
      <c r="D154" s="7"/>
      <c r="E154" s="10">
        <f>(ADC!I154+5/3)/(1/12)</f>
        <v>34.1248501342344</v>
      </c>
      <c r="F154" s="11">
        <f t="shared" si="6"/>
        <v>3.0544030277431897E-2</v>
      </c>
      <c r="G154" s="2"/>
      <c r="H154" s="2"/>
      <c r="I154" s="10">
        <f>ABS(C154-ADC!I154)</f>
        <v>8.9596155480466955E-2</v>
      </c>
    </row>
    <row r="155" spans="1:9" x14ac:dyDescent="0.25">
      <c r="A155" s="3">
        <v>153</v>
      </c>
      <c r="B155" s="3">
        <f t="shared" si="7"/>
        <v>35.299999999999997</v>
      </c>
      <c r="C155" s="12">
        <f t="shared" si="8"/>
        <v>1.2749999999999999</v>
      </c>
      <c r="D155" s="7"/>
      <c r="E155" s="10">
        <f>(ADC!I155+5/3)/(1/12)</f>
        <v>34.231072950003792</v>
      </c>
      <c r="F155" s="11">
        <f t="shared" si="6"/>
        <v>3.0281219546634701E-2</v>
      </c>
      <c r="G155" s="2"/>
      <c r="H155" s="2"/>
      <c r="I155" s="10">
        <f>ABS(C155-ADC!I155)</f>
        <v>8.9077254166350706E-2</v>
      </c>
    </row>
    <row r="156" spans="1:9" x14ac:dyDescent="0.25">
      <c r="A156" s="3">
        <v>154</v>
      </c>
      <c r="B156" s="3">
        <f t="shared" si="7"/>
        <v>35.4</v>
      </c>
      <c r="C156" s="12">
        <f t="shared" si="8"/>
        <v>1.2833330000000001</v>
      </c>
      <c r="D156" s="7"/>
      <c r="E156" s="10">
        <f>(ADC!I156+5/3)/(1/12)</f>
        <v>34.33759188465001</v>
      </c>
      <c r="F156" s="11">
        <f t="shared" si="6"/>
        <v>3.0011528682203071E-2</v>
      </c>
      <c r="G156" s="2"/>
      <c r="H156" s="2"/>
      <c r="I156" s="10">
        <f>ABS(C156-ADC!I156)</f>
        <v>8.8533676279165752E-2</v>
      </c>
    </row>
    <row r="157" spans="1:9" x14ac:dyDescent="0.25">
      <c r="A157" s="3">
        <v>155</v>
      </c>
      <c r="B157" s="3">
        <f t="shared" si="7"/>
        <v>35.5</v>
      </c>
      <c r="C157" s="12">
        <f t="shared" si="8"/>
        <v>1.2916669999999999</v>
      </c>
      <c r="D157" s="7"/>
      <c r="E157" s="10">
        <f>(ADC!I157+5/3)/(1/12)</f>
        <v>34.434433912480621</v>
      </c>
      <c r="F157" s="11">
        <f t="shared" si="6"/>
        <v>3.0015946127306448E-2</v>
      </c>
      <c r="G157" s="2"/>
      <c r="H157" s="2"/>
      <c r="I157" s="10">
        <f>ABS(C157-ADC!I157)</f>
        <v>8.8797507293282063E-2</v>
      </c>
    </row>
    <row r="158" spans="1:9" x14ac:dyDescent="0.25">
      <c r="A158" s="3">
        <v>156</v>
      </c>
      <c r="B158" s="3">
        <f t="shared" si="7"/>
        <v>35.6</v>
      </c>
      <c r="C158" s="12">
        <f t="shared" si="8"/>
        <v>1.3</v>
      </c>
      <c r="D158" s="7"/>
      <c r="E158" s="10">
        <f>(ADC!I158+5/3)/(1/12)</f>
        <v>34.541551265898313</v>
      </c>
      <c r="F158" s="11">
        <f t="shared" si="6"/>
        <v>2.9731706014092363E-2</v>
      </c>
      <c r="G158" s="2"/>
      <c r="H158" s="2"/>
      <c r="I158" s="10">
        <f>ABS(C158-ADC!I158)</f>
        <v>8.8204061175140902E-2</v>
      </c>
    </row>
    <row r="159" spans="1:9" x14ac:dyDescent="0.25">
      <c r="A159" s="3">
        <v>157</v>
      </c>
      <c r="B159" s="3">
        <f t="shared" si="7"/>
        <v>35.700000000000003</v>
      </c>
      <c r="C159" s="12">
        <f t="shared" si="8"/>
        <v>1.308333</v>
      </c>
      <c r="D159" s="7"/>
      <c r="E159" s="10">
        <f>(ADC!I159+5/3)/(1/12)</f>
        <v>34.639014768246923</v>
      </c>
      <c r="F159" s="11">
        <f t="shared" si="6"/>
        <v>2.9719474278797741E-2</v>
      </c>
      <c r="G159" s="2"/>
      <c r="H159" s="2"/>
      <c r="I159" s="10">
        <f>ABS(C159-ADC!I159)</f>
        <v>8.841510264608976E-2</v>
      </c>
    </row>
    <row r="160" spans="1:9" x14ac:dyDescent="0.25">
      <c r="A160" s="3">
        <v>158</v>
      </c>
      <c r="B160" s="3">
        <f t="shared" si="7"/>
        <v>35.799999999999997</v>
      </c>
      <c r="C160" s="12">
        <f t="shared" si="8"/>
        <v>1.316667</v>
      </c>
      <c r="D160" s="7"/>
      <c r="E160" s="10">
        <f>(ADC!I160+5/3)/(1/12)</f>
        <v>34.746727069216782</v>
      </c>
      <c r="F160" s="11">
        <f t="shared" si="6"/>
        <v>2.9421031586123345E-2</v>
      </c>
      <c r="G160" s="2"/>
      <c r="H160" s="2"/>
      <c r="I160" s="10">
        <f>ABS(C160-ADC!I160)</f>
        <v>8.7773077565268309E-2</v>
      </c>
    </row>
    <row r="161" spans="1:9" x14ac:dyDescent="0.25">
      <c r="A161" s="3">
        <v>159</v>
      </c>
      <c r="B161" s="3">
        <f t="shared" si="7"/>
        <v>35.9</v>
      </c>
      <c r="C161" s="12">
        <f t="shared" si="8"/>
        <v>1.325</v>
      </c>
      <c r="D161" s="7"/>
      <c r="E161" s="10">
        <f>(ADC!I161+5/3)/(1/12)</f>
        <v>34.844808604398537</v>
      </c>
      <c r="F161" s="11">
        <f t="shared" si="6"/>
        <v>2.9392517983327621E-2</v>
      </c>
      <c r="G161" s="2"/>
      <c r="H161" s="2"/>
      <c r="I161" s="10">
        <f>ABS(C161-ADC!I161)</f>
        <v>8.793261630012239E-2</v>
      </c>
    </row>
    <row r="162" spans="1:9" x14ac:dyDescent="0.25">
      <c r="A162" s="3">
        <v>160</v>
      </c>
      <c r="B162" s="3">
        <f t="shared" si="7"/>
        <v>36</v>
      </c>
      <c r="C162" s="12">
        <f t="shared" si="8"/>
        <v>1.3333330000000001</v>
      </c>
      <c r="D162" s="7"/>
      <c r="E162" s="10">
        <f>(ADC!I162+5/3)/(1/12)</f>
        <v>34.953112337781754</v>
      </c>
      <c r="F162" s="11">
        <f t="shared" si="6"/>
        <v>2.9080212839395731E-2</v>
      </c>
      <c r="G162" s="2"/>
      <c r="H162" s="2"/>
      <c r="I162" s="10">
        <f>ABS(C162-ADC!I162)</f>
        <v>8.7240305184853817E-2</v>
      </c>
    </row>
    <row r="163" spans="1:9" x14ac:dyDescent="0.25">
      <c r="A163" s="3">
        <v>161</v>
      </c>
      <c r="B163" s="3">
        <f t="shared" si="7"/>
        <v>36.1</v>
      </c>
      <c r="C163" s="12">
        <f t="shared" si="8"/>
        <v>1.3416669999999999</v>
      </c>
      <c r="D163" s="7"/>
      <c r="E163" s="10">
        <f>(ADC!I163+5/3)/(1/12)</f>
        <v>35.051808419821796</v>
      </c>
      <c r="F163" s="11">
        <f t="shared" si="6"/>
        <v>2.903577784427161E-2</v>
      </c>
      <c r="G163" s="2"/>
      <c r="H163" s="2"/>
      <c r="I163" s="10">
        <f>ABS(C163-ADC!I163)</f>
        <v>8.7349631681517215E-2</v>
      </c>
    </row>
    <row r="164" spans="1:9" x14ac:dyDescent="0.25">
      <c r="A164" s="3">
        <v>162</v>
      </c>
      <c r="B164" s="3">
        <f t="shared" si="7"/>
        <v>36.200000000000003</v>
      </c>
      <c r="C164" s="12">
        <f t="shared" si="8"/>
        <v>1.35</v>
      </c>
      <c r="D164" s="7"/>
      <c r="E164" s="10">
        <f>(ADC!I164+5/3)/(1/12)</f>
        <v>35.160700028167454</v>
      </c>
      <c r="F164" s="11">
        <f t="shared" si="6"/>
        <v>2.8709943973274817E-2</v>
      </c>
      <c r="G164" s="2"/>
      <c r="H164" s="2"/>
      <c r="I164" s="10">
        <f>ABS(C164-ADC!I164)</f>
        <v>8.6608330986045701E-2</v>
      </c>
    </row>
    <row r="165" spans="1:9" x14ac:dyDescent="0.25">
      <c r="A165" s="3">
        <v>163</v>
      </c>
      <c r="B165" s="3">
        <f t="shared" si="7"/>
        <v>36.299999999999997</v>
      </c>
      <c r="C165" s="12">
        <f t="shared" si="8"/>
        <v>1.358333</v>
      </c>
      <c r="D165" s="7"/>
      <c r="E165" s="10">
        <f>(ADC!I165+5/3)/(1/12)</f>
        <v>35.26000712730935</v>
      </c>
      <c r="F165" s="11">
        <f t="shared" si="6"/>
        <v>2.8649941396436548E-2</v>
      </c>
      <c r="G165" s="2"/>
      <c r="H165" s="2"/>
      <c r="I165" s="10">
        <f>ABS(C165-ADC!I165)</f>
        <v>8.6665739390888064E-2</v>
      </c>
    </row>
    <row r="166" spans="1:9" x14ac:dyDescent="0.25">
      <c r="A166" s="3">
        <v>164</v>
      </c>
      <c r="B166" s="3">
        <f t="shared" si="7"/>
        <v>36.400000000000006</v>
      </c>
      <c r="C166" s="12">
        <f t="shared" si="8"/>
        <v>1.3666670000000001</v>
      </c>
      <c r="D166" s="7"/>
      <c r="E166" s="10">
        <f>(ADC!I166+5/3)/(1/12)</f>
        <v>35.369483007819873</v>
      </c>
      <c r="F166" s="11">
        <f t="shared" si="6"/>
        <v>2.8310906378575057E-2</v>
      </c>
      <c r="G166" s="2"/>
      <c r="H166" s="2"/>
      <c r="I166" s="10">
        <f>ABS(C166-ADC!I166)</f>
        <v>8.5876749348344328E-2</v>
      </c>
    </row>
    <row r="167" spans="1:9" x14ac:dyDescent="0.25">
      <c r="A167" s="3">
        <v>165</v>
      </c>
      <c r="B167" s="3">
        <f t="shared" si="7"/>
        <v>36.5</v>
      </c>
      <c r="C167" s="12">
        <f t="shared" si="8"/>
        <v>1.375</v>
      </c>
      <c r="D167" s="7"/>
      <c r="E167" s="10">
        <f>(ADC!I167+5/3)/(1/12)</f>
        <v>35.469397554139363</v>
      </c>
      <c r="F167" s="11">
        <f t="shared" si="6"/>
        <v>2.823568344823664E-2</v>
      </c>
      <c r="G167" s="2"/>
      <c r="H167" s="2"/>
      <c r="I167" s="10">
        <f>ABS(C167-ADC!I167)</f>
        <v>8.5883537155053702E-2</v>
      </c>
    </row>
    <row r="168" spans="1:9" x14ac:dyDescent="0.25">
      <c r="A168" s="3">
        <v>166</v>
      </c>
      <c r="B168" s="3">
        <f t="shared" si="7"/>
        <v>36.6</v>
      </c>
      <c r="C168" s="12">
        <f t="shared" si="8"/>
        <v>1.3833329999999999</v>
      </c>
      <c r="D168" s="7"/>
      <c r="E168" s="10">
        <f>(ADC!I168+5/3)/(1/12)</f>
        <v>35.569620733723724</v>
      </c>
      <c r="F168" s="11">
        <f t="shared" si="6"/>
        <v>2.8152438969297196E-2</v>
      </c>
      <c r="G168" s="2"/>
      <c r="H168" s="2"/>
      <c r="I168" s="10">
        <f>ABS(C168-ADC!I168)</f>
        <v>8.5864605523022774E-2</v>
      </c>
    </row>
    <row r="169" spans="1:9" x14ac:dyDescent="0.25">
      <c r="A169" s="3">
        <v>167</v>
      </c>
      <c r="B169" s="3">
        <f t="shared" si="7"/>
        <v>36.700000000000003</v>
      </c>
      <c r="C169" s="12">
        <f t="shared" si="8"/>
        <v>1.391667</v>
      </c>
      <c r="D169" s="7"/>
      <c r="E169" s="10">
        <f>(ADC!I169+5/3)/(1/12)</f>
        <v>35.679972436423803</v>
      </c>
      <c r="F169" s="11">
        <f t="shared" si="6"/>
        <v>2.7793666582457757E-2</v>
      </c>
      <c r="G169" s="2"/>
      <c r="H169" s="2"/>
      <c r="I169" s="10">
        <f>ABS(C169-ADC!I169)</f>
        <v>8.500263029801669E-2</v>
      </c>
    </row>
    <row r="170" spans="1:9" x14ac:dyDescent="0.25">
      <c r="A170" s="3">
        <v>168</v>
      </c>
      <c r="B170" s="3">
        <f t="shared" si="7"/>
        <v>36.799999999999997</v>
      </c>
      <c r="C170" s="12">
        <f t="shared" si="8"/>
        <v>1.4</v>
      </c>
      <c r="D170" s="7"/>
      <c r="E170" s="10">
        <f>(ADC!I170+5/3)/(1/12)</f>
        <v>35.780797633121047</v>
      </c>
      <c r="F170" s="11">
        <f t="shared" si="6"/>
        <v>2.7695716491275824E-2</v>
      </c>
      <c r="G170" s="2"/>
      <c r="H170" s="2"/>
      <c r="I170" s="10">
        <f>ABS(C170-ADC!I170)</f>
        <v>8.4933530573246152E-2</v>
      </c>
    </row>
    <row r="171" spans="1:9" x14ac:dyDescent="0.25">
      <c r="A171" s="3">
        <v>169</v>
      </c>
      <c r="B171" s="3">
        <f t="shared" si="7"/>
        <v>36.900000000000006</v>
      </c>
      <c r="C171" s="12">
        <f t="shared" si="8"/>
        <v>1.4083330000000001</v>
      </c>
      <c r="D171" s="7"/>
      <c r="E171" s="10">
        <f>(ADC!I171+5/3)/(1/12)</f>
        <v>35.881928743516085</v>
      </c>
      <c r="F171" s="11">
        <f t="shared" si="6"/>
        <v>2.7590006950783768E-2</v>
      </c>
      <c r="G171" s="2"/>
      <c r="H171" s="2"/>
      <c r="I171" s="10">
        <f>ABS(C171-ADC!I171)</f>
        <v>8.4838938040326495E-2</v>
      </c>
    </row>
    <row r="172" spans="1:9" x14ac:dyDescent="0.25">
      <c r="A172" s="3">
        <v>170</v>
      </c>
      <c r="B172" s="3">
        <f t="shared" si="7"/>
        <v>37</v>
      </c>
      <c r="C172" s="12">
        <f t="shared" si="8"/>
        <v>1.4166669999999999</v>
      </c>
      <c r="D172" s="7"/>
      <c r="E172" s="10">
        <f>(ADC!I172+5/3)/(1/12)</f>
        <v>35.993147966697492</v>
      </c>
      <c r="F172" s="11">
        <f t="shared" si="6"/>
        <v>2.7212217116283993E-2</v>
      </c>
      <c r="G172" s="2"/>
      <c r="H172" s="2"/>
      <c r="I172" s="10">
        <f>ABS(C172-ADC!I172)</f>
        <v>8.3904669441876134E-2</v>
      </c>
    </row>
    <row r="173" spans="1:9" x14ac:dyDescent="0.25">
      <c r="A173" s="3">
        <v>171</v>
      </c>
      <c r="B173" s="3">
        <f t="shared" si="7"/>
        <v>37.1</v>
      </c>
      <c r="C173" s="12">
        <f t="shared" si="8"/>
        <v>1.425</v>
      </c>
      <c r="D173" s="7"/>
      <c r="E173" s="10">
        <f>(ADC!I173+5/3)/(1/12)</f>
        <v>36.094875566890906</v>
      </c>
      <c r="F173" s="11">
        <f t="shared" si="6"/>
        <v>2.7092302779220905E-2</v>
      </c>
      <c r="G173" s="2"/>
      <c r="H173" s="2"/>
      <c r="I173" s="10">
        <f>ABS(C173-ADC!I173)</f>
        <v>8.3760369425758263E-2</v>
      </c>
    </row>
    <row r="174" spans="1:9" x14ac:dyDescent="0.25">
      <c r="A174" s="3">
        <v>172</v>
      </c>
      <c r="B174" s="3">
        <f t="shared" si="7"/>
        <v>37.200000000000003</v>
      </c>
      <c r="C174" s="12">
        <f t="shared" si="8"/>
        <v>1.433333</v>
      </c>
      <c r="D174" s="7"/>
      <c r="E174" s="10">
        <f>(ADC!I174+5/3)/(1/12)</f>
        <v>36.196906308847808</v>
      </c>
      <c r="F174" s="11">
        <f t="shared" si="6"/>
        <v>2.6964884170757923E-2</v>
      </c>
      <c r="G174" s="2"/>
      <c r="H174" s="2"/>
      <c r="I174" s="10">
        <f>ABS(C174-ADC!I174)</f>
        <v>8.3590807596016337E-2</v>
      </c>
    </row>
    <row r="175" spans="1:9" x14ac:dyDescent="0.25">
      <c r="A175" s="3">
        <v>173</v>
      </c>
      <c r="B175" s="3">
        <f t="shared" si="7"/>
        <v>37.299999999999997</v>
      </c>
      <c r="C175" s="12">
        <f t="shared" si="8"/>
        <v>1.441667</v>
      </c>
      <c r="D175" s="7"/>
      <c r="E175" s="10">
        <f>(ADC!I175+5/3)/(1/12)</f>
        <v>36.289493953667197</v>
      </c>
      <c r="F175" s="11">
        <f t="shared" si="6"/>
        <v>2.7091314915088479E-2</v>
      </c>
      <c r="G175" s="2"/>
      <c r="H175" s="2"/>
      <c r="I175" s="10">
        <f>ABS(C175-ADC!I175)</f>
        <v>8.420917052773369E-2</v>
      </c>
    </row>
    <row r="176" spans="1:9" x14ac:dyDescent="0.25">
      <c r="A176" s="3">
        <v>174</v>
      </c>
      <c r="B176" s="3">
        <f t="shared" si="7"/>
        <v>37.400000000000006</v>
      </c>
      <c r="C176" s="12">
        <f t="shared" si="8"/>
        <v>1.45</v>
      </c>
      <c r="D176" s="7"/>
      <c r="E176" s="10">
        <f>(ADC!I176+5/3)/(1/12)</f>
        <v>36.401873506734724</v>
      </c>
      <c r="F176" s="11">
        <f t="shared" si="6"/>
        <v>2.6687874151478126E-2</v>
      </c>
      <c r="G176" s="2"/>
      <c r="H176" s="2"/>
      <c r="I176" s="10">
        <f>ABS(C176-ADC!I176)</f>
        <v>8.3177207772106465E-2</v>
      </c>
    </row>
    <row r="177" spans="1:9" x14ac:dyDescent="0.25">
      <c r="A177" s="3">
        <v>175</v>
      </c>
      <c r="B177" s="3">
        <f t="shared" si="7"/>
        <v>37.5</v>
      </c>
      <c r="C177" s="12">
        <f t="shared" si="8"/>
        <v>1.4583330000000001</v>
      </c>
      <c r="D177" s="7"/>
      <c r="E177" s="10">
        <f>(ADC!I177+5/3)/(1/12)</f>
        <v>36.504808084447269</v>
      </c>
      <c r="F177" s="11">
        <f t="shared" si="6"/>
        <v>2.653845108140615E-2</v>
      </c>
      <c r="G177" s="2"/>
      <c r="H177" s="2"/>
      <c r="I177" s="10">
        <f>ABS(C177-ADC!I177)</f>
        <v>8.2932326296061287E-2</v>
      </c>
    </row>
    <row r="178" spans="1:9" x14ac:dyDescent="0.25">
      <c r="A178" s="3">
        <v>176</v>
      </c>
      <c r="B178" s="3">
        <f t="shared" si="7"/>
        <v>37.6</v>
      </c>
      <c r="C178" s="12">
        <f t="shared" si="8"/>
        <v>1.4666669999999999</v>
      </c>
      <c r="D178" s="7"/>
      <c r="E178" s="10">
        <f>(ADC!I178+5/3)/(1/12)</f>
        <v>36.608042055281167</v>
      </c>
      <c r="F178" s="11">
        <f t="shared" si="6"/>
        <v>2.6381860231883884E-2</v>
      </c>
      <c r="G178" s="2"/>
      <c r="H178" s="2"/>
      <c r="I178" s="10">
        <f>ABS(C178-ADC!I178)</f>
        <v>8.2663495393236586E-2</v>
      </c>
    </row>
    <row r="179" spans="1:9" x14ac:dyDescent="0.25">
      <c r="A179" s="3">
        <v>177</v>
      </c>
      <c r="B179" s="3">
        <f t="shared" si="7"/>
        <v>37.700000000000003</v>
      </c>
      <c r="C179" s="12">
        <f t="shared" si="8"/>
        <v>1.4750000000000001</v>
      </c>
      <c r="D179" s="7"/>
      <c r="E179" s="10">
        <f>(ADC!I179+5/3)/(1/12)</f>
        <v>36.711574472506108</v>
      </c>
      <c r="F179" s="11">
        <f t="shared" si="6"/>
        <v>2.6218183753153716E-2</v>
      </c>
      <c r="G179" s="2"/>
      <c r="H179" s="2"/>
      <c r="I179" s="10">
        <f>ABS(C179-ADC!I179)</f>
        <v>8.2368793957824815E-2</v>
      </c>
    </row>
    <row r="180" spans="1:9" x14ac:dyDescent="0.25">
      <c r="A180" s="3">
        <v>178</v>
      </c>
      <c r="B180" s="3">
        <f t="shared" si="7"/>
        <v>37.799999999999997</v>
      </c>
      <c r="C180" s="12">
        <f t="shared" si="8"/>
        <v>1.483333</v>
      </c>
      <c r="D180" s="7"/>
      <c r="E180" s="10">
        <f>(ADC!I180+5/3)/(1/12)</f>
        <v>36.825086487701135</v>
      </c>
      <c r="F180" s="11">
        <f t="shared" si="6"/>
        <v>2.5791362759229153E-2</v>
      </c>
      <c r="G180" s="2"/>
      <c r="H180" s="2"/>
      <c r="I180" s="10">
        <f>ABS(C180-ADC!I180)</f>
        <v>8.1242459358239039E-2</v>
      </c>
    </row>
    <row r="181" spans="1:9" x14ac:dyDescent="0.25">
      <c r="A181" s="3">
        <v>179</v>
      </c>
      <c r="B181" s="3">
        <f t="shared" si="7"/>
        <v>37.900000000000006</v>
      </c>
      <c r="C181" s="12">
        <f t="shared" si="8"/>
        <v>1.4916670000000001</v>
      </c>
      <c r="D181" s="7"/>
      <c r="E181" s="10">
        <f>(ADC!I181+5/3)/(1/12)</f>
        <v>36.929200238860666</v>
      </c>
      <c r="F181" s="11">
        <f t="shared" si="6"/>
        <v>2.5614769423201567E-2</v>
      </c>
      <c r="G181" s="2"/>
      <c r="H181" s="2"/>
      <c r="I181" s="10">
        <f>ABS(C181-ADC!I181)</f>
        <v>8.0900313428277748E-2</v>
      </c>
    </row>
    <row r="182" spans="1:9" x14ac:dyDescent="0.25">
      <c r="A182" s="3">
        <v>180</v>
      </c>
      <c r="B182" s="3">
        <f t="shared" si="7"/>
        <v>38</v>
      </c>
      <c r="C182" s="12">
        <f t="shared" si="8"/>
        <v>1.5</v>
      </c>
      <c r="D182" s="7"/>
      <c r="E182" s="10">
        <f>(ADC!I182+5/3)/(1/12)</f>
        <v>37.0336095376326</v>
      </c>
      <c r="F182" s="11">
        <f t="shared" si="6"/>
        <v>2.5431327957036842E-2</v>
      </c>
      <c r="G182" s="2"/>
      <c r="H182" s="2"/>
      <c r="I182" s="10">
        <f>ABS(C182-ADC!I182)</f>
        <v>8.0532538530616815E-2</v>
      </c>
    </row>
    <row r="183" spans="1:9" x14ac:dyDescent="0.25">
      <c r="A183" s="3">
        <v>181</v>
      </c>
      <c r="B183" s="3">
        <f t="shared" si="7"/>
        <v>38.1</v>
      </c>
      <c r="C183" s="12">
        <f t="shared" si="8"/>
        <v>1.5083329999999999</v>
      </c>
      <c r="D183" s="7"/>
      <c r="E183" s="10">
        <f>(ADC!I183+5/3)/(1/12)</f>
        <v>37.147957492268375</v>
      </c>
      <c r="F183" s="11">
        <f t="shared" si="6"/>
        <v>2.498799232891407E-2</v>
      </c>
      <c r="G183" s="2"/>
      <c r="H183" s="2"/>
      <c r="I183" s="10">
        <f>ABS(C183-ADC!I183)</f>
        <v>7.9336542310968872E-2</v>
      </c>
    </row>
    <row r="184" spans="1:9" x14ac:dyDescent="0.25">
      <c r="A184" s="3">
        <v>182</v>
      </c>
      <c r="B184" s="3">
        <f t="shared" si="7"/>
        <v>38.200000000000003</v>
      </c>
      <c r="C184" s="12">
        <f t="shared" si="8"/>
        <v>1.516667</v>
      </c>
      <c r="D184" s="7"/>
      <c r="E184" s="10">
        <f>(ADC!I184+5/3)/(1/12)</f>
        <v>37.252942261321593</v>
      </c>
      <c r="F184" s="11">
        <f t="shared" si="6"/>
        <v>2.4792087399958376E-2</v>
      </c>
      <c r="G184" s="2"/>
      <c r="H184" s="2"/>
      <c r="I184" s="10">
        <f>ABS(C184-ADC!I184)</f>
        <v>7.8921811556534216E-2</v>
      </c>
    </row>
    <row r="185" spans="1:9" x14ac:dyDescent="0.25">
      <c r="A185" s="3">
        <v>183</v>
      </c>
      <c r="B185" s="3">
        <f t="shared" si="7"/>
        <v>38.299999999999997</v>
      </c>
      <c r="C185" s="12">
        <f t="shared" si="8"/>
        <v>1.5249999999999999</v>
      </c>
      <c r="D185" s="7"/>
      <c r="E185" s="10">
        <f>(ADC!I185+5/3)/(1/12)</f>
        <v>37.358219642888258</v>
      </c>
      <c r="F185" s="11">
        <f t="shared" si="6"/>
        <v>2.4589565459836527E-2</v>
      </c>
      <c r="G185" s="2"/>
      <c r="H185" s="2"/>
      <c r="I185" s="10">
        <f>ABS(C185-ADC!I185)</f>
        <v>7.8481696425978464E-2</v>
      </c>
    </row>
    <row r="186" spans="1:9" x14ac:dyDescent="0.25">
      <c r="A186" s="3">
        <v>184</v>
      </c>
      <c r="B186" s="3">
        <f t="shared" si="7"/>
        <v>38.400000000000006</v>
      </c>
      <c r="C186" s="12">
        <f t="shared" si="8"/>
        <v>1.5333330000000001</v>
      </c>
      <c r="D186" s="7"/>
      <c r="E186" s="10">
        <f>(ADC!I186+5/3)/(1/12)</f>
        <v>37.463788648593045</v>
      </c>
      <c r="F186" s="11">
        <f t="shared" si="6"/>
        <v>2.4380503942889594E-2</v>
      </c>
      <c r="G186" s="2"/>
      <c r="H186" s="2"/>
      <c r="I186" s="10">
        <f>ABS(C186-ADC!I186)</f>
        <v>7.8017279283913332E-2</v>
      </c>
    </row>
    <row r="187" spans="1:9" x14ac:dyDescent="0.25">
      <c r="A187" s="3">
        <v>185</v>
      </c>
      <c r="B187" s="3">
        <f t="shared" si="7"/>
        <v>38.5</v>
      </c>
      <c r="C187" s="12">
        <f t="shared" si="8"/>
        <v>1.5416669999999999</v>
      </c>
      <c r="D187" s="7"/>
      <c r="E187" s="10">
        <f>(ADC!I187+5/3)/(1/12)</f>
        <v>37.569648288648004</v>
      </c>
      <c r="F187" s="11">
        <f t="shared" si="6"/>
        <v>2.4164979515636256E-2</v>
      </c>
      <c r="G187" s="2"/>
      <c r="H187" s="2"/>
      <c r="I187" s="10">
        <f>ABS(C187-ADC!I187)</f>
        <v>7.7529642612666816E-2</v>
      </c>
    </row>
    <row r="188" spans="1:9" x14ac:dyDescent="0.25">
      <c r="A188" s="3">
        <v>186</v>
      </c>
      <c r="B188" s="3">
        <f t="shared" si="7"/>
        <v>38.6</v>
      </c>
      <c r="C188" s="12">
        <f t="shared" si="8"/>
        <v>1.55</v>
      </c>
      <c r="D188" s="7"/>
      <c r="E188" s="10">
        <f>(ADC!I188+5/3)/(1/12)</f>
        <v>37.675797562719254</v>
      </c>
      <c r="F188" s="11">
        <f t="shared" si="6"/>
        <v>2.3943068323335433E-2</v>
      </c>
      <c r="G188" s="2"/>
      <c r="H188" s="2"/>
      <c r="I188" s="10">
        <f>ABS(C188-ADC!I188)</f>
        <v>7.7016869773395724E-2</v>
      </c>
    </row>
    <row r="189" spans="1:9" x14ac:dyDescent="0.25">
      <c r="A189" s="3">
        <v>187</v>
      </c>
      <c r="B189" s="3">
        <f t="shared" si="7"/>
        <v>38.700000000000003</v>
      </c>
      <c r="C189" s="12">
        <f t="shared" si="8"/>
        <v>1.558333</v>
      </c>
      <c r="D189" s="7"/>
      <c r="E189" s="10">
        <f>(ADC!I189+5/3)/(1/12)</f>
        <v>37.772667814396769</v>
      </c>
      <c r="F189" s="11">
        <f t="shared" si="6"/>
        <v>2.3962071979411727E-2</v>
      </c>
      <c r="G189" s="2"/>
      <c r="H189" s="2"/>
      <c r="I189" s="10">
        <f>ABS(C189-ADC!I189)</f>
        <v>7.7277348800269818E-2</v>
      </c>
    </row>
    <row r="190" spans="1:9" x14ac:dyDescent="0.25">
      <c r="A190" s="3">
        <v>188</v>
      </c>
      <c r="B190" s="3">
        <f t="shared" si="7"/>
        <v>38.799999999999997</v>
      </c>
      <c r="C190" s="12">
        <f t="shared" si="8"/>
        <v>1.566667</v>
      </c>
      <c r="D190" s="7"/>
      <c r="E190" s="10">
        <f>(ADC!I190+5/3)/(1/12)</f>
        <v>37.879406126735894</v>
      </c>
      <c r="F190" s="11">
        <f t="shared" si="6"/>
        <v>2.3726646218146987E-2</v>
      </c>
      <c r="G190" s="2"/>
      <c r="H190" s="2"/>
      <c r="I190" s="10">
        <f>ABS(C190-ADC!I190)</f>
        <v>7.6716489438675817E-2</v>
      </c>
    </row>
    <row r="191" spans="1:9" x14ac:dyDescent="0.25">
      <c r="A191" s="3">
        <v>189</v>
      </c>
      <c r="B191" s="3">
        <f t="shared" si="7"/>
        <v>38.900000000000006</v>
      </c>
      <c r="C191" s="12">
        <f t="shared" si="8"/>
        <v>1.575</v>
      </c>
      <c r="D191" s="7"/>
      <c r="E191" s="10">
        <f>(ADC!I191+5/3)/(1/12)</f>
        <v>37.986431067163693</v>
      </c>
      <c r="F191" s="11">
        <f t="shared" si="6"/>
        <v>2.3485062540779245E-2</v>
      </c>
      <c r="G191" s="2"/>
      <c r="H191" s="2"/>
      <c r="I191" s="10">
        <f>ABS(C191-ADC!I191)</f>
        <v>7.6130744403025918E-2</v>
      </c>
    </row>
    <row r="192" spans="1:9" x14ac:dyDescent="0.25">
      <c r="A192" s="3">
        <v>190</v>
      </c>
      <c r="B192" s="3">
        <f t="shared" si="7"/>
        <v>39</v>
      </c>
      <c r="C192" s="12">
        <f t="shared" si="8"/>
        <v>1.5833330000000001</v>
      </c>
      <c r="D192" s="7"/>
      <c r="E192" s="10">
        <f>(ADC!I192+5/3)/(1/12)</f>
        <v>38.093741620765293</v>
      </c>
      <c r="F192" s="11">
        <f t="shared" si="6"/>
        <v>2.3237394339351462E-2</v>
      </c>
      <c r="G192" s="2"/>
      <c r="H192" s="2"/>
      <c r="I192" s="10">
        <f>ABS(C192-ADC!I192)</f>
        <v>7.5521198269559164E-2</v>
      </c>
    </row>
    <row r="193" spans="1:9" x14ac:dyDescent="0.25">
      <c r="A193" s="3">
        <v>191</v>
      </c>
      <c r="B193" s="3">
        <f t="shared" si="7"/>
        <v>39.1</v>
      </c>
      <c r="C193" s="12">
        <f t="shared" si="8"/>
        <v>1.5916669999999999</v>
      </c>
      <c r="D193" s="7"/>
      <c r="E193" s="10">
        <f>(ADC!I193+5/3)/(1/12)</f>
        <v>38.20133676726806</v>
      </c>
      <c r="F193" s="11">
        <f t="shared" si="6"/>
        <v>2.2983714392121258E-2</v>
      </c>
      <c r="G193" s="2"/>
      <c r="H193" s="2"/>
      <c r="I193" s="10">
        <f>ABS(C193-ADC!I193)</f>
        <v>7.4888936060994782E-2</v>
      </c>
    </row>
    <row r="194" spans="1:9" x14ac:dyDescent="0.25">
      <c r="A194" s="3">
        <v>192</v>
      </c>
      <c r="B194" s="3">
        <f t="shared" si="7"/>
        <v>39.200000000000003</v>
      </c>
      <c r="C194" s="12">
        <f t="shared" si="8"/>
        <v>1.6</v>
      </c>
      <c r="D194" s="7"/>
      <c r="E194" s="10">
        <f>(ADC!I194+5/3)/(1/12)</f>
        <v>38.309215481812139</v>
      </c>
      <c r="F194" s="11">
        <f t="shared" ref="F194:F257" si="9">ABS(B194-E194)/B194</f>
        <v>2.2724094851731227E-2</v>
      </c>
      <c r="G194" s="2"/>
      <c r="H194" s="2"/>
      <c r="I194" s="10">
        <f>ABS(C194-ADC!I194)</f>
        <v>7.423204318232246E-2</v>
      </c>
    </row>
    <row r="195" spans="1:9" x14ac:dyDescent="0.25">
      <c r="A195" s="3">
        <v>193</v>
      </c>
      <c r="B195" s="3">
        <f t="shared" ref="B195:B258" si="10">0.1*A195+20</f>
        <v>39.299999999999997</v>
      </c>
      <c r="C195" s="12">
        <f t="shared" ref="C195:C258" si="11">ROUND(1/12*B195-5/3,6)</f>
        <v>1.608333</v>
      </c>
      <c r="D195" s="7"/>
      <c r="E195" s="10">
        <f>(ADC!I195+5/3)/(1/12)</f>
        <v>38.407885873066348</v>
      </c>
      <c r="F195" s="11">
        <f t="shared" si="9"/>
        <v>2.2700105011034321E-2</v>
      </c>
      <c r="G195" s="2"/>
      <c r="H195" s="2"/>
      <c r="I195" s="10">
        <f>ABS(C195-ADC!I195)</f>
        <v>7.434251057780461E-2</v>
      </c>
    </row>
    <row r="196" spans="1:9" x14ac:dyDescent="0.25">
      <c r="A196" s="3">
        <v>194</v>
      </c>
      <c r="B196" s="3">
        <f t="shared" si="10"/>
        <v>39.400000000000006</v>
      </c>
      <c r="C196" s="12">
        <f t="shared" si="11"/>
        <v>1.6166670000000001</v>
      </c>
      <c r="D196" s="7"/>
      <c r="E196" s="10">
        <f>(ADC!I196+5/3)/(1/12)</f>
        <v>38.506863450646073</v>
      </c>
      <c r="F196" s="11">
        <f t="shared" si="9"/>
        <v>2.2668440338932311E-2</v>
      </c>
      <c r="G196" s="2"/>
      <c r="H196" s="2"/>
      <c r="I196" s="10">
        <f>ABS(C196-ADC!I196)</f>
        <v>7.4428379112827736E-2</v>
      </c>
    </row>
    <row r="197" spans="1:9" x14ac:dyDescent="0.25">
      <c r="A197" s="3">
        <v>195</v>
      </c>
      <c r="B197" s="3">
        <f t="shared" si="10"/>
        <v>39.5</v>
      </c>
      <c r="C197" s="12">
        <f t="shared" si="11"/>
        <v>1.625</v>
      </c>
      <c r="D197" s="7"/>
      <c r="E197" s="10">
        <f>(ADC!I197+5/3)/(1/12)</f>
        <v>38.615613263513787</v>
      </c>
      <c r="F197" s="11">
        <f t="shared" si="9"/>
        <v>2.2389537632562365E-2</v>
      </c>
      <c r="G197" s="2"/>
      <c r="H197" s="2"/>
      <c r="I197" s="10">
        <f>ABS(C197-ADC!I197)</f>
        <v>7.3698894707185048E-2</v>
      </c>
    </row>
    <row r="198" spans="1:9" x14ac:dyDescent="0.25">
      <c r="A198" s="3">
        <v>196</v>
      </c>
      <c r="B198" s="3">
        <f t="shared" si="10"/>
        <v>39.6</v>
      </c>
      <c r="C198" s="12">
        <f t="shared" si="11"/>
        <v>1.6333329999999999</v>
      </c>
      <c r="D198" s="7"/>
      <c r="E198" s="10">
        <f>(ADC!I198+5/3)/(1/12)</f>
        <v>38.724640678159659</v>
      </c>
      <c r="F198" s="11">
        <f t="shared" si="9"/>
        <v>2.2105033379806623E-2</v>
      </c>
      <c r="G198" s="2"/>
      <c r="H198" s="2"/>
      <c r="I198" s="10">
        <f>ABS(C198-ADC!I198)</f>
        <v>7.2946276820028189E-2</v>
      </c>
    </row>
    <row r="199" spans="1:9" x14ac:dyDescent="0.25">
      <c r="A199" s="3">
        <v>197</v>
      </c>
      <c r="B199" s="3">
        <f t="shared" si="10"/>
        <v>39.700000000000003</v>
      </c>
      <c r="C199" s="12">
        <f t="shared" si="11"/>
        <v>1.641667</v>
      </c>
      <c r="D199" s="7"/>
      <c r="E199" s="10">
        <f>(ADC!I199+5/3)/(1/12)</f>
        <v>38.833947398110141</v>
      </c>
      <c r="F199" s="11">
        <f t="shared" si="9"/>
        <v>2.181492699974464E-2</v>
      </c>
      <c r="G199" s="2"/>
      <c r="H199" s="2"/>
      <c r="I199" s="10">
        <f>ABS(C199-ADC!I199)</f>
        <v>7.2171383490822194E-2</v>
      </c>
    </row>
    <row r="200" spans="1:9" x14ac:dyDescent="0.25">
      <c r="A200" s="3">
        <v>198</v>
      </c>
      <c r="B200" s="3">
        <f t="shared" si="10"/>
        <v>39.799999999999997</v>
      </c>
      <c r="C200" s="12">
        <f t="shared" si="11"/>
        <v>1.65</v>
      </c>
      <c r="D200" s="7"/>
      <c r="E200" s="10">
        <f>(ADC!I200+5/3)/(1/12)</f>
        <v>38.934104878969769</v>
      </c>
      <c r="F200" s="11">
        <f t="shared" si="9"/>
        <v>2.175615881985497E-2</v>
      </c>
      <c r="G200" s="2"/>
      <c r="H200" s="2"/>
      <c r="I200" s="10">
        <f>ABS(C200-ADC!I200)</f>
        <v>7.2157926752519641E-2</v>
      </c>
    </row>
    <row r="201" spans="1:9" x14ac:dyDescent="0.25">
      <c r="A201" s="3">
        <v>199</v>
      </c>
      <c r="B201" s="3">
        <f t="shared" si="10"/>
        <v>39.900000000000006</v>
      </c>
      <c r="C201" s="12">
        <f t="shared" si="11"/>
        <v>1.6583330000000001</v>
      </c>
      <c r="D201" s="7"/>
      <c r="E201" s="10">
        <f>(ADC!I201+5/3)/(1/12)</f>
        <v>39.04397808434004</v>
      </c>
      <c r="F201" s="11">
        <f t="shared" si="9"/>
        <v>2.1454183349873826E-2</v>
      </c>
      <c r="G201" s="2"/>
      <c r="H201" s="2"/>
      <c r="I201" s="10">
        <f>ABS(C201-ADC!I201)</f>
        <v>7.1334826304997101E-2</v>
      </c>
    </row>
    <row r="202" spans="1:9" x14ac:dyDescent="0.25">
      <c r="A202" s="3">
        <v>200</v>
      </c>
      <c r="B202" s="3">
        <f t="shared" si="10"/>
        <v>40</v>
      </c>
      <c r="C202" s="12">
        <f t="shared" si="11"/>
        <v>1.6666669999999999</v>
      </c>
      <c r="D202" s="7"/>
      <c r="E202" s="10">
        <f>(ADC!I202+5/3)/(1/12)</f>
        <v>39.154126515469684</v>
      </c>
      <c r="F202" s="11">
        <f t="shared" si="9"/>
        <v>2.1146837113257887E-2</v>
      </c>
      <c r="G202" s="2"/>
      <c r="H202" s="2"/>
      <c r="I202" s="10">
        <f>ABS(C202-ADC!I202)</f>
        <v>7.048979037752634E-2</v>
      </c>
    </row>
    <row r="203" spans="1:9" x14ac:dyDescent="0.25">
      <c r="A203" s="3">
        <v>201</v>
      </c>
      <c r="B203" s="3">
        <f t="shared" si="10"/>
        <v>40.1</v>
      </c>
      <c r="C203" s="12">
        <f t="shared" si="11"/>
        <v>1.675</v>
      </c>
      <c r="D203" s="7"/>
      <c r="E203" s="10">
        <f>(ADC!I203+5/3)/(1/12)</f>
        <v>39.255161200297657</v>
      </c>
      <c r="F203" s="11">
        <f t="shared" si="9"/>
        <v>2.1068299244447496E-2</v>
      </c>
      <c r="G203" s="2"/>
      <c r="H203" s="2"/>
      <c r="I203" s="10">
        <f>ABS(C203-ADC!I203)</f>
        <v>7.0403233308528934E-2</v>
      </c>
    </row>
    <row r="204" spans="1:9" x14ac:dyDescent="0.25">
      <c r="A204" s="3">
        <v>202</v>
      </c>
      <c r="B204" s="3">
        <f t="shared" si="10"/>
        <v>40.200000000000003</v>
      </c>
      <c r="C204" s="12">
        <f t="shared" si="11"/>
        <v>1.683333</v>
      </c>
      <c r="D204" s="7"/>
      <c r="E204" s="10">
        <f>(ADC!I204+5/3)/(1/12)</f>
        <v>39.365869773262652</v>
      </c>
      <c r="F204" s="11">
        <f t="shared" si="9"/>
        <v>2.0749508127794792E-2</v>
      </c>
      <c r="G204" s="2"/>
      <c r="H204" s="2"/>
      <c r="I204" s="10">
        <f>ABS(C204-ADC!I204)</f>
        <v>6.9510518894779327E-2</v>
      </c>
    </row>
    <row r="205" spans="1:9" x14ac:dyDescent="0.25">
      <c r="A205" s="3">
        <v>203</v>
      </c>
      <c r="B205" s="3">
        <f t="shared" si="10"/>
        <v>40.299999999999997</v>
      </c>
      <c r="C205" s="12">
        <f t="shared" si="11"/>
        <v>1.691667</v>
      </c>
      <c r="D205" s="7"/>
      <c r="E205" s="10">
        <f>(ADC!I205+5/3)/(1/12)</f>
        <v>39.476850365365607</v>
      </c>
      <c r="F205" s="11">
        <f t="shared" si="9"/>
        <v>2.0425549246510927E-2</v>
      </c>
      <c r="G205" s="2"/>
      <c r="H205" s="2"/>
      <c r="I205" s="10">
        <f>ABS(C205-ADC!I205)</f>
        <v>6.8596136219532866E-2</v>
      </c>
    </row>
    <row r="206" spans="1:9" x14ac:dyDescent="0.25">
      <c r="A206" s="3">
        <v>204</v>
      </c>
      <c r="B206" s="3">
        <f t="shared" si="10"/>
        <v>40.400000000000006</v>
      </c>
      <c r="C206" s="12">
        <f t="shared" si="11"/>
        <v>1.7</v>
      </c>
      <c r="D206" s="7"/>
      <c r="E206" s="10">
        <f>(ADC!I206+5/3)/(1/12)</f>
        <v>39.57875274094777</v>
      </c>
      <c r="F206" s="11">
        <f t="shared" si="9"/>
        <v>2.0327902451787998E-2</v>
      </c>
      <c r="G206" s="2"/>
      <c r="H206" s="2"/>
      <c r="I206" s="10">
        <f>ABS(C206-ADC!I206)</f>
        <v>6.8437271587685977E-2</v>
      </c>
    </row>
    <row r="207" spans="1:9" x14ac:dyDescent="0.25">
      <c r="A207" s="3">
        <v>205</v>
      </c>
      <c r="B207" s="3">
        <f t="shared" si="10"/>
        <v>40.5</v>
      </c>
      <c r="C207" s="12">
        <f t="shared" si="11"/>
        <v>1.7083330000000001</v>
      </c>
      <c r="D207" s="7"/>
      <c r="E207" s="10">
        <f>(ADC!I207+5/3)/(1/12)</f>
        <v>39.690287049051996</v>
      </c>
      <c r="F207" s="11">
        <f t="shared" si="9"/>
        <v>1.999291236908652E-2</v>
      </c>
      <c r="G207" s="2"/>
      <c r="H207" s="2"/>
      <c r="I207" s="10">
        <f>ABS(C207-ADC!I207)</f>
        <v>6.7475745912333629E-2</v>
      </c>
    </row>
    <row r="208" spans="1:9" x14ac:dyDescent="0.25">
      <c r="A208" s="3">
        <v>206</v>
      </c>
      <c r="B208" s="3">
        <f t="shared" si="10"/>
        <v>40.6</v>
      </c>
      <c r="C208" s="12">
        <f t="shared" si="11"/>
        <v>1.7166669999999999</v>
      </c>
      <c r="D208" s="7"/>
      <c r="E208" s="10">
        <f>(ADC!I208+5/3)/(1/12)</f>
        <v>39.792766861983452</v>
      </c>
      <c r="F208" s="11">
        <f t="shared" si="9"/>
        <v>1.9882589606318949E-2</v>
      </c>
      <c r="G208" s="2"/>
      <c r="H208" s="2"/>
      <c r="I208" s="10">
        <f>ABS(C208-ADC!I208)</f>
        <v>6.7269761501379088E-2</v>
      </c>
    </row>
    <row r="209" spans="1:9" x14ac:dyDescent="0.25">
      <c r="A209" s="3">
        <v>207</v>
      </c>
      <c r="B209" s="3">
        <f t="shared" si="10"/>
        <v>40.700000000000003</v>
      </c>
      <c r="C209" s="12">
        <f t="shared" si="11"/>
        <v>1.7250000000000001</v>
      </c>
      <c r="D209" s="7"/>
      <c r="E209" s="10">
        <f>(ADC!I209+5/3)/(1/12)</f>
        <v>39.904850561823686</v>
      </c>
      <c r="F209" s="11">
        <f t="shared" si="9"/>
        <v>1.9536841232833339E-2</v>
      </c>
      <c r="G209" s="2"/>
      <c r="H209" s="2"/>
      <c r="I209" s="10">
        <f>ABS(C209-ADC!I209)</f>
        <v>6.6262453181359815E-2</v>
      </c>
    </row>
    <row r="210" spans="1:9" x14ac:dyDescent="0.25">
      <c r="A210" s="3">
        <v>208</v>
      </c>
      <c r="B210" s="3">
        <f t="shared" si="10"/>
        <v>40.799999999999997</v>
      </c>
      <c r="C210" s="12">
        <f t="shared" si="11"/>
        <v>1.733333</v>
      </c>
      <c r="D210" s="7"/>
      <c r="E210" s="10">
        <f>(ADC!I210+5/3)/(1/12)</f>
        <v>40.00790350075129</v>
      </c>
      <c r="F210" s="11">
        <f t="shared" si="9"/>
        <v>1.9414129883546745E-2</v>
      </c>
      <c r="G210" s="2"/>
      <c r="H210" s="2"/>
      <c r="I210" s="10">
        <f>ABS(C210-ADC!I210)</f>
        <v>6.600770827072644E-2</v>
      </c>
    </row>
    <row r="211" spans="1:9" x14ac:dyDescent="0.25">
      <c r="A211" s="3">
        <v>209</v>
      </c>
      <c r="B211" s="3">
        <f t="shared" si="10"/>
        <v>40.900000000000006</v>
      </c>
      <c r="C211" s="12">
        <f t="shared" si="11"/>
        <v>1.7416670000000001</v>
      </c>
      <c r="D211" s="7"/>
      <c r="E211" s="10">
        <f>(ADC!I211+5/3)/(1/12)</f>
        <v>40.120532235440194</v>
      </c>
      <c r="F211" s="11">
        <f t="shared" si="9"/>
        <v>1.9057891554029614E-2</v>
      </c>
      <c r="G211" s="2"/>
      <c r="H211" s="2"/>
      <c r="I211" s="10">
        <f>ABS(C211-ADC!I211)</f>
        <v>6.495598037998418E-2</v>
      </c>
    </row>
    <row r="212" spans="1:9" x14ac:dyDescent="0.25">
      <c r="A212" s="3">
        <v>210</v>
      </c>
      <c r="B212" s="3">
        <f t="shared" si="10"/>
        <v>41</v>
      </c>
      <c r="C212" s="12">
        <f t="shared" si="11"/>
        <v>1.75</v>
      </c>
      <c r="D212" s="7"/>
      <c r="E212" s="10">
        <f>(ADC!I212+5/3)/(1/12)</f>
        <v>40.22415395815694</v>
      </c>
      <c r="F212" s="11">
        <f t="shared" si="9"/>
        <v>1.8923074191294149E-2</v>
      </c>
      <c r="G212" s="2"/>
      <c r="H212" s="2"/>
      <c r="I212" s="10">
        <f>ABS(C212-ADC!I212)</f>
        <v>6.4653836820255606E-2</v>
      </c>
    </row>
    <row r="213" spans="1:9" x14ac:dyDescent="0.25">
      <c r="A213" s="3">
        <v>211</v>
      </c>
      <c r="B213" s="3">
        <f t="shared" si="10"/>
        <v>41.1</v>
      </c>
      <c r="C213" s="12">
        <f t="shared" si="11"/>
        <v>1.7583329999999999</v>
      </c>
      <c r="D213" s="7"/>
      <c r="E213" s="10">
        <f>(ADC!I213+5/3)/(1/12)</f>
        <v>40.337323336530353</v>
      </c>
      <c r="F213" s="11">
        <f t="shared" si="9"/>
        <v>1.8556609816779757E-2</v>
      </c>
      <c r="G213" s="2"/>
      <c r="H213" s="2"/>
      <c r="I213" s="10">
        <f>ABS(C213-ADC!I213)</f>
        <v>6.3556055289136992E-2</v>
      </c>
    </row>
    <row r="214" spans="1:9" x14ac:dyDescent="0.25">
      <c r="A214" s="3">
        <v>212</v>
      </c>
      <c r="B214" s="3">
        <f t="shared" si="10"/>
        <v>41.2</v>
      </c>
      <c r="C214" s="12">
        <f t="shared" si="11"/>
        <v>1.766667</v>
      </c>
      <c r="D214" s="7"/>
      <c r="E214" s="10">
        <f>(ADC!I214+5/3)/(1/12)</f>
        <v>40.4322640580871</v>
      </c>
      <c r="F214" s="11">
        <f t="shared" si="9"/>
        <v>1.8634367522157847E-2</v>
      </c>
      <c r="G214" s="2"/>
      <c r="H214" s="2"/>
      <c r="I214" s="10">
        <f>ABS(C214-ADC!I214)</f>
        <v>6.3978328492741987E-2</v>
      </c>
    </row>
    <row r="215" spans="1:9" x14ac:dyDescent="0.25">
      <c r="A215" s="3">
        <v>213</v>
      </c>
      <c r="B215" s="3">
        <f t="shared" si="10"/>
        <v>41.3</v>
      </c>
      <c r="C215" s="12">
        <f t="shared" si="11"/>
        <v>1.7749999999999999</v>
      </c>
      <c r="D215" s="7"/>
      <c r="E215" s="10">
        <f>(ADC!I215+5/3)/(1/12)</f>
        <v>40.536750251298081</v>
      </c>
      <c r="F215" s="11">
        <f t="shared" si="9"/>
        <v>1.8480623455252216E-2</v>
      </c>
      <c r="G215" s="2"/>
      <c r="H215" s="2"/>
      <c r="I215" s="10">
        <f>ABS(C215-ADC!I215)</f>
        <v>6.3604145725159933E-2</v>
      </c>
    </row>
    <row r="216" spans="1:9" x14ac:dyDescent="0.25">
      <c r="A216" s="3">
        <v>214</v>
      </c>
      <c r="B216" s="3">
        <f t="shared" si="10"/>
        <v>41.400000000000006</v>
      </c>
      <c r="C216" s="12">
        <f t="shared" si="11"/>
        <v>1.7833330000000001</v>
      </c>
      <c r="D216" s="7"/>
      <c r="E216" s="10">
        <f>(ADC!I216+5/3)/(1/12)</f>
        <v>40.650741773298002</v>
      </c>
      <c r="F216" s="11">
        <f t="shared" si="9"/>
        <v>1.8098024799565314E-2</v>
      </c>
      <c r="G216" s="2"/>
      <c r="H216" s="2"/>
      <c r="I216" s="10">
        <f>ABS(C216-ADC!I216)</f>
        <v>6.2437852225167179E-2</v>
      </c>
    </row>
    <row r="217" spans="1:9" x14ac:dyDescent="0.25">
      <c r="A217" s="3">
        <v>215</v>
      </c>
      <c r="B217" s="3">
        <f t="shared" si="10"/>
        <v>41.5</v>
      </c>
      <c r="C217" s="12">
        <f t="shared" si="11"/>
        <v>1.7916669999999999</v>
      </c>
      <c r="D217" s="7"/>
      <c r="E217" s="10">
        <f>(ADC!I217+5/3)/(1/12)</f>
        <v>40.755785759320865</v>
      </c>
      <c r="F217" s="11">
        <f t="shared" si="9"/>
        <v>1.7932873269376742E-2</v>
      </c>
      <c r="G217" s="2"/>
      <c r="H217" s="2"/>
      <c r="I217" s="10">
        <f>ABS(C217-ADC!I217)</f>
        <v>6.2018186723261204E-2</v>
      </c>
    </row>
    <row r="218" spans="1:9" x14ac:dyDescent="0.25">
      <c r="A218" s="3">
        <v>216</v>
      </c>
      <c r="B218" s="3">
        <f t="shared" si="10"/>
        <v>41.6</v>
      </c>
      <c r="C218" s="12">
        <f t="shared" si="11"/>
        <v>1.8</v>
      </c>
      <c r="D218" s="7"/>
      <c r="E218" s="10">
        <f>(ADC!I218+5/3)/(1/12)</f>
        <v>40.861113485592107</v>
      </c>
      <c r="F218" s="11">
        <f t="shared" si="9"/>
        <v>1.7761695057882089E-2</v>
      </c>
      <c r="G218" s="2"/>
      <c r="H218" s="2"/>
      <c r="I218" s="10">
        <f>ABS(C218-ADC!I218)</f>
        <v>6.1573876200657685E-2</v>
      </c>
    </row>
    <row r="219" spans="1:9" x14ac:dyDescent="0.25">
      <c r="A219" s="3">
        <v>217</v>
      </c>
      <c r="B219" s="3">
        <f t="shared" si="10"/>
        <v>41.7</v>
      </c>
      <c r="C219" s="12">
        <f t="shared" si="11"/>
        <v>1.808333</v>
      </c>
      <c r="D219" s="7"/>
      <c r="E219" s="10">
        <f>(ADC!I219+5/3)/(1/12)</f>
        <v>40.975904128869338</v>
      </c>
      <c r="F219" s="11">
        <f t="shared" si="9"/>
        <v>1.7364409379632243E-2</v>
      </c>
      <c r="G219" s="2"/>
      <c r="H219" s="2"/>
      <c r="I219" s="10">
        <f>ABS(C219-ADC!I219)</f>
        <v>6.03409892608886E-2</v>
      </c>
    </row>
    <row r="220" spans="1:9" x14ac:dyDescent="0.25">
      <c r="A220" s="3">
        <v>218</v>
      </c>
      <c r="B220" s="3">
        <f t="shared" si="10"/>
        <v>41.8</v>
      </c>
      <c r="C220" s="12">
        <f t="shared" si="11"/>
        <v>1.816667</v>
      </c>
      <c r="D220" s="7"/>
      <c r="E220" s="10">
        <f>(ADC!I220+5/3)/(1/12)</f>
        <v>41.081782944069104</v>
      </c>
      <c r="F220" s="11">
        <f t="shared" si="9"/>
        <v>1.7182226218442415E-2</v>
      </c>
      <c r="G220" s="2"/>
      <c r="H220" s="2"/>
      <c r="I220" s="10">
        <f>ABS(C220-ADC!I220)</f>
        <v>5.9851754660908529E-2</v>
      </c>
    </row>
    <row r="221" spans="1:9" x14ac:dyDescent="0.25">
      <c r="A221" s="3">
        <v>219</v>
      </c>
      <c r="B221" s="3">
        <f t="shared" si="10"/>
        <v>41.900000000000006</v>
      </c>
      <c r="C221" s="12">
        <f t="shared" si="11"/>
        <v>1.825</v>
      </c>
      <c r="D221" s="7"/>
      <c r="E221" s="10">
        <f>(ADC!I221+5/3)/(1/12)</f>
        <v>41.197096351840088</v>
      </c>
      <c r="F221" s="11">
        <f t="shared" si="9"/>
        <v>1.6775743392838133E-2</v>
      </c>
      <c r="G221" s="2"/>
      <c r="H221" s="2"/>
      <c r="I221" s="10">
        <f>ABS(C221-ADC!I221)</f>
        <v>5.8575304013326557E-2</v>
      </c>
    </row>
    <row r="222" spans="1:9" x14ac:dyDescent="0.25">
      <c r="A222" s="3">
        <v>220</v>
      </c>
      <c r="B222" s="3">
        <f t="shared" si="10"/>
        <v>42</v>
      </c>
      <c r="C222" s="12">
        <f t="shared" si="11"/>
        <v>1.8333330000000001</v>
      </c>
      <c r="D222" s="7"/>
      <c r="E222" s="10">
        <f>(ADC!I222+5/3)/(1/12)</f>
        <v>41.303521741451945</v>
      </c>
      <c r="F222" s="11">
        <f t="shared" si="9"/>
        <v>1.6582815679715594E-2</v>
      </c>
      <c r="G222" s="2"/>
      <c r="H222" s="2"/>
      <c r="I222" s="10">
        <f>ABS(C222-ADC!I222)</f>
        <v>5.8039521545671713E-2</v>
      </c>
    </row>
    <row r="223" spans="1:9" x14ac:dyDescent="0.25">
      <c r="A223" s="3">
        <v>221</v>
      </c>
      <c r="B223" s="3">
        <f t="shared" si="10"/>
        <v>42.1</v>
      </c>
      <c r="C223" s="12">
        <f t="shared" si="11"/>
        <v>1.8416669999999999</v>
      </c>
      <c r="D223" s="7"/>
      <c r="E223" s="10">
        <f>(ADC!I223+5/3)/(1/12)</f>
        <v>41.41022524919061</v>
      </c>
      <c r="F223" s="11">
        <f t="shared" si="9"/>
        <v>1.638419835651761E-2</v>
      </c>
      <c r="G223" s="2"/>
      <c r="H223" s="2"/>
      <c r="I223" s="10">
        <f>ABS(C223-ADC!I223)</f>
        <v>5.7481562567449407E-2</v>
      </c>
    </row>
    <row r="224" spans="1:9" x14ac:dyDescent="0.25">
      <c r="A224" s="3">
        <v>222</v>
      </c>
      <c r="B224" s="3">
        <f t="shared" si="10"/>
        <v>42.2</v>
      </c>
      <c r="C224" s="12">
        <f t="shared" si="11"/>
        <v>1.85</v>
      </c>
      <c r="D224" s="7"/>
      <c r="E224" s="10">
        <f>(ADC!I224+5/3)/(1/12)</f>
        <v>41.52632077160181</v>
      </c>
      <c r="F224" s="11">
        <f t="shared" si="9"/>
        <v>1.5963962758251012E-2</v>
      </c>
      <c r="G224" s="2"/>
      <c r="H224" s="2"/>
      <c r="I224" s="10">
        <f>ABS(C224-ADC!I224)</f>
        <v>5.6139935699849097E-2</v>
      </c>
    </row>
    <row r="225" spans="1:9" x14ac:dyDescent="0.25">
      <c r="A225" s="3">
        <v>223</v>
      </c>
      <c r="B225" s="3">
        <f t="shared" si="10"/>
        <v>42.3</v>
      </c>
      <c r="C225" s="12">
        <f t="shared" si="11"/>
        <v>1.858333</v>
      </c>
      <c r="D225" s="7"/>
      <c r="E225" s="10">
        <f>(ADC!I225+5/3)/(1/12)</f>
        <v>41.633564030484699</v>
      </c>
      <c r="F225" s="11">
        <f t="shared" si="9"/>
        <v>1.57549874589905E-2</v>
      </c>
      <c r="G225" s="2"/>
      <c r="H225" s="2"/>
      <c r="I225" s="10">
        <f>ABS(C225-ADC!I225)</f>
        <v>5.5535997459608577E-2</v>
      </c>
    </row>
    <row r="226" spans="1:9" x14ac:dyDescent="0.25">
      <c r="A226" s="3">
        <v>224</v>
      </c>
      <c r="B226" s="3">
        <f t="shared" si="10"/>
        <v>42.400000000000006</v>
      </c>
      <c r="C226" s="12">
        <f t="shared" si="11"/>
        <v>1.8666670000000001</v>
      </c>
      <c r="D226" s="7"/>
      <c r="E226" s="10">
        <f>(ADC!I226+5/3)/(1/12)</f>
        <v>41.741081985415157</v>
      </c>
      <c r="F226" s="11">
        <f t="shared" si="9"/>
        <v>1.5540519211906809E-2</v>
      </c>
      <c r="G226" s="2"/>
      <c r="H226" s="2"/>
      <c r="I226" s="10">
        <f>ABS(C226-ADC!I226)</f>
        <v>5.4910167882070482E-2</v>
      </c>
    </row>
    <row r="227" spans="1:9" x14ac:dyDescent="0.25">
      <c r="A227" s="3">
        <v>225</v>
      </c>
      <c r="B227" s="3">
        <f t="shared" si="10"/>
        <v>42.5</v>
      </c>
      <c r="C227" s="12">
        <f t="shared" si="11"/>
        <v>1.875</v>
      </c>
      <c r="D227" s="7"/>
      <c r="E227" s="10">
        <f>(ADC!I227+5/3)/(1/12)</f>
        <v>41.848873492067106</v>
      </c>
      <c r="F227" s="11">
        <f t="shared" si="9"/>
        <v>1.5320623716068085E-2</v>
      </c>
      <c r="G227" s="2"/>
      <c r="H227" s="2"/>
      <c r="I227" s="10">
        <f>ABS(C227-ADC!I227)</f>
        <v>5.4260542327741357E-2</v>
      </c>
    </row>
    <row r="228" spans="1:9" x14ac:dyDescent="0.25">
      <c r="A228" s="3">
        <v>226</v>
      </c>
      <c r="B228" s="3">
        <f t="shared" si="10"/>
        <v>42.6</v>
      </c>
      <c r="C228" s="12">
        <f t="shared" si="11"/>
        <v>1.8833329999999999</v>
      </c>
      <c r="D228" s="7"/>
      <c r="E228" s="10">
        <f>(ADC!I228+5/3)/(1/12)</f>
        <v>41.956937399628032</v>
      </c>
      <c r="F228" s="11">
        <f t="shared" si="9"/>
        <v>1.5095366205914777E-2</v>
      </c>
      <c r="G228" s="2"/>
      <c r="H228" s="2"/>
      <c r="I228" s="10">
        <f>ABS(C228-ADC!I228)</f>
        <v>5.3588216697664004E-2</v>
      </c>
    </row>
    <row r="229" spans="1:9" x14ac:dyDescent="0.25">
      <c r="A229" s="3">
        <v>227</v>
      </c>
      <c r="B229" s="3">
        <f t="shared" si="10"/>
        <v>42.7</v>
      </c>
      <c r="C229" s="12">
        <f t="shared" si="11"/>
        <v>1.891667</v>
      </c>
      <c r="D229" s="7"/>
      <c r="E229" s="10">
        <f>(ADC!I229+5/3)/(1/12)</f>
        <v>42.065272555410061</v>
      </c>
      <c r="F229" s="11">
        <f t="shared" si="9"/>
        <v>1.4864811348710575E-2</v>
      </c>
      <c r="G229" s="2"/>
      <c r="H229" s="2"/>
      <c r="I229" s="10">
        <f>ABS(C229-ADC!I229)</f>
        <v>5.289428704916177E-2</v>
      </c>
    </row>
    <row r="230" spans="1:9" x14ac:dyDescent="0.25">
      <c r="A230" s="3">
        <v>228</v>
      </c>
      <c r="B230" s="3">
        <f t="shared" si="10"/>
        <v>42.8</v>
      </c>
      <c r="C230" s="12">
        <f t="shared" si="11"/>
        <v>1.9</v>
      </c>
      <c r="D230" s="7"/>
      <c r="E230" s="10">
        <f>(ADC!I230+5/3)/(1/12)</f>
        <v>42.173877800394983</v>
      </c>
      <c r="F230" s="11">
        <f t="shared" si="9"/>
        <v>1.4629023355257335E-2</v>
      </c>
      <c r="G230" s="2"/>
      <c r="H230" s="2"/>
      <c r="I230" s="10">
        <f>ABS(C230-ADC!I230)</f>
        <v>5.2176849967085159E-2</v>
      </c>
    </row>
    <row r="231" spans="1:9" x14ac:dyDescent="0.25">
      <c r="A231" s="3">
        <v>229</v>
      </c>
      <c r="B231" s="3">
        <f t="shared" si="10"/>
        <v>42.900000000000006</v>
      </c>
      <c r="C231" s="12">
        <f t="shared" si="11"/>
        <v>1.9083330000000001</v>
      </c>
      <c r="D231" s="7"/>
      <c r="E231" s="10">
        <f>(ADC!I231+5/3)/(1/12)</f>
        <v>42.282751970114418</v>
      </c>
      <c r="F231" s="11">
        <f t="shared" si="9"/>
        <v>1.4388065964699005E-2</v>
      </c>
      <c r="G231" s="2"/>
      <c r="H231" s="2"/>
      <c r="I231" s="10">
        <f>ABS(C231-ADC!I231)</f>
        <v>5.1437002490465789E-2</v>
      </c>
    </row>
    <row r="232" spans="1:9" x14ac:dyDescent="0.25">
      <c r="A232" s="3">
        <v>230</v>
      </c>
      <c r="B232" s="3">
        <f t="shared" si="10"/>
        <v>43</v>
      </c>
      <c r="C232" s="12">
        <f t="shared" si="11"/>
        <v>1.9166669999999999</v>
      </c>
      <c r="D232" s="7"/>
      <c r="E232" s="10">
        <f>(ADC!I232+5/3)/(1/12)</f>
        <v>42.382883704305186</v>
      </c>
      <c r="F232" s="11">
        <f t="shared" si="9"/>
        <v>1.4351541760344505E-2</v>
      </c>
      <c r="G232" s="2"/>
      <c r="H232" s="2"/>
      <c r="I232" s="10">
        <f>ABS(C232-ADC!I232)</f>
        <v>5.1426691307901118E-2</v>
      </c>
    </row>
    <row r="233" spans="1:9" x14ac:dyDescent="0.25">
      <c r="A233" s="3">
        <v>231</v>
      </c>
      <c r="B233" s="3">
        <f t="shared" si="10"/>
        <v>43.1</v>
      </c>
      <c r="C233" s="12">
        <f t="shared" si="11"/>
        <v>1.925</v>
      </c>
      <c r="D233" s="7"/>
      <c r="E233" s="10">
        <f>(ADC!I233+5/3)/(1/12)</f>
        <v>42.492305358827537</v>
      </c>
      <c r="F233" s="11">
        <f t="shared" si="9"/>
        <v>1.409964364669292E-2</v>
      </c>
      <c r="G233" s="2"/>
      <c r="H233" s="2"/>
      <c r="I233" s="10">
        <f>ABS(C233-ADC!I233)</f>
        <v>5.0641220097705553E-2</v>
      </c>
    </row>
    <row r="234" spans="1:9" x14ac:dyDescent="0.25">
      <c r="A234" s="3">
        <v>232</v>
      </c>
      <c r="B234" s="3">
        <f t="shared" si="10"/>
        <v>43.2</v>
      </c>
      <c r="C234" s="12">
        <f t="shared" si="11"/>
        <v>1.933333</v>
      </c>
      <c r="D234" s="7"/>
      <c r="E234" s="10">
        <f>(ADC!I234+5/3)/(1/12)</f>
        <v>42.601992439080234</v>
      </c>
      <c r="F234" s="11">
        <f t="shared" si="9"/>
        <v>1.3842767613883526E-2</v>
      </c>
      <c r="G234" s="2"/>
      <c r="H234" s="2"/>
      <c r="I234" s="10">
        <f>ABS(C234-ADC!I234)</f>
        <v>4.9833630076647317E-2</v>
      </c>
    </row>
    <row r="235" spans="1:9" x14ac:dyDescent="0.25">
      <c r="A235" s="3">
        <v>233</v>
      </c>
      <c r="B235" s="3">
        <f t="shared" si="10"/>
        <v>43.3</v>
      </c>
      <c r="C235" s="12">
        <f t="shared" si="11"/>
        <v>1.941667</v>
      </c>
      <c r="D235" s="7"/>
      <c r="E235" s="10">
        <f>(ADC!I235+5/3)/(1/12)</f>
        <v>42.711943766928357</v>
      </c>
      <c r="F235" s="11">
        <f t="shared" si="9"/>
        <v>1.3580975359622174E-2</v>
      </c>
      <c r="G235" s="2"/>
      <c r="H235" s="2"/>
      <c r="I235" s="10">
        <f>ABS(C235-ADC!I235)</f>
        <v>4.9005019422637242E-2</v>
      </c>
    </row>
    <row r="236" spans="1:9" x14ac:dyDescent="0.25">
      <c r="A236" s="3">
        <v>234</v>
      </c>
      <c r="B236" s="3">
        <f t="shared" si="10"/>
        <v>43.400000000000006</v>
      </c>
      <c r="C236" s="12">
        <f t="shared" si="11"/>
        <v>1.95</v>
      </c>
      <c r="D236" s="7"/>
      <c r="E236" s="10">
        <f>(ADC!I236+5/3)/(1/12)</f>
        <v>42.822158158461093</v>
      </c>
      <c r="F236" s="11">
        <f t="shared" si="9"/>
        <v>1.3314328146057892E-2</v>
      </c>
      <c r="G236" s="2"/>
      <c r="H236" s="2"/>
      <c r="I236" s="10">
        <f>ABS(C236-ADC!I236)</f>
        <v>4.8153486794908718E-2</v>
      </c>
    </row>
    <row r="237" spans="1:9" x14ac:dyDescent="0.25">
      <c r="A237" s="3">
        <v>235</v>
      </c>
      <c r="B237" s="3">
        <f t="shared" si="10"/>
        <v>43.5</v>
      </c>
      <c r="C237" s="12">
        <f t="shared" si="11"/>
        <v>1.9583330000000001</v>
      </c>
      <c r="D237" s="7"/>
      <c r="E237" s="10">
        <f>(ADC!I237+5/3)/(1/12)</f>
        <v>42.932634437054539</v>
      </c>
      <c r="F237" s="11">
        <f t="shared" si="9"/>
        <v>1.3042886504493367E-2</v>
      </c>
      <c r="G237" s="2"/>
      <c r="H237" s="2"/>
      <c r="I237" s="10">
        <f>ABS(C237-ADC!I237)</f>
        <v>4.7280130245455743E-2</v>
      </c>
    </row>
    <row r="238" spans="1:9" x14ac:dyDescent="0.25">
      <c r="A238" s="3">
        <v>236</v>
      </c>
      <c r="B238" s="3">
        <f t="shared" si="10"/>
        <v>43.6</v>
      </c>
      <c r="C238" s="12">
        <f t="shared" si="11"/>
        <v>1.9666669999999999</v>
      </c>
      <c r="D238" s="7"/>
      <c r="E238" s="10">
        <f>(ADC!I238+5/3)/(1/12)</f>
        <v>43.034440088482974</v>
      </c>
      <c r="F238" s="11">
        <f t="shared" si="9"/>
        <v>1.2971557603601549E-2</v>
      </c>
      <c r="G238" s="2"/>
      <c r="H238" s="2"/>
      <c r="I238" s="10">
        <f>ABS(C238-ADC!I238)</f>
        <v>4.7130325959752195E-2</v>
      </c>
    </row>
    <row r="239" spans="1:9" x14ac:dyDescent="0.25">
      <c r="A239" s="3">
        <v>237</v>
      </c>
      <c r="B239" s="3">
        <f t="shared" si="10"/>
        <v>43.7</v>
      </c>
      <c r="C239" s="12">
        <f t="shared" si="11"/>
        <v>1.9750000000000001</v>
      </c>
      <c r="D239" s="7"/>
      <c r="E239" s="10">
        <f>(ADC!I239+5/3)/(1/12)</f>
        <v>43.145449722782885</v>
      </c>
      <c r="F239" s="11">
        <f t="shared" si="9"/>
        <v>1.268993769375555E-2</v>
      </c>
      <c r="G239" s="2"/>
      <c r="H239" s="2"/>
      <c r="I239" s="10">
        <f>ABS(C239-ADC!I239)</f>
        <v>4.6212523101426539E-2</v>
      </c>
    </row>
    <row r="240" spans="1:9" x14ac:dyDescent="0.25">
      <c r="A240" s="3">
        <v>238</v>
      </c>
      <c r="B240" s="3">
        <f t="shared" si="10"/>
        <v>43.8</v>
      </c>
      <c r="C240" s="12">
        <f t="shared" si="11"/>
        <v>1.983333</v>
      </c>
      <c r="D240" s="7"/>
      <c r="E240" s="10">
        <f>(ADC!I240+5/3)/(1/12)</f>
        <v>43.256717670474359</v>
      </c>
      <c r="F240" s="11">
        <f t="shared" si="9"/>
        <v>1.2403706153553389E-2</v>
      </c>
      <c r="G240" s="2"/>
      <c r="H240" s="2"/>
      <c r="I240" s="10">
        <f>ABS(C240-ADC!I240)</f>
        <v>4.5273194127137373E-2</v>
      </c>
    </row>
    <row r="241" spans="1:9" x14ac:dyDescent="0.25">
      <c r="A241" s="3">
        <v>239</v>
      </c>
      <c r="B241" s="3">
        <f t="shared" si="10"/>
        <v>43.900000000000006</v>
      </c>
      <c r="C241" s="12">
        <f t="shared" si="11"/>
        <v>1.9916670000000001</v>
      </c>
      <c r="D241" s="7"/>
      <c r="E241" s="10">
        <f>(ADC!I241+5/3)/(1/12)</f>
        <v>43.368242730613495</v>
      </c>
      <c r="F241" s="11">
        <f t="shared" si="9"/>
        <v>1.2112921853906838E-2</v>
      </c>
      <c r="G241" s="2"/>
      <c r="H241" s="2"/>
      <c r="I241" s="10">
        <f>ABS(C241-ADC!I241)</f>
        <v>4.4313439115542641E-2</v>
      </c>
    </row>
    <row r="242" spans="1:9" x14ac:dyDescent="0.25">
      <c r="A242" s="3">
        <v>240</v>
      </c>
      <c r="B242" s="3">
        <f t="shared" si="10"/>
        <v>44</v>
      </c>
      <c r="C242" s="12">
        <f t="shared" si="11"/>
        <v>2</v>
      </c>
      <c r="D242" s="7"/>
      <c r="E242" s="10">
        <f>(ADC!I242+5/3)/(1/12)</f>
        <v>43.471145085981945</v>
      </c>
      <c r="F242" s="11">
        <f t="shared" si="9"/>
        <v>1.2019429864046704E-2</v>
      </c>
      <c r="G242" s="2"/>
      <c r="H242" s="2"/>
      <c r="I242" s="10">
        <f>ABS(C242-ADC!I242)</f>
        <v>4.4071242834838209E-2</v>
      </c>
    </row>
    <row r="243" spans="1:9" x14ac:dyDescent="0.25">
      <c r="A243" s="3">
        <v>241</v>
      </c>
      <c r="B243" s="3">
        <f t="shared" si="10"/>
        <v>44.1</v>
      </c>
      <c r="C243" s="12">
        <f t="shared" si="11"/>
        <v>2.0083329999999999</v>
      </c>
      <c r="D243" s="7"/>
      <c r="E243" s="10">
        <f>(ADC!I243+5/3)/(1/12)</f>
        <v>43.583193944992445</v>
      </c>
      <c r="F243" s="11">
        <f t="shared" si="9"/>
        <v>1.1718958163436658E-2</v>
      </c>
      <c r="G243" s="2"/>
      <c r="H243" s="2"/>
      <c r="I243" s="10">
        <f>ABS(C243-ADC!I243)</f>
        <v>4.3066837917296041E-2</v>
      </c>
    </row>
    <row r="244" spans="1:9" x14ac:dyDescent="0.25">
      <c r="A244" s="3">
        <v>242</v>
      </c>
      <c r="B244" s="3">
        <f t="shared" si="10"/>
        <v>44.2</v>
      </c>
      <c r="C244" s="12">
        <f t="shared" si="11"/>
        <v>2.016667</v>
      </c>
      <c r="D244" s="7"/>
      <c r="E244" s="10">
        <f>(ADC!I244+5/3)/(1/12)</f>
        <v>43.695496307038113</v>
      </c>
      <c r="F244" s="11">
        <f t="shared" si="9"/>
        <v>1.1414110700495254E-2</v>
      </c>
      <c r="G244" s="2"/>
      <c r="H244" s="2"/>
      <c r="I244" s="10">
        <f>ABS(C244-ADC!I244)</f>
        <v>4.2042307746824159E-2</v>
      </c>
    </row>
    <row r="245" spans="1:9" x14ac:dyDescent="0.25">
      <c r="A245" s="3">
        <v>243</v>
      </c>
      <c r="B245" s="3">
        <f t="shared" si="10"/>
        <v>44.3</v>
      </c>
      <c r="C245" s="12">
        <f t="shared" si="11"/>
        <v>2.0249999999999999</v>
      </c>
      <c r="D245" s="7"/>
      <c r="E245" s="10">
        <f>(ADC!I245+5/3)/(1/12)</f>
        <v>43.799211921839174</v>
      </c>
      <c r="F245" s="11">
        <f t="shared" si="9"/>
        <v>1.1304471290312045E-2</v>
      </c>
      <c r="G245" s="2"/>
      <c r="H245" s="2"/>
      <c r="I245" s="10">
        <f>ABS(C245-ADC!I245)</f>
        <v>4.17323398467353E-2</v>
      </c>
    </row>
    <row r="246" spans="1:9" x14ac:dyDescent="0.25">
      <c r="A246" s="3">
        <v>244</v>
      </c>
      <c r="B246" s="3">
        <f t="shared" si="10"/>
        <v>44.400000000000006</v>
      </c>
      <c r="C246" s="12">
        <f t="shared" si="11"/>
        <v>2.0333329999999998</v>
      </c>
      <c r="D246" s="7"/>
      <c r="E246" s="10">
        <f>(ADC!I246+5/3)/(1/12)</f>
        <v>43.912030841263565</v>
      </c>
      <c r="F246" s="11">
        <f t="shared" si="9"/>
        <v>1.0990296367937849E-2</v>
      </c>
      <c r="G246" s="2"/>
      <c r="H246" s="2"/>
      <c r="I246" s="10">
        <f>ABS(C246-ADC!I246)</f>
        <v>4.0663763228036665E-2</v>
      </c>
    </row>
    <row r="247" spans="1:9" x14ac:dyDescent="0.25">
      <c r="A247" s="3">
        <v>245</v>
      </c>
      <c r="B247" s="3">
        <f t="shared" si="10"/>
        <v>44.5</v>
      </c>
      <c r="C247" s="12">
        <f t="shared" si="11"/>
        <v>2.0416669999999999</v>
      </c>
      <c r="D247" s="7"/>
      <c r="E247" s="10">
        <f>(ADC!I247+5/3)/(1/12)</f>
        <v>44.025099622989124</v>
      </c>
      <c r="F247" s="11">
        <f t="shared" si="9"/>
        <v>1.0671918584514061E-2</v>
      </c>
      <c r="G247" s="2"/>
      <c r="H247" s="2"/>
      <c r="I247" s="10">
        <f>ABS(C247-ADC!I247)</f>
        <v>3.9575364750906505E-2</v>
      </c>
    </row>
    <row r="248" spans="1:9" x14ac:dyDescent="0.25">
      <c r="A248" s="3">
        <v>246</v>
      </c>
      <c r="B248" s="3">
        <f t="shared" si="10"/>
        <v>44.6</v>
      </c>
      <c r="C248" s="12">
        <f t="shared" si="11"/>
        <v>2.0499999999999998</v>
      </c>
      <c r="D248" s="7"/>
      <c r="E248" s="10">
        <f>(ADC!I248+5/3)/(1/12)</f>
        <v>44.129617619773313</v>
      </c>
      <c r="F248" s="11">
        <f t="shared" si="9"/>
        <v>1.0546690139611844E-2</v>
      </c>
      <c r="G248" s="2"/>
      <c r="H248" s="2"/>
      <c r="I248" s="10">
        <f>ABS(C248-ADC!I248)</f>
        <v>3.9198531685557203E-2</v>
      </c>
    </row>
    <row r="249" spans="1:9" x14ac:dyDescent="0.25">
      <c r="A249" s="3">
        <v>247</v>
      </c>
      <c r="B249" s="3">
        <f t="shared" si="10"/>
        <v>44.7</v>
      </c>
      <c r="C249" s="12">
        <f t="shared" si="11"/>
        <v>2.0583330000000002</v>
      </c>
      <c r="D249" s="7"/>
      <c r="E249" s="10">
        <f>(ADC!I249+5/3)/(1/12)</f>
        <v>44.243195657291537</v>
      </c>
      <c r="F249" s="11">
        <f t="shared" si="9"/>
        <v>1.0219336525916466E-2</v>
      </c>
      <c r="G249" s="2"/>
      <c r="H249" s="2"/>
      <c r="I249" s="10">
        <f>ABS(C249-ADC!I249)</f>
        <v>3.8066695225705605E-2</v>
      </c>
    </row>
    <row r="250" spans="1:9" x14ac:dyDescent="0.25">
      <c r="A250" s="3">
        <v>248</v>
      </c>
      <c r="B250" s="3">
        <f t="shared" si="10"/>
        <v>44.8</v>
      </c>
      <c r="C250" s="12">
        <f t="shared" si="11"/>
        <v>2.0666669999999998</v>
      </c>
      <c r="D250" s="7"/>
      <c r="E250" s="10">
        <f>(ADC!I250+5/3)/(1/12)</f>
        <v>44.33947395040601</v>
      </c>
      <c r="F250" s="11">
        <f t="shared" si="9"/>
        <v>1.0279599321294361E-2</v>
      </c>
      <c r="G250" s="2"/>
      <c r="H250" s="2"/>
      <c r="I250" s="10">
        <f>ABS(C250-ADC!I250)</f>
        <v>3.8377504132832918E-2</v>
      </c>
    </row>
    <row r="251" spans="1:9" x14ac:dyDescent="0.25">
      <c r="A251" s="3">
        <v>249</v>
      </c>
      <c r="B251" s="3">
        <f t="shared" si="10"/>
        <v>44.900000000000006</v>
      </c>
      <c r="C251" s="12">
        <f t="shared" si="11"/>
        <v>2.0750000000000002</v>
      </c>
      <c r="D251" s="7"/>
      <c r="E251" s="10">
        <f>(ADC!I251+5/3)/(1/12)</f>
        <v>44.453569556533196</v>
      </c>
      <c r="F251" s="11">
        <f t="shared" si="9"/>
        <v>9.9427715694166887E-3</v>
      </c>
      <c r="G251" s="2"/>
      <c r="H251" s="2"/>
      <c r="I251" s="10">
        <f>ABS(C251-ADC!I251)</f>
        <v>3.7202536955567744E-2</v>
      </c>
    </row>
    <row r="252" spans="1:9" x14ac:dyDescent="0.25">
      <c r="A252" s="3">
        <v>250</v>
      </c>
      <c r="B252" s="3">
        <f t="shared" si="10"/>
        <v>45</v>
      </c>
      <c r="C252" s="12">
        <f t="shared" si="11"/>
        <v>2.0833330000000001</v>
      </c>
      <c r="D252" s="7"/>
      <c r="E252" s="10">
        <f>(ADC!I252+5/3)/(1/12)</f>
        <v>44.559162399417133</v>
      </c>
      <c r="F252" s="11">
        <f t="shared" si="9"/>
        <v>9.7963911240637139E-3</v>
      </c>
      <c r="G252" s="2"/>
      <c r="H252" s="2"/>
      <c r="I252" s="10">
        <f>ABS(C252-ADC!I252)</f>
        <v>3.6736133381905844E-2</v>
      </c>
    </row>
    <row r="253" spans="1:9" x14ac:dyDescent="0.25">
      <c r="A253" s="3">
        <v>251</v>
      </c>
      <c r="B253" s="3">
        <f t="shared" si="10"/>
        <v>45.1</v>
      </c>
      <c r="C253" s="12">
        <f t="shared" si="11"/>
        <v>2.0916670000000002</v>
      </c>
      <c r="D253" s="7"/>
      <c r="E253" s="10">
        <f>(ADC!I253+5/3)/(1/12)</f>
        <v>44.682490722857239</v>
      </c>
      <c r="F253" s="11">
        <f t="shared" si="9"/>
        <v>9.2574119100390876E-3</v>
      </c>
      <c r="G253" s="2"/>
      <c r="H253" s="2"/>
      <c r="I253" s="10">
        <f>ABS(C253-ADC!I253)</f>
        <v>3.4792773095230878E-2</v>
      </c>
    </row>
    <row r="254" spans="1:9" x14ac:dyDescent="0.25">
      <c r="A254" s="3">
        <v>252</v>
      </c>
      <c r="B254" s="3">
        <f t="shared" si="10"/>
        <v>45.2</v>
      </c>
      <c r="C254" s="12">
        <f t="shared" si="11"/>
        <v>2.1</v>
      </c>
      <c r="D254" s="7"/>
      <c r="E254" s="10">
        <f>(ADC!I254+5/3)/(1/12)</f>
        <v>44.788593749370733</v>
      </c>
      <c r="F254" s="11">
        <f t="shared" si="9"/>
        <v>9.1019081997626046E-3</v>
      </c>
      <c r="G254" s="2"/>
      <c r="H254" s="2"/>
      <c r="I254" s="10">
        <f>ABS(C254-ADC!I254)</f>
        <v>3.4283854219105958E-2</v>
      </c>
    </row>
    <row r="255" spans="1:9" x14ac:dyDescent="0.25">
      <c r="A255" s="3">
        <v>253</v>
      </c>
      <c r="B255" s="3">
        <f t="shared" si="10"/>
        <v>45.3</v>
      </c>
      <c r="C255" s="12">
        <f t="shared" si="11"/>
        <v>2.108333</v>
      </c>
      <c r="D255" s="7"/>
      <c r="E255" s="10">
        <f>(ADC!I255+5/3)/(1/12)</f>
        <v>44.903670066453557</v>
      </c>
      <c r="F255" s="11">
        <f t="shared" si="9"/>
        <v>8.7490051555505488E-3</v>
      </c>
      <c r="G255" s="2"/>
      <c r="H255" s="2"/>
      <c r="I255" s="10">
        <f>ABS(C255-ADC!I255)</f>
        <v>3.302716112887083E-2</v>
      </c>
    </row>
    <row r="256" spans="1:9" x14ac:dyDescent="0.25">
      <c r="A256" s="3">
        <v>254</v>
      </c>
      <c r="B256" s="3">
        <f t="shared" si="10"/>
        <v>45.400000000000006</v>
      </c>
      <c r="C256" s="12">
        <f t="shared" si="11"/>
        <v>2.1166670000000001</v>
      </c>
      <c r="D256" s="7"/>
      <c r="E256" s="10">
        <f>(ADC!I256+5/3)/(1/12)</f>
        <v>45.010291575651486</v>
      </c>
      <c r="F256" s="11">
        <f t="shared" si="9"/>
        <v>8.5838859988660692E-3</v>
      </c>
      <c r="G256" s="2"/>
      <c r="H256" s="2"/>
      <c r="I256" s="10">
        <f>ABS(C256-ADC!I256)</f>
        <v>3.2476035362376088E-2</v>
      </c>
    </row>
    <row r="257" spans="1:9" x14ac:dyDescent="0.25">
      <c r="A257" s="3">
        <v>255</v>
      </c>
      <c r="B257" s="3">
        <f t="shared" si="10"/>
        <v>45.5</v>
      </c>
      <c r="C257" s="12">
        <f t="shared" si="11"/>
        <v>2.125</v>
      </c>
      <c r="D257" s="7"/>
      <c r="E257" s="10">
        <f>(ADC!I257+5/3)/(1/12)</f>
        <v>45.117177094581734</v>
      </c>
      <c r="F257" s="11">
        <f t="shared" si="9"/>
        <v>8.4136902289728716E-3</v>
      </c>
      <c r="G257" s="2"/>
      <c r="H257" s="2"/>
      <c r="I257" s="10">
        <f>ABS(C257-ADC!I257)</f>
        <v>3.1901908784855326E-2</v>
      </c>
    </row>
    <row r="258" spans="1:9" x14ac:dyDescent="0.25">
      <c r="A258" s="3">
        <v>256</v>
      </c>
      <c r="B258" s="3">
        <f t="shared" si="10"/>
        <v>45.6</v>
      </c>
      <c r="C258" s="12">
        <f t="shared" si="11"/>
        <v>2.1333329999999999</v>
      </c>
      <c r="D258" s="7"/>
      <c r="E258" s="10">
        <f>(ADC!I258+5/3)/(1/12)</f>
        <v>45.232992424274009</v>
      </c>
      <c r="F258" s="11">
        <f t="shared" ref="F258:F321" si="12">ABS(B258-E258)/B258</f>
        <v>8.0484117483770237E-3</v>
      </c>
      <c r="G258" s="2"/>
      <c r="H258" s="2"/>
      <c r="I258" s="10">
        <f>ABS(C258-ADC!I258)</f>
        <v>3.0583631310499459E-2</v>
      </c>
    </row>
    <row r="259" spans="1:9" x14ac:dyDescent="0.25">
      <c r="A259" s="3">
        <v>257</v>
      </c>
      <c r="B259" s="3">
        <f t="shared" ref="B259:B322" si="13">0.1*A259+20</f>
        <v>45.7</v>
      </c>
      <c r="C259" s="12">
        <f t="shared" ref="C259:C322" si="14">ROUND(1/12*B259-5/3,6)</f>
        <v>2.141667</v>
      </c>
      <c r="D259" s="7"/>
      <c r="E259" s="10">
        <f>(ADC!I259+5/3)/(1/12)</f>
        <v>45.340388960786036</v>
      </c>
      <c r="F259" s="11">
        <f t="shared" si="12"/>
        <v>7.8689505298460919E-3</v>
      </c>
      <c r="G259" s="2"/>
      <c r="H259" s="2"/>
      <c r="I259" s="10">
        <f>ABS(C259-ADC!I259)</f>
        <v>2.9967919934497544E-2</v>
      </c>
    </row>
    <row r="260" spans="1:9" x14ac:dyDescent="0.25">
      <c r="A260" s="3">
        <v>258</v>
      </c>
      <c r="B260" s="3">
        <f t="shared" si="13"/>
        <v>45.8</v>
      </c>
      <c r="C260" s="12">
        <f t="shared" si="14"/>
        <v>2.15</v>
      </c>
      <c r="D260" s="7"/>
      <c r="E260" s="10">
        <f>(ADC!I260+5/3)/(1/12)</f>
        <v>45.448045762718472</v>
      </c>
      <c r="F260" s="11">
        <f t="shared" si="12"/>
        <v>7.6845903336577558E-3</v>
      </c>
      <c r="G260" s="2"/>
      <c r="H260" s="2"/>
      <c r="I260" s="10">
        <f>ABS(C260-ADC!I260)</f>
        <v>2.9329519773460877E-2</v>
      </c>
    </row>
    <row r="261" spans="1:9" x14ac:dyDescent="0.25">
      <c r="A261" s="3">
        <v>259</v>
      </c>
      <c r="B261" s="3">
        <f t="shared" si="13"/>
        <v>45.900000000000006</v>
      </c>
      <c r="C261" s="12">
        <f t="shared" si="14"/>
        <v>2.1583329999999998</v>
      </c>
      <c r="D261" s="7"/>
      <c r="E261" s="10">
        <f>(ADC!I261+5/3)/(1/12)</f>
        <v>45.564588851296641</v>
      </c>
      <c r="F261" s="11">
        <f t="shared" si="12"/>
        <v>7.3074324336245061E-3</v>
      </c>
      <c r="G261" s="2"/>
      <c r="H261" s="2"/>
      <c r="I261" s="10">
        <f>ABS(C261-ADC!I261)</f>
        <v>2.7950595725279914E-2</v>
      </c>
    </row>
    <row r="262" spans="1:9" x14ac:dyDescent="0.25">
      <c r="A262" s="3">
        <v>260</v>
      </c>
      <c r="B262" s="3">
        <f t="shared" si="13"/>
        <v>46</v>
      </c>
      <c r="C262" s="12">
        <f t="shared" si="14"/>
        <v>2.1666669999999999</v>
      </c>
      <c r="D262" s="7"/>
      <c r="E262" s="10">
        <f>(ADC!I262+5/3)/(1/12)</f>
        <v>45.672749152133527</v>
      </c>
      <c r="F262" s="11">
        <f t="shared" si="12"/>
        <v>7.114148866662463E-3</v>
      </c>
      <c r="G262" s="2"/>
      <c r="H262" s="2"/>
      <c r="I262" s="10">
        <f>ABS(C262-ADC!I262)</f>
        <v>2.7271237322206598E-2</v>
      </c>
    </row>
    <row r="263" spans="1:9" x14ac:dyDescent="0.25">
      <c r="A263" s="3">
        <v>261</v>
      </c>
      <c r="B263" s="3">
        <f t="shared" si="13"/>
        <v>46.1</v>
      </c>
      <c r="C263" s="12">
        <f t="shared" si="14"/>
        <v>2.1749999999999998</v>
      </c>
      <c r="D263" s="7"/>
      <c r="E263" s="10">
        <f>(ADC!I263+5/3)/(1/12)</f>
        <v>45.781165951083977</v>
      </c>
      <c r="F263" s="11">
        <f t="shared" si="12"/>
        <v>6.9161398897185236E-3</v>
      </c>
      <c r="G263" s="2"/>
      <c r="H263" s="2"/>
      <c r="I263" s="10">
        <f>ABS(C263-ADC!I263)</f>
        <v>2.6569504076335182E-2</v>
      </c>
    </row>
    <row r="264" spans="1:9" x14ac:dyDescent="0.25">
      <c r="A264" s="3">
        <v>262</v>
      </c>
      <c r="B264" s="3">
        <f t="shared" si="13"/>
        <v>46.2</v>
      </c>
      <c r="C264" s="12">
        <f t="shared" si="14"/>
        <v>2.1833330000000002</v>
      </c>
      <c r="D264" s="7"/>
      <c r="E264" s="10">
        <f>(ADC!I264+5/3)/(1/12)</f>
        <v>45.889837987940609</v>
      </c>
      <c r="F264" s="11">
        <f t="shared" si="12"/>
        <v>6.7134634644890369E-3</v>
      </c>
      <c r="G264" s="2"/>
      <c r="H264" s="2"/>
      <c r="I264" s="10">
        <f>ABS(C264-ADC!I264)</f>
        <v>2.5846501004950007E-2</v>
      </c>
    </row>
    <row r="265" spans="1:9" x14ac:dyDescent="0.25">
      <c r="A265" s="3">
        <v>263</v>
      </c>
      <c r="B265" s="3">
        <f t="shared" si="13"/>
        <v>46.3</v>
      </c>
      <c r="C265" s="12">
        <f t="shared" si="14"/>
        <v>2.1916669999999998</v>
      </c>
      <c r="D265" s="7"/>
      <c r="E265" s="10">
        <f>(ADC!I265+5/3)/(1/12)</f>
        <v>45.998763996396093</v>
      </c>
      <c r="F265" s="11">
        <f t="shared" si="12"/>
        <v>6.5061771836696361E-3</v>
      </c>
      <c r="G265" s="2"/>
      <c r="H265" s="2"/>
      <c r="I265" s="10">
        <f>ABS(C265-ADC!I265)</f>
        <v>2.5103333633658576E-2</v>
      </c>
    </row>
    <row r="266" spans="1:9" x14ac:dyDescent="0.25">
      <c r="A266" s="3">
        <v>264</v>
      </c>
      <c r="B266" s="3">
        <f t="shared" si="13"/>
        <v>46.400000000000006</v>
      </c>
      <c r="C266" s="12">
        <f t="shared" si="14"/>
        <v>2.2000000000000002</v>
      </c>
      <c r="D266" s="7"/>
      <c r="E266" s="10">
        <f>(ADC!I266+5/3)/(1/12)</f>
        <v>46.116503612897006</v>
      </c>
      <c r="F266" s="11">
        <f t="shared" si="12"/>
        <v>6.1098359289439618E-3</v>
      </c>
      <c r="G266" s="2"/>
      <c r="H266" s="2"/>
      <c r="I266" s="10">
        <f>ABS(C266-ADC!I266)</f>
        <v>2.3624698925249987E-2</v>
      </c>
    </row>
    <row r="267" spans="1:9" x14ac:dyDescent="0.25">
      <c r="A267" s="3">
        <v>265</v>
      </c>
      <c r="B267" s="3">
        <f t="shared" si="13"/>
        <v>46.5</v>
      </c>
      <c r="C267" s="12">
        <f t="shared" si="14"/>
        <v>2.2083330000000001</v>
      </c>
      <c r="D267" s="7"/>
      <c r="E267" s="10">
        <f>(ADC!I267+5/3)/(1/12)</f>
        <v>46.21737285920252</v>
      </c>
      <c r="F267" s="11">
        <f t="shared" si="12"/>
        <v>6.0780030279027975E-3</v>
      </c>
      <c r="G267" s="2"/>
      <c r="H267" s="2"/>
      <c r="I267" s="10">
        <f>ABS(C267-ADC!I267)</f>
        <v>2.35519283997907E-2</v>
      </c>
    </row>
    <row r="268" spans="1:9" x14ac:dyDescent="0.25">
      <c r="A268" s="3">
        <v>266</v>
      </c>
      <c r="B268" s="3">
        <f t="shared" si="13"/>
        <v>46.6</v>
      </c>
      <c r="C268" s="12">
        <f t="shared" si="14"/>
        <v>2.2166670000000002</v>
      </c>
      <c r="D268" s="7"/>
      <c r="E268" s="10">
        <f>(ADC!I268+5/3)/(1/12)</f>
        <v>46.327053173703121</v>
      </c>
      <c r="F268" s="11">
        <f t="shared" si="12"/>
        <v>5.8572280321219057E-3</v>
      </c>
      <c r="G268" s="2"/>
      <c r="H268" s="2"/>
      <c r="I268" s="10">
        <f>ABS(C268-ADC!I268)</f>
        <v>2.2745902191407374E-2</v>
      </c>
    </row>
    <row r="269" spans="1:9" x14ac:dyDescent="0.25">
      <c r="A269" s="3">
        <v>267</v>
      </c>
      <c r="B269" s="3">
        <f t="shared" si="13"/>
        <v>46.7</v>
      </c>
      <c r="C269" s="12">
        <f t="shared" si="14"/>
        <v>2.2250000000000001</v>
      </c>
      <c r="D269" s="7"/>
      <c r="E269" s="10">
        <f>(ADC!I269+5/3)/(1/12)</f>
        <v>46.436982372972857</v>
      </c>
      <c r="F269" s="11">
        <f t="shared" si="12"/>
        <v>5.6320691012236882E-3</v>
      </c>
      <c r="G269" s="2"/>
      <c r="H269" s="2"/>
      <c r="I269" s="10">
        <f>ABS(C269-ADC!I269)</f>
        <v>2.1918135585595966E-2</v>
      </c>
    </row>
    <row r="270" spans="1:9" x14ac:dyDescent="0.25">
      <c r="A270" s="3">
        <v>268</v>
      </c>
      <c r="B270" s="3">
        <f t="shared" si="13"/>
        <v>46.8</v>
      </c>
      <c r="C270" s="12">
        <f t="shared" si="14"/>
        <v>2.233333</v>
      </c>
      <c r="D270" s="7"/>
      <c r="E270" s="10">
        <f>(ADC!I270+5/3)/(1/12)</f>
        <v>46.547159181393724</v>
      </c>
      <c r="F270" s="11">
        <f t="shared" si="12"/>
        <v>5.4025815941511407E-3</v>
      </c>
      <c r="G270" s="2"/>
      <c r="H270" s="2"/>
      <c r="I270" s="10">
        <f>ABS(C270-ADC!I270)</f>
        <v>2.1069734883856661E-2</v>
      </c>
    </row>
    <row r="271" spans="1:9" x14ac:dyDescent="0.25">
      <c r="A271" s="3">
        <v>269</v>
      </c>
      <c r="B271" s="3">
        <f t="shared" si="13"/>
        <v>46.900000000000006</v>
      </c>
      <c r="C271" s="12">
        <f t="shared" si="14"/>
        <v>2.2416670000000001</v>
      </c>
      <c r="D271" s="7"/>
      <c r="E271" s="10">
        <f>(ADC!I271+5/3)/(1/12)</f>
        <v>46.657582318149807</v>
      </c>
      <c r="F271" s="11">
        <f t="shared" si="12"/>
        <v>5.1688205085330284E-3</v>
      </c>
      <c r="G271" s="2"/>
      <c r="H271" s="2"/>
      <c r="I271" s="10">
        <f>ABS(C271-ADC!I271)</f>
        <v>2.0201806820849377E-2</v>
      </c>
    </row>
    <row r="272" spans="1:9" x14ac:dyDescent="0.25">
      <c r="A272" s="3">
        <v>270</v>
      </c>
      <c r="B272" s="3">
        <f t="shared" si="13"/>
        <v>47</v>
      </c>
      <c r="C272" s="12">
        <f t="shared" si="14"/>
        <v>2.25</v>
      </c>
      <c r="D272" s="7"/>
      <c r="E272" s="10">
        <f>(ADC!I272+5/3)/(1/12)</f>
        <v>46.768250501791329</v>
      </c>
      <c r="F272" s="11">
        <f t="shared" si="12"/>
        <v>4.9308403874185405E-3</v>
      </c>
      <c r="G272" s="2"/>
      <c r="H272" s="2"/>
      <c r="I272" s="10">
        <f>ABS(C272-ADC!I272)</f>
        <v>1.9312458184055803E-2</v>
      </c>
    </row>
    <row r="273" spans="1:9" x14ac:dyDescent="0.25">
      <c r="A273" s="3">
        <v>271</v>
      </c>
      <c r="B273" s="3">
        <f t="shared" si="13"/>
        <v>47.1</v>
      </c>
      <c r="C273" s="12">
        <f t="shared" si="14"/>
        <v>2.2583329999999999</v>
      </c>
      <c r="D273" s="7"/>
      <c r="E273" s="10">
        <f>(ADC!I273+5/3)/(1/12)</f>
        <v>46.879162443582494</v>
      </c>
      <c r="F273" s="11">
        <f t="shared" si="12"/>
        <v>4.688695465339854E-3</v>
      </c>
      <c r="G273" s="2"/>
      <c r="H273" s="2"/>
      <c r="I273" s="10">
        <f>ABS(C273-ADC!I273)</f>
        <v>1.8402796368125696E-2</v>
      </c>
    </row>
    <row r="274" spans="1:9" x14ac:dyDescent="0.25">
      <c r="A274" s="3">
        <v>272</v>
      </c>
      <c r="B274" s="3">
        <f t="shared" si="13"/>
        <v>47.2</v>
      </c>
      <c r="C274" s="12">
        <f t="shared" si="14"/>
        <v>2.266667</v>
      </c>
      <c r="D274" s="7"/>
      <c r="E274" s="10">
        <f>(ADC!I274+5/3)/(1/12)</f>
        <v>46.990316857282238</v>
      </c>
      <c r="F274" s="11">
        <f t="shared" si="12"/>
        <v>4.4424394643594227E-3</v>
      </c>
      <c r="G274" s="2"/>
      <c r="H274" s="2"/>
      <c r="I274" s="10">
        <f>ABS(C274-ADC!I274)</f>
        <v>1.7473928559813334E-2</v>
      </c>
    </row>
    <row r="275" spans="1:9" x14ac:dyDescent="0.25">
      <c r="A275" s="3">
        <v>273</v>
      </c>
      <c r="B275" s="3">
        <f t="shared" si="13"/>
        <v>47.3</v>
      </c>
      <c r="C275" s="12">
        <f t="shared" si="14"/>
        <v>2.2749999999999999</v>
      </c>
      <c r="D275" s="7"/>
      <c r="E275" s="10">
        <f>(ADC!I275+5/3)/(1/12)</f>
        <v>47.093271199737174</v>
      </c>
      <c r="F275" s="11">
        <f t="shared" si="12"/>
        <v>4.3705877434000668E-3</v>
      </c>
      <c r="G275" s="2"/>
      <c r="H275" s="2"/>
      <c r="I275" s="10">
        <f>ABS(C275-ADC!I275)</f>
        <v>1.7227400021902373E-2</v>
      </c>
    </row>
    <row r="276" spans="1:9" x14ac:dyDescent="0.25">
      <c r="A276" s="3">
        <v>274</v>
      </c>
      <c r="B276" s="3">
        <f t="shared" si="13"/>
        <v>47.400000000000006</v>
      </c>
      <c r="C276" s="12">
        <f t="shared" si="14"/>
        <v>2.2833329999999998</v>
      </c>
      <c r="D276" s="7"/>
      <c r="E276" s="10">
        <f>(ADC!I276+5/3)/(1/12)</f>
        <v>47.204919977959356</v>
      </c>
      <c r="F276" s="11">
        <f t="shared" si="12"/>
        <v>4.1156122793385907E-3</v>
      </c>
      <c r="G276" s="2"/>
      <c r="H276" s="2"/>
      <c r="I276" s="10">
        <f>ABS(C276-ADC!I276)</f>
        <v>1.6256335170053315E-2</v>
      </c>
    </row>
    <row r="277" spans="1:9" x14ac:dyDescent="0.25">
      <c r="A277" s="3">
        <v>275</v>
      </c>
      <c r="B277" s="3">
        <f t="shared" si="13"/>
        <v>47.5</v>
      </c>
      <c r="C277" s="12">
        <f t="shared" si="14"/>
        <v>2.2916669999999999</v>
      </c>
      <c r="D277" s="7"/>
      <c r="E277" s="10">
        <f>(ADC!I277+5/3)/(1/12)</f>
        <v>47.316807348984199</v>
      </c>
      <c r="F277" s="11">
        <f t="shared" si="12"/>
        <v>3.8566873898063427E-3</v>
      </c>
      <c r="G277" s="2"/>
      <c r="H277" s="2"/>
      <c r="I277" s="10">
        <f>ABS(C277-ADC!I277)</f>
        <v>1.5266387584650154E-2</v>
      </c>
    </row>
    <row r="278" spans="1:9" x14ac:dyDescent="0.25">
      <c r="A278" s="3">
        <v>276</v>
      </c>
      <c r="B278" s="3">
        <f t="shared" si="13"/>
        <v>47.6</v>
      </c>
      <c r="C278" s="12">
        <f t="shared" si="14"/>
        <v>2.2999999999999998</v>
      </c>
      <c r="D278" s="7"/>
      <c r="E278" s="10">
        <f>(ADC!I278+5/3)/(1/12)</f>
        <v>47.428932013675713</v>
      </c>
      <c r="F278" s="11">
        <f t="shared" si="12"/>
        <v>3.5938652589136296E-3</v>
      </c>
      <c r="G278" s="2"/>
      <c r="H278" s="2"/>
      <c r="I278" s="10">
        <f>ABS(C278-ADC!I278)</f>
        <v>1.4255665527024064E-2</v>
      </c>
    </row>
    <row r="279" spans="1:9" x14ac:dyDescent="0.25">
      <c r="A279" s="3">
        <v>277</v>
      </c>
      <c r="B279" s="3">
        <f t="shared" si="13"/>
        <v>47.7</v>
      </c>
      <c r="C279" s="12">
        <f t="shared" si="14"/>
        <v>2.3083330000000002</v>
      </c>
      <c r="D279" s="7"/>
      <c r="E279" s="10">
        <f>(ADC!I279+5/3)/(1/12)</f>
        <v>47.549680718823808</v>
      </c>
      <c r="F279" s="11">
        <f t="shared" si="12"/>
        <v>3.1513476137567057E-3</v>
      </c>
      <c r="G279" s="2"/>
      <c r="H279" s="2"/>
      <c r="I279" s="10">
        <f>ABS(C279-ADC!I279)</f>
        <v>1.2526273431349821E-2</v>
      </c>
    </row>
    <row r="280" spans="1:9" x14ac:dyDescent="0.25">
      <c r="A280" s="3">
        <v>278</v>
      </c>
      <c r="B280" s="3">
        <f t="shared" si="13"/>
        <v>47.8</v>
      </c>
      <c r="C280" s="12">
        <f t="shared" si="14"/>
        <v>2.3166669999999998</v>
      </c>
      <c r="D280" s="7"/>
      <c r="E280" s="10">
        <f>(ADC!I280+5/3)/(1/12)</f>
        <v>47.653888016109612</v>
      </c>
      <c r="F280" s="11">
        <f t="shared" si="12"/>
        <v>3.0567360646524162E-3</v>
      </c>
      <c r="G280" s="2"/>
      <c r="H280" s="2"/>
      <c r="I280" s="10">
        <f>ABS(C280-ADC!I280)</f>
        <v>1.2176331990866096E-2</v>
      </c>
    </row>
    <row r="281" spans="1:9" x14ac:dyDescent="0.25">
      <c r="A281" s="3">
        <v>279</v>
      </c>
      <c r="B281" s="3">
        <f t="shared" si="13"/>
        <v>47.900000000000006</v>
      </c>
      <c r="C281" s="12">
        <f t="shared" si="14"/>
        <v>2.3250000000000002</v>
      </c>
      <c r="D281" s="7"/>
      <c r="E281" s="10">
        <f>(ADC!I281+5/3)/(1/12)</f>
        <v>47.766716747165077</v>
      </c>
      <c r="F281" s="11">
        <f t="shared" si="12"/>
        <v>2.782531374424396E-3</v>
      </c>
      <c r="G281" s="2"/>
      <c r="H281" s="2"/>
      <c r="I281" s="10">
        <f>ABS(C281-ADC!I281)</f>
        <v>1.1106937736244049E-2</v>
      </c>
    </row>
    <row r="282" spans="1:9" x14ac:dyDescent="0.25">
      <c r="A282" s="3">
        <v>280</v>
      </c>
      <c r="B282" s="3">
        <f t="shared" si="13"/>
        <v>48</v>
      </c>
      <c r="C282" s="12">
        <f t="shared" si="14"/>
        <v>2.3333330000000001</v>
      </c>
      <c r="D282" s="7"/>
      <c r="E282" s="10">
        <f>(ADC!I282+5/3)/(1/12)</f>
        <v>47.879777556860802</v>
      </c>
      <c r="F282" s="11">
        <f t="shared" si="12"/>
        <v>2.5046342320666306E-3</v>
      </c>
      <c r="G282" s="2"/>
      <c r="H282" s="2"/>
      <c r="I282" s="10">
        <f>ABS(C282-ADC!I282)</f>
        <v>1.0018203594933883E-2</v>
      </c>
    </row>
    <row r="283" spans="1:9" x14ac:dyDescent="0.25">
      <c r="A283" s="3">
        <v>281</v>
      </c>
      <c r="B283" s="3">
        <f t="shared" si="13"/>
        <v>48.1</v>
      </c>
      <c r="C283" s="12">
        <f t="shared" si="14"/>
        <v>2.3416670000000002</v>
      </c>
      <c r="D283" s="7"/>
      <c r="E283" s="10">
        <f>(ADC!I283+5/3)/(1/12)</f>
        <v>47.984734328414376</v>
      </c>
      <c r="F283" s="11">
        <f t="shared" si="12"/>
        <v>2.3963757086408583E-3</v>
      </c>
      <c r="G283" s="2"/>
      <c r="H283" s="2"/>
      <c r="I283" s="10">
        <f>ABS(C283-ADC!I283)</f>
        <v>9.6058059654686723E-3</v>
      </c>
    </row>
    <row r="284" spans="1:9" x14ac:dyDescent="0.25">
      <c r="A284" s="3">
        <v>282</v>
      </c>
      <c r="B284" s="3">
        <f t="shared" si="13"/>
        <v>48.2</v>
      </c>
      <c r="C284" s="12">
        <f t="shared" si="14"/>
        <v>2.35</v>
      </c>
      <c r="D284" s="7"/>
      <c r="E284" s="10">
        <f>(ADC!I284+5/3)/(1/12)</f>
        <v>48.089947187776417</v>
      </c>
      <c r="F284" s="11">
        <f t="shared" si="12"/>
        <v>2.2832533656345594E-3</v>
      </c>
      <c r="G284" s="2"/>
      <c r="H284" s="2"/>
      <c r="I284" s="10">
        <f>ABS(C284-ADC!I284)</f>
        <v>9.1710676852985173E-3</v>
      </c>
    </row>
    <row r="285" spans="1:9" x14ac:dyDescent="0.25">
      <c r="A285" s="3">
        <v>283</v>
      </c>
      <c r="B285" s="3">
        <f t="shared" si="13"/>
        <v>48.3</v>
      </c>
      <c r="C285" s="12">
        <f t="shared" si="14"/>
        <v>2.358333</v>
      </c>
      <c r="D285" s="7"/>
      <c r="E285" s="10">
        <f>(ADC!I285+5/3)/(1/12)</f>
        <v>48.203722975003764</v>
      </c>
      <c r="F285" s="11">
        <f t="shared" si="12"/>
        <v>1.9933131469199433E-3</v>
      </c>
      <c r="G285" s="2"/>
      <c r="H285" s="2"/>
      <c r="I285" s="10">
        <f>ABS(C285-ADC!I285)</f>
        <v>8.0227520830198351E-3</v>
      </c>
    </row>
    <row r="286" spans="1:9" x14ac:dyDescent="0.25">
      <c r="A286" s="3">
        <v>284</v>
      </c>
      <c r="B286" s="3">
        <f t="shared" si="13"/>
        <v>48.400000000000006</v>
      </c>
      <c r="C286" s="12">
        <f t="shared" si="14"/>
        <v>2.3666670000000001</v>
      </c>
      <c r="D286" s="7"/>
      <c r="E286" s="10">
        <f>(ADC!I286+5/3)/(1/12)</f>
        <v>48.309430747183889</v>
      </c>
      <c r="F286" s="11">
        <f t="shared" si="12"/>
        <v>1.8712655540520005E-3</v>
      </c>
      <c r="G286" s="2"/>
      <c r="H286" s="2"/>
      <c r="I286" s="10">
        <f>ABS(C286-ADC!I286)</f>
        <v>7.5477710680096344E-3</v>
      </c>
    </row>
    <row r="287" spans="1:9" x14ac:dyDescent="0.25">
      <c r="A287" s="3">
        <v>285</v>
      </c>
      <c r="B287" s="3">
        <f t="shared" si="13"/>
        <v>48.5</v>
      </c>
      <c r="C287" s="12">
        <f t="shared" si="14"/>
        <v>2.375</v>
      </c>
      <c r="D287" s="7"/>
      <c r="E287" s="10">
        <f>(ADC!I287+5/3)/(1/12)</f>
        <v>48.423672176327862</v>
      </c>
      <c r="F287" s="11">
        <f t="shared" si="12"/>
        <v>1.5737695602502607E-3</v>
      </c>
      <c r="G287" s="2"/>
      <c r="H287" s="2"/>
      <c r="I287" s="10">
        <f>ABS(C287-ADC!I287)</f>
        <v>6.3606519726779887E-3</v>
      </c>
    </row>
    <row r="288" spans="1:9" x14ac:dyDescent="0.25">
      <c r="A288" s="3">
        <v>286</v>
      </c>
      <c r="B288" s="3">
        <f t="shared" si="13"/>
        <v>48.6</v>
      </c>
      <c r="C288" s="12">
        <f t="shared" si="14"/>
        <v>2.3833329999999999</v>
      </c>
      <c r="D288" s="7"/>
      <c r="E288" s="10">
        <f>(ADC!I288+5/3)/(1/12)</f>
        <v>48.529869588403947</v>
      </c>
      <c r="F288" s="11">
        <f t="shared" si="12"/>
        <v>1.4430125842809451E-3</v>
      </c>
      <c r="G288" s="2"/>
      <c r="H288" s="2"/>
      <c r="I288" s="10">
        <f>ABS(C288-ADC!I288)</f>
        <v>5.8438676330041517E-3</v>
      </c>
    </row>
    <row r="289" spans="1:9" x14ac:dyDescent="0.25">
      <c r="A289" s="3">
        <v>287</v>
      </c>
      <c r="B289" s="3">
        <f t="shared" si="13"/>
        <v>48.7</v>
      </c>
      <c r="C289" s="12">
        <f t="shared" si="14"/>
        <v>2.391667</v>
      </c>
      <c r="D289" s="7"/>
      <c r="E289" s="10">
        <f>(ADC!I289+5/3)/(1/12)</f>
        <v>48.644571381427141</v>
      </c>
      <c r="F289" s="11">
        <f t="shared" si="12"/>
        <v>1.1381646524201521E-3</v>
      </c>
      <c r="G289" s="2"/>
      <c r="H289" s="2"/>
      <c r="I289" s="10">
        <f>ABS(C289-ADC!I289)</f>
        <v>4.6193848810713867E-3</v>
      </c>
    </row>
    <row r="290" spans="1:9" x14ac:dyDescent="0.25">
      <c r="A290" s="3">
        <v>288</v>
      </c>
      <c r="B290" s="3">
        <f t="shared" si="13"/>
        <v>48.8</v>
      </c>
      <c r="C290" s="12">
        <f t="shared" si="14"/>
        <v>2.4</v>
      </c>
      <c r="D290" s="7"/>
      <c r="E290" s="10">
        <f>(ADC!I290+5/3)/(1/12)</f>
        <v>48.751253145081201</v>
      </c>
      <c r="F290" s="11">
        <f t="shared" si="12"/>
        <v>9.9891096145075017E-4</v>
      </c>
      <c r="G290" s="2"/>
      <c r="H290" s="2"/>
      <c r="I290" s="10">
        <f>ABS(C290-ADC!I290)</f>
        <v>4.0622379099004569E-3</v>
      </c>
    </row>
    <row r="291" spans="1:9" x14ac:dyDescent="0.25">
      <c r="A291" s="3">
        <v>289</v>
      </c>
      <c r="B291" s="3">
        <f t="shared" si="13"/>
        <v>48.900000000000006</v>
      </c>
      <c r="C291" s="12">
        <f t="shared" si="14"/>
        <v>2.4083329999999998</v>
      </c>
      <c r="D291" s="7"/>
      <c r="E291" s="10">
        <f>(ADC!I291+5/3)/(1/12)</f>
        <v>48.866410005047648</v>
      </c>
      <c r="F291" s="11">
        <f t="shared" si="12"/>
        <v>6.8691196221590842E-4</v>
      </c>
      <c r="G291" s="2"/>
      <c r="H291" s="2"/>
      <c r="I291" s="10">
        <f>ABS(C291-ADC!I291)</f>
        <v>2.7988329126964473E-3</v>
      </c>
    </row>
    <row r="292" spans="1:9" x14ac:dyDescent="0.25">
      <c r="A292" s="3">
        <v>290</v>
      </c>
      <c r="B292" s="3">
        <f t="shared" si="13"/>
        <v>49</v>
      </c>
      <c r="C292" s="12">
        <f t="shared" si="14"/>
        <v>2.4166669999999999</v>
      </c>
      <c r="D292" s="7"/>
      <c r="E292" s="10">
        <f>(ADC!I292+5/3)/(1/12)</f>
        <v>48.973570816639977</v>
      </c>
      <c r="F292" s="11">
        <f t="shared" si="12"/>
        <v>5.393710889800517E-4</v>
      </c>
      <c r="G292" s="2"/>
      <c r="H292" s="2"/>
      <c r="I292" s="10">
        <f>ABS(C292-ADC!I292)</f>
        <v>2.2027652800020725E-3</v>
      </c>
    </row>
    <row r="293" spans="1:9" x14ac:dyDescent="0.25">
      <c r="A293" s="3">
        <v>291</v>
      </c>
      <c r="B293" s="3">
        <f t="shared" si="13"/>
        <v>49.1</v>
      </c>
      <c r="C293" s="12">
        <f t="shared" si="14"/>
        <v>2.4249999999999998</v>
      </c>
      <c r="D293" s="7"/>
      <c r="E293" s="10">
        <f>(ADC!I293+5/3)/(1/12)</f>
        <v>49.089177432960334</v>
      </c>
      <c r="F293" s="11">
        <f t="shared" si="12"/>
        <v>2.2041888064496486E-4</v>
      </c>
      <c r="G293" s="2"/>
      <c r="H293" s="2"/>
      <c r="I293" s="10">
        <f>ABS(C293-ADC!I293)</f>
        <v>9.018805866385371E-4</v>
      </c>
    </row>
    <row r="294" spans="1:9" x14ac:dyDescent="0.25">
      <c r="A294" s="3">
        <v>292</v>
      </c>
      <c r="B294" s="3">
        <f t="shared" si="13"/>
        <v>49.2</v>
      </c>
      <c r="C294" s="12">
        <f t="shared" si="14"/>
        <v>2.4333330000000002</v>
      </c>
      <c r="D294" s="7"/>
      <c r="E294" s="10">
        <f>(ADC!I294+5/3)/(1/12)</f>
        <v>49.196811971367993</v>
      </c>
      <c r="F294" s="11">
        <f t="shared" si="12"/>
        <v>6.479732991890827E-5</v>
      </c>
      <c r="G294" s="2"/>
      <c r="H294" s="2"/>
      <c r="I294" s="10">
        <f>ABS(C294-ADC!I294)</f>
        <v>2.6533571933429201E-4</v>
      </c>
    </row>
    <row r="295" spans="1:9" x14ac:dyDescent="0.25">
      <c r="A295" s="3">
        <v>293</v>
      </c>
      <c r="B295" s="3">
        <f t="shared" si="13"/>
        <v>49.3</v>
      </c>
      <c r="C295" s="12">
        <f t="shared" si="14"/>
        <v>2.4416669999999998</v>
      </c>
      <c r="D295" s="7"/>
      <c r="E295" s="10">
        <f>(ADC!I295+5/3)/(1/12)</f>
        <v>49.304688038330319</v>
      </c>
      <c r="F295" s="11">
        <f t="shared" si="12"/>
        <v>9.5092055381781562E-5</v>
      </c>
      <c r="G295" s="2"/>
      <c r="H295" s="2"/>
      <c r="I295" s="10">
        <f>ABS(C295-ADC!I295)</f>
        <v>3.9033652752662462E-4</v>
      </c>
    </row>
    <row r="296" spans="1:9" x14ac:dyDescent="0.25">
      <c r="A296" s="3">
        <v>294</v>
      </c>
      <c r="B296" s="3">
        <f t="shared" si="13"/>
        <v>49.400000000000006</v>
      </c>
      <c r="C296" s="12">
        <f t="shared" si="14"/>
        <v>2.4500000000000002</v>
      </c>
      <c r="D296" s="7"/>
      <c r="E296" s="10">
        <f>(ADC!I296+5/3)/(1/12)</f>
        <v>49.420965947608472</v>
      </c>
      <c r="F296" s="11">
        <f t="shared" si="12"/>
        <v>4.2441189490823289E-4</v>
      </c>
      <c r="G296" s="2"/>
      <c r="H296" s="2"/>
      <c r="I296" s="10">
        <f>ABS(C296-ADC!I296)</f>
        <v>1.7471623007057069E-3</v>
      </c>
    </row>
    <row r="297" spans="1:9" x14ac:dyDescent="0.25">
      <c r="A297" s="3">
        <v>295</v>
      </c>
      <c r="B297" s="3">
        <f t="shared" si="13"/>
        <v>49.5</v>
      </c>
      <c r="C297" s="12">
        <f t="shared" si="14"/>
        <v>2.4583330000000001</v>
      </c>
      <c r="D297" s="7"/>
      <c r="E297" s="10">
        <f>(ADC!I297+5/3)/(1/12)</f>
        <v>49.529307727586875</v>
      </c>
      <c r="F297" s="11">
        <f t="shared" si="12"/>
        <v>5.920753047853614E-4</v>
      </c>
      <c r="G297" s="2"/>
      <c r="H297" s="2"/>
      <c r="I297" s="10">
        <f>ABS(C297-ADC!I297)</f>
        <v>2.4426439655726995E-3</v>
      </c>
    </row>
    <row r="298" spans="1:9" x14ac:dyDescent="0.25">
      <c r="A298" s="3">
        <v>296</v>
      </c>
      <c r="B298" s="3">
        <f t="shared" si="13"/>
        <v>49.6</v>
      </c>
      <c r="C298" s="12">
        <f t="shared" si="14"/>
        <v>2.4666670000000002</v>
      </c>
      <c r="D298" s="7"/>
      <c r="E298" s="10">
        <f>(ADC!I298+5/3)/(1/12)</f>
        <v>49.637887024040573</v>
      </c>
      <c r="F298" s="11">
        <f t="shared" si="12"/>
        <v>7.6385129114055965E-4</v>
      </c>
      <c r="G298" s="2"/>
      <c r="H298" s="2"/>
      <c r="I298" s="10">
        <f>ABS(C298-ADC!I298)</f>
        <v>3.1569186700477481E-3</v>
      </c>
    </row>
    <row r="299" spans="1:9" x14ac:dyDescent="0.25">
      <c r="A299" s="3">
        <v>297</v>
      </c>
      <c r="B299" s="3">
        <f t="shared" si="13"/>
        <v>49.7</v>
      </c>
      <c r="C299" s="12">
        <f t="shared" si="14"/>
        <v>2.4750000000000001</v>
      </c>
      <c r="D299" s="7"/>
      <c r="E299" s="10">
        <f>(ADC!I299+5/3)/(1/12)</f>
        <v>49.738580809249882</v>
      </c>
      <c r="F299" s="11">
        <f t="shared" si="12"/>
        <v>7.7627382796537558E-4</v>
      </c>
      <c r="G299" s="2"/>
      <c r="H299" s="2"/>
      <c r="I299" s="10">
        <f>ABS(C299-ADC!I299)</f>
        <v>3.2150674374902266E-3</v>
      </c>
    </row>
    <row r="300" spans="1:9" x14ac:dyDescent="0.25">
      <c r="A300" s="3">
        <v>298</v>
      </c>
      <c r="B300" s="3">
        <f t="shared" si="13"/>
        <v>49.8</v>
      </c>
      <c r="C300" s="12">
        <f t="shared" si="14"/>
        <v>2.483333</v>
      </c>
      <c r="D300" s="7"/>
      <c r="E300" s="10">
        <f>(ADC!I300+5/3)/(1/12)</f>
        <v>49.855752776729631</v>
      </c>
      <c r="F300" s="11">
        <f t="shared" si="12"/>
        <v>1.1195336692697495E-3</v>
      </c>
      <c r="G300" s="2"/>
      <c r="H300" s="2"/>
      <c r="I300" s="10">
        <f>ABS(C300-ADC!I300)</f>
        <v>4.6463980608026922E-3</v>
      </c>
    </row>
    <row r="301" spans="1:9" x14ac:dyDescent="0.25">
      <c r="A301" s="3">
        <v>299</v>
      </c>
      <c r="B301" s="3">
        <f t="shared" si="13"/>
        <v>49.900000000000006</v>
      </c>
      <c r="C301" s="12">
        <f t="shared" si="14"/>
        <v>2.4916670000000001</v>
      </c>
      <c r="D301" s="7"/>
      <c r="E301" s="10">
        <f>(ADC!I301+5/3)/(1/12)</f>
        <v>49.973131604507053</v>
      </c>
      <c r="F301" s="11">
        <f t="shared" si="12"/>
        <v>1.4655632165740909E-3</v>
      </c>
      <c r="G301" s="2"/>
      <c r="H301" s="2"/>
      <c r="I301" s="10">
        <f>ABS(C301-ADC!I301)</f>
        <v>6.0939670422541781E-3</v>
      </c>
    </row>
    <row r="302" spans="1:9" x14ac:dyDescent="0.25">
      <c r="A302" s="3">
        <v>300</v>
      </c>
      <c r="B302" s="3">
        <f t="shared" si="13"/>
        <v>50</v>
      </c>
      <c r="C302" s="12">
        <f t="shared" si="14"/>
        <v>2.5</v>
      </c>
      <c r="D302" s="7"/>
      <c r="E302" s="10">
        <f>(ADC!I302+5/3)/(1/12)</f>
        <v>50.082634185270599</v>
      </c>
      <c r="F302" s="11">
        <f t="shared" si="12"/>
        <v>1.652683705411988E-3</v>
      </c>
      <c r="G302" s="2"/>
      <c r="H302" s="2"/>
      <c r="I302" s="10">
        <f>ABS(C302-ADC!I302)</f>
        <v>6.8861821058829875E-3</v>
      </c>
    </row>
    <row r="303" spans="1:9" x14ac:dyDescent="0.25">
      <c r="A303" s="3">
        <v>301</v>
      </c>
      <c r="B303" s="3">
        <f t="shared" si="13"/>
        <v>50.1</v>
      </c>
      <c r="C303" s="12">
        <f t="shared" si="14"/>
        <v>2.5083329999999999</v>
      </c>
      <c r="D303" s="7"/>
      <c r="E303" s="10">
        <f>(ADC!I303+5/3)/(1/12)</f>
        <v>50.192367549839517</v>
      </c>
      <c r="F303" s="11">
        <f t="shared" si="12"/>
        <v>1.8436636694514083E-3</v>
      </c>
      <c r="G303" s="2"/>
      <c r="H303" s="2"/>
      <c r="I303" s="10">
        <f>ABS(C303-ADC!I303)</f>
        <v>7.697629153292862E-3</v>
      </c>
    </row>
    <row r="304" spans="1:9" x14ac:dyDescent="0.25">
      <c r="A304" s="3">
        <v>302</v>
      </c>
      <c r="B304" s="3">
        <f t="shared" si="13"/>
        <v>50.2</v>
      </c>
      <c r="C304" s="12">
        <f t="shared" si="14"/>
        <v>2.516667</v>
      </c>
      <c r="D304" s="7"/>
      <c r="E304" s="10">
        <f>(ADC!I304+5/3)/(1/12)</f>
        <v>50.30233034555048</v>
      </c>
      <c r="F304" s="11">
        <f t="shared" si="12"/>
        <v>2.038453098615087E-3</v>
      </c>
      <c r="G304" s="2"/>
      <c r="H304" s="2"/>
      <c r="I304" s="10">
        <f>ABS(C304-ADC!I304)</f>
        <v>8.5271954625394386E-3</v>
      </c>
    </row>
    <row r="305" spans="1:9" x14ac:dyDescent="0.25">
      <c r="A305" s="3">
        <v>303</v>
      </c>
      <c r="B305" s="3">
        <f t="shared" si="13"/>
        <v>50.3</v>
      </c>
      <c r="C305" s="12">
        <f t="shared" si="14"/>
        <v>2.5249999999999999</v>
      </c>
      <c r="D305" s="7"/>
      <c r="E305" s="10">
        <f>(ADC!I305+5/3)/(1/12)</f>
        <v>50.412521224436432</v>
      </c>
      <c r="F305" s="11">
        <f t="shared" si="12"/>
        <v>2.237002473885385E-3</v>
      </c>
      <c r="G305" s="2"/>
      <c r="H305" s="2"/>
      <c r="I305" s="10">
        <f>ABS(C305-ADC!I305)</f>
        <v>9.3767687030359426E-3</v>
      </c>
    </row>
    <row r="306" spans="1:9" x14ac:dyDescent="0.25">
      <c r="A306" s="3">
        <v>304</v>
      </c>
      <c r="B306" s="3">
        <f t="shared" si="13"/>
        <v>50.400000000000006</v>
      </c>
      <c r="C306" s="12">
        <f t="shared" si="14"/>
        <v>2.5333329999999998</v>
      </c>
      <c r="D306" s="7"/>
      <c r="E306" s="10">
        <f>(ADC!I306+5/3)/(1/12)</f>
        <v>50.52293882671669</v>
      </c>
      <c r="F306" s="11">
        <f t="shared" si="12"/>
        <v>2.4392624348548407E-3</v>
      </c>
      <c r="G306" s="2"/>
      <c r="H306" s="2"/>
      <c r="I306" s="10">
        <f>ABS(C306-ADC!I306)</f>
        <v>1.0245235559724453E-2</v>
      </c>
    </row>
    <row r="307" spans="1:9" x14ac:dyDescent="0.25">
      <c r="A307" s="3">
        <v>305</v>
      </c>
      <c r="B307" s="3">
        <f t="shared" si="13"/>
        <v>50.5</v>
      </c>
      <c r="C307" s="12">
        <f t="shared" si="14"/>
        <v>2.5416669999999999</v>
      </c>
      <c r="D307" s="7"/>
      <c r="E307" s="10">
        <f>(ADC!I307+5/3)/(1/12)</f>
        <v>50.63358180198577</v>
      </c>
      <c r="F307" s="11">
        <f t="shared" si="12"/>
        <v>2.6451841977380148E-3</v>
      </c>
      <c r="G307" s="2"/>
      <c r="H307" s="2"/>
      <c r="I307" s="10">
        <f>ABS(C307-ADC!I307)</f>
        <v>1.1131483498813655E-2</v>
      </c>
    </row>
    <row r="308" spans="1:9" x14ac:dyDescent="0.25">
      <c r="A308" s="3">
        <v>306</v>
      </c>
      <c r="B308" s="3">
        <f t="shared" si="13"/>
        <v>50.6</v>
      </c>
      <c r="C308" s="12">
        <f t="shared" si="14"/>
        <v>2.5499999999999998</v>
      </c>
      <c r="D308" s="7"/>
      <c r="E308" s="10">
        <f>(ADC!I308+5/3)/(1/12)</f>
        <v>50.744448785829604</v>
      </c>
      <c r="F308" s="11">
        <f t="shared" si="12"/>
        <v>2.8547190875415581E-3</v>
      </c>
      <c r="G308" s="2"/>
      <c r="H308" s="2"/>
      <c r="I308" s="10">
        <f>ABS(C308-ADC!I308)</f>
        <v>1.2037398819133571E-2</v>
      </c>
    </row>
    <row r="309" spans="1:9" x14ac:dyDescent="0.25">
      <c r="A309" s="3">
        <v>307</v>
      </c>
      <c r="B309" s="3">
        <f t="shared" si="13"/>
        <v>50.7</v>
      </c>
      <c r="C309" s="12">
        <f t="shared" si="14"/>
        <v>2.5583330000000002</v>
      </c>
      <c r="D309" s="7"/>
      <c r="E309" s="10">
        <f>(ADC!I309+5/3)/(1/12)</f>
        <v>50.855538426304179</v>
      </c>
      <c r="F309" s="11">
        <f t="shared" si="12"/>
        <v>3.0678190592539627E-3</v>
      </c>
      <c r="G309" s="2"/>
      <c r="H309" s="2"/>
      <c r="I309" s="10">
        <f>ABS(C309-ADC!I309)</f>
        <v>1.2961868858680781E-2</v>
      </c>
    </row>
    <row r="310" spans="1:9" x14ac:dyDescent="0.25">
      <c r="A310" s="3">
        <v>308</v>
      </c>
      <c r="B310" s="3">
        <f t="shared" si="13"/>
        <v>50.8</v>
      </c>
      <c r="C310" s="12">
        <f t="shared" si="14"/>
        <v>2.5666669999999998</v>
      </c>
      <c r="D310" s="7"/>
      <c r="E310" s="10">
        <f>(ADC!I310+5/3)/(1/12)</f>
        <v>50.966849361374663</v>
      </c>
      <c r="F310" s="11">
        <f t="shared" si="12"/>
        <v>3.2844362475327998E-3</v>
      </c>
      <c r="G310" s="2"/>
      <c r="H310" s="2"/>
      <c r="I310" s="10">
        <f>ABS(C310-ADC!I310)</f>
        <v>1.3903780114555175E-2</v>
      </c>
    </row>
    <row r="311" spans="1:9" x14ac:dyDescent="0.25">
      <c r="A311" s="3">
        <v>309</v>
      </c>
      <c r="B311" s="3">
        <f t="shared" si="13"/>
        <v>50.900000000000006</v>
      </c>
      <c r="C311" s="12">
        <f t="shared" si="14"/>
        <v>2.5750000000000002</v>
      </c>
      <c r="D311" s="7"/>
      <c r="E311" s="10">
        <f>(ADC!I311+5/3)/(1/12)</f>
        <v>51.078380230748209</v>
      </c>
      <c r="F311" s="11">
        <f t="shared" si="12"/>
        <v>3.5045231974106758E-3</v>
      </c>
      <c r="G311" s="2"/>
      <c r="H311" s="2"/>
      <c r="I311" s="10">
        <f>ABS(C311-ADC!I311)</f>
        <v>1.4865019229017395E-2</v>
      </c>
    </row>
    <row r="312" spans="1:9" x14ac:dyDescent="0.25">
      <c r="A312" s="3">
        <v>310</v>
      </c>
      <c r="B312" s="3">
        <f t="shared" si="13"/>
        <v>51</v>
      </c>
      <c r="C312" s="12">
        <f t="shared" si="14"/>
        <v>2.5833330000000001</v>
      </c>
      <c r="D312" s="7"/>
      <c r="E312" s="10">
        <f>(ADC!I312+5/3)/(1/12)</f>
        <v>51.190129668830416</v>
      </c>
      <c r="F312" s="11">
        <f t="shared" si="12"/>
        <v>3.728032722165014E-3</v>
      </c>
      <c r="G312" s="2"/>
      <c r="H312" s="2"/>
      <c r="I312" s="10">
        <f>ABS(C312-ADC!I312)</f>
        <v>1.5844472402533949E-2</v>
      </c>
    </row>
    <row r="313" spans="1:9" x14ac:dyDescent="0.25">
      <c r="A313" s="3">
        <v>311</v>
      </c>
      <c r="B313" s="3">
        <f t="shared" si="13"/>
        <v>51.1</v>
      </c>
      <c r="C313" s="12">
        <f t="shared" si="14"/>
        <v>2.5916670000000002</v>
      </c>
      <c r="D313" s="7"/>
      <c r="E313" s="10">
        <f>(ADC!I313+5/3)/(1/12)</f>
        <v>51.302096314583558</v>
      </c>
      <c r="F313" s="11">
        <f t="shared" si="12"/>
        <v>3.9549180936116748E-3</v>
      </c>
      <c r="G313" s="2"/>
      <c r="H313" s="2"/>
      <c r="I313" s="10">
        <f>ABS(C313-ADC!I313)</f>
        <v>1.6841026215296484E-2</v>
      </c>
    </row>
    <row r="314" spans="1:9" x14ac:dyDescent="0.25">
      <c r="A314" s="3">
        <v>312</v>
      </c>
      <c r="B314" s="3">
        <f t="shared" si="13"/>
        <v>51.2</v>
      </c>
      <c r="C314" s="12">
        <f t="shared" si="14"/>
        <v>2.6</v>
      </c>
      <c r="D314" s="7"/>
      <c r="E314" s="10">
        <f>(ADC!I314+5/3)/(1/12)</f>
        <v>51.406356738951061</v>
      </c>
      <c r="F314" s="11">
        <f t="shared" si="12"/>
        <v>4.0304050576378536E-3</v>
      </c>
      <c r="G314" s="2"/>
      <c r="H314" s="2"/>
      <c r="I314" s="10">
        <f>ABS(C314-ADC!I314)</f>
        <v>1.7196394912587731E-2</v>
      </c>
    </row>
    <row r="315" spans="1:9" x14ac:dyDescent="0.25">
      <c r="A315" s="3">
        <v>313</v>
      </c>
      <c r="B315" s="3">
        <f t="shared" si="13"/>
        <v>51.3</v>
      </c>
      <c r="C315" s="12">
        <f t="shared" si="14"/>
        <v>2.608333</v>
      </c>
      <c r="D315" s="7"/>
      <c r="E315" s="10">
        <f>(ADC!I315+5/3)/(1/12)</f>
        <v>51.510858246452941</v>
      </c>
      <c r="F315" s="11">
        <f t="shared" si="12"/>
        <v>4.1102972018117623E-3</v>
      </c>
      <c r="G315" s="2"/>
      <c r="H315" s="2"/>
      <c r="I315" s="10">
        <f>ABS(C315-ADC!I315)</f>
        <v>1.7571853871078513E-2</v>
      </c>
    </row>
    <row r="316" spans="1:9" x14ac:dyDescent="0.25">
      <c r="A316" s="3">
        <v>314</v>
      </c>
      <c r="B316" s="3">
        <f t="shared" si="13"/>
        <v>51.400000000000006</v>
      </c>
      <c r="C316" s="12">
        <f t="shared" si="14"/>
        <v>2.6166670000000001</v>
      </c>
      <c r="D316" s="7"/>
      <c r="E316" s="10">
        <f>(ADC!I316+5/3)/(1/12)</f>
        <v>51.623494891677296</v>
      </c>
      <c r="F316" s="11">
        <f t="shared" si="12"/>
        <v>4.3481496435270571E-3</v>
      </c>
      <c r="G316" s="2"/>
      <c r="H316" s="2"/>
      <c r="I316" s="10">
        <f>ABS(C316-ADC!I316)</f>
        <v>1.8624240973108108E-2</v>
      </c>
    </row>
    <row r="317" spans="1:9" x14ac:dyDescent="0.25">
      <c r="A317" s="3">
        <v>315</v>
      </c>
      <c r="B317" s="3">
        <f t="shared" si="13"/>
        <v>51.5</v>
      </c>
      <c r="C317" s="12">
        <f t="shared" si="14"/>
        <v>2.625</v>
      </c>
      <c r="D317" s="7"/>
      <c r="E317" s="10">
        <f>(ADC!I317+5/3)/(1/12)</f>
        <v>51.736343271580076</v>
      </c>
      <c r="F317" s="11">
        <f t="shared" si="12"/>
        <v>4.5891897394189423E-3</v>
      </c>
      <c r="G317" s="2"/>
      <c r="H317" s="2"/>
      <c r="I317" s="10">
        <f>ABS(C317-ADC!I317)</f>
        <v>1.9695272631672811E-2</v>
      </c>
    </row>
    <row r="318" spans="1:9" x14ac:dyDescent="0.25">
      <c r="A318" s="3">
        <v>316</v>
      </c>
      <c r="B318" s="3">
        <f t="shared" si="13"/>
        <v>51.6</v>
      </c>
      <c r="C318" s="12">
        <f t="shared" si="14"/>
        <v>2.6333329999999999</v>
      </c>
      <c r="D318" s="7"/>
      <c r="E318" s="10">
        <f>(ADC!I318+5/3)/(1/12)</f>
        <v>51.841533149638984</v>
      </c>
      <c r="F318" s="11">
        <f t="shared" si="12"/>
        <v>4.6808749930035377E-3</v>
      </c>
      <c r="G318" s="2"/>
      <c r="H318" s="2"/>
      <c r="I318" s="10">
        <f>ABS(C318-ADC!I318)</f>
        <v>2.0128095803248591E-2</v>
      </c>
    </row>
    <row r="319" spans="1:9" x14ac:dyDescent="0.25">
      <c r="A319" s="3">
        <v>317</v>
      </c>
      <c r="B319" s="3">
        <f t="shared" si="13"/>
        <v>51.7</v>
      </c>
      <c r="C319" s="12">
        <f t="shared" si="14"/>
        <v>2.641667</v>
      </c>
      <c r="D319" s="7"/>
      <c r="E319" s="10">
        <f>(ADC!I319+5/3)/(1/12)</f>
        <v>51.954814161924745</v>
      </c>
      <c r="F319" s="11">
        <f t="shared" si="12"/>
        <v>4.9287071939021609E-3</v>
      </c>
      <c r="G319" s="2"/>
      <c r="H319" s="2"/>
      <c r="I319" s="10">
        <f>ABS(C319-ADC!I319)</f>
        <v>2.12341801603948E-2</v>
      </c>
    </row>
    <row r="320" spans="1:9" x14ac:dyDescent="0.25">
      <c r="A320" s="3">
        <v>318</v>
      </c>
      <c r="B320" s="3">
        <f t="shared" si="13"/>
        <v>51.8</v>
      </c>
      <c r="C320" s="12">
        <f t="shared" si="14"/>
        <v>2.65</v>
      </c>
      <c r="D320" s="7"/>
      <c r="E320" s="10">
        <f>(ADC!I320+5/3)/(1/12)</f>
        <v>52.06830279526617</v>
      </c>
      <c r="F320" s="11">
        <f t="shared" si="12"/>
        <v>5.1795906422041158E-3</v>
      </c>
      <c r="G320" s="2"/>
      <c r="H320" s="2"/>
      <c r="I320" s="10">
        <f>ABS(C320-ADC!I320)</f>
        <v>2.2358566272180358E-2</v>
      </c>
    </row>
    <row r="321" spans="1:9" x14ac:dyDescent="0.25">
      <c r="A321" s="3">
        <v>319</v>
      </c>
      <c r="B321" s="3">
        <f t="shared" si="13"/>
        <v>51.900000000000006</v>
      </c>
      <c r="C321" s="12">
        <f t="shared" si="14"/>
        <v>2.6583329999999998</v>
      </c>
      <c r="D321" s="7"/>
      <c r="E321" s="10">
        <f>(ADC!I321+5/3)/(1/12)</f>
        <v>52.181997672581588</v>
      </c>
      <c r="F321" s="11">
        <f t="shared" si="12"/>
        <v>5.4334811672751828E-3</v>
      </c>
      <c r="G321" s="2"/>
      <c r="H321" s="2"/>
      <c r="I321" s="10">
        <f>ABS(C321-ADC!I321)</f>
        <v>2.350013938179929E-2</v>
      </c>
    </row>
    <row r="322" spans="1:9" x14ac:dyDescent="0.25">
      <c r="A322" s="3">
        <v>320</v>
      </c>
      <c r="B322" s="3">
        <f t="shared" si="13"/>
        <v>52</v>
      </c>
      <c r="C322" s="12">
        <f t="shared" si="14"/>
        <v>2.6666669999999999</v>
      </c>
      <c r="D322" s="7"/>
      <c r="E322" s="10">
        <f>(ADC!I322+5/3)/(1/12)</f>
        <v>52.295897418870943</v>
      </c>
      <c r="F322" s="11">
        <f t="shared" ref="F322:F385" si="15">ABS(B322-E322)/B322</f>
        <v>5.6903349782873721E-3</v>
      </c>
      <c r="G322" s="2"/>
      <c r="H322" s="2"/>
      <c r="I322" s="10">
        <f>ABS(C322-ADC!I322)</f>
        <v>2.465778490591175E-2</v>
      </c>
    </row>
    <row r="323" spans="1:9" x14ac:dyDescent="0.25">
      <c r="A323" s="3">
        <v>321</v>
      </c>
      <c r="B323" s="3">
        <f t="shared" ref="B323:B386" si="16">0.1*A323+20</f>
        <v>52.1</v>
      </c>
      <c r="C323" s="12">
        <f t="shared" ref="C323:C386" si="17">ROUND(1/12*B323-5/3,6)</f>
        <v>2.6749999999999998</v>
      </c>
      <c r="D323" s="7"/>
      <c r="E323" s="10">
        <f>(ADC!I323+5/3)/(1/12)</f>
        <v>52.402198184112898</v>
      </c>
      <c r="F323" s="11">
        <f t="shared" si="15"/>
        <v>5.800349023280158E-3</v>
      </c>
      <c r="G323" s="2"/>
      <c r="H323" s="2"/>
      <c r="I323" s="10">
        <f>ABS(C323-ADC!I323)</f>
        <v>2.5183182009407723E-2</v>
      </c>
    </row>
    <row r="324" spans="1:9" x14ac:dyDescent="0.25">
      <c r="A324" s="3">
        <v>322</v>
      </c>
      <c r="B324" s="3">
        <f t="shared" si="16"/>
        <v>52.2</v>
      </c>
      <c r="C324" s="12">
        <f t="shared" si="17"/>
        <v>2.6833330000000002</v>
      </c>
      <c r="D324" s="7"/>
      <c r="E324" s="10">
        <f>(ADC!I324+5/3)/(1/12)</f>
        <v>52.51651681418295</v>
      </c>
      <c r="F324" s="11">
        <f t="shared" si="15"/>
        <v>6.0635405015890204E-3</v>
      </c>
      <c r="G324" s="2"/>
      <c r="H324" s="2"/>
      <c r="I324" s="10">
        <f>ABS(C324-ADC!I324)</f>
        <v>2.6376734515245026E-2</v>
      </c>
    </row>
    <row r="325" spans="1:9" x14ac:dyDescent="0.25">
      <c r="A325" s="3">
        <v>323</v>
      </c>
      <c r="B325" s="3">
        <f t="shared" si="16"/>
        <v>52.300000000000004</v>
      </c>
      <c r="C325" s="12">
        <f t="shared" si="17"/>
        <v>2.6916669999999998</v>
      </c>
      <c r="D325" s="7"/>
      <c r="E325" s="10">
        <f>(ADC!I325+5/3)/(1/12)</f>
        <v>52.623260250341751</v>
      </c>
      <c r="F325" s="11">
        <f t="shared" si="15"/>
        <v>6.1808843277580639E-3</v>
      </c>
      <c r="G325" s="2"/>
      <c r="H325" s="2"/>
      <c r="I325" s="10">
        <f>ABS(C325-ADC!I325)</f>
        <v>2.6938020861812628E-2</v>
      </c>
    </row>
    <row r="326" spans="1:9" x14ac:dyDescent="0.25">
      <c r="A326" s="3">
        <v>324</v>
      </c>
      <c r="B326" s="3">
        <f t="shared" si="16"/>
        <v>52.4</v>
      </c>
      <c r="C326" s="12">
        <f t="shared" si="17"/>
        <v>2.7</v>
      </c>
      <c r="D326" s="7"/>
      <c r="E326" s="10">
        <f>(ADC!I326+5/3)/(1/12)</f>
        <v>52.730229588911193</v>
      </c>
      <c r="F326" s="11">
        <f t="shared" si="15"/>
        <v>6.3020913914350113E-3</v>
      </c>
      <c r="G326" s="2"/>
      <c r="H326" s="2"/>
      <c r="I326" s="10">
        <f>ABS(C326-ADC!I326)</f>
        <v>2.7519132409266067E-2</v>
      </c>
    </row>
    <row r="327" spans="1:9" x14ac:dyDescent="0.25">
      <c r="A327" s="3">
        <v>325</v>
      </c>
      <c r="B327" s="3">
        <f t="shared" si="16"/>
        <v>52.5</v>
      </c>
      <c r="C327" s="12">
        <f t="shared" si="17"/>
        <v>2.7083330000000001</v>
      </c>
      <c r="D327" s="7"/>
      <c r="E327" s="10">
        <f>(ADC!I327+5/3)/(1/12)</f>
        <v>52.845172809087998</v>
      </c>
      <c r="F327" s="11">
        <f t="shared" si="15"/>
        <v>6.5747201731047276E-3</v>
      </c>
      <c r="G327" s="2"/>
      <c r="H327" s="2"/>
      <c r="I327" s="10">
        <f>ABS(C327-ADC!I327)</f>
        <v>2.8764734090666266E-2</v>
      </c>
    </row>
    <row r="328" spans="1:9" x14ac:dyDescent="0.25">
      <c r="A328" s="3">
        <v>326</v>
      </c>
      <c r="B328" s="3">
        <f t="shared" si="16"/>
        <v>52.6</v>
      </c>
      <c r="C328" s="12">
        <f t="shared" si="17"/>
        <v>2.7166670000000002</v>
      </c>
      <c r="D328" s="7"/>
      <c r="E328" s="10">
        <f>(ADC!I328+5/3)/(1/12)</f>
        <v>52.952576502636212</v>
      </c>
      <c r="F328" s="11">
        <f t="shared" si="15"/>
        <v>6.70297533528918E-3</v>
      </c>
      <c r="G328" s="2"/>
      <c r="H328" s="2"/>
      <c r="I328" s="10">
        <f>ABS(C328-ADC!I328)</f>
        <v>2.9381041886350712E-2</v>
      </c>
    </row>
    <row r="329" spans="1:9" x14ac:dyDescent="0.25">
      <c r="A329" s="3">
        <v>327</v>
      </c>
      <c r="B329" s="3">
        <f t="shared" si="16"/>
        <v>52.7</v>
      </c>
      <c r="C329" s="12">
        <f t="shared" si="17"/>
        <v>2.7250000000000001</v>
      </c>
      <c r="D329" s="7"/>
      <c r="E329" s="10">
        <f>(ADC!I329+5/3)/(1/12)</f>
        <v>53.060201929085395</v>
      </c>
      <c r="F329" s="11">
        <f t="shared" si="15"/>
        <v>6.834951216041588E-3</v>
      </c>
      <c r="G329" s="2"/>
      <c r="H329" s="2"/>
      <c r="I329" s="10">
        <f>ABS(C329-ADC!I329)</f>
        <v>3.0016827423782644E-2</v>
      </c>
    </row>
    <row r="330" spans="1:9" x14ac:dyDescent="0.25">
      <c r="A330" s="3">
        <v>328</v>
      </c>
      <c r="B330" s="3">
        <f t="shared" si="16"/>
        <v>52.800000000000004</v>
      </c>
      <c r="C330" s="12">
        <f t="shared" si="17"/>
        <v>2.733333</v>
      </c>
      <c r="D330" s="7"/>
      <c r="E330" s="10">
        <f>(ADC!I330+5/3)/(1/12)</f>
        <v>53.175757294811667</v>
      </c>
      <c r="F330" s="11">
        <f t="shared" si="15"/>
        <v>7.1166154320390753E-3</v>
      </c>
      <c r="G330" s="2"/>
      <c r="H330" s="2"/>
      <c r="I330" s="10">
        <f>ABS(C330-ADC!I330)</f>
        <v>3.1313441234305017E-2</v>
      </c>
    </row>
    <row r="331" spans="1:9" x14ac:dyDescent="0.25">
      <c r="A331" s="3">
        <v>329</v>
      </c>
      <c r="B331" s="3">
        <f t="shared" si="16"/>
        <v>52.9</v>
      </c>
      <c r="C331" s="12">
        <f t="shared" si="17"/>
        <v>2.7416670000000001</v>
      </c>
      <c r="D331" s="7"/>
      <c r="E331" s="10">
        <f>(ADC!I331+5/3)/(1/12)</f>
        <v>53.276112403108655</v>
      </c>
      <c r="F331" s="11">
        <f t="shared" si="15"/>
        <v>7.1098752950596728E-3</v>
      </c>
      <c r="G331" s="2"/>
      <c r="H331" s="2"/>
      <c r="I331" s="10">
        <f>ABS(C331-ADC!I331)</f>
        <v>3.1342366925721343E-2</v>
      </c>
    </row>
    <row r="332" spans="1:9" x14ac:dyDescent="0.25">
      <c r="A332" s="3">
        <v>330</v>
      </c>
      <c r="B332" s="3">
        <f t="shared" si="16"/>
        <v>53</v>
      </c>
      <c r="C332" s="12">
        <f t="shared" si="17"/>
        <v>2.75</v>
      </c>
      <c r="D332" s="7"/>
      <c r="E332" s="10">
        <f>(ADC!I332+5/3)/(1/12)</f>
        <v>53.384394668788708</v>
      </c>
      <c r="F332" s="11">
        <f t="shared" si="15"/>
        <v>7.2527295997869496E-3</v>
      </c>
      <c r="G332" s="2"/>
      <c r="H332" s="2"/>
      <c r="I332" s="10">
        <f>ABS(C332-ADC!I332)</f>
        <v>3.2032889065725545E-2</v>
      </c>
    </row>
    <row r="333" spans="1:9" x14ac:dyDescent="0.25">
      <c r="A333" s="3">
        <v>331</v>
      </c>
      <c r="B333" s="3">
        <f t="shared" si="16"/>
        <v>53.1</v>
      </c>
      <c r="C333" s="12">
        <f t="shared" si="17"/>
        <v>2.7583329999999999</v>
      </c>
      <c r="D333" s="7"/>
      <c r="E333" s="10">
        <f>(ADC!I333+5/3)/(1/12)</f>
        <v>53.492893092632734</v>
      </c>
      <c r="F333" s="11">
        <f t="shared" si="15"/>
        <v>7.3991166220853579E-3</v>
      </c>
      <c r="G333" s="2"/>
      <c r="H333" s="2"/>
      <c r="I333" s="10">
        <f>ABS(C333-ADC!I333)</f>
        <v>3.2741424386060647E-2</v>
      </c>
    </row>
    <row r="334" spans="1:9" x14ac:dyDescent="0.25">
      <c r="A334" s="3">
        <v>332</v>
      </c>
      <c r="B334" s="3">
        <f t="shared" si="16"/>
        <v>53.2</v>
      </c>
      <c r="C334" s="12">
        <f t="shared" si="17"/>
        <v>2.766667</v>
      </c>
      <c r="D334" s="7"/>
      <c r="E334" s="10">
        <f>(ADC!I334+5/3)/(1/12)</f>
        <v>53.609262874172799</v>
      </c>
      <c r="F334" s="11">
        <f t="shared" si="15"/>
        <v>7.6929111686615858E-3</v>
      </c>
      <c r="G334" s="2"/>
      <c r="H334" s="2"/>
      <c r="I334" s="10">
        <f>ABS(C334-ADC!I334)</f>
        <v>3.4104906181066763E-2</v>
      </c>
    </row>
    <row r="335" spans="1:9" x14ac:dyDescent="0.25">
      <c r="A335" s="3">
        <v>333</v>
      </c>
      <c r="B335" s="3">
        <f t="shared" si="16"/>
        <v>53.300000000000004</v>
      </c>
      <c r="C335" s="12">
        <f t="shared" si="17"/>
        <v>2.7749999999999999</v>
      </c>
      <c r="D335" s="7"/>
      <c r="E335" s="10">
        <f>(ADC!I335+5/3)/(1/12)</f>
        <v>53.718176188301634</v>
      </c>
      <c r="F335" s="11">
        <f t="shared" si="15"/>
        <v>7.8457070975915429E-3</v>
      </c>
      <c r="G335" s="2"/>
      <c r="H335" s="2"/>
      <c r="I335" s="10">
        <f>ABS(C335-ADC!I335)</f>
        <v>3.4848015691802292E-2</v>
      </c>
    </row>
    <row r="336" spans="1:9" x14ac:dyDescent="0.25">
      <c r="A336" s="3">
        <v>334</v>
      </c>
      <c r="B336" s="3">
        <f t="shared" si="16"/>
        <v>53.4</v>
      </c>
      <c r="C336" s="12">
        <f t="shared" si="17"/>
        <v>2.7833329999999998</v>
      </c>
      <c r="D336" s="7"/>
      <c r="E336" s="10">
        <f>(ADC!I336+5/3)/(1/12)</f>
        <v>53.827301477410721</v>
      </c>
      <c r="F336" s="11">
        <f t="shared" si="15"/>
        <v>8.0019003260434918E-3</v>
      </c>
      <c r="G336" s="2"/>
      <c r="H336" s="2"/>
      <c r="I336" s="10">
        <f>ABS(C336-ADC!I336)</f>
        <v>3.5608789784226325E-2</v>
      </c>
    </row>
    <row r="337" spans="1:9" x14ac:dyDescent="0.25">
      <c r="A337" s="3">
        <v>335</v>
      </c>
      <c r="B337" s="3">
        <f t="shared" si="16"/>
        <v>53.5</v>
      </c>
      <c r="C337" s="12">
        <f t="shared" si="17"/>
        <v>2.7916669999999999</v>
      </c>
      <c r="D337" s="7"/>
      <c r="E337" s="10">
        <f>(ADC!I337+5/3)/(1/12)</f>
        <v>53.944254256895171</v>
      </c>
      <c r="F337" s="11">
        <f t="shared" si="15"/>
        <v>8.3038178858910443E-3</v>
      </c>
      <c r="G337" s="2"/>
      <c r="H337" s="2"/>
      <c r="I337" s="10">
        <f>ABS(C337-ADC!I337)</f>
        <v>3.7020854741264042E-2</v>
      </c>
    </row>
    <row r="338" spans="1:9" x14ac:dyDescent="0.25">
      <c r="A338" s="3">
        <v>336</v>
      </c>
      <c r="B338" s="3">
        <f t="shared" si="16"/>
        <v>53.6</v>
      </c>
      <c r="C338" s="12">
        <f t="shared" si="17"/>
        <v>2.8</v>
      </c>
      <c r="D338" s="7"/>
      <c r="E338" s="10">
        <f>(ADC!I338+5/3)/(1/12)</f>
        <v>54.053786080230104</v>
      </c>
      <c r="F338" s="11">
        <f t="shared" si="15"/>
        <v>8.4661582132481827E-3</v>
      </c>
      <c r="G338" s="2"/>
      <c r="H338" s="2"/>
      <c r="I338" s="10">
        <f>ABS(C338-ADC!I338)</f>
        <v>3.7815506685841882E-2</v>
      </c>
    </row>
    <row r="339" spans="1:9" x14ac:dyDescent="0.25">
      <c r="A339" s="3">
        <v>337</v>
      </c>
      <c r="B339" s="3">
        <f t="shared" si="16"/>
        <v>53.7</v>
      </c>
      <c r="C339" s="12">
        <f t="shared" si="17"/>
        <v>2.8083330000000002</v>
      </c>
      <c r="D339" s="7"/>
      <c r="E339" s="10">
        <f>(ADC!I339+5/3)/(1/12)</f>
        <v>54.163525692667605</v>
      </c>
      <c r="F339" s="11">
        <f t="shared" si="15"/>
        <v>8.6317633643873768E-3</v>
      </c>
      <c r="G339" s="2"/>
      <c r="H339" s="2"/>
      <c r="I339" s="10">
        <f>ABS(C339-ADC!I339)</f>
        <v>3.8627474388966743E-2</v>
      </c>
    </row>
    <row r="340" spans="1:9" x14ac:dyDescent="0.25">
      <c r="A340" s="3">
        <v>338</v>
      </c>
      <c r="B340" s="3">
        <f t="shared" si="16"/>
        <v>53.800000000000004</v>
      </c>
      <c r="C340" s="12">
        <f t="shared" si="17"/>
        <v>2.8166669999999998</v>
      </c>
      <c r="D340" s="7"/>
      <c r="E340" s="10">
        <f>(ADC!I340+5/3)/(1/12)</f>
        <v>54.273471690395922</v>
      </c>
      <c r="F340" s="11">
        <f t="shared" si="15"/>
        <v>8.8005890408163218E-3</v>
      </c>
      <c r="G340" s="2"/>
      <c r="H340" s="2"/>
      <c r="I340" s="10">
        <f>ABS(C340-ADC!I340)</f>
        <v>3.9455640866326469E-2</v>
      </c>
    </row>
    <row r="341" spans="1:9" x14ac:dyDescent="0.25">
      <c r="A341" s="3">
        <v>339</v>
      </c>
      <c r="B341" s="3">
        <f t="shared" si="16"/>
        <v>53.9</v>
      </c>
      <c r="C341" s="12">
        <f t="shared" si="17"/>
        <v>2.8250000000000002</v>
      </c>
      <c r="D341" s="7"/>
      <c r="E341" s="10">
        <f>(ADC!I341+5/3)/(1/12)</f>
        <v>54.383622680995394</v>
      </c>
      <c r="F341" s="11">
        <f t="shared" si="15"/>
        <v>8.9725914841446309E-3</v>
      </c>
      <c r="G341" s="2"/>
      <c r="H341" s="2"/>
      <c r="I341" s="10">
        <f>ABS(C341-ADC!I341)</f>
        <v>4.0301890082949043E-2</v>
      </c>
    </row>
    <row r="342" spans="1:9" x14ac:dyDescent="0.25">
      <c r="A342" s="3">
        <v>340</v>
      </c>
      <c r="B342" s="3">
        <f t="shared" si="16"/>
        <v>54</v>
      </c>
      <c r="C342" s="12">
        <f t="shared" si="17"/>
        <v>2.8333330000000001</v>
      </c>
      <c r="D342" s="7"/>
      <c r="E342" s="10">
        <f>(ADC!I342+5/3)/(1/12)</f>
        <v>54.493977260187002</v>
      </c>
      <c r="F342" s="11">
        <f t="shared" si="15"/>
        <v>9.1477270405000335E-3</v>
      </c>
      <c r="G342" s="2"/>
      <c r="H342" s="2"/>
      <c r="I342" s="10">
        <f>ABS(C342-ADC!I342)</f>
        <v>4.1165105015582792E-2</v>
      </c>
    </row>
    <row r="343" spans="1:9" x14ac:dyDescent="0.25">
      <c r="A343" s="3">
        <v>341</v>
      </c>
      <c r="B343" s="3">
        <f t="shared" si="16"/>
        <v>54.1</v>
      </c>
      <c r="C343" s="12">
        <f t="shared" si="17"/>
        <v>2.8416670000000002</v>
      </c>
      <c r="D343" s="7"/>
      <c r="E343" s="10">
        <f>(ADC!I343+5/3)/(1/12)</f>
        <v>54.60453403034294</v>
      </c>
      <c r="F343" s="11">
        <f t="shared" si="15"/>
        <v>9.3259525017179001E-3</v>
      </c>
      <c r="G343" s="2"/>
      <c r="H343" s="2"/>
      <c r="I343" s="10">
        <f>ABS(C343-ADC!I343)</f>
        <v>4.204416919524423E-2</v>
      </c>
    </row>
    <row r="344" spans="1:9" x14ac:dyDescent="0.25">
      <c r="A344" s="3">
        <v>342</v>
      </c>
      <c r="B344" s="3">
        <f t="shared" si="16"/>
        <v>54.2</v>
      </c>
      <c r="C344" s="12">
        <f t="shared" si="17"/>
        <v>2.85</v>
      </c>
      <c r="D344" s="7"/>
      <c r="E344" s="10">
        <f>(ADC!I344+5/3)/(1/12)</f>
        <v>54.715291589250775</v>
      </c>
      <c r="F344" s="11">
        <f t="shared" si="15"/>
        <v>9.5072248939256851E-3</v>
      </c>
      <c r="G344" s="2"/>
      <c r="H344" s="2"/>
      <c r="I344" s="10">
        <f>ABS(C344-ADC!I344)</f>
        <v>4.2940965770897233E-2</v>
      </c>
    </row>
    <row r="345" spans="1:9" x14ac:dyDescent="0.25">
      <c r="A345" s="3">
        <v>343</v>
      </c>
      <c r="B345" s="3">
        <f t="shared" si="16"/>
        <v>54.300000000000004</v>
      </c>
      <c r="C345" s="12">
        <f t="shared" si="17"/>
        <v>2.858333</v>
      </c>
      <c r="D345" s="7"/>
      <c r="E345" s="10">
        <f>(ADC!I345+5/3)/(1/12)</f>
        <v>54.818737291489526</v>
      </c>
      <c r="F345" s="11">
        <f t="shared" si="15"/>
        <v>9.5531729556081399E-3</v>
      </c>
      <c r="G345" s="2"/>
      <c r="H345" s="2"/>
      <c r="I345" s="10">
        <f>ABS(C345-ADC!I345)</f>
        <v>4.3228440957460368E-2</v>
      </c>
    </row>
    <row r="346" spans="1:9" x14ac:dyDescent="0.25">
      <c r="A346" s="3">
        <v>344</v>
      </c>
      <c r="B346" s="3">
        <f t="shared" si="16"/>
        <v>54.4</v>
      </c>
      <c r="C346" s="12">
        <f t="shared" si="17"/>
        <v>2.8666670000000001</v>
      </c>
      <c r="D346" s="7"/>
      <c r="E346" s="10">
        <f>(ADC!I346+5/3)/(1/12)</f>
        <v>54.922407369943343</v>
      </c>
      <c r="F346" s="11">
        <f t="shared" si="15"/>
        <v>9.6030766533703078E-3</v>
      </c>
      <c r="G346" s="2"/>
      <c r="H346" s="2"/>
      <c r="I346" s="10">
        <f>ABS(C346-ADC!I346)</f>
        <v>4.3533614161945344E-2</v>
      </c>
    </row>
    <row r="347" spans="1:9" x14ac:dyDescent="0.25">
      <c r="A347" s="3">
        <v>345</v>
      </c>
      <c r="B347" s="3">
        <f t="shared" si="16"/>
        <v>54.5</v>
      </c>
      <c r="C347" s="12">
        <f t="shared" si="17"/>
        <v>2.875</v>
      </c>
      <c r="D347" s="7"/>
      <c r="E347" s="10">
        <f>(ADC!I347+5/3)/(1/12)</f>
        <v>55.033785250297122</v>
      </c>
      <c r="F347" s="11">
        <f t="shared" si="15"/>
        <v>9.7942247760939745E-3</v>
      </c>
      <c r="G347" s="2"/>
      <c r="H347" s="2"/>
      <c r="I347" s="10">
        <f>ABS(C347-ADC!I347)</f>
        <v>4.4482104191426952E-2</v>
      </c>
    </row>
    <row r="348" spans="1:9" x14ac:dyDescent="0.25">
      <c r="A348" s="3">
        <v>346</v>
      </c>
      <c r="B348" s="3">
        <f t="shared" si="16"/>
        <v>54.6</v>
      </c>
      <c r="C348" s="12">
        <f t="shared" si="17"/>
        <v>2.8833329999999999</v>
      </c>
      <c r="D348" s="7"/>
      <c r="E348" s="10">
        <f>(ADC!I348+5/3)/(1/12)</f>
        <v>55.145358306895858</v>
      </c>
      <c r="F348" s="11">
        <f t="shared" si="15"/>
        <v>9.9882473790449903E-3</v>
      </c>
      <c r="G348" s="2"/>
      <c r="H348" s="2"/>
      <c r="I348" s="10">
        <f>ABS(C348-ADC!I348)</f>
        <v>4.5446858907988386E-2</v>
      </c>
    </row>
    <row r="349" spans="1:9" x14ac:dyDescent="0.25">
      <c r="A349" s="3">
        <v>347</v>
      </c>
      <c r="B349" s="3">
        <f t="shared" si="16"/>
        <v>54.7</v>
      </c>
      <c r="C349" s="12">
        <f t="shared" si="17"/>
        <v>2.891667</v>
      </c>
      <c r="D349" s="7"/>
      <c r="E349" s="10">
        <f>(ADC!I349+5/3)/(1/12)</f>
        <v>55.249666632582176</v>
      </c>
      <c r="F349" s="11">
        <f t="shared" si="15"/>
        <v>1.0048750138613775E-2</v>
      </c>
      <c r="G349" s="2"/>
      <c r="H349" s="2"/>
      <c r="I349" s="10">
        <f>ABS(C349-ADC!I349)</f>
        <v>4.5805219381847895E-2</v>
      </c>
    </row>
    <row r="350" spans="1:9" x14ac:dyDescent="0.25">
      <c r="A350" s="3">
        <v>348</v>
      </c>
      <c r="B350" s="3">
        <f t="shared" si="16"/>
        <v>54.800000000000004</v>
      </c>
      <c r="C350" s="12">
        <f t="shared" si="17"/>
        <v>2.9</v>
      </c>
      <c r="D350" s="7"/>
      <c r="E350" s="10">
        <f>(ADC!I350+5/3)/(1/12)</f>
        <v>55.361638992608256</v>
      </c>
      <c r="F350" s="11">
        <f t="shared" si="15"/>
        <v>1.0248886726427953E-2</v>
      </c>
      <c r="G350" s="2"/>
      <c r="H350" s="2"/>
      <c r="I350" s="10">
        <f>ABS(C350-ADC!I350)</f>
        <v>4.6803249384021584E-2</v>
      </c>
    </row>
    <row r="351" spans="1:9" x14ac:dyDescent="0.25">
      <c r="A351" s="3">
        <v>349</v>
      </c>
      <c r="B351" s="3">
        <f t="shared" si="16"/>
        <v>54.9</v>
      </c>
      <c r="C351" s="12">
        <f t="shared" si="17"/>
        <v>2.9083329999999998</v>
      </c>
      <c r="D351" s="7"/>
      <c r="E351" s="10">
        <f>(ADC!I351+5/3)/(1/12)</f>
        <v>55.473802319224241</v>
      </c>
      <c r="F351" s="11">
        <f t="shared" si="15"/>
        <v>1.0451772663465251E-2</v>
      </c>
      <c r="G351" s="2"/>
      <c r="H351" s="2"/>
      <c r="I351" s="10">
        <f>ABS(C351-ADC!I351)</f>
        <v>4.7817193268687053E-2</v>
      </c>
    </row>
    <row r="352" spans="1:9" x14ac:dyDescent="0.25">
      <c r="A352" s="3">
        <v>350</v>
      </c>
      <c r="B352" s="3">
        <f t="shared" si="16"/>
        <v>55</v>
      </c>
      <c r="C352" s="12">
        <f t="shared" si="17"/>
        <v>2.9166669999999999</v>
      </c>
      <c r="D352" s="7"/>
      <c r="E352" s="10">
        <f>(ADC!I352+5/3)/(1/12)</f>
        <v>55.586155206292318</v>
      </c>
      <c r="F352" s="11">
        <f t="shared" si="15"/>
        <v>1.0657367387133056E-2</v>
      </c>
      <c r="G352" s="2"/>
      <c r="H352" s="2"/>
      <c r="I352" s="10">
        <f>ABS(C352-ADC!I352)</f>
        <v>4.8845933857693424E-2</v>
      </c>
    </row>
    <row r="353" spans="1:9" x14ac:dyDescent="0.25">
      <c r="A353" s="3">
        <v>351</v>
      </c>
      <c r="B353" s="3">
        <f t="shared" si="16"/>
        <v>55.1</v>
      </c>
      <c r="C353" s="12">
        <f t="shared" si="17"/>
        <v>2.9249999999999998</v>
      </c>
      <c r="D353" s="7"/>
      <c r="E353" s="10">
        <f>(ADC!I353+5/3)/(1/12)</f>
        <v>55.698696255621527</v>
      </c>
      <c r="F353" s="11">
        <f t="shared" si="15"/>
        <v>1.0865630773530418E-2</v>
      </c>
      <c r="G353" s="2"/>
      <c r="H353" s="2"/>
      <c r="I353" s="10">
        <f>ABS(C353-ADC!I353)</f>
        <v>4.9891354635127172E-2</v>
      </c>
    </row>
    <row r="354" spans="1:9" x14ac:dyDescent="0.25">
      <c r="A354" s="3">
        <v>352</v>
      </c>
      <c r="B354" s="3">
        <f t="shared" si="16"/>
        <v>55.2</v>
      </c>
      <c r="C354" s="12">
        <f t="shared" si="17"/>
        <v>2.9333330000000002</v>
      </c>
      <c r="D354" s="7"/>
      <c r="E354" s="10">
        <f>(ADC!I354+5/3)/(1/12)</f>
        <v>55.804031321689635</v>
      </c>
      <c r="F354" s="11">
        <f t="shared" si="15"/>
        <v>1.0942596407420874E-2</v>
      </c>
      <c r="G354" s="2"/>
      <c r="H354" s="2"/>
      <c r="I354" s="10">
        <f>ABS(C354-ADC!I354)</f>
        <v>5.0336276807469105E-2</v>
      </c>
    </row>
    <row r="355" spans="1:9" x14ac:dyDescent="0.25">
      <c r="A355" s="3">
        <v>353</v>
      </c>
      <c r="B355" s="3">
        <f t="shared" si="16"/>
        <v>55.300000000000004</v>
      </c>
      <c r="C355" s="12">
        <f t="shared" si="17"/>
        <v>2.9416669999999998</v>
      </c>
      <c r="D355" s="7"/>
      <c r="E355" s="10">
        <f>(ADC!I355+5/3)/(1/12)</f>
        <v>55.916957616171509</v>
      </c>
      <c r="F355" s="11">
        <f t="shared" si="15"/>
        <v>1.1156557254457581E-2</v>
      </c>
      <c r="G355" s="2"/>
      <c r="H355" s="2"/>
      <c r="I355" s="10">
        <f>ABS(C355-ADC!I355)</f>
        <v>5.1412801347625603E-2</v>
      </c>
    </row>
    <row r="356" spans="1:9" x14ac:dyDescent="0.25">
      <c r="A356" s="3">
        <v>354</v>
      </c>
      <c r="B356" s="3">
        <f t="shared" si="16"/>
        <v>55.4</v>
      </c>
      <c r="C356" s="12">
        <f t="shared" si="17"/>
        <v>2.95</v>
      </c>
      <c r="D356" s="7"/>
      <c r="E356" s="10">
        <f>(ADC!I356+5/3)/(1/12)</f>
        <v>56.02270139147025</v>
      </c>
      <c r="F356" s="11">
        <f t="shared" si="15"/>
        <v>1.1240097318957601E-2</v>
      </c>
      <c r="G356" s="2"/>
      <c r="H356" s="2"/>
      <c r="I356" s="10">
        <f>ABS(C356-ADC!I356)</f>
        <v>5.1891782622520477E-2</v>
      </c>
    </row>
    <row r="357" spans="1:9" x14ac:dyDescent="0.25">
      <c r="A357" s="3">
        <v>355</v>
      </c>
      <c r="B357" s="3">
        <f t="shared" si="16"/>
        <v>55.5</v>
      </c>
      <c r="C357" s="12">
        <f t="shared" si="17"/>
        <v>2.9583330000000001</v>
      </c>
      <c r="D357" s="7"/>
      <c r="E357" s="10">
        <f>(ADC!I357+5/3)/(1/12)</f>
        <v>56.136007303651532</v>
      </c>
      <c r="F357" s="11">
        <f t="shared" si="15"/>
        <v>1.1459591056784355E-2</v>
      </c>
      <c r="G357" s="2"/>
      <c r="H357" s="2"/>
      <c r="I357" s="10">
        <f>ABS(C357-ADC!I357)</f>
        <v>5.3000941970960724E-2</v>
      </c>
    </row>
    <row r="358" spans="1:9" x14ac:dyDescent="0.25">
      <c r="A358" s="3">
        <v>356</v>
      </c>
      <c r="B358" s="3">
        <f t="shared" si="16"/>
        <v>55.6</v>
      </c>
      <c r="C358" s="12">
        <f t="shared" si="17"/>
        <v>2.9666670000000002</v>
      </c>
      <c r="D358" s="7"/>
      <c r="E358" s="10">
        <f>(ADC!I358+5/3)/(1/12)</f>
        <v>56.242154130409155</v>
      </c>
      <c r="F358" s="11">
        <f t="shared" si="15"/>
        <v>1.154953471958909E-2</v>
      </c>
      <c r="G358" s="2"/>
      <c r="H358" s="2"/>
      <c r="I358" s="10">
        <f>ABS(C358-ADC!I358)</f>
        <v>5.3512510867428809E-2</v>
      </c>
    </row>
    <row r="359" spans="1:9" x14ac:dyDescent="0.25">
      <c r="A359" s="3">
        <v>357</v>
      </c>
      <c r="B359" s="3">
        <f t="shared" si="16"/>
        <v>55.7</v>
      </c>
      <c r="C359" s="12">
        <f t="shared" si="17"/>
        <v>2.9750000000000001</v>
      </c>
      <c r="D359" s="7"/>
      <c r="E359" s="10">
        <f>(ADC!I359+5/3)/(1/12)</f>
        <v>56.355834026620506</v>
      </c>
      <c r="F359" s="11">
        <f t="shared" si="15"/>
        <v>1.1774399041660746E-2</v>
      </c>
      <c r="G359" s="2"/>
      <c r="H359" s="2"/>
      <c r="I359" s="10">
        <f>ABS(C359-ADC!I359)</f>
        <v>5.4652835551708634E-2</v>
      </c>
    </row>
    <row r="360" spans="1:9" x14ac:dyDescent="0.25">
      <c r="A360" s="3">
        <v>358</v>
      </c>
      <c r="B360" s="3">
        <f t="shared" si="16"/>
        <v>55.800000000000004</v>
      </c>
      <c r="C360" s="12">
        <f t="shared" si="17"/>
        <v>2.983333</v>
      </c>
      <c r="D360" s="7"/>
      <c r="E360" s="10">
        <f>(ADC!I360+5/3)/(1/12)</f>
        <v>56.462378251573824</v>
      </c>
      <c r="F360" s="11">
        <f t="shared" si="15"/>
        <v>1.1870577985193904E-2</v>
      </c>
      <c r="G360" s="2"/>
      <c r="H360" s="2"/>
      <c r="I360" s="10">
        <f>ABS(C360-ADC!I360)</f>
        <v>5.5198520964485187E-2</v>
      </c>
    </row>
    <row r="361" spans="1:9" x14ac:dyDescent="0.25">
      <c r="A361" s="3">
        <v>359</v>
      </c>
      <c r="B361" s="3">
        <f t="shared" si="16"/>
        <v>55.9</v>
      </c>
      <c r="C361" s="12">
        <f t="shared" si="17"/>
        <v>2.9916670000000001</v>
      </c>
      <c r="D361" s="7"/>
      <c r="E361" s="10">
        <f>(ADC!I361+5/3)/(1/12)</f>
        <v>56.561824740759292</v>
      </c>
      <c r="F361" s="11">
        <f t="shared" si="15"/>
        <v>1.183944080070292E-2</v>
      </c>
      <c r="G361" s="2"/>
      <c r="H361" s="2"/>
      <c r="I361" s="10">
        <f>ABS(C361-ADC!I361)</f>
        <v>5.515172839660698E-2</v>
      </c>
    </row>
    <row r="362" spans="1:9" x14ac:dyDescent="0.25">
      <c r="A362" s="3">
        <v>360</v>
      </c>
      <c r="B362" s="3">
        <f t="shared" si="16"/>
        <v>56</v>
      </c>
      <c r="C362" s="12">
        <f t="shared" si="17"/>
        <v>3</v>
      </c>
      <c r="D362" s="7"/>
      <c r="E362" s="10">
        <f>(ADC!I362+5/3)/(1/12)</f>
        <v>56.668786911632623</v>
      </c>
      <c r="F362" s="11">
        <f t="shared" si="15"/>
        <v>1.1942623422011118E-2</v>
      </c>
      <c r="G362" s="2"/>
      <c r="H362" s="2"/>
      <c r="I362" s="10">
        <f>ABS(C362-ADC!I362)</f>
        <v>5.5732242636051588E-2</v>
      </c>
    </row>
    <row r="363" spans="1:9" x14ac:dyDescent="0.25">
      <c r="A363" s="3">
        <v>361</v>
      </c>
      <c r="B363" s="3">
        <f t="shared" si="16"/>
        <v>56.1</v>
      </c>
      <c r="C363" s="12">
        <f t="shared" si="17"/>
        <v>3.0083329999999999</v>
      </c>
      <c r="D363" s="7"/>
      <c r="E363" s="10">
        <f>(ADC!I363+5/3)/(1/12)</f>
        <v>56.783224037268241</v>
      </c>
      <c r="F363" s="11">
        <f t="shared" si="15"/>
        <v>1.2178681591234211E-2</v>
      </c>
      <c r="G363" s="2"/>
      <c r="H363" s="2"/>
      <c r="I363" s="10">
        <f>ABS(C363-ADC!I363)</f>
        <v>5.6935669772353314E-2</v>
      </c>
    </row>
    <row r="364" spans="1:9" x14ac:dyDescent="0.25">
      <c r="A364" s="3">
        <v>362</v>
      </c>
      <c r="B364" s="3">
        <f t="shared" si="16"/>
        <v>56.2</v>
      </c>
      <c r="C364" s="12">
        <f t="shared" si="17"/>
        <v>3.016667</v>
      </c>
      <c r="D364" s="7"/>
      <c r="E364" s="10">
        <f>(ADC!I364+5/3)/(1/12)</f>
        <v>56.890572267962504</v>
      </c>
      <c r="F364" s="11">
        <f t="shared" si="15"/>
        <v>1.2287762775133477E-2</v>
      </c>
      <c r="G364" s="2"/>
      <c r="H364" s="2"/>
      <c r="I364" s="10">
        <f>ABS(C364-ADC!I364)</f>
        <v>5.7547355663541744E-2</v>
      </c>
    </row>
    <row r="365" spans="1:9" x14ac:dyDescent="0.25">
      <c r="A365" s="3">
        <v>363</v>
      </c>
      <c r="B365" s="3">
        <f t="shared" si="16"/>
        <v>56.300000000000004</v>
      </c>
      <c r="C365" s="12">
        <f t="shared" si="17"/>
        <v>3.0249999999999999</v>
      </c>
      <c r="D365" s="7"/>
      <c r="E365" s="10">
        <f>(ADC!I365+5/3)/(1/12)</f>
        <v>57.005366468329228</v>
      </c>
      <c r="F365" s="11">
        <f t="shared" si="15"/>
        <v>1.252871169323666E-2</v>
      </c>
      <c r="G365" s="2"/>
      <c r="H365" s="2"/>
      <c r="I365" s="10">
        <f>ABS(C365-ADC!I365)</f>
        <v>5.878053902743563E-2</v>
      </c>
    </row>
    <row r="366" spans="1:9" x14ac:dyDescent="0.25">
      <c r="A366" s="3">
        <v>364</v>
      </c>
      <c r="B366" s="3">
        <f t="shared" si="16"/>
        <v>56.4</v>
      </c>
      <c r="C366" s="12">
        <f t="shared" si="17"/>
        <v>3.0333329999999998</v>
      </c>
      <c r="D366" s="7"/>
      <c r="E366" s="10">
        <f>(ADC!I366+5/3)/(1/12)</f>
        <v>57.113095104098882</v>
      </c>
      <c r="F366" s="11">
        <f t="shared" si="15"/>
        <v>1.2643530214519208E-2</v>
      </c>
      <c r="G366" s="2"/>
      <c r="H366" s="2"/>
      <c r="I366" s="10">
        <f>ABS(C366-ADC!I366)</f>
        <v>5.9424925341573065E-2</v>
      </c>
    </row>
    <row r="367" spans="1:9" x14ac:dyDescent="0.25">
      <c r="A367" s="3">
        <v>365</v>
      </c>
      <c r="B367" s="3">
        <f t="shared" si="16"/>
        <v>56.5</v>
      </c>
      <c r="C367" s="12">
        <f t="shared" si="17"/>
        <v>3.0416669999999999</v>
      </c>
      <c r="D367" s="7"/>
      <c r="E367" s="10">
        <f>(ADC!I367+5/3)/(1/12)</f>
        <v>57.221018356590335</v>
      </c>
      <c r="F367" s="11">
        <f t="shared" si="15"/>
        <v>1.2761386842306814E-2</v>
      </c>
      <c r="G367" s="2"/>
      <c r="H367" s="2"/>
      <c r="I367" s="10">
        <f>ABS(C367-ADC!I367)</f>
        <v>6.0084529715860757E-2</v>
      </c>
    </row>
    <row r="368" spans="1:9" x14ac:dyDescent="0.25">
      <c r="A368" s="3">
        <v>366</v>
      </c>
      <c r="B368" s="3">
        <f t="shared" si="16"/>
        <v>56.6</v>
      </c>
      <c r="C368" s="12">
        <f t="shared" si="17"/>
        <v>3.05</v>
      </c>
      <c r="D368" s="7"/>
      <c r="E368" s="10">
        <f>(ADC!I368+5/3)/(1/12)</f>
        <v>57.329134804692771</v>
      </c>
      <c r="F368" s="11">
        <f t="shared" si="15"/>
        <v>1.2882240365596634E-2</v>
      </c>
      <c r="G368" s="2"/>
      <c r="H368" s="2"/>
      <c r="I368" s="10">
        <f>ABS(C368-ADC!I368)</f>
        <v>6.0761233724397901E-2</v>
      </c>
    </row>
    <row r="369" spans="1:9" x14ac:dyDescent="0.25">
      <c r="A369" s="3">
        <v>367</v>
      </c>
      <c r="B369" s="3">
        <f t="shared" si="16"/>
        <v>56.7</v>
      </c>
      <c r="C369" s="12">
        <f t="shared" si="17"/>
        <v>3.0583330000000002</v>
      </c>
      <c r="D369" s="7"/>
      <c r="E369" s="10">
        <f>(ADC!I369+5/3)/(1/12)</f>
        <v>57.437443032530048</v>
      </c>
      <c r="F369" s="11">
        <f t="shared" si="15"/>
        <v>1.3006049956438186E-2</v>
      </c>
      <c r="G369" s="2"/>
      <c r="H369" s="2"/>
      <c r="I369" s="10">
        <f>ABS(C369-ADC!I369)</f>
        <v>6.1453919377503663E-2</v>
      </c>
    </row>
    <row r="370" spans="1:9" x14ac:dyDescent="0.25">
      <c r="A370" s="3">
        <v>368</v>
      </c>
      <c r="B370" s="3">
        <f t="shared" si="16"/>
        <v>56.800000000000004</v>
      </c>
      <c r="C370" s="12">
        <f t="shared" si="17"/>
        <v>3.0666669999999998</v>
      </c>
      <c r="D370" s="7"/>
      <c r="E370" s="10">
        <f>(ADC!I370+5/3)/(1/12)</f>
        <v>57.545941619573576</v>
      </c>
      <c r="F370" s="11">
        <f t="shared" si="15"/>
        <v>1.3132774992492451E-2</v>
      </c>
      <c r="G370" s="2"/>
      <c r="H370" s="2"/>
      <c r="I370" s="10">
        <f>ABS(C370-ADC!I370)</f>
        <v>6.2161468297798006E-2</v>
      </c>
    </row>
    <row r="371" spans="1:9" x14ac:dyDescent="0.25">
      <c r="A371" s="3">
        <v>369</v>
      </c>
      <c r="B371" s="3">
        <f t="shared" si="16"/>
        <v>56.9</v>
      </c>
      <c r="C371" s="12">
        <f t="shared" si="17"/>
        <v>3.0750000000000002</v>
      </c>
      <c r="D371" s="7"/>
      <c r="E371" s="10">
        <f>(ADC!I371+5/3)/(1/12)</f>
        <v>57.654629147266597</v>
      </c>
      <c r="F371" s="11">
        <f t="shared" si="15"/>
        <v>1.3262375171644964E-2</v>
      </c>
      <c r="G371" s="2"/>
      <c r="H371" s="2"/>
      <c r="I371" s="10">
        <f>ABS(C371-ADC!I371)</f>
        <v>6.2885762272215651E-2</v>
      </c>
    </row>
    <row r="372" spans="1:9" x14ac:dyDescent="0.25">
      <c r="A372" s="3">
        <v>370</v>
      </c>
      <c r="B372" s="3">
        <f t="shared" si="16"/>
        <v>57</v>
      </c>
      <c r="C372" s="12">
        <f t="shared" si="17"/>
        <v>3.0833330000000001</v>
      </c>
      <c r="D372" s="7"/>
      <c r="E372" s="10">
        <f>(ADC!I372+5/3)/(1/12)</f>
        <v>57.763504199520682</v>
      </c>
      <c r="F372" s="11">
        <f t="shared" si="15"/>
        <v>1.33948105179067E-2</v>
      </c>
      <c r="G372" s="2"/>
      <c r="H372" s="2"/>
      <c r="I372" s="10">
        <f>ABS(C372-ADC!I372)</f>
        <v>6.3625683293389912E-2</v>
      </c>
    </row>
    <row r="373" spans="1:9" x14ac:dyDescent="0.25">
      <c r="A373" s="3">
        <v>371</v>
      </c>
      <c r="B373" s="3">
        <f t="shared" si="16"/>
        <v>57.1</v>
      </c>
      <c r="C373" s="12">
        <f t="shared" si="17"/>
        <v>3.0916670000000002</v>
      </c>
      <c r="D373" s="7"/>
      <c r="E373" s="10">
        <f>(ADC!I373+5/3)/(1/12)</f>
        <v>57.872565357888433</v>
      </c>
      <c r="F373" s="11">
        <f t="shared" si="15"/>
        <v>1.3530041294018072E-2</v>
      </c>
      <c r="G373" s="2"/>
      <c r="H373" s="2"/>
      <c r="I373" s="10">
        <f>ABS(C373-ADC!I373)</f>
        <v>6.4380113157369134E-2</v>
      </c>
    </row>
    <row r="374" spans="1:9" x14ac:dyDescent="0.25">
      <c r="A374" s="3">
        <v>372</v>
      </c>
      <c r="B374" s="3">
        <f t="shared" si="16"/>
        <v>57.2</v>
      </c>
      <c r="C374" s="12">
        <f t="shared" si="17"/>
        <v>3.1</v>
      </c>
      <c r="D374" s="7"/>
      <c r="E374" s="10">
        <f>(ADC!I374+5/3)/(1/12)</f>
        <v>57.98181120258716</v>
      </c>
      <c r="F374" s="11">
        <f t="shared" si="15"/>
        <v>1.3668028017257991E-2</v>
      </c>
      <c r="G374" s="2"/>
      <c r="H374" s="2"/>
      <c r="I374" s="10">
        <f>ABS(C374-ADC!I374)</f>
        <v>6.5150933548929757E-2</v>
      </c>
    </row>
    <row r="375" spans="1:9" x14ac:dyDescent="0.25">
      <c r="A375" s="3">
        <v>373</v>
      </c>
      <c r="B375" s="3">
        <f t="shared" si="16"/>
        <v>57.300000000000004</v>
      </c>
      <c r="C375" s="12">
        <f t="shared" si="17"/>
        <v>3.108333</v>
      </c>
      <c r="D375" s="7"/>
      <c r="E375" s="10">
        <f>(ADC!I375+5/3)/(1/12)</f>
        <v>58.091240321247376</v>
      </c>
      <c r="F375" s="11">
        <f t="shared" si="15"/>
        <v>1.380873160990178E-2</v>
      </c>
      <c r="G375" s="2"/>
      <c r="H375" s="2"/>
      <c r="I375" s="10">
        <f>ABS(C375-ADC!I375)</f>
        <v>6.5937026770614082E-2</v>
      </c>
    </row>
    <row r="376" spans="1:9" x14ac:dyDescent="0.25">
      <c r="A376" s="3">
        <v>374</v>
      </c>
      <c r="B376" s="3">
        <f t="shared" si="16"/>
        <v>57.4</v>
      </c>
      <c r="C376" s="12">
        <f t="shared" si="17"/>
        <v>3.1166670000000001</v>
      </c>
      <c r="D376" s="7"/>
      <c r="E376" s="10">
        <f>(ADC!I376+5/3)/(1/12)</f>
        <v>58.193746167104734</v>
      </c>
      <c r="F376" s="11">
        <f t="shared" si="15"/>
        <v>1.3828330437364736E-2</v>
      </c>
      <c r="G376" s="2"/>
      <c r="H376" s="2"/>
      <c r="I376" s="10">
        <f>ABS(C376-ADC!I376)</f>
        <v>6.6145180592060537E-2</v>
      </c>
    </row>
    <row r="377" spans="1:9" x14ac:dyDescent="0.25">
      <c r="A377" s="3">
        <v>375</v>
      </c>
      <c r="B377" s="3">
        <f t="shared" si="16"/>
        <v>57.5</v>
      </c>
      <c r="C377" s="12">
        <f t="shared" si="17"/>
        <v>3.125</v>
      </c>
      <c r="D377" s="7"/>
      <c r="E377" s="10">
        <f>(ADC!I377+5/3)/(1/12)</f>
        <v>58.296458452884941</v>
      </c>
      <c r="F377" s="11">
        <f t="shared" si="15"/>
        <v>1.3851451354520721E-2</v>
      </c>
      <c r="G377" s="2"/>
      <c r="H377" s="2"/>
      <c r="I377" s="10">
        <f>ABS(C377-ADC!I377)</f>
        <v>6.6371537740411934E-2</v>
      </c>
    </row>
    <row r="378" spans="1:9" x14ac:dyDescent="0.25">
      <c r="A378" s="3">
        <v>376</v>
      </c>
      <c r="B378" s="3">
        <f t="shared" si="16"/>
        <v>57.6</v>
      </c>
      <c r="C378" s="12">
        <f t="shared" si="17"/>
        <v>3.1333329999999999</v>
      </c>
      <c r="D378" s="7"/>
      <c r="E378" s="10">
        <f>(ADC!I378+5/3)/(1/12)</f>
        <v>58.413533992620565</v>
      </c>
      <c r="F378" s="11">
        <f t="shared" si="15"/>
        <v>1.4123854038551443E-2</v>
      </c>
      <c r="G378" s="2"/>
      <c r="H378" s="2"/>
      <c r="I378" s="10">
        <f>ABS(C378-ADC!I378)</f>
        <v>6.779483271838016E-2</v>
      </c>
    </row>
    <row r="379" spans="1:9" x14ac:dyDescent="0.25">
      <c r="A379" s="3">
        <v>377</v>
      </c>
      <c r="B379" s="3">
        <f t="shared" si="16"/>
        <v>57.7</v>
      </c>
      <c r="C379" s="12">
        <f t="shared" si="17"/>
        <v>3.141667</v>
      </c>
      <c r="D379" s="7"/>
      <c r="E379" s="10">
        <f>(ADC!I379+5/3)/(1/12)</f>
        <v>58.523695021336138</v>
      </c>
      <c r="F379" s="11">
        <f t="shared" si="15"/>
        <v>1.4275476972896627E-2</v>
      </c>
      <c r="G379" s="2"/>
      <c r="H379" s="2"/>
      <c r="I379" s="10">
        <f>ABS(C379-ADC!I379)</f>
        <v>6.8640918444677901E-2</v>
      </c>
    </row>
    <row r="380" spans="1:9" x14ac:dyDescent="0.25">
      <c r="A380" s="3">
        <v>378</v>
      </c>
      <c r="B380" s="3">
        <f t="shared" si="16"/>
        <v>57.800000000000004</v>
      </c>
      <c r="C380" s="12">
        <f t="shared" si="17"/>
        <v>3.15</v>
      </c>
      <c r="D380" s="7"/>
      <c r="E380" s="10">
        <f>(ADC!I380+5/3)/(1/12)</f>
        <v>58.626979032994626</v>
      </c>
      <c r="F380" s="11">
        <f t="shared" si="15"/>
        <v>1.430759572655055E-2</v>
      </c>
      <c r="G380" s="2"/>
      <c r="H380" s="2"/>
      <c r="I380" s="10">
        <f>ABS(C380-ADC!I380)</f>
        <v>6.8914919416218634E-2</v>
      </c>
    </row>
    <row r="381" spans="1:9" x14ac:dyDescent="0.25">
      <c r="A381" s="3">
        <v>379</v>
      </c>
      <c r="B381" s="3">
        <f t="shared" si="16"/>
        <v>57.9</v>
      </c>
      <c r="C381" s="12">
        <f t="shared" si="17"/>
        <v>3.1583329999999998</v>
      </c>
      <c r="D381" s="7"/>
      <c r="E381" s="10">
        <f>(ADC!I381+5/3)/(1/12)</f>
        <v>58.73750398676394</v>
      </c>
      <c r="F381" s="11">
        <f t="shared" si="15"/>
        <v>1.4464662983833188E-2</v>
      </c>
      <c r="G381" s="2"/>
      <c r="H381" s="2"/>
      <c r="I381" s="10">
        <f>ABS(C381-ADC!I381)</f>
        <v>6.9792332230328213E-2</v>
      </c>
    </row>
    <row r="382" spans="1:9" x14ac:dyDescent="0.25">
      <c r="A382" s="3">
        <v>380</v>
      </c>
      <c r="B382" s="3">
        <f t="shared" si="16"/>
        <v>58</v>
      </c>
      <c r="C382" s="12">
        <f t="shared" si="17"/>
        <v>3.1666669999999999</v>
      </c>
      <c r="D382" s="7"/>
      <c r="E382" s="10">
        <f>(ADC!I382+5/3)/(1/12)</f>
        <v>58.848202300038757</v>
      </c>
      <c r="F382" s="11">
        <f t="shared" si="15"/>
        <v>1.4624177586875122E-2</v>
      </c>
      <c r="G382" s="2"/>
      <c r="H382" s="2"/>
      <c r="I382" s="10">
        <f>ABS(C382-ADC!I382)</f>
        <v>7.0683191669896672E-2</v>
      </c>
    </row>
    <row r="383" spans="1:9" x14ac:dyDescent="0.25">
      <c r="A383" s="3">
        <v>381</v>
      </c>
      <c r="B383" s="3">
        <f t="shared" si="16"/>
        <v>58.1</v>
      </c>
      <c r="C383" s="12">
        <f t="shared" si="17"/>
        <v>3.1749999999999998</v>
      </c>
      <c r="D383" s="7"/>
      <c r="E383" s="10">
        <f>(ADC!I383+5/3)/(1/12)</f>
        <v>58.952058211078956</v>
      </c>
      <c r="F383" s="11">
        <f t="shared" si="15"/>
        <v>1.4665373684663592E-2</v>
      </c>
      <c r="G383" s="2"/>
      <c r="H383" s="2"/>
      <c r="I383" s="10">
        <f>ABS(C383-ADC!I383)</f>
        <v>7.1004850923245932E-2</v>
      </c>
    </row>
    <row r="384" spans="1:9" x14ac:dyDescent="0.25">
      <c r="A384" s="3">
        <v>382</v>
      </c>
      <c r="B384" s="3">
        <f t="shared" si="16"/>
        <v>58.2</v>
      </c>
      <c r="C384" s="12">
        <f t="shared" si="17"/>
        <v>3.1833330000000002</v>
      </c>
      <c r="D384" s="7"/>
      <c r="E384" s="10">
        <f>(ADC!I384+5/3)/(1/12)</f>
        <v>59.063111940453616</v>
      </c>
      <c r="F384" s="11">
        <f t="shared" si="15"/>
        <v>1.4830102069649718E-2</v>
      </c>
      <c r="G384" s="2"/>
      <c r="H384" s="2"/>
      <c r="I384" s="10">
        <f>ABS(C384-ADC!I384)</f>
        <v>7.1926328371134218E-2</v>
      </c>
    </row>
    <row r="385" spans="1:9" x14ac:dyDescent="0.25">
      <c r="A385" s="3">
        <v>383</v>
      </c>
      <c r="B385" s="3">
        <f t="shared" si="16"/>
        <v>58.300000000000004</v>
      </c>
      <c r="C385" s="12">
        <f t="shared" si="17"/>
        <v>3.1916669999999998</v>
      </c>
      <c r="D385" s="7"/>
      <c r="E385" s="10">
        <f>(ADC!I385+5/3)/(1/12)</f>
        <v>59.167346306793199</v>
      </c>
      <c r="F385" s="11">
        <f t="shared" si="15"/>
        <v>1.4877295142250339E-2</v>
      </c>
      <c r="G385" s="2"/>
      <c r="H385" s="2"/>
      <c r="I385" s="10">
        <f>ABS(C385-ADC!I385)</f>
        <v>7.227852556610026E-2</v>
      </c>
    </row>
    <row r="386" spans="1:9" x14ac:dyDescent="0.25">
      <c r="A386" s="3">
        <v>384</v>
      </c>
      <c r="B386" s="3">
        <f t="shared" si="16"/>
        <v>58.400000000000006</v>
      </c>
      <c r="C386" s="12">
        <f t="shared" si="17"/>
        <v>3.2</v>
      </c>
      <c r="D386" s="7"/>
      <c r="E386" s="10">
        <f>(ADC!I386+5/3)/(1/12)</f>
        <v>59.278749782650372</v>
      </c>
      <c r="F386" s="11">
        <f t="shared" ref="F386:F449" si="18">ABS(B386-E386)/B386</f>
        <v>1.5047085319355594E-2</v>
      </c>
      <c r="G386" s="2"/>
      <c r="H386" s="2"/>
      <c r="I386" s="10">
        <f>ABS(C386-ADC!I386)</f>
        <v>7.3229148554197376E-2</v>
      </c>
    </row>
    <row r="387" spans="1:9" x14ac:dyDescent="0.25">
      <c r="A387" s="3">
        <v>385</v>
      </c>
      <c r="B387" s="3">
        <f t="shared" ref="B387:B450" si="19">0.1*A387+20</f>
        <v>58.5</v>
      </c>
      <c r="C387" s="12">
        <f t="shared" ref="C387:C450" si="20">ROUND(1/12*B387-5/3,6)</f>
        <v>3.2083330000000001</v>
      </c>
      <c r="D387" s="7"/>
      <c r="E387" s="10">
        <f>(ADC!I387+5/3)/(1/12)</f>
        <v>59.383356902658811</v>
      </c>
      <c r="F387" s="11">
        <f t="shared" si="18"/>
        <v>1.5100117994167706E-2</v>
      </c>
      <c r="G387" s="2"/>
      <c r="H387" s="2"/>
      <c r="I387" s="10">
        <f>ABS(C387-ADC!I387)</f>
        <v>7.3613408554900506E-2</v>
      </c>
    </row>
    <row r="388" spans="1:9" x14ac:dyDescent="0.25">
      <c r="A388" s="3">
        <v>386</v>
      </c>
      <c r="B388" s="3">
        <f t="shared" si="19"/>
        <v>58.6</v>
      </c>
      <c r="C388" s="12">
        <f t="shared" si="20"/>
        <v>3.2166670000000002</v>
      </c>
      <c r="D388" s="7"/>
      <c r="E388" s="10">
        <f>(ADC!I388+5/3)/(1/12)</f>
        <v>59.488154721258432</v>
      </c>
      <c r="F388" s="11">
        <f t="shared" si="18"/>
        <v>1.5156223912259912E-2</v>
      </c>
      <c r="G388" s="2"/>
      <c r="H388" s="2"/>
      <c r="I388" s="10">
        <f>ABS(C388-ADC!I388)</f>
        <v>7.4012560104868896E-2</v>
      </c>
    </row>
    <row r="389" spans="1:9" x14ac:dyDescent="0.25">
      <c r="A389" s="3">
        <v>387</v>
      </c>
      <c r="B389" s="3">
        <f t="shared" si="19"/>
        <v>58.7</v>
      </c>
      <c r="C389" s="12">
        <f t="shared" si="20"/>
        <v>3.2250000000000001</v>
      </c>
      <c r="D389" s="7"/>
      <c r="E389" s="10">
        <f>(ADC!I389+5/3)/(1/12)</f>
        <v>59.607015497161719</v>
      </c>
      <c r="F389" s="11">
        <f t="shared" si="18"/>
        <v>1.5451712047047967E-2</v>
      </c>
      <c r="G389" s="2"/>
      <c r="H389" s="2"/>
      <c r="I389" s="10">
        <f>ABS(C389-ADC!I389)</f>
        <v>7.558462476347616E-2</v>
      </c>
    </row>
    <row r="390" spans="1:9" x14ac:dyDescent="0.25">
      <c r="A390" s="3">
        <v>388</v>
      </c>
      <c r="B390" s="3">
        <f t="shared" si="19"/>
        <v>58.800000000000004</v>
      </c>
      <c r="C390" s="12">
        <f t="shared" si="20"/>
        <v>3.233333</v>
      </c>
      <c r="D390" s="7"/>
      <c r="E390" s="10">
        <f>(ADC!I390+5/3)/(1/12)</f>
        <v>59.712164623409251</v>
      </c>
      <c r="F390" s="11">
        <f t="shared" si="18"/>
        <v>1.5513003799476982E-2</v>
      </c>
      <c r="G390" s="2"/>
      <c r="H390" s="2"/>
      <c r="I390" s="10">
        <f>ABS(C390-ADC!I390)</f>
        <v>7.6014051950771044E-2</v>
      </c>
    </row>
    <row r="391" spans="1:9" x14ac:dyDescent="0.25">
      <c r="A391" s="3">
        <v>389</v>
      </c>
      <c r="B391" s="3">
        <f t="shared" si="19"/>
        <v>58.900000000000006</v>
      </c>
      <c r="C391" s="12">
        <f t="shared" si="20"/>
        <v>3.2416670000000001</v>
      </c>
      <c r="D391" s="7"/>
      <c r="E391" s="10">
        <f>(ADC!I391+5/3)/(1/12)</f>
        <v>59.810589089036682</v>
      </c>
      <c r="F391" s="11">
        <f t="shared" si="18"/>
        <v>1.5459916622014881E-2</v>
      </c>
      <c r="G391" s="2"/>
      <c r="H391" s="2"/>
      <c r="I391" s="10">
        <f>ABS(C391-ADC!I391)</f>
        <v>7.588209075305663E-2</v>
      </c>
    </row>
    <row r="392" spans="1:9" x14ac:dyDescent="0.25">
      <c r="A392" s="3">
        <v>390</v>
      </c>
      <c r="B392" s="3">
        <f t="shared" si="19"/>
        <v>59</v>
      </c>
      <c r="C392" s="12">
        <f t="shared" si="20"/>
        <v>3.25</v>
      </c>
      <c r="D392" s="7"/>
      <c r="E392" s="10">
        <f>(ADC!I392+5/3)/(1/12)</f>
        <v>59.91612250019508</v>
      </c>
      <c r="F392" s="11">
        <f t="shared" si="18"/>
        <v>1.5527500003306435E-2</v>
      </c>
      <c r="G392" s="2"/>
      <c r="H392" s="2"/>
      <c r="I392" s="10">
        <f>ABS(C392-ADC!I392)</f>
        <v>7.6343541682923455E-2</v>
      </c>
    </row>
    <row r="393" spans="1:9" x14ac:dyDescent="0.25">
      <c r="A393" s="3">
        <v>391</v>
      </c>
      <c r="B393" s="3">
        <f t="shared" si="19"/>
        <v>59.1</v>
      </c>
      <c r="C393" s="12">
        <f t="shared" si="20"/>
        <v>3.2583329999999999</v>
      </c>
      <c r="D393" s="7"/>
      <c r="E393" s="10">
        <f>(ADC!I393+5/3)/(1/12)</f>
        <v>60.028724804137404</v>
      </c>
      <c r="F393" s="11">
        <f t="shared" si="18"/>
        <v>1.5714463690988202E-2</v>
      </c>
      <c r="G393" s="2"/>
      <c r="H393" s="2"/>
      <c r="I393" s="10">
        <f>ABS(C393-ADC!I393)</f>
        <v>7.7394067011450574E-2</v>
      </c>
    </row>
    <row r="394" spans="1:9" x14ac:dyDescent="0.25">
      <c r="A394" s="3">
        <v>392</v>
      </c>
      <c r="B394" s="3">
        <f t="shared" si="19"/>
        <v>59.2</v>
      </c>
      <c r="C394" s="12">
        <f t="shared" si="20"/>
        <v>3.266667</v>
      </c>
      <c r="D394" s="7"/>
      <c r="E394" s="10">
        <f>(ADC!I394+5/3)/(1/12)</f>
        <v>60.134611036911529</v>
      </c>
      <c r="F394" s="11">
        <f t="shared" si="18"/>
        <v>1.5787348596478488E-2</v>
      </c>
      <c r="G394" s="2"/>
      <c r="H394" s="2"/>
      <c r="I394" s="10">
        <f>ABS(C394-ADC!I394)</f>
        <v>7.7883919742626873E-2</v>
      </c>
    </row>
    <row r="395" spans="1:9" x14ac:dyDescent="0.25">
      <c r="A395" s="3">
        <v>393</v>
      </c>
      <c r="B395" s="3">
        <f t="shared" si="19"/>
        <v>59.300000000000004</v>
      </c>
      <c r="C395" s="12">
        <f t="shared" si="20"/>
        <v>3.2749999999999999</v>
      </c>
      <c r="D395" s="7"/>
      <c r="E395" s="10">
        <f>(ADC!I395+5/3)/(1/12)</f>
        <v>60.240677979036086</v>
      </c>
      <c r="F395" s="11">
        <f t="shared" si="18"/>
        <v>1.5863035059630378E-2</v>
      </c>
      <c r="G395" s="2"/>
      <c r="H395" s="2"/>
      <c r="I395" s="10">
        <f>ABS(C395-ADC!I395)</f>
        <v>7.8389831586340719E-2</v>
      </c>
    </row>
    <row r="396" spans="1:9" x14ac:dyDescent="0.25">
      <c r="A396" s="3">
        <v>394</v>
      </c>
      <c r="B396" s="3">
        <f t="shared" si="19"/>
        <v>59.400000000000006</v>
      </c>
      <c r="C396" s="12">
        <f t="shared" si="20"/>
        <v>3.2833329999999998</v>
      </c>
      <c r="D396" s="7"/>
      <c r="E396" s="10">
        <f>(ADC!I396+5/3)/(1/12)</f>
        <v>60.34692420222563</v>
      </c>
      <c r="F396" s="11">
        <f t="shared" si="18"/>
        <v>1.5941484885953264E-2</v>
      </c>
      <c r="G396" s="2"/>
      <c r="H396" s="2"/>
      <c r="I396" s="10">
        <f>ABS(C396-ADC!I396)</f>
        <v>7.8910683518802482E-2</v>
      </c>
    </row>
    <row r="397" spans="1:9" x14ac:dyDescent="0.25">
      <c r="A397" s="3">
        <v>395</v>
      </c>
      <c r="B397" s="3">
        <f t="shared" si="19"/>
        <v>59.5</v>
      </c>
      <c r="C397" s="12">
        <f t="shared" si="20"/>
        <v>3.2916669999999999</v>
      </c>
      <c r="D397" s="7"/>
      <c r="E397" s="10">
        <f>(ADC!I397+5/3)/(1/12)</f>
        <v>60.45334828217382</v>
      </c>
      <c r="F397" s="11">
        <f t="shared" si="18"/>
        <v>1.6022660204602024E-2</v>
      </c>
      <c r="G397" s="2"/>
      <c r="H397" s="2"/>
      <c r="I397" s="10">
        <f>ABS(C397-ADC!I397)</f>
        <v>7.9445356847818172E-2</v>
      </c>
    </row>
    <row r="398" spans="1:9" x14ac:dyDescent="0.25">
      <c r="A398" s="3">
        <v>396</v>
      </c>
      <c r="B398" s="3">
        <f t="shared" si="19"/>
        <v>59.6</v>
      </c>
      <c r="C398" s="12">
        <f t="shared" si="20"/>
        <v>3.3</v>
      </c>
      <c r="D398" s="7"/>
      <c r="E398" s="10">
        <f>(ADC!I398+5/3)/(1/12)</f>
        <v>60.559948797374012</v>
      </c>
      <c r="F398" s="11">
        <f t="shared" si="18"/>
        <v>1.610652344587267E-2</v>
      </c>
      <c r="G398" s="2"/>
      <c r="H398" s="2"/>
      <c r="I398" s="10">
        <f>ABS(C398-ADC!I398)</f>
        <v>7.9995733114501366E-2</v>
      </c>
    </row>
    <row r="399" spans="1:9" x14ac:dyDescent="0.25">
      <c r="A399" s="3">
        <v>397</v>
      </c>
      <c r="B399" s="3">
        <f t="shared" si="19"/>
        <v>59.7</v>
      </c>
      <c r="C399" s="12">
        <f t="shared" si="20"/>
        <v>3.3083330000000002</v>
      </c>
      <c r="D399" s="7"/>
      <c r="E399" s="10">
        <f>(ADC!I399+5/3)/(1/12)</f>
        <v>60.666724326160221</v>
      </c>
      <c r="F399" s="11">
        <f t="shared" si="18"/>
        <v>1.6193037289115881E-2</v>
      </c>
      <c r="G399" s="2"/>
      <c r="H399" s="2"/>
      <c r="I399" s="10">
        <f>ABS(C399-ADC!I399)</f>
        <v>8.0560693846684739E-2</v>
      </c>
    </row>
    <row r="400" spans="1:9" x14ac:dyDescent="0.25">
      <c r="A400" s="3">
        <v>398</v>
      </c>
      <c r="B400" s="3">
        <f t="shared" si="19"/>
        <v>59.800000000000004</v>
      </c>
      <c r="C400" s="12">
        <f t="shared" si="20"/>
        <v>3.3166669999999998</v>
      </c>
      <c r="D400" s="7"/>
      <c r="E400" s="10">
        <f>(ADC!I400+5/3)/(1/12)</f>
        <v>60.780469022971872</v>
      </c>
      <c r="F400" s="11">
        <f t="shared" si="18"/>
        <v>1.6395803059730221E-2</v>
      </c>
      <c r="G400" s="2"/>
      <c r="H400" s="2"/>
      <c r="I400" s="10">
        <f>ABS(C400-ADC!I400)</f>
        <v>8.1705418580988898E-2</v>
      </c>
    </row>
    <row r="401" spans="1:9" x14ac:dyDescent="0.25">
      <c r="A401" s="3">
        <v>399</v>
      </c>
      <c r="B401" s="3">
        <f t="shared" si="19"/>
        <v>59.900000000000006</v>
      </c>
      <c r="C401" s="12">
        <f t="shared" si="20"/>
        <v>3.3250000000000002</v>
      </c>
      <c r="D401" s="7"/>
      <c r="E401" s="10">
        <f>(ADC!I401+5/3)/(1/12)</f>
        <v>60.88757752669774</v>
      </c>
      <c r="F401" s="11">
        <f t="shared" si="18"/>
        <v>1.6487103951548149E-2</v>
      </c>
      <c r="G401" s="2"/>
      <c r="H401" s="2"/>
      <c r="I401" s="10">
        <f>ABS(C401-ADC!I401)</f>
        <v>8.2298127224811335E-2</v>
      </c>
    </row>
    <row r="402" spans="1:9" x14ac:dyDescent="0.25">
      <c r="A402" s="3">
        <v>400</v>
      </c>
      <c r="B402" s="3">
        <f t="shared" si="19"/>
        <v>60</v>
      </c>
      <c r="C402" s="12">
        <f t="shared" si="20"/>
        <v>3.3333330000000001</v>
      </c>
      <c r="D402" s="7"/>
      <c r="E402" s="10">
        <f>(ADC!I402+5/3)/(1/12)</f>
        <v>60.988086774732963</v>
      </c>
      <c r="F402" s="11">
        <f t="shared" si="18"/>
        <v>1.6468112912216053E-2</v>
      </c>
      <c r="G402" s="2"/>
      <c r="H402" s="2"/>
      <c r="I402" s="10">
        <f>ABS(C402-ADC!I402)</f>
        <v>8.2340897894413345E-2</v>
      </c>
    </row>
    <row r="403" spans="1:9" x14ac:dyDescent="0.25">
      <c r="A403" s="3">
        <v>401</v>
      </c>
      <c r="B403" s="3">
        <f t="shared" si="19"/>
        <v>60.1</v>
      </c>
      <c r="C403" s="12">
        <f t="shared" si="20"/>
        <v>3.3416670000000002</v>
      </c>
      <c r="D403" s="7"/>
      <c r="E403" s="10">
        <f>(ADC!I403+5/3)/(1/12)</f>
        <v>61.095548151642653</v>
      </c>
      <c r="F403" s="11">
        <f t="shared" si="18"/>
        <v>1.6564861092223819E-2</v>
      </c>
      <c r="G403" s="2"/>
      <c r="H403" s="2"/>
      <c r="I403" s="10">
        <f>ABS(C403-ADC!I403)</f>
        <v>8.2962012636887295E-2</v>
      </c>
    </row>
    <row r="404" spans="1:9" x14ac:dyDescent="0.25">
      <c r="A404" s="3">
        <v>402</v>
      </c>
      <c r="B404" s="3">
        <f t="shared" si="19"/>
        <v>60.2</v>
      </c>
      <c r="C404" s="12">
        <f t="shared" si="20"/>
        <v>3.35</v>
      </c>
      <c r="D404" s="7"/>
      <c r="E404" s="10">
        <f>(ADC!I404+5/3)/(1/12)</f>
        <v>61.203177447669127</v>
      </c>
      <c r="F404" s="11">
        <f t="shared" si="18"/>
        <v>1.6664077203806044E-2</v>
      </c>
      <c r="G404" s="2"/>
      <c r="H404" s="2"/>
      <c r="I404" s="10">
        <f>ABS(C404-ADC!I404)</f>
        <v>8.3598120639093665E-2</v>
      </c>
    </row>
    <row r="405" spans="1:9" x14ac:dyDescent="0.25">
      <c r="A405" s="3">
        <v>403</v>
      </c>
      <c r="B405" s="3">
        <f t="shared" si="19"/>
        <v>60.300000000000004</v>
      </c>
      <c r="C405" s="12">
        <f t="shared" si="20"/>
        <v>3.358333</v>
      </c>
      <c r="D405" s="7"/>
      <c r="E405" s="10">
        <f>(ADC!I405+5/3)/(1/12)</f>
        <v>61.310973249143757</v>
      </c>
      <c r="F405" s="11">
        <f t="shared" si="18"/>
        <v>1.6765725524772016E-2</v>
      </c>
      <c r="G405" s="2"/>
      <c r="H405" s="2"/>
      <c r="I405" s="10">
        <f>ABS(C405-ADC!I405)</f>
        <v>8.424810409531247E-2</v>
      </c>
    </row>
    <row r="406" spans="1:9" x14ac:dyDescent="0.25">
      <c r="A406" s="3">
        <v>404</v>
      </c>
      <c r="B406" s="3">
        <f t="shared" si="19"/>
        <v>60.400000000000006</v>
      </c>
      <c r="C406" s="12">
        <f t="shared" si="20"/>
        <v>3.3666670000000001</v>
      </c>
      <c r="D406" s="7"/>
      <c r="E406" s="10">
        <f>(ADC!I406+5/3)/(1/12)</f>
        <v>61.412215143083522</v>
      </c>
      <c r="F406" s="11">
        <f t="shared" si="18"/>
        <v>1.6758528858998607E-2</v>
      </c>
      <c r="G406" s="2"/>
      <c r="H406" s="2"/>
      <c r="I406" s="10">
        <f>ABS(C406-ADC!I406)</f>
        <v>8.435092859029325E-2</v>
      </c>
    </row>
    <row r="407" spans="1:9" x14ac:dyDescent="0.25">
      <c r="A407" s="3">
        <v>405</v>
      </c>
      <c r="B407" s="3">
        <f t="shared" si="19"/>
        <v>60.5</v>
      </c>
      <c r="C407" s="12">
        <f t="shared" si="20"/>
        <v>3.375</v>
      </c>
      <c r="D407" s="7"/>
      <c r="E407" s="10">
        <f>(ADC!I407+5/3)/(1/12)</f>
        <v>61.51364618598344</v>
      </c>
      <c r="F407" s="11">
        <f t="shared" si="18"/>
        <v>1.6754482412949419E-2</v>
      </c>
      <c r="G407" s="2"/>
      <c r="H407" s="2"/>
      <c r="I407" s="10">
        <f>ABS(C407-ADC!I407)</f>
        <v>8.4470515498619836E-2</v>
      </c>
    </row>
    <row r="408" spans="1:9" x14ac:dyDescent="0.25">
      <c r="A408" s="3">
        <v>406</v>
      </c>
      <c r="B408" s="3">
        <f t="shared" si="19"/>
        <v>60.6</v>
      </c>
      <c r="C408" s="12">
        <f t="shared" si="20"/>
        <v>3.3833329999999999</v>
      </c>
      <c r="D408" s="7"/>
      <c r="E408" s="10">
        <f>(ADC!I408+5/3)/(1/12)</f>
        <v>61.621958455911908</v>
      </c>
      <c r="F408" s="11">
        <f t="shared" si="18"/>
        <v>1.686400092263873E-2</v>
      </c>
      <c r="G408" s="2"/>
      <c r="H408" s="2"/>
      <c r="I408" s="10">
        <f>ABS(C408-ADC!I408)</f>
        <v>8.5163537992658522E-2</v>
      </c>
    </row>
    <row r="409" spans="1:9" x14ac:dyDescent="0.25">
      <c r="A409" s="3">
        <v>407</v>
      </c>
      <c r="B409" s="3">
        <f t="shared" si="19"/>
        <v>60.7</v>
      </c>
      <c r="C409" s="12">
        <f t="shared" si="20"/>
        <v>3.391667</v>
      </c>
      <c r="D409" s="7"/>
      <c r="E409" s="10">
        <f>(ADC!I409+5/3)/(1/12)</f>
        <v>61.723750746061498</v>
      </c>
      <c r="F409" s="11">
        <f t="shared" si="18"/>
        <v>1.6865745404637478E-2</v>
      </c>
      <c r="G409" s="2"/>
      <c r="H409" s="2"/>
      <c r="I409" s="10">
        <f>ABS(C409-ADC!I409)</f>
        <v>8.5312228838457571E-2</v>
      </c>
    </row>
    <row r="410" spans="1:9" x14ac:dyDescent="0.25">
      <c r="A410" s="3">
        <v>408</v>
      </c>
      <c r="B410" s="3">
        <f t="shared" si="19"/>
        <v>60.800000000000004</v>
      </c>
      <c r="C410" s="12">
        <f t="shared" si="20"/>
        <v>3.4</v>
      </c>
      <c r="D410" s="7"/>
      <c r="E410" s="10">
        <f>(ADC!I410+5/3)/(1/12)</f>
        <v>61.839064108130039</v>
      </c>
      <c r="F410" s="11">
        <f t="shared" si="18"/>
        <v>1.7089870199507144E-2</v>
      </c>
      <c r="G410" s="2"/>
      <c r="H410" s="2"/>
      <c r="I410" s="10">
        <f>ABS(C410-ADC!I410)</f>
        <v>8.6588675677503169E-2</v>
      </c>
    </row>
    <row r="411" spans="1:9" x14ac:dyDescent="0.25">
      <c r="A411" s="3">
        <v>409</v>
      </c>
      <c r="B411" s="3">
        <f t="shared" si="19"/>
        <v>60.900000000000006</v>
      </c>
      <c r="C411" s="12">
        <f t="shared" si="20"/>
        <v>3.4083329999999998</v>
      </c>
      <c r="D411" s="7"/>
      <c r="E411" s="10">
        <f>(ADC!I411+5/3)/(1/12)</f>
        <v>61.941199227637817</v>
      </c>
      <c r="F411" s="11">
        <f t="shared" si="18"/>
        <v>1.7096867448896737E-2</v>
      </c>
      <c r="G411" s="2"/>
      <c r="H411" s="2"/>
      <c r="I411" s="10">
        <f>ABS(C411-ADC!I411)</f>
        <v>8.6766935636485076E-2</v>
      </c>
    </row>
    <row r="412" spans="1:9" x14ac:dyDescent="0.25">
      <c r="A412" s="3">
        <v>410</v>
      </c>
      <c r="B412" s="3">
        <f t="shared" si="19"/>
        <v>61</v>
      </c>
      <c r="C412" s="12">
        <f t="shared" si="20"/>
        <v>3.4166669999999999</v>
      </c>
      <c r="D412" s="7"/>
      <c r="E412" s="10">
        <f>(ADC!I412+5/3)/(1/12)</f>
        <v>62.050159091587844</v>
      </c>
      <c r="F412" s="11">
        <f t="shared" si="18"/>
        <v>1.7215722812915474E-2</v>
      </c>
      <c r="G412" s="2"/>
      <c r="H412" s="2"/>
      <c r="I412" s="10">
        <f>ABS(C412-ADC!I412)</f>
        <v>8.7512924298986938E-2</v>
      </c>
    </row>
    <row r="413" spans="1:9" x14ac:dyDescent="0.25">
      <c r="A413" s="3">
        <v>411</v>
      </c>
      <c r="B413" s="3">
        <f t="shared" si="19"/>
        <v>61.1</v>
      </c>
      <c r="C413" s="12">
        <f t="shared" si="20"/>
        <v>3.4249999999999998</v>
      </c>
      <c r="D413" s="7"/>
      <c r="E413" s="10">
        <f>(ADC!I413+5/3)/(1/12)</f>
        <v>62.15264406286736</v>
      </c>
      <c r="F413" s="11">
        <f t="shared" si="18"/>
        <v>1.7228217068205536E-2</v>
      </c>
      <c r="G413" s="2"/>
      <c r="H413" s="2"/>
      <c r="I413" s="10">
        <f>ABS(C413-ADC!I413)</f>
        <v>8.772033857228001E-2</v>
      </c>
    </row>
    <row r="414" spans="1:9" x14ac:dyDescent="0.25">
      <c r="A414" s="3">
        <v>412</v>
      </c>
      <c r="B414" s="3">
        <f t="shared" si="19"/>
        <v>61.2</v>
      </c>
      <c r="C414" s="12">
        <f t="shared" si="20"/>
        <v>3.4333330000000002</v>
      </c>
      <c r="D414" s="7"/>
      <c r="E414" s="10">
        <f>(ADC!I414+5/3)/(1/12)</f>
        <v>62.261925593793933</v>
      </c>
      <c r="F414" s="11">
        <f t="shared" si="18"/>
        <v>1.7351725388789707E-2</v>
      </c>
      <c r="G414" s="2"/>
      <c r="H414" s="2"/>
      <c r="I414" s="10">
        <f>ABS(C414-ADC!I414)</f>
        <v>8.8494132816161031E-2</v>
      </c>
    </row>
    <row r="415" spans="1:9" x14ac:dyDescent="0.25">
      <c r="A415" s="3">
        <v>413</v>
      </c>
      <c r="B415" s="3">
        <f t="shared" si="19"/>
        <v>61.300000000000004</v>
      </c>
      <c r="C415" s="12">
        <f t="shared" si="20"/>
        <v>3.4416669999999998</v>
      </c>
      <c r="D415" s="7"/>
      <c r="E415" s="10">
        <f>(ADC!I415+5/3)/(1/12)</f>
        <v>62.364754722241912</v>
      </c>
      <c r="F415" s="11">
        <f t="shared" si="18"/>
        <v>1.7369571325316604E-2</v>
      </c>
      <c r="G415" s="2"/>
      <c r="H415" s="2"/>
      <c r="I415" s="10">
        <f>ABS(C415-ADC!I415)</f>
        <v>8.8729226853492715E-2</v>
      </c>
    </row>
    <row r="416" spans="1:9" x14ac:dyDescent="0.25">
      <c r="A416" s="3">
        <v>414</v>
      </c>
      <c r="B416" s="3">
        <f t="shared" si="19"/>
        <v>61.400000000000006</v>
      </c>
      <c r="C416" s="12">
        <f t="shared" si="20"/>
        <v>3.45</v>
      </c>
      <c r="D416" s="7"/>
      <c r="E416" s="10">
        <f>(ADC!I416+5/3)/(1/12)</f>
        <v>62.467760124407874</v>
      </c>
      <c r="F416" s="11">
        <f t="shared" si="18"/>
        <v>1.7390230039216102E-2</v>
      </c>
      <c r="G416" s="2"/>
      <c r="H416" s="2"/>
      <c r="I416" s="10">
        <f>ABS(C416-ADC!I416)</f>
        <v>8.8980010367322393E-2</v>
      </c>
    </row>
    <row r="417" spans="1:9" x14ac:dyDescent="0.25">
      <c r="A417" s="3">
        <v>415</v>
      </c>
      <c r="B417" s="3">
        <f t="shared" si="19"/>
        <v>61.5</v>
      </c>
      <c r="C417" s="12">
        <f t="shared" si="20"/>
        <v>3.4583330000000001</v>
      </c>
      <c r="D417" s="7"/>
      <c r="E417" s="10">
        <f>(ADC!I417+5/3)/(1/12)</f>
        <v>62.57751988759486</v>
      </c>
      <c r="F417" s="11">
        <f t="shared" si="18"/>
        <v>1.7520648578778216E-2</v>
      </c>
      <c r="G417" s="2"/>
      <c r="H417" s="2"/>
      <c r="I417" s="10">
        <f>ABS(C417-ADC!I417)</f>
        <v>8.979365729957145E-2</v>
      </c>
    </row>
    <row r="418" spans="1:9" x14ac:dyDescent="0.25">
      <c r="A418" s="3">
        <v>416</v>
      </c>
      <c r="B418" s="3">
        <f t="shared" si="19"/>
        <v>61.6</v>
      </c>
      <c r="C418" s="12">
        <f t="shared" si="20"/>
        <v>3.4666670000000002</v>
      </c>
      <c r="D418" s="7"/>
      <c r="E418" s="10">
        <f>(ADC!I418+5/3)/(1/12)</f>
        <v>62.680860923808645</v>
      </c>
      <c r="F418" s="11">
        <f t="shared" si="18"/>
        <v>1.7546443568322131E-2</v>
      </c>
      <c r="G418" s="2"/>
      <c r="H418" s="2"/>
      <c r="I418" s="10">
        <f>ABS(C418-ADC!I418)</f>
        <v>9.0071410317386746E-2</v>
      </c>
    </row>
    <row r="419" spans="1:9" x14ac:dyDescent="0.25">
      <c r="A419" s="3">
        <v>417</v>
      </c>
      <c r="B419" s="3">
        <f t="shared" si="19"/>
        <v>61.7</v>
      </c>
      <c r="C419" s="12">
        <f t="shared" si="20"/>
        <v>3.4750000000000001</v>
      </c>
      <c r="D419" s="7"/>
      <c r="E419" s="10">
        <f>(ADC!I419+5/3)/(1/12)</f>
        <v>62.790928267565313</v>
      </c>
      <c r="F419" s="11">
        <f t="shared" si="18"/>
        <v>1.7681171273343763E-2</v>
      </c>
      <c r="G419" s="2"/>
      <c r="H419" s="2"/>
      <c r="I419" s="10">
        <f>ABS(C419-ADC!I419)</f>
        <v>9.091068896377541E-2</v>
      </c>
    </row>
    <row r="420" spans="1:9" x14ac:dyDescent="0.25">
      <c r="A420" s="3">
        <v>418</v>
      </c>
      <c r="B420" s="3">
        <f t="shared" si="19"/>
        <v>61.800000000000004</v>
      </c>
      <c r="C420" s="12">
        <f t="shared" si="20"/>
        <v>3.483333</v>
      </c>
      <c r="D420" s="7"/>
      <c r="E420" s="10">
        <f>(ADC!I420+5/3)/(1/12)</f>
        <v>62.888057568486715</v>
      </c>
      <c r="F420" s="11">
        <f t="shared" si="18"/>
        <v>1.7606109522438691E-2</v>
      </c>
      <c r="G420" s="2"/>
      <c r="H420" s="2"/>
      <c r="I420" s="10">
        <f>ABS(C420-ADC!I420)</f>
        <v>9.0671797373893082E-2</v>
      </c>
    </row>
    <row r="421" spans="1:9" x14ac:dyDescent="0.25">
      <c r="A421" s="3">
        <v>419</v>
      </c>
      <c r="B421" s="3">
        <f t="shared" si="19"/>
        <v>61.900000000000006</v>
      </c>
      <c r="C421" s="12">
        <f t="shared" si="20"/>
        <v>3.4916670000000001</v>
      </c>
      <c r="D421" s="7"/>
      <c r="E421" s="10">
        <f>(ADC!I421+5/3)/(1/12)</f>
        <v>62.991910332399286</v>
      </c>
      <c r="F421" s="11">
        <f t="shared" si="18"/>
        <v>1.7639908439406785E-2</v>
      </c>
      <c r="G421" s="2"/>
      <c r="H421" s="2"/>
      <c r="I421" s="10">
        <f>ABS(C421-ADC!I421)</f>
        <v>9.0992194366607215E-2</v>
      </c>
    </row>
    <row r="422" spans="1:9" x14ac:dyDescent="0.25">
      <c r="A422" s="3">
        <v>420</v>
      </c>
      <c r="B422" s="3">
        <f t="shared" si="19"/>
        <v>62</v>
      </c>
      <c r="C422" s="12">
        <f t="shared" si="20"/>
        <v>3.5</v>
      </c>
      <c r="D422" s="7"/>
      <c r="E422" s="10">
        <f>(ADC!I422+5/3)/(1/12)</f>
        <v>63.095930824364935</v>
      </c>
      <c r="F422" s="11">
        <f t="shared" si="18"/>
        <v>1.7676303618789267E-2</v>
      </c>
      <c r="G422" s="2"/>
      <c r="H422" s="2"/>
      <c r="I422" s="10">
        <f>ABS(C422-ADC!I422)</f>
        <v>9.1327568697077588E-2</v>
      </c>
    </row>
    <row r="423" spans="1:9" x14ac:dyDescent="0.25">
      <c r="A423" s="3">
        <v>421</v>
      </c>
      <c r="B423" s="3">
        <f t="shared" si="19"/>
        <v>62.1</v>
      </c>
      <c r="C423" s="12">
        <f t="shared" si="20"/>
        <v>3.5083329999999999</v>
      </c>
      <c r="D423" s="7"/>
      <c r="E423" s="10">
        <f>(ADC!I423+5/3)/(1/12)</f>
        <v>63.206621607943568</v>
      </c>
      <c r="F423" s="11">
        <f t="shared" si="18"/>
        <v>1.7819993686691887E-2</v>
      </c>
      <c r="G423" s="2"/>
      <c r="H423" s="2"/>
      <c r="I423" s="10">
        <f>ABS(C423-ADC!I423)</f>
        <v>9.2218800661964195E-2</v>
      </c>
    </row>
    <row r="424" spans="1:9" x14ac:dyDescent="0.25">
      <c r="A424" s="3">
        <v>422</v>
      </c>
      <c r="B424" s="3">
        <f t="shared" si="19"/>
        <v>62.2</v>
      </c>
      <c r="C424" s="12">
        <f t="shared" si="20"/>
        <v>3.516667</v>
      </c>
      <c r="D424" s="7"/>
      <c r="E424" s="10">
        <f>(ADC!I424+5/3)/(1/12)</f>
        <v>63.310960753078575</v>
      </c>
      <c r="F424" s="11">
        <f t="shared" si="18"/>
        <v>1.7861105354960969E-2</v>
      </c>
      <c r="G424" s="2"/>
      <c r="H424" s="2"/>
      <c r="I424" s="10">
        <f>ABS(C424-ADC!I424)</f>
        <v>9.2579729423214019E-2</v>
      </c>
    </row>
    <row r="425" spans="1:9" x14ac:dyDescent="0.25">
      <c r="A425" s="3">
        <v>423</v>
      </c>
      <c r="B425" s="3">
        <f t="shared" si="19"/>
        <v>62.300000000000004</v>
      </c>
      <c r="C425" s="12">
        <f t="shared" si="20"/>
        <v>3.5249999999999999</v>
      </c>
      <c r="D425" s="7"/>
      <c r="E425" s="10">
        <f>(ADC!I425+5/3)/(1/12)</f>
        <v>63.415463386705881</v>
      </c>
      <c r="F425" s="11">
        <f t="shared" si="18"/>
        <v>1.7904709256916153E-2</v>
      </c>
      <c r="G425" s="2"/>
      <c r="H425" s="2"/>
      <c r="I425" s="10">
        <f>ABS(C425-ADC!I425)</f>
        <v>9.2955282225489544E-2</v>
      </c>
    </row>
    <row r="426" spans="1:9" x14ac:dyDescent="0.25">
      <c r="A426" s="3">
        <v>424</v>
      </c>
      <c r="B426" s="3">
        <f t="shared" si="19"/>
        <v>62.400000000000006</v>
      </c>
      <c r="C426" s="12">
        <f t="shared" si="20"/>
        <v>3.5333329999999998</v>
      </c>
      <c r="D426" s="7"/>
      <c r="E426" s="10">
        <f>(ADC!I426+5/3)/(1/12)</f>
        <v>63.513661737799595</v>
      </c>
      <c r="F426" s="11">
        <f t="shared" si="18"/>
        <v>1.7847143233967772E-2</v>
      </c>
      <c r="G426" s="2"/>
      <c r="H426" s="2"/>
      <c r="I426" s="10">
        <f>ABS(C426-ADC!I426)</f>
        <v>9.2805478149966536E-2</v>
      </c>
    </row>
    <row r="427" spans="1:9" x14ac:dyDescent="0.25">
      <c r="A427" s="3">
        <v>425</v>
      </c>
      <c r="B427" s="3">
        <f t="shared" si="19"/>
        <v>62.5</v>
      </c>
      <c r="C427" s="12">
        <f t="shared" si="20"/>
        <v>3.5416669999999999</v>
      </c>
      <c r="D427" s="7"/>
      <c r="E427" s="10">
        <f>(ADC!I427+5/3)/(1/12)</f>
        <v>63.618499625452593</v>
      </c>
      <c r="F427" s="11">
        <f t="shared" si="18"/>
        <v>1.7895994007241484E-2</v>
      </c>
      <c r="G427" s="2"/>
      <c r="H427" s="2"/>
      <c r="I427" s="10">
        <f>ABS(C427-ADC!I427)</f>
        <v>9.3207968787716311E-2</v>
      </c>
    </row>
    <row r="428" spans="1:9" x14ac:dyDescent="0.25">
      <c r="A428" s="3">
        <v>426</v>
      </c>
      <c r="B428" s="3">
        <f t="shared" si="19"/>
        <v>62.6</v>
      </c>
      <c r="C428" s="12">
        <f t="shared" si="20"/>
        <v>3.55</v>
      </c>
      <c r="D428" s="7"/>
      <c r="E428" s="10">
        <f>(ADC!I428+5/3)/(1/12)</f>
        <v>63.729938091735583</v>
      </c>
      <c r="F428" s="11">
        <f t="shared" si="18"/>
        <v>1.8050129260951786E-2</v>
      </c>
      <c r="G428" s="2"/>
      <c r="H428" s="2"/>
      <c r="I428" s="10">
        <f>ABS(C428-ADC!I428)</f>
        <v>9.416150764463227E-2</v>
      </c>
    </row>
    <row r="429" spans="1:9" x14ac:dyDescent="0.25">
      <c r="A429" s="3">
        <v>427</v>
      </c>
      <c r="B429" s="3">
        <f t="shared" si="19"/>
        <v>62.7</v>
      </c>
      <c r="C429" s="12">
        <f t="shared" si="20"/>
        <v>3.5583330000000002</v>
      </c>
      <c r="D429" s="7"/>
      <c r="E429" s="10">
        <f>(ADC!I429+5/3)/(1/12)</f>
        <v>63.835080560855872</v>
      </c>
      <c r="F429" s="11">
        <f t="shared" si="18"/>
        <v>1.8103358227366327E-2</v>
      </c>
      <c r="G429" s="2"/>
      <c r="H429" s="2"/>
      <c r="I429" s="10">
        <f>ABS(C429-ADC!I429)</f>
        <v>9.4590380071322588E-2</v>
      </c>
    </row>
    <row r="430" spans="1:9" x14ac:dyDescent="0.25">
      <c r="A430" s="3">
        <v>428</v>
      </c>
      <c r="B430" s="3">
        <f t="shared" si="19"/>
        <v>62.800000000000004</v>
      </c>
      <c r="C430" s="12">
        <f t="shared" si="20"/>
        <v>3.5666669999999998</v>
      </c>
      <c r="D430" s="7"/>
      <c r="E430" s="10">
        <f>(ADC!I430+5/3)/(1/12)</f>
        <v>63.940379466507508</v>
      </c>
      <c r="F430" s="11">
        <f t="shared" si="18"/>
        <v>1.8158908702348788E-2</v>
      </c>
      <c r="G430" s="2"/>
      <c r="H430" s="2"/>
      <c r="I430" s="10">
        <f>ABS(C430-ADC!I430)</f>
        <v>9.503128887562573E-2</v>
      </c>
    </row>
    <row r="431" spans="1:9" x14ac:dyDescent="0.25">
      <c r="A431" s="3">
        <v>429</v>
      </c>
      <c r="B431" s="3">
        <f t="shared" si="19"/>
        <v>62.900000000000006</v>
      </c>
      <c r="C431" s="12">
        <f t="shared" si="20"/>
        <v>3.5750000000000002</v>
      </c>
      <c r="D431" s="7"/>
      <c r="E431" s="10">
        <f>(ADC!I431+5/3)/(1/12)</f>
        <v>64.039429508450098</v>
      </c>
      <c r="F431" s="11">
        <f t="shared" si="18"/>
        <v>1.8114936541336921E-2</v>
      </c>
      <c r="G431" s="2"/>
      <c r="H431" s="2"/>
      <c r="I431" s="10">
        <f>ABS(C431-ADC!I431)</f>
        <v>9.4952459037508152E-2</v>
      </c>
    </row>
    <row r="432" spans="1:9" x14ac:dyDescent="0.25">
      <c r="A432" s="3">
        <v>430</v>
      </c>
      <c r="B432" s="3">
        <f t="shared" si="19"/>
        <v>63</v>
      </c>
      <c r="C432" s="12">
        <f t="shared" si="20"/>
        <v>3.5833330000000001</v>
      </c>
      <c r="D432" s="7"/>
      <c r="E432" s="10">
        <f>(ADC!I432+5/3)/(1/12)</f>
        <v>64.14504953303954</v>
      </c>
      <c r="F432" s="11">
        <f t="shared" si="18"/>
        <v>1.817538941332603E-2</v>
      </c>
      <c r="G432" s="2"/>
      <c r="H432" s="2"/>
      <c r="I432" s="10">
        <f>ABS(C432-ADC!I432)</f>
        <v>9.54211277532937E-2</v>
      </c>
    </row>
    <row r="433" spans="1:9" x14ac:dyDescent="0.25">
      <c r="A433" s="3">
        <v>431</v>
      </c>
      <c r="B433" s="3">
        <f t="shared" si="19"/>
        <v>63.1</v>
      </c>
      <c r="C433" s="12">
        <f t="shared" si="20"/>
        <v>3.5916670000000002</v>
      </c>
      <c r="D433" s="7"/>
      <c r="E433" s="10">
        <f>(ADC!I433+5/3)/(1/12)</f>
        <v>64.250821777920819</v>
      </c>
      <c r="F433" s="11">
        <f t="shared" si="18"/>
        <v>1.8238063041534358E-2</v>
      </c>
      <c r="G433" s="2"/>
      <c r="H433" s="2"/>
      <c r="I433" s="10">
        <f>ABS(C433-ADC!I433)</f>
        <v>9.5901481493400276E-2</v>
      </c>
    </row>
    <row r="434" spans="1:9" x14ac:dyDescent="0.25">
      <c r="A434" s="3">
        <v>432</v>
      </c>
      <c r="B434" s="3">
        <f t="shared" si="19"/>
        <v>63.2</v>
      </c>
      <c r="C434" s="12">
        <f t="shared" si="20"/>
        <v>3.6</v>
      </c>
      <c r="D434" s="7"/>
      <c r="E434" s="10">
        <f>(ADC!I434+5/3)/(1/12)</f>
        <v>64.350378292933584</v>
      </c>
      <c r="F434" s="11">
        <f t="shared" si="18"/>
        <v>1.8202188179328817E-2</v>
      </c>
      <c r="G434" s="2"/>
      <c r="H434" s="2"/>
      <c r="I434" s="10">
        <f>ABS(C434-ADC!I434)</f>
        <v>9.586485774446496E-2</v>
      </c>
    </row>
    <row r="435" spans="1:9" x14ac:dyDescent="0.25">
      <c r="A435" s="3">
        <v>433</v>
      </c>
      <c r="B435" s="3">
        <f t="shared" si="19"/>
        <v>63.300000000000004</v>
      </c>
      <c r="C435" s="12">
        <f t="shared" si="20"/>
        <v>3.608333</v>
      </c>
      <c r="D435" s="7"/>
      <c r="E435" s="10">
        <f>(ADC!I435+5/3)/(1/12)</f>
        <v>64.45010908588884</v>
      </c>
      <c r="F435" s="11">
        <f t="shared" si="18"/>
        <v>1.8169179871861549E-2</v>
      </c>
      <c r="G435" s="2"/>
      <c r="H435" s="2"/>
      <c r="I435" s="10">
        <f>ABS(C435-ADC!I435)</f>
        <v>9.5842757157402758E-2</v>
      </c>
    </row>
    <row r="436" spans="1:9" x14ac:dyDescent="0.25">
      <c r="A436" s="3">
        <v>434</v>
      </c>
      <c r="B436" s="3">
        <f t="shared" si="19"/>
        <v>63.400000000000006</v>
      </c>
      <c r="C436" s="12">
        <f t="shared" si="20"/>
        <v>3.6166670000000001</v>
      </c>
      <c r="D436" s="7"/>
      <c r="E436" s="10">
        <f>(ADC!I436+5/3)/(1/12)</f>
        <v>64.562696117399469</v>
      </c>
      <c r="F436" s="11">
        <f t="shared" si="18"/>
        <v>1.8339055479486797E-2</v>
      </c>
      <c r="G436" s="2"/>
      <c r="H436" s="2"/>
      <c r="I436" s="10">
        <f>ABS(C436-ADC!I436)</f>
        <v>9.6891009783288684E-2</v>
      </c>
    </row>
    <row r="437" spans="1:9" x14ac:dyDescent="0.25">
      <c r="A437" s="3">
        <v>435</v>
      </c>
      <c r="B437" s="3">
        <f t="shared" si="19"/>
        <v>63.5</v>
      </c>
      <c r="C437" s="12">
        <f t="shared" si="20"/>
        <v>3.625</v>
      </c>
      <c r="D437" s="7"/>
      <c r="E437" s="10">
        <f>(ADC!I437+5/3)/(1/12)</f>
        <v>64.66274635060266</v>
      </c>
      <c r="F437" s="11">
        <f t="shared" si="18"/>
        <v>1.8310966151222994E-2</v>
      </c>
      <c r="G437" s="2"/>
      <c r="H437" s="2"/>
      <c r="I437" s="10">
        <f>ABS(C437-ADC!I437)</f>
        <v>9.6895529216888487E-2</v>
      </c>
    </row>
    <row r="438" spans="1:9" x14ac:dyDescent="0.25">
      <c r="A438" s="3">
        <v>436</v>
      </c>
      <c r="B438" s="3">
        <f t="shared" si="19"/>
        <v>63.6</v>
      </c>
      <c r="C438" s="12">
        <f t="shared" si="20"/>
        <v>3.6333329999999999</v>
      </c>
      <c r="D438" s="7"/>
      <c r="E438" s="10">
        <f>(ADC!I438+5/3)/(1/12)</f>
        <v>64.762966599799583</v>
      </c>
      <c r="F438" s="11">
        <f t="shared" si="18"/>
        <v>1.828563836162864E-2</v>
      </c>
      <c r="G438" s="2"/>
      <c r="H438" s="2"/>
      <c r="I438" s="10">
        <f>ABS(C438-ADC!I438)</f>
        <v>9.6914216649964136E-2</v>
      </c>
    </row>
    <row r="439" spans="1:9" x14ac:dyDescent="0.25">
      <c r="A439" s="3">
        <v>437</v>
      </c>
      <c r="B439" s="3">
        <f t="shared" si="19"/>
        <v>63.7</v>
      </c>
      <c r="C439" s="12">
        <f t="shared" si="20"/>
        <v>3.641667</v>
      </c>
      <c r="D439" s="7"/>
      <c r="E439" s="10">
        <f>(ADC!I439+5/3)/(1/12)</f>
        <v>64.869659961156543</v>
      </c>
      <c r="F439" s="11">
        <f t="shared" si="18"/>
        <v>1.8362008809364842E-2</v>
      </c>
      <c r="G439" s="2"/>
      <c r="H439" s="2"/>
      <c r="I439" s="10">
        <f>ABS(C439-ADC!I439)</f>
        <v>9.7471330096377429E-2</v>
      </c>
    </row>
    <row r="440" spans="1:9" x14ac:dyDescent="0.25">
      <c r="A440" s="3">
        <v>438</v>
      </c>
      <c r="B440" s="3">
        <f t="shared" si="19"/>
        <v>63.800000000000004</v>
      </c>
      <c r="C440" s="12">
        <f t="shared" si="20"/>
        <v>3.65</v>
      </c>
      <c r="D440" s="7"/>
      <c r="E440" s="10">
        <f>(ADC!I440+5/3)/(1/12)</f>
        <v>64.970203592785921</v>
      </c>
      <c r="F440" s="11">
        <f t="shared" si="18"/>
        <v>1.8341749103227539E-2</v>
      </c>
      <c r="G440" s="2"/>
      <c r="H440" s="2"/>
      <c r="I440" s="10">
        <f>ABS(C440-ADC!I440)</f>
        <v>9.7516966065493094E-2</v>
      </c>
    </row>
    <row r="441" spans="1:9" x14ac:dyDescent="0.25">
      <c r="A441" s="3">
        <v>439</v>
      </c>
      <c r="B441" s="3">
        <f t="shared" si="19"/>
        <v>63.900000000000006</v>
      </c>
      <c r="C441" s="12">
        <f t="shared" si="20"/>
        <v>3.6583329999999998</v>
      </c>
      <c r="D441" s="7"/>
      <c r="E441" s="10">
        <f>(ADC!I441+5/3)/(1/12)</f>
        <v>65.077192784136358</v>
      </c>
      <c r="F441" s="11">
        <f t="shared" si="18"/>
        <v>1.8422422286953864E-2</v>
      </c>
      <c r="G441" s="2"/>
      <c r="H441" s="2"/>
      <c r="I441" s="10">
        <f>ABS(C441-ADC!I441)</f>
        <v>9.8099732011362129E-2</v>
      </c>
    </row>
    <row r="442" spans="1:9" x14ac:dyDescent="0.25">
      <c r="A442" s="3">
        <v>440</v>
      </c>
      <c r="B442" s="3">
        <f t="shared" si="19"/>
        <v>64</v>
      </c>
      <c r="C442" s="12">
        <f t="shared" si="20"/>
        <v>3.6666669999999999</v>
      </c>
      <c r="D442" s="7"/>
      <c r="E442" s="10">
        <f>(ADC!I442+5/3)/(1/12)</f>
        <v>65.178054157761153</v>
      </c>
      <c r="F442" s="11">
        <f t="shared" si="18"/>
        <v>1.8407096215018015E-2</v>
      </c>
      <c r="G442" s="2"/>
      <c r="H442" s="2"/>
      <c r="I442" s="10">
        <f>ABS(C442-ADC!I442)</f>
        <v>9.8170846480095442E-2</v>
      </c>
    </row>
    <row r="443" spans="1:9" x14ac:dyDescent="0.25">
      <c r="A443" s="3">
        <v>441</v>
      </c>
      <c r="B443" s="3">
        <f t="shared" si="19"/>
        <v>64.099999999999994</v>
      </c>
      <c r="C443" s="12">
        <f t="shared" si="20"/>
        <v>3.6749999999999998</v>
      </c>
      <c r="D443" s="7"/>
      <c r="E443" s="10">
        <f>(ADC!I443+5/3)/(1/12)</f>
        <v>65.279078463579594</v>
      </c>
      <c r="F443" s="11">
        <f t="shared" si="18"/>
        <v>1.8394359806234013E-2</v>
      </c>
      <c r="G443" s="2"/>
      <c r="H443" s="2"/>
      <c r="I443" s="10">
        <f>ABS(C443-ADC!I443)</f>
        <v>9.825653863163275E-2</v>
      </c>
    </row>
    <row r="444" spans="1:9" x14ac:dyDescent="0.25">
      <c r="A444" s="3">
        <v>442</v>
      </c>
      <c r="B444" s="3">
        <f t="shared" si="19"/>
        <v>64.2</v>
      </c>
      <c r="C444" s="12">
        <f t="shared" si="20"/>
        <v>3.6833330000000002</v>
      </c>
      <c r="D444" s="7"/>
      <c r="E444" s="10">
        <f>(ADC!I444+5/3)/(1/12)</f>
        <v>65.386507105945427</v>
      </c>
      <c r="F444" s="11">
        <f t="shared" si="18"/>
        <v>1.8481419095723109E-2</v>
      </c>
      <c r="G444" s="2"/>
      <c r="H444" s="2"/>
      <c r="I444" s="10">
        <f>ABS(C444-ADC!I444)</f>
        <v>9.8875925495451877E-2</v>
      </c>
    </row>
    <row r="445" spans="1:9" x14ac:dyDescent="0.25">
      <c r="A445" s="3">
        <v>443</v>
      </c>
      <c r="B445" s="3">
        <f t="shared" si="19"/>
        <v>64.300000000000011</v>
      </c>
      <c r="C445" s="12">
        <f t="shared" si="20"/>
        <v>3.6916669999999998</v>
      </c>
      <c r="D445" s="7"/>
      <c r="E445" s="10">
        <f>(ADC!I445+5/3)/(1/12)</f>
        <v>65.48784072299253</v>
      </c>
      <c r="F445" s="11">
        <f t="shared" si="18"/>
        <v>1.8473417153849432E-2</v>
      </c>
      <c r="G445" s="2"/>
      <c r="H445" s="2"/>
      <c r="I445" s="10">
        <f>ABS(C445-ADC!I445)</f>
        <v>9.8986393582710885E-2</v>
      </c>
    </row>
    <row r="446" spans="1:9" x14ac:dyDescent="0.25">
      <c r="A446" s="3">
        <v>444</v>
      </c>
      <c r="B446" s="3">
        <f t="shared" si="19"/>
        <v>64.400000000000006</v>
      </c>
      <c r="C446" s="12">
        <f t="shared" si="20"/>
        <v>3.7</v>
      </c>
      <c r="D446" s="7"/>
      <c r="E446" s="10">
        <f>(ADC!I446+5/3)/(1/12)</f>
        <v>65.595551278529669</v>
      </c>
      <c r="F446" s="11">
        <f t="shared" si="18"/>
        <v>1.8564460846733903E-2</v>
      </c>
      <c r="G446" s="2"/>
      <c r="H446" s="2"/>
      <c r="I446" s="10">
        <f>ABS(C446-ADC!I446)</f>
        <v>9.9629273210805724E-2</v>
      </c>
    </row>
    <row r="447" spans="1:9" x14ac:dyDescent="0.25">
      <c r="A447" s="3">
        <v>445</v>
      </c>
      <c r="B447" s="3">
        <f t="shared" si="19"/>
        <v>64.5</v>
      </c>
      <c r="C447" s="12">
        <f t="shared" si="20"/>
        <v>3.7083330000000001</v>
      </c>
      <c r="D447" s="7"/>
      <c r="E447" s="10">
        <f>(ADC!I447+5/3)/(1/12)</f>
        <v>65.697188615868043</v>
      </c>
      <c r="F447" s="11">
        <f t="shared" si="18"/>
        <v>1.8561063811907648E-2</v>
      </c>
      <c r="G447" s="2"/>
      <c r="H447" s="2"/>
      <c r="I447" s="10">
        <f>ABS(C447-ADC!I447)</f>
        <v>9.9766051322335958E-2</v>
      </c>
    </row>
    <row r="448" spans="1:9" x14ac:dyDescent="0.25">
      <c r="A448" s="3">
        <v>446</v>
      </c>
      <c r="B448" s="3">
        <f t="shared" si="19"/>
        <v>64.599999999999994</v>
      </c>
      <c r="C448" s="12">
        <f t="shared" si="20"/>
        <v>3.7166670000000002</v>
      </c>
      <c r="D448" s="7"/>
      <c r="E448" s="10">
        <f>(ADC!I448+5/3)/(1/12)</f>
        <v>65.79898185757736</v>
      </c>
      <c r="F448" s="11">
        <f t="shared" si="18"/>
        <v>1.8560090674572222E-2</v>
      </c>
      <c r="G448" s="2"/>
      <c r="H448" s="2"/>
      <c r="I448" s="10">
        <f>ABS(C448-ADC!I448)</f>
        <v>9.9914821464778925E-2</v>
      </c>
    </row>
    <row r="449" spans="1:9" x14ac:dyDescent="0.25">
      <c r="A449" s="3">
        <v>447</v>
      </c>
      <c r="B449" s="3">
        <f t="shared" si="19"/>
        <v>64.7</v>
      </c>
      <c r="C449" s="12">
        <f t="shared" si="20"/>
        <v>3.7250000000000001</v>
      </c>
      <c r="D449" s="7"/>
      <c r="E449" s="10">
        <f>(ADC!I449+5/3)/(1/12)</f>
        <v>65.900929599404193</v>
      </c>
      <c r="F449" s="11">
        <f t="shared" si="18"/>
        <v>1.8561508491563995E-2</v>
      </c>
      <c r="G449" s="2"/>
      <c r="H449" s="2"/>
      <c r="I449" s="10">
        <f>ABS(C449-ADC!I449)</f>
        <v>0.10007746661701544</v>
      </c>
    </row>
    <row r="450" spans="1:9" x14ac:dyDescent="0.25">
      <c r="A450" s="3">
        <v>448</v>
      </c>
      <c r="B450" s="3">
        <f t="shared" si="19"/>
        <v>64.800000000000011</v>
      </c>
      <c r="C450" s="12">
        <f t="shared" si="20"/>
        <v>3.733333</v>
      </c>
      <c r="D450" s="7"/>
      <c r="E450" s="10">
        <f>(ADC!I450+5/3)/(1/12)</f>
        <v>65.996861259413492</v>
      </c>
      <c r="F450" s="11">
        <f t="shared" ref="F450:F513" si="21">ABS(B450-E450)/B450</f>
        <v>1.8470081163788284E-2</v>
      </c>
      <c r="G450" s="2"/>
      <c r="H450" s="2"/>
      <c r="I450" s="10">
        <f>ABS(C450-ADC!I450)</f>
        <v>9.9738771617790434E-2</v>
      </c>
    </row>
    <row r="451" spans="1:9" x14ac:dyDescent="0.25">
      <c r="A451" s="3">
        <v>449</v>
      </c>
      <c r="B451" s="3">
        <f t="shared" ref="B451:B514" si="22">0.1*A451+20</f>
        <v>64.900000000000006</v>
      </c>
      <c r="C451" s="12">
        <f t="shared" ref="C451:C514" si="23">ROUND(1/12*B451-5/3,6)</f>
        <v>3.7416670000000001</v>
      </c>
      <c r="D451" s="7"/>
      <c r="E451" s="10">
        <f>(ADC!I451+5/3)/(1/12)</f>
        <v>66.099126027473559</v>
      </c>
      <c r="F451" s="11">
        <f t="shared" si="21"/>
        <v>1.8476518142889888E-2</v>
      </c>
      <c r="G451" s="2"/>
      <c r="H451" s="2"/>
      <c r="I451" s="10">
        <f>ABS(C451-ADC!I451)</f>
        <v>9.9926835622796695E-2</v>
      </c>
    </row>
    <row r="452" spans="1:9" x14ac:dyDescent="0.25">
      <c r="A452" s="3">
        <v>450</v>
      </c>
      <c r="B452" s="3">
        <f t="shared" si="22"/>
        <v>65</v>
      </c>
      <c r="C452" s="12">
        <f t="shared" si="23"/>
        <v>3.75</v>
      </c>
      <c r="D452" s="7"/>
      <c r="E452" s="10">
        <f>(ADC!I452+5/3)/(1/12)</f>
        <v>66.201541084659453</v>
      </c>
      <c r="F452" s="11">
        <f t="shared" si="21"/>
        <v>1.8485247456299283E-2</v>
      </c>
      <c r="G452" s="2"/>
      <c r="H452" s="2"/>
      <c r="I452" s="10">
        <f>ABS(C452-ADC!I452)</f>
        <v>0.10012842372162067</v>
      </c>
    </row>
    <row r="453" spans="1:9" x14ac:dyDescent="0.25">
      <c r="A453" s="3">
        <v>451</v>
      </c>
      <c r="B453" s="3">
        <f t="shared" si="22"/>
        <v>65.099999999999994</v>
      </c>
      <c r="C453" s="12">
        <f t="shared" si="23"/>
        <v>3.7583329999999999</v>
      </c>
      <c r="D453" s="7"/>
      <c r="E453" s="10">
        <f>(ADC!I453+5/3)/(1/12)</f>
        <v>66.304105036368028</v>
      </c>
      <c r="F453" s="11">
        <f t="shared" si="21"/>
        <v>1.8496237117788545E-2</v>
      </c>
      <c r="G453" s="2"/>
      <c r="H453" s="2"/>
      <c r="I453" s="10">
        <f>ABS(C453-ADC!I453)</f>
        <v>0.10034241969733548</v>
      </c>
    </row>
    <row r="454" spans="1:9" x14ac:dyDescent="0.25">
      <c r="A454" s="3">
        <v>452</v>
      </c>
      <c r="B454" s="3">
        <f t="shared" si="22"/>
        <v>65.2</v>
      </c>
      <c r="C454" s="12">
        <f t="shared" si="23"/>
        <v>3.766667</v>
      </c>
      <c r="D454" s="7"/>
      <c r="E454" s="10">
        <f>(ADC!I454+5/3)/(1/12)</f>
        <v>66.406816489296361</v>
      </c>
      <c r="F454" s="11">
        <f t="shared" si="21"/>
        <v>1.8509455357306102E-2</v>
      </c>
      <c r="G454" s="2"/>
      <c r="H454" s="2"/>
      <c r="I454" s="10">
        <f>ABS(C454-ADC!I454)</f>
        <v>0.10056770744136356</v>
      </c>
    </row>
    <row r="455" spans="1:9" x14ac:dyDescent="0.25">
      <c r="A455" s="3">
        <v>453</v>
      </c>
      <c r="B455" s="3">
        <f t="shared" si="22"/>
        <v>65.300000000000011</v>
      </c>
      <c r="C455" s="12">
        <f t="shared" si="23"/>
        <v>3.7749999999999999</v>
      </c>
      <c r="D455" s="7"/>
      <c r="E455" s="10">
        <f>(ADC!I455+5/3)/(1/12)</f>
        <v>66.509674055014656</v>
      </c>
      <c r="F455" s="11">
        <f t="shared" si="21"/>
        <v>1.8524870674037439E-2</v>
      </c>
      <c r="G455" s="2"/>
      <c r="H455" s="2"/>
      <c r="I455" s="10">
        <f>ABS(C455-ADC!I455)</f>
        <v>0.1008061712512216</v>
      </c>
    </row>
    <row r="456" spans="1:9" x14ac:dyDescent="0.25">
      <c r="A456" s="3">
        <v>454</v>
      </c>
      <c r="B456" s="3">
        <f t="shared" si="22"/>
        <v>65.400000000000006</v>
      </c>
      <c r="C456" s="12">
        <f t="shared" si="23"/>
        <v>3.7833329999999998</v>
      </c>
      <c r="D456" s="7"/>
      <c r="E456" s="10">
        <f>(ADC!I456+5/3)/(1/12)</f>
        <v>66.606580357418963</v>
      </c>
      <c r="F456" s="11">
        <f t="shared" si="21"/>
        <v>1.8449240939127785E-2</v>
      </c>
      <c r="G456" s="2"/>
      <c r="H456" s="2"/>
      <c r="I456" s="10">
        <f>ABS(C456-ADC!I456)</f>
        <v>0.10054869645157982</v>
      </c>
    </row>
    <row r="457" spans="1:9" x14ac:dyDescent="0.25">
      <c r="A457" s="3">
        <v>455</v>
      </c>
      <c r="B457" s="3">
        <f t="shared" si="22"/>
        <v>65.5</v>
      </c>
      <c r="C457" s="12">
        <f t="shared" si="23"/>
        <v>3.7916669999999999</v>
      </c>
      <c r="D457" s="7"/>
      <c r="E457" s="10">
        <f>(ADC!I457+5/3)/(1/12)</f>
        <v>66.709738133764603</v>
      </c>
      <c r="F457" s="11">
        <f t="shared" si="21"/>
        <v>1.8469284484955766E-2</v>
      </c>
      <c r="G457" s="2"/>
      <c r="H457" s="2"/>
      <c r="I457" s="10">
        <f>ABS(C457-ADC!I457)</f>
        <v>0.10081117781371685</v>
      </c>
    </row>
    <row r="458" spans="1:9" x14ac:dyDescent="0.25">
      <c r="A458" s="3">
        <v>456</v>
      </c>
      <c r="B458" s="3">
        <f t="shared" si="22"/>
        <v>65.599999999999994</v>
      </c>
      <c r="C458" s="12">
        <f t="shared" si="23"/>
        <v>3.8</v>
      </c>
      <c r="D458" s="7"/>
      <c r="E458" s="10">
        <f>(ADC!I458+5/3)/(1/12)</f>
        <v>66.813037855693324</v>
      </c>
      <c r="F458" s="11">
        <f t="shared" si="21"/>
        <v>1.8491430727032462E-2</v>
      </c>
      <c r="G458" s="2"/>
      <c r="H458" s="2"/>
      <c r="I458" s="10">
        <f>ABS(C458-ADC!I458)</f>
        <v>0.10108648797444264</v>
      </c>
    </row>
    <row r="459" spans="1:9" x14ac:dyDescent="0.25">
      <c r="A459" s="3">
        <v>457</v>
      </c>
      <c r="B459" s="3">
        <f t="shared" si="22"/>
        <v>65.7</v>
      </c>
      <c r="C459" s="12">
        <f t="shared" si="23"/>
        <v>3.8083330000000002</v>
      </c>
      <c r="D459" s="7"/>
      <c r="E459" s="10">
        <f>(ADC!I459+5/3)/(1/12)</f>
        <v>66.916478140948342</v>
      </c>
      <c r="F459" s="11">
        <f t="shared" si="21"/>
        <v>1.8515649025088881E-2</v>
      </c>
      <c r="G459" s="2"/>
      <c r="H459" s="2"/>
      <c r="I459" s="10">
        <f>ABS(C459-ADC!I459)</f>
        <v>0.10137351174569442</v>
      </c>
    </row>
    <row r="460" spans="1:9" x14ac:dyDescent="0.25">
      <c r="A460" s="3">
        <v>458</v>
      </c>
      <c r="B460" s="3">
        <f t="shared" si="22"/>
        <v>65.800000000000011</v>
      </c>
      <c r="C460" s="12">
        <f t="shared" si="23"/>
        <v>3.8166669999999998</v>
      </c>
      <c r="D460" s="7"/>
      <c r="E460" s="10">
        <f>(ADC!I460+5/3)/(1/12)</f>
        <v>67.020057614132753</v>
      </c>
      <c r="F460" s="11">
        <f t="shared" si="21"/>
        <v>1.8541909029372972E-2</v>
      </c>
      <c r="G460" s="2"/>
      <c r="H460" s="2"/>
      <c r="I460" s="10">
        <f>ABS(C460-ADC!I460)</f>
        <v>0.1016711345110628</v>
      </c>
    </row>
    <row r="461" spans="1:9" x14ac:dyDescent="0.25">
      <c r="A461" s="3">
        <v>459</v>
      </c>
      <c r="B461" s="3">
        <f t="shared" si="22"/>
        <v>65.900000000000006</v>
      </c>
      <c r="C461" s="12">
        <f t="shared" si="23"/>
        <v>3.8250000000000002</v>
      </c>
      <c r="D461" s="7"/>
      <c r="E461" s="10">
        <f>(ADC!I461+5/3)/(1/12)</f>
        <v>67.117739534238879</v>
      </c>
      <c r="F461" s="11">
        <f t="shared" si="21"/>
        <v>1.8478596877676379E-2</v>
      </c>
      <c r="G461" s="2"/>
      <c r="H461" s="2"/>
      <c r="I461" s="10">
        <f>ABS(C461-ADC!I461)</f>
        <v>0.10147829451990553</v>
      </c>
    </row>
    <row r="462" spans="1:9" x14ac:dyDescent="0.25">
      <c r="A462" s="3">
        <v>460</v>
      </c>
      <c r="B462" s="3">
        <f t="shared" si="22"/>
        <v>66</v>
      </c>
      <c r="C462" s="12">
        <f t="shared" si="23"/>
        <v>3.8333330000000001</v>
      </c>
      <c r="D462" s="7"/>
      <c r="E462" s="10">
        <f>(ADC!I462+5/3)/(1/12)</f>
        <v>67.221605338093553</v>
      </c>
      <c r="F462" s="11">
        <f t="shared" si="21"/>
        <v>1.8509171789296265E-2</v>
      </c>
      <c r="G462" s="2"/>
      <c r="H462" s="2"/>
      <c r="I462" s="10">
        <f>ABS(C462-ADC!I462)</f>
        <v>0.10180077817446209</v>
      </c>
    </row>
    <row r="463" spans="1:9" x14ac:dyDescent="0.25">
      <c r="A463" s="3">
        <v>461</v>
      </c>
      <c r="B463" s="3">
        <f t="shared" si="22"/>
        <v>66.099999999999994</v>
      </c>
      <c r="C463" s="12">
        <f t="shared" si="23"/>
        <v>3.8416670000000002</v>
      </c>
      <c r="D463" s="7"/>
      <c r="E463" s="10">
        <f>(ADC!I463+5/3)/(1/12)</f>
        <v>67.319594995112894</v>
      </c>
      <c r="F463" s="11">
        <f t="shared" si="21"/>
        <v>1.845075635571709E-2</v>
      </c>
      <c r="G463" s="2"/>
      <c r="H463" s="2"/>
      <c r="I463" s="10">
        <f>ABS(C463-ADC!I463)</f>
        <v>0.10163258292607447</v>
      </c>
    </row>
    <row r="464" spans="1:9" x14ac:dyDescent="0.25">
      <c r="A464" s="3">
        <v>462</v>
      </c>
      <c r="B464" s="3">
        <f t="shared" si="22"/>
        <v>66.2</v>
      </c>
      <c r="C464" s="12">
        <f t="shared" si="23"/>
        <v>3.85</v>
      </c>
      <c r="D464" s="7"/>
      <c r="E464" s="10">
        <f>(ADC!I464+5/3)/(1/12)</f>
        <v>67.42374160080918</v>
      </c>
      <c r="F464" s="11">
        <f t="shared" si="21"/>
        <v>1.848552267083349E-2</v>
      </c>
      <c r="G464" s="2"/>
      <c r="H464" s="2"/>
      <c r="I464" s="10">
        <f>ABS(C464-ADC!I464)</f>
        <v>0.10197846673409705</v>
      </c>
    </row>
    <row r="465" spans="1:9" x14ac:dyDescent="0.25">
      <c r="A465" s="3">
        <v>463</v>
      </c>
      <c r="B465" s="3">
        <f t="shared" si="22"/>
        <v>66.300000000000011</v>
      </c>
      <c r="C465" s="12">
        <f t="shared" si="23"/>
        <v>3.858333</v>
      </c>
      <c r="D465" s="7"/>
      <c r="E465" s="10">
        <f>(ADC!I465+5/3)/(1/12)</f>
        <v>67.516046335387429</v>
      </c>
      <c r="F465" s="11">
        <f t="shared" si="21"/>
        <v>1.8341573686084731E-2</v>
      </c>
      <c r="G465" s="2"/>
      <c r="H465" s="2"/>
      <c r="I465" s="10">
        <f>ABS(C465-ADC!I465)</f>
        <v>0.10133752794895123</v>
      </c>
    </row>
    <row r="466" spans="1:9" x14ac:dyDescent="0.25">
      <c r="A466" s="3">
        <v>464</v>
      </c>
      <c r="B466" s="3">
        <f t="shared" si="22"/>
        <v>66.400000000000006</v>
      </c>
      <c r="C466" s="12">
        <f t="shared" si="23"/>
        <v>3.8666670000000001</v>
      </c>
      <c r="D466" s="7"/>
      <c r="E466" s="10">
        <f>(ADC!I466+5/3)/(1/12)</f>
        <v>67.620480249453863</v>
      </c>
      <c r="F466" s="11">
        <f t="shared" si="21"/>
        <v>1.8380726648401458E-2</v>
      </c>
      <c r="G466" s="2"/>
      <c r="H466" s="2"/>
      <c r="I466" s="10">
        <f>ABS(C466-ADC!I466)</f>
        <v>0.1017063541211547</v>
      </c>
    </row>
    <row r="467" spans="1:9" x14ac:dyDescent="0.25">
      <c r="A467" s="3">
        <v>465</v>
      </c>
      <c r="B467" s="3">
        <f t="shared" si="22"/>
        <v>66.5</v>
      </c>
      <c r="C467" s="12">
        <f t="shared" si="23"/>
        <v>3.875</v>
      </c>
      <c r="D467" s="7"/>
      <c r="E467" s="10">
        <f>(ADC!I467+5/3)/(1/12)</f>
        <v>67.719080695108815</v>
      </c>
      <c r="F467" s="11">
        <f t="shared" si="21"/>
        <v>1.8332040527952103E-2</v>
      </c>
      <c r="G467" s="2"/>
      <c r="H467" s="2"/>
      <c r="I467" s="10">
        <f>ABS(C467-ADC!I467)</f>
        <v>0.10159005792573339</v>
      </c>
    </row>
    <row r="468" spans="1:9" x14ac:dyDescent="0.25">
      <c r="A468" s="3">
        <v>466</v>
      </c>
      <c r="B468" s="3">
        <f t="shared" si="22"/>
        <v>66.599999999999994</v>
      </c>
      <c r="C468" s="12">
        <f t="shared" si="23"/>
        <v>3.8833329999999999</v>
      </c>
      <c r="D468" s="7"/>
      <c r="E468" s="10">
        <f>(ADC!I468+5/3)/(1/12)</f>
        <v>67.823784379095642</v>
      </c>
      <c r="F468" s="11">
        <f t="shared" si="21"/>
        <v>1.8375140827261976E-2</v>
      </c>
      <c r="G468" s="2"/>
      <c r="H468" s="2"/>
      <c r="I468" s="10">
        <f>ABS(C468-ADC!I468)</f>
        <v>0.10198236492463675</v>
      </c>
    </row>
    <row r="469" spans="1:9" x14ac:dyDescent="0.25">
      <c r="A469" s="3">
        <v>467</v>
      </c>
      <c r="B469" s="3">
        <f t="shared" si="22"/>
        <v>66.7</v>
      </c>
      <c r="C469" s="12">
        <f t="shared" si="23"/>
        <v>3.891667</v>
      </c>
      <c r="D469" s="7"/>
      <c r="E469" s="10">
        <f>(ADC!I469+5/3)/(1/12)</f>
        <v>67.922675860376543</v>
      </c>
      <c r="F469" s="11">
        <f t="shared" si="21"/>
        <v>1.8330972419438388E-2</v>
      </c>
      <c r="G469" s="2"/>
      <c r="H469" s="2"/>
      <c r="I469" s="10">
        <f>ABS(C469-ADC!I469)</f>
        <v>0.1018893216980441</v>
      </c>
    </row>
    <row r="470" spans="1:9" x14ac:dyDescent="0.25">
      <c r="A470" s="3">
        <v>468</v>
      </c>
      <c r="B470" s="3">
        <f t="shared" si="22"/>
        <v>66.800000000000011</v>
      </c>
      <c r="C470" s="12">
        <f t="shared" si="23"/>
        <v>3.9</v>
      </c>
      <c r="D470" s="7"/>
      <c r="E470" s="10">
        <f>(ADC!I470+5/3)/(1/12)</f>
        <v>68.021716783760198</v>
      </c>
      <c r="F470" s="11">
        <f t="shared" si="21"/>
        <v>1.8289173409583626E-2</v>
      </c>
      <c r="G470" s="2"/>
      <c r="H470" s="2"/>
      <c r="I470" s="10">
        <f>ABS(C470-ADC!I470)</f>
        <v>0.10180973198001597</v>
      </c>
    </row>
    <row r="471" spans="1:9" x14ac:dyDescent="0.25">
      <c r="A471" s="3">
        <v>469</v>
      </c>
      <c r="B471" s="3">
        <f t="shared" si="22"/>
        <v>66.900000000000006</v>
      </c>
      <c r="C471" s="12">
        <f t="shared" si="23"/>
        <v>3.9083329999999998</v>
      </c>
      <c r="D471" s="7"/>
      <c r="E471" s="10">
        <f>(ADC!I471+5/3)/(1/12)</f>
        <v>68.120905758067622</v>
      </c>
      <c r="F471" s="11">
        <f t="shared" si="21"/>
        <v>1.8249712377692313E-2</v>
      </c>
      <c r="G471" s="2"/>
      <c r="H471" s="2"/>
      <c r="I471" s="10">
        <f>ABS(C471-ADC!I471)</f>
        <v>0.10174247983896834</v>
      </c>
    </row>
    <row r="472" spans="1:9" x14ac:dyDescent="0.25">
      <c r="A472" s="3">
        <v>470</v>
      </c>
      <c r="B472" s="3">
        <f t="shared" si="22"/>
        <v>67</v>
      </c>
      <c r="C472" s="12">
        <f t="shared" si="23"/>
        <v>3.9166669999999999</v>
      </c>
      <c r="D472" s="7"/>
      <c r="E472" s="10">
        <f>(ADC!I472+5/3)/(1/12)</f>
        <v>68.226144533633857</v>
      </c>
      <c r="F472" s="11">
        <f t="shared" si="21"/>
        <v>1.8300664681102339E-2</v>
      </c>
      <c r="G472" s="2"/>
      <c r="H472" s="2"/>
      <c r="I472" s="10">
        <f>ABS(C472-ADC!I472)</f>
        <v>0.10217837780282091</v>
      </c>
    </row>
    <row r="473" spans="1:9" x14ac:dyDescent="0.25">
      <c r="A473" s="3">
        <v>471</v>
      </c>
      <c r="B473" s="3">
        <f t="shared" si="22"/>
        <v>67.099999999999994</v>
      </c>
      <c r="C473" s="12">
        <f t="shared" si="23"/>
        <v>3.9249999999999998</v>
      </c>
      <c r="D473" s="7"/>
      <c r="E473" s="10">
        <f>(ADC!I473+5/3)/(1/12)</f>
        <v>68.325613508893397</v>
      </c>
      <c r="F473" s="11">
        <f t="shared" si="21"/>
        <v>1.8265477032688573E-2</v>
      </c>
      <c r="G473" s="2"/>
      <c r="H473" s="2"/>
      <c r="I473" s="10">
        <f>ABS(C473-ADC!I473)</f>
        <v>0.10213445907444907</v>
      </c>
    </row>
    <row r="474" spans="1:9" x14ac:dyDescent="0.25">
      <c r="A474" s="3">
        <v>472</v>
      </c>
      <c r="B474" s="3">
        <f t="shared" si="22"/>
        <v>67.2</v>
      </c>
      <c r="C474" s="12">
        <f t="shared" si="23"/>
        <v>3.9333330000000002</v>
      </c>
      <c r="D474" s="7"/>
      <c r="E474" s="10">
        <f>(ADC!I474+5/3)/(1/12)</f>
        <v>68.425226393640997</v>
      </c>
      <c r="F474" s="11">
        <f t="shared" si="21"/>
        <v>1.8232535619657656E-2</v>
      </c>
      <c r="G474" s="2"/>
      <c r="H474" s="2"/>
      <c r="I474" s="10">
        <f>ABS(C474-ADC!I474)</f>
        <v>0.10210253280341597</v>
      </c>
    </row>
    <row r="475" spans="1:9" x14ac:dyDescent="0.25">
      <c r="A475" s="3">
        <v>473</v>
      </c>
      <c r="B475" s="3">
        <f t="shared" si="22"/>
        <v>67.300000000000011</v>
      </c>
      <c r="C475" s="12">
        <f t="shared" si="23"/>
        <v>3.9416669999999998</v>
      </c>
      <c r="D475" s="7"/>
      <c r="E475" s="10">
        <f>(ADC!I475+5/3)/(1/12)</f>
        <v>68.524981807670571</v>
      </c>
      <c r="F475" s="11">
        <f t="shared" si="21"/>
        <v>1.8201809920810687E-2</v>
      </c>
      <c r="G475" s="2"/>
      <c r="H475" s="2"/>
      <c r="I475" s="10">
        <f>ABS(C475-ADC!I475)</f>
        <v>0.10208148397254746</v>
      </c>
    </row>
    <row r="476" spans="1:9" x14ac:dyDescent="0.25">
      <c r="A476" s="3">
        <v>474</v>
      </c>
      <c r="B476" s="3">
        <f t="shared" si="22"/>
        <v>67.400000000000006</v>
      </c>
      <c r="C476" s="12">
        <f t="shared" si="23"/>
        <v>3.95</v>
      </c>
      <c r="D476" s="7"/>
      <c r="E476" s="10">
        <f>(ADC!I476+5/3)/(1/12)</f>
        <v>68.619022905706728</v>
      </c>
      <c r="F476" s="11">
        <f t="shared" si="21"/>
        <v>1.808639325974366E-2</v>
      </c>
      <c r="G476" s="2"/>
      <c r="H476" s="2"/>
      <c r="I476" s="10">
        <f>ABS(C476-ADC!I476)</f>
        <v>0.10158524214222631</v>
      </c>
    </row>
    <row r="477" spans="1:9" x14ac:dyDescent="0.25">
      <c r="A477" s="3">
        <v>475</v>
      </c>
      <c r="B477" s="3">
        <f t="shared" si="22"/>
        <v>67.5</v>
      </c>
      <c r="C477" s="12">
        <f t="shared" si="23"/>
        <v>3.9583330000000001</v>
      </c>
      <c r="D477" s="7"/>
      <c r="E477" s="10">
        <f>(ADC!I477+5/3)/(1/12)</f>
        <v>68.719071134368562</v>
      </c>
      <c r="F477" s="11">
        <f t="shared" si="21"/>
        <v>1.8060313101756476E-2</v>
      </c>
      <c r="G477" s="2"/>
      <c r="H477" s="2"/>
      <c r="I477" s="10">
        <f>ABS(C477-ADC!I477)</f>
        <v>0.10158959453071281</v>
      </c>
    </row>
    <row r="478" spans="1:9" x14ac:dyDescent="0.25">
      <c r="A478" s="3">
        <v>476</v>
      </c>
      <c r="B478" s="3">
        <f t="shared" si="22"/>
        <v>67.599999999999994</v>
      </c>
      <c r="C478" s="12">
        <f t="shared" si="23"/>
        <v>3.9666670000000002</v>
      </c>
      <c r="D478" s="7"/>
      <c r="E478" s="10">
        <f>(ADC!I478+5/3)/(1/12)</f>
        <v>68.819257762726281</v>
      </c>
      <c r="F478" s="11">
        <f t="shared" si="21"/>
        <v>1.8036357436779386E-2</v>
      </c>
      <c r="G478" s="2"/>
      <c r="H478" s="2"/>
      <c r="I478" s="10">
        <f>ABS(C478-ADC!I478)</f>
        <v>0.10160448022718871</v>
      </c>
    </row>
    <row r="479" spans="1:9" x14ac:dyDescent="0.25">
      <c r="A479" s="3">
        <v>477</v>
      </c>
      <c r="B479" s="3">
        <f t="shared" si="22"/>
        <v>67.7</v>
      </c>
      <c r="C479" s="12">
        <f t="shared" si="23"/>
        <v>3.9750000000000001</v>
      </c>
      <c r="D479" s="7"/>
      <c r="E479" s="10">
        <f>(ADC!I479+5/3)/(1/12)</f>
        <v>68.925401293323276</v>
      </c>
      <c r="F479" s="11">
        <f t="shared" si="21"/>
        <v>1.8100462235203441E-2</v>
      </c>
      <c r="G479" s="2"/>
      <c r="H479" s="2"/>
      <c r="I479" s="10">
        <f>ABS(C479-ADC!I479)</f>
        <v>0.10211677444360534</v>
      </c>
    </row>
    <row r="480" spans="1:9" x14ac:dyDescent="0.25">
      <c r="A480" s="3">
        <v>478</v>
      </c>
      <c r="B480" s="3">
        <f t="shared" si="22"/>
        <v>67.800000000000011</v>
      </c>
      <c r="C480" s="12">
        <f t="shared" si="23"/>
        <v>3.983333</v>
      </c>
      <c r="D480" s="7"/>
      <c r="E480" s="10">
        <f>(ADC!I480+5/3)/(1/12)</f>
        <v>69.014232706849114</v>
      </c>
      <c r="F480" s="11">
        <f t="shared" si="21"/>
        <v>1.7909036974175556E-2</v>
      </c>
      <c r="G480" s="2"/>
      <c r="H480" s="2"/>
      <c r="I480" s="10">
        <f>ABS(C480-ADC!I480)</f>
        <v>0.10118639223742498</v>
      </c>
    </row>
    <row r="481" spans="1:9" x14ac:dyDescent="0.25">
      <c r="A481" s="3">
        <v>479</v>
      </c>
      <c r="B481" s="3">
        <f t="shared" si="22"/>
        <v>67.900000000000006</v>
      </c>
      <c r="C481" s="12">
        <f t="shared" si="23"/>
        <v>3.9916670000000001</v>
      </c>
      <c r="D481" s="7"/>
      <c r="E481" s="10">
        <f>(ADC!I481+5/3)/(1/12)</f>
        <v>69.114838141980471</v>
      </c>
      <c r="F481" s="11">
        <f t="shared" si="21"/>
        <v>1.7891577937856628E-2</v>
      </c>
      <c r="G481" s="2"/>
      <c r="H481" s="2"/>
      <c r="I481" s="10">
        <f>ABS(C481-ADC!I481)</f>
        <v>0.1012361784983713</v>
      </c>
    </row>
    <row r="482" spans="1:9" x14ac:dyDescent="0.25">
      <c r="A482" s="3">
        <v>480</v>
      </c>
      <c r="B482" s="3">
        <f t="shared" si="22"/>
        <v>68</v>
      </c>
      <c r="C482" s="12">
        <f t="shared" si="23"/>
        <v>4</v>
      </c>
      <c r="D482" s="7"/>
      <c r="E482" s="10">
        <f>(ADC!I482+5/3)/(1/12)</f>
        <v>69.2097921247843</v>
      </c>
      <c r="F482" s="11">
        <f t="shared" si="21"/>
        <v>1.7791060658592654E-2</v>
      </c>
      <c r="G482" s="2"/>
      <c r="H482" s="2"/>
      <c r="I482" s="10">
        <f>ABS(C482-ADC!I482)</f>
        <v>0.10081601039869081</v>
      </c>
    </row>
    <row r="483" spans="1:9" x14ac:dyDescent="0.25">
      <c r="A483" s="3">
        <v>481</v>
      </c>
      <c r="B483" s="3">
        <f t="shared" si="22"/>
        <v>68.099999999999994</v>
      </c>
      <c r="C483" s="12">
        <f t="shared" si="23"/>
        <v>4.0083330000000004</v>
      </c>
      <c r="D483" s="7"/>
      <c r="E483" s="10">
        <f>(ADC!I483+5/3)/(1/12)</f>
        <v>69.310673846183846</v>
      </c>
      <c r="F483" s="11">
        <f t="shared" si="21"/>
        <v>1.7777883203874478E-2</v>
      </c>
      <c r="G483" s="2"/>
      <c r="H483" s="2"/>
      <c r="I483" s="10">
        <f>ABS(C483-ADC!I483)</f>
        <v>0.10088982051531925</v>
      </c>
    </row>
    <row r="484" spans="1:9" x14ac:dyDescent="0.25">
      <c r="A484" s="3">
        <v>482</v>
      </c>
      <c r="B484" s="3">
        <f t="shared" si="22"/>
        <v>68.2</v>
      </c>
      <c r="C484" s="12">
        <f t="shared" si="23"/>
        <v>4.016667</v>
      </c>
      <c r="D484" s="7"/>
      <c r="E484" s="10">
        <f>(ADC!I484+5/3)/(1/12)</f>
        <v>69.405924977053587</v>
      </c>
      <c r="F484" s="11">
        <f t="shared" si="21"/>
        <v>1.7682184414275427E-2</v>
      </c>
      <c r="G484" s="2"/>
      <c r="H484" s="2"/>
      <c r="I484" s="10">
        <f>ABS(C484-ADC!I484)</f>
        <v>0.10049341475446472</v>
      </c>
    </row>
    <row r="485" spans="1:9" x14ac:dyDescent="0.25">
      <c r="A485" s="3">
        <v>483</v>
      </c>
      <c r="B485" s="3">
        <f t="shared" si="22"/>
        <v>68.300000000000011</v>
      </c>
      <c r="C485" s="12">
        <f t="shared" si="23"/>
        <v>4.0250000000000004</v>
      </c>
      <c r="D485" s="7"/>
      <c r="E485" s="10">
        <f>(ADC!I485+5/3)/(1/12)</f>
        <v>69.512826548474663</v>
      </c>
      <c r="F485" s="11">
        <f t="shared" si="21"/>
        <v>1.7757343315880702E-2</v>
      </c>
      <c r="G485" s="2"/>
      <c r="H485" s="2"/>
      <c r="I485" s="10">
        <f>ABS(C485-ADC!I485)</f>
        <v>0.10106887903955464</v>
      </c>
    </row>
    <row r="486" spans="1:9" x14ac:dyDescent="0.25">
      <c r="A486" s="3">
        <v>484</v>
      </c>
      <c r="B486" s="3">
        <f t="shared" si="22"/>
        <v>68.400000000000006</v>
      </c>
      <c r="C486" s="12">
        <f t="shared" si="23"/>
        <v>4.0333329999999998</v>
      </c>
      <c r="D486" s="7"/>
      <c r="E486" s="10">
        <f>(ADC!I486+5/3)/(1/12)</f>
        <v>69.608357539049649</v>
      </c>
      <c r="F486" s="11">
        <f t="shared" si="21"/>
        <v>1.7666045892538645E-2</v>
      </c>
      <c r="G486" s="2"/>
      <c r="H486" s="2"/>
      <c r="I486" s="10">
        <f>ABS(C486-ADC!I486)</f>
        <v>0.10069679492080308</v>
      </c>
    </row>
    <row r="487" spans="1:9" x14ac:dyDescent="0.25">
      <c r="A487" s="3">
        <v>485</v>
      </c>
      <c r="B487" s="3">
        <f t="shared" si="22"/>
        <v>68.5</v>
      </c>
      <c r="C487" s="12">
        <f t="shared" si="23"/>
        <v>4.0416670000000003</v>
      </c>
      <c r="D487" s="7"/>
      <c r="E487" s="10">
        <f>(ADC!I487+5/3)/(1/12)</f>
        <v>69.709763708631698</v>
      </c>
      <c r="F487" s="11">
        <f t="shared" si="21"/>
        <v>1.7660784067616026E-2</v>
      </c>
      <c r="G487" s="2"/>
      <c r="H487" s="2"/>
      <c r="I487" s="10">
        <f>ABS(C487-ADC!I487)</f>
        <v>0.10081330905264085</v>
      </c>
    </row>
    <row r="488" spans="1:9" x14ac:dyDescent="0.25">
      <c r="A488" s="3">
        <v>486</v>
      </c>
      <c r="B488" s="3">
        <f t="shared" si="22"/>
        <v>68.599999999999994</v>
      </c>
      <c r="C488" s="12">
        <f t="shared" si="23"/>
        <v>4.05</v>
      </c>
      <c r="D488" s="7"/>
      <c r="E488" s="10">
        <f>(ADC!I488+5/3)/(1/12)</f>
        <v>69.805580857875185</v>
      </c>
      <c r="F488" s="11">
        <f t="shared" si="21"/>
        <v>1.7574064983603366E-2</v>
      </c>
      <c r="G488" s="2"/>
      <c r="H488" s="2"/>
      <c r="I488" s="10">
        <f>ABS(C488-ADC!I488)</f>
        <v>0.10046507148959805</v>
      </c>
    </row>
    <row r="489" spans="1:9" x14ac:dyDescent="0.25">
      <c r="A489" s="3">
        <v>487</v>
      </c>
      <c r="B489" s="3">
        <f t="shared" si="22"/>
        <v>68.7</v>
      </c>
      <c r="C489" s="12">
        <f t="shared" si="23"/>
        <v>4.0583330000000002</v>
      </c>
      <c r="D489" s="7"/>
      <c r="E489" s="10">
        <f>(ADC!I489+5/3)/(1/12)</f>
        <v>69.901544889571468</v>
      </c>
      <c r="F489" s="11">
        <f t="shared" si="21"/>
        <v>1.7489736383864127E-2</v>
      </c>
      <c r="G489" s="2"/>
      <c r="H489" s="2"/>
      <c r="I489" s="10">
        <f>ABS(C489-ADC!I489)</f>
        <v>0.10012907413095462</v>
      </c>
    </row>
    <row r="490" spans="1:9" x14ac:dyDescent="0.25">
      <c r="A490" s="3">
        <v>488</v>
      </c>
      <c r="B490" s="3">
        <f t="shared" si="22"/>
        <v>68.800000000000011</v>
      </c>
      <c r="C490" s="12">
        <f t="shared" si="23"/>
        <v>4.0666669999999998</v>
      </c>
      <c r="D490" s="7"/>
      <c r="E490" s="10">
        <f>(ADC!I490+5/3)/(1/12)</f>
        <v>69.99765442251325</v>
      </c>
      <c r="F490" s="11">
        <f t="shared" si="21"/>
        <v>1.7407767769087767E-2</v>
      </c>
      <c r="G490" s="2"/>
      <c r="H490" s="2"/>
      <c r="I490" s="10">
        <f>ABS(C490-ADC!I490)</f>
        <v>9.9804201876103171E-2</v>
      </c>
    </row>
    <row r="491" spans="1:9" x14ac:dyDescent="0.25">
      <c r="A491" s="3">
        <v>489</v>
      </c>
      <c r="B491" s="3">
        <f t="shared" si="22"/>
        <v>68.900000000000006</v>
      </c>
      <c r="C491" s="12">
        <f t="shared" si="23"/>
        <v>4.0750000000000002</v>
      </c>
      <c r="D491" s="7"/>
      <c r="E491" s="10">
        <f>(ADC!I491+5/3)/(1/12)</f>
        <v>70.099586803879319</v>
      </c>
      <c r="F491" s="11">
        <f t="shared" si="21"/>
        <v>1.7410548677493663E-2</v>
      </c>
      <c r="G491" s="2"/>
      <c r="H491" s="2"/>
      <c r="I491" s="10">
        <f>ABS(C491-ADC!I491)</f>
        <v>9.9965566989942189E-2</v>
      </c>
    </row>
    <row r="492" spans="1:9" x14ac:dyDescent="0.25">
      <c r="A492" s="3">
        <v>490</v>
      </c>
      <c r="B492" s="3">
        <f t="shared" si="22"/>
        <v>69</v>
      </c>
      <c r="C492" s="12">
        <f t="shared" si="23"/>
        <v>4.0833329999999997</v>
      </c>
      <c r="D492" s="7"/>
      <c r="E492" s="10">
        <f>(ADC!I492+5/3)/(1/12)</f>
        <v>70.201638611679911</v>
      </c>
      <c r="F492" s="11">
        <f t="shared" si="21"/>
        <v>1.7415052343187118E-2</v>
      </c>
      <c r="G492" s="2"/>
      <c r="H492" s="2"/>
      <c r="I492" s="10">
        <f>ABS(C492-ADC!I492)</f>
        <v>0.10013688430665901</v>
      </c>
    </row>
    <row r="493" spans="1:9" x14ac:dyDescent="0.25">
      <c r="A493" s="3">
        <v>491</v>
      </c>
      <c r="B493" s="3">
        <f t="shared" si="22"/>
        <v>69.099999999999994</v>
      </c>
      <c r="C493" s="12">
        <f t="shared" si="23"/>
        <v>4.0916670000000002</v>
      </c>
      <c r="D493" s="7"/>
      <c r="E493" s="10">
        <f>(ADC!I493+5/3)/(1/12)</f>
        <v>70.298153088124067</v>
      </c>
      <c r="F493" s="11">
        <f t="shared" si="21"/>
        <v>1.7339407932331012E-2</v>
      </c>
      <c r="G493" s="2"/>
      <c r="H493" s="2"/>
      <c r="I493" s="10">
        <f>ABS(C493-ADC!I493)</f>
        <v>9.9845757343671515E-2</v>
      </c>
    </row>
    <row r="494" spans="1:9" x14ac:dyDescent="0.25">
      <c r="A494" s="3">
        <v>492</v>
      </c>
      <c r="B494" s="3">
        <f t="shared" si="22"/>
        <v>69.2</v>
      </c>
      <c r="C494" s="12">
        <f t="shared" si="23"/>
        <v>4.0999999999999996</v>
      </c>
      <c r="D494" s="7"/>
      <c r="E494" s="10">
        <f>(ADC!I494+5/3)/(1/12)</f>
        <v>70.394807605637268</v>
      </c>
      <c r="F494" s="11">
        <f t="shared" si="21"/>
        <v>1.7266005861810197E-2</v>
      </c>
      <c r="G494" s="2"/>
      <c r="H494" s="2"/>
      <c r="I494" s="10">
        <f>ABS(C494-ADC!I494)</f>
        <v>9.9567300469772135E-2</v>
      </c>
    </row>
    <row r="495" spans="1:9" x14ac:dyDescent="0.25">
      <c r="A495" s="3">
        <v>493</v>
      </c>
      <c r="B495" s="3">
        <f t="shared" si="22"/>
        <v>69.300000000000011</v>
      </c>
      <c r="C495" s="12">
        <f t="shared" si="23"/>
        <v>4.108333</v>
      </c>
      <c r="D495" s="7"/>
      <c r="E495" s="10">
        <f>(ADC!I495+5/3)/(1/12)</f>
        <v>70.491600800400278</v>
      </c>
      <c r="F495" s="11">
        <f t="shared" si="21"/>
        <v>1.7194816744592584E-2</v>
      </c>
      <c r="G495" s="2"/>
      <c r="H495" s="2"/>
      <c r="I495" s="10">
        <f>ABS(C495-ADC!I495)</f>
        <v>9.9300400033355274E-2</v>
      </c>
    </row>
    <row r="496" spans="1:9" x14ac:dyDescent="0.25">
      <c r="A496" s="3">
        <v>494</v>
      </c>
      <c r="B496" s="3">
        <f t="shared" si="22"/>
        <v>69.400000000000006</v>
      </c>
      <c r="C496" s="12">
        <f t="shared" si="23"/>
        <v>4.1166669999999996</v>
      </c>
      <c r="D496" s="7"/>
      <c r="E496" s="10">
        <f>(ADC!I496+5/3)/(1/12)</f>
        <v>70.58291076507706</v>
      </c>
      <c r="F496" s="11">
        <f t="shared" si="21"/>
        <v>1.7044823704280312E-2</v>
      </c>
      <c r="G496" s="2"/>
      <c r="H496" s="2"/>
      <c r="I496" s="10">
        <f>ABS(C496-ADC!I496)</f>
        <v>9.8575563756421403E-2</v>
      </c>
    </row>
    <row r="497" spans="1:9" x14ac:dyDescent="0.25">
      <c r="A497" s="3">
        <v>495</v>
      </c>
      <c r="B497" s="3">
        <f t="shared" si="22"/>
        <v>69.5</v>
      </c>
      <c r="C497" s="12">
        <f t="shared" si="23"/>
        <v>4.125</v>
      </c>
      <c r="D497" s="7"/>
      <c r="E497" s="10">
        <f>(ADC!I497+5/3)/(1/12)</f>
        <v>70.679988818374696</v>
      </c>
      <c r="F497" s="11">
        <f t="shared" si="21"/>
        <v>1.6978256379492025E-2</v>
      </c>
      <c r="G497" s="2"/>
      <c r="H497" s="2"/>
      <c r="I497" s="10">
        <f>ABS(C497-ADC!I497)</f>
        <v>9.8332401531223468E-2</v>
      </c>
    </row>
    <row r="498" spans="1:9" x14ac:dyDescent="0.25">
      <c r="A498" s="3">
        <v>496</v>
      </c>
      <c r="B498" s="3">
        <f t="shared" si="22"/>
        <v>69.599999999999994</v>
      </c>
      <c r="C498" s="12">
        <f t="shared" si="23"/>
        <v>4.1333330000000004</v>
      </c>
      <c r="D498" s="7"/>
      <c r="E498" s="10">
        <f>(ADC!I498+5/3)/(1/12)</f>
        <v>70.777201457425505</v>
      </c>
      <c r="F498" s="11">
        <f t="shared" si="21"/>
        <v>1.6913814043469987E-2</v>
      </c>
      <c r="G498" s="2"/>
      <c r="H498" s="2"/>
      <c r="I498" s="10">
        <f>ABS(C498-ADC!I498)</f>
        <v>9.8100454785457814E-2</v>
      </c>
    </row>
    <row r="499" spans="1:9" x14ac:dyDescent="0.25">
      <c r="A499" s="3">
        <v>497</v>
      </c>
      <c r="B499" s="3">
        <f t="shared" si="22"/>
        <v>69.7</v>
      </c>
      <c r="C499" s="12">
        <f t="shared" si="23"/>
        <v>4.141667</v>
      </c>
      <c r="D499" s="7"/>
      <c r="E499" s="10">
        <f>(ADC!I499+5/3)/(1/12)</f>
        <v>70.874547324441579</v>
      </c>
      <c r="F499" s="11">
        <f t="shared" si="21"/>
        <v>1.6851468069463072E-2</v>
      </c>
      <c r="G499" s="2"/>
      <c r="H499" s="2"/>
      <c r="I499" s="10">
        <f>ABS(C499-ADC!I499)</f>
        <v>9.7878610370131014E-2</v>
      </c>
    </row>
    <row r="500" spans="1:9" x14ac:dyDescent="0.25">
      <c r="A500" s="3">
        <v>498</v>
      </c>
      <c r="B500" s="3">
        <f t="shared" si="22"/>
        <v>69.800000000000011</v>
      </c>
      <c r="C500" s="12">
        <f t="shared" si="23"/>
        <v>4.1500000000000004</v>
      </c>
      <c r="D500" s="7"/>
      <c r="E500" s="10">
        <f>(ADC!I500+5/3)/(1/12)</f>
        <v>70.972025074042463</v>
      </c>
      <c r="F500" s="11">
        <f t="shared" si="21"/>
        <v>1.6791190172527962E-2</v>
      </c>
      <c r="G500" s="2"/>
      <c r="H500" s="2"/>
      <c r="I500" s="10">
        <f>ABS(C500-ADC!I500)</f>
        <v>9.7668756170204318E-2</v>
      </c>
    </row>
    <row r="501" spans="1:9" x14ac:dyDescent="0.25">
      <c r="A501" s="3">
        <v>499</v>
      </c>
      <c r="B501" s="3">
        <f t="shared" si="22"/>
        <v>69.900000000000006</v>
      </c>
      <c r="C501" s="12">
        <f t="shared" si="23"/>
        <v>4.1583329999999998</v>
      </c>
      <c r="D501" s="7"/>
      <c r="E501" s="10">
        <f>(ADC!I501+5/3)/(1/12)</f>
        <v>71.064070640261775</v>
      </c>
      <c r="F501" s="11">
        <f t="shared" si="21"/>
        <v>1.6653371105318591E-2</v>
      </c>
      <c r="G501" s="2"/>
      <c r="H501" s="2"/>
      <c r="I501" s="10">
        <f>ABS(C501-ADC!I501)</f>
        <v>9.7006220021814471E-2</v>
      </c>
    </row>
    <row r="502" spans="1:9" x14ac:dyDescent="0.25">
      <c r="A502" s="3">
        <v>500</v>
      </c>
      <c r="B502" s="3">
        <f t="shared" si="22"/>
        <v>70</v>
      </c>
      <c r="C502" s="12">
        <f t="shared" si="23"/>
        <v>4.1666670000000003</v>
      </c>
      <c r="D502" s="7"/>
      <c r="E502" s="10">
        <f>(ADC!I502+5/3)/(1/12)</f>
        <v>71.167370832917626</v>
      </c>
      <c r="F502" s="11">
        <f t="shared" si="21"/>
        <v>1.667672618453752E-2</v>
      </c>
      <c r="G502" s="2"/>
      <c r="H502" s="2"/>
      <c r="I502" s="10">
        <f>ABS(C502-ADC!I502)</f>
        <v>9.7280569409800677E-2</v>
      </c>
    </row>
    <row r="503" spans="1:9" x14ac:dyDescent="0.25">
      <c r="A503" s="3">
        <v>501</v>
      </c>
      <c r="B503" s="3">
        <f t="shared" si="22"/>
        <v>70.099999999999994</v>
      </c>
      <c r="C503" s="12">
        <f t="shared" si="23"/>
        <v>4.1749999999999998</v>
      </c>
      <c r="D503" s="7"/>
      <c r="E503" s="10">
        <f>(ADC!I503+5/3)/(1/12)</f>
        <v>71.265236160940034</v>
      </c>
      <c r="F503" s="11">
        <f t="shared" si="21"/>
        <v>1.6622484464194582E-2</v>
      </c>
      <c r="G503" s="2"/>
      <c r="H503" s="2"/>
      <c r="I503" s="10">
        <f>ABS(C503-ADC!I503)</f>
        <v>9.7103013411668826E-2</v>
      </c>
    </row>
    <row r="504" spans="1:9" x14ac:dyDescent="0.25">
      <c r="A504" s="3">
        <v>502</v>
      </c>
      <c r="B504" s="3">
        <f t="shared" si="22"/>
        <v>70.2</v>
      </c>
      <c r="C504" s="12">
        <f t="shared" si="23"/>
        <v>4.1833330000000002</v>
      </c>
      <c r="D504" s="7"/>
      <c r="E504" s="10">
        <f>(ADC!I504+5/3)/(1/12)</f>
        <v>71.357699778172432</v>
      </c>
      <c r="F504" s="11">
        <f t="shared" si="21"/>
        <v>1.649144983151608E-2</v>
      </c>
      <c r="G504" s="2"/>
      <c r="H504" s="2"/>
      <c r="I504" s="10">
        <f>ABS(C504-ADC!I504)</f>
        <v>9.6475314847701554E-2</v>
      </c>
    </row>
    <row r="505" spans="1:9" x14ac:dyDescent="0.25">
      <c r="A505" s="3">
        <v>503</v>
      </c>
      <c r="B505" s="3">
        <f t="shared" si="22"/>
        <v>70.300000000000011</v>
      </c>
      <c r="C505" s="12">
        <f t="shared" si="23"/>
        <v>4.1916669999999998</v>
      </c>
      <c r="D505" s="7"/>
      <c r="E505" s="10">
        <f>(ADC!I505+5/3)/(1/12)</f>
        <v>71.455828268603071</v>
      </c>
      <c r="F505" s="11">
        <f t="shared" si="21"/>
        <v>1.6441369396914072E-2</v>
      </c>
      <c r="G505" s="2"/>
      <c r="H505" s="2"/>
      <c r="I505" s="10">
        <f>ABS(C505-ADC!I505)</f>
        <v>9.6318689050255202E-2</v>
      </c>
    </row>
    <row r="506" spans="1:9" x14ac:dyDescent="0.25">
      <c r="A506" s="3">
        <v>504</v>
      </c>
      <c r="B506" s="3">
        <f t="shared" si="22"/>
        <v>70.400000000000006</v>
      </c>
      <c r="C506" s="12">
        <f t="shared" si="23"/>
        <v>4.2</v>
      </c>
      <c r="D506" s="7"/>
      <c r="E506" s="10">
        <f>(ADC!I506+5/3)/(1/12)</f>
        <v>71.548575306613316</v>
      </c>
      <c r="F506" s="11">
        <f t="shared" si="21"/>
        <v>1.6314990150757241E-2</v>
      </c>
      <c r="G506" s="2"/>
      <c r="H506" s="2"/>
      <c r="I506" s="10">
        <f>ABS(C506-ADC!I506)</f>
        <v>9.571460888444161E-2</v>
      </c>
    </row>
    <row r="507" spans="1:9" x14ac:dyDescent="0.25">
      <c r="A507" s="3">
        <v>505</v>
      </c>
      <c r="B507" s="3">
        <f t="shared" si="22"/>
        <v>70.5</v>
      </c>
      <c r="C507" s="12">
        <f t="shared" si="23"/>
        <v>4.2083329999999997</v>
      </c>
      <c r="D507" s="7"/>
      <c r="E507" s="10">
        <f>(ADC!I507+5/3)/(1/12)</f>
        <v>71.646961578324309</v>
      </c>
      <c r="F507" s="11">
        <f t="shared" si="21"/>
        <v>1.6268958557791612E-2</v>
      </c>
      <c r="G507" s="2"/>
      <c r="H507" s="2"/>
      <c r="I507" s="10">
        <f>ABS(C507-ADC!I507)</f>
        <v>9.5580464860359093E-2</v>
      </c>
    </row>
    <row r="508" spans="1:9" x14ac:dyDescent="0.25">
      <c r="A508" s="3">
        <v>506</v>
      </c>
      <c r="B508" s="3">
        <f t="shared" si="22"/>
        <v>70.599999999999994</v>
      </c>
      <c r="C508" s="12">
        <f t="shared" si="23"/>
        <v>4.2166670000000002</v>
      </c>
      <c r="D508" s="7"/>
      <c r="E508" s="10">
        <f>(ADC!I508+5/3)/(1/12)</f>
        <v>71.745469021476381</v>
      </c>
      <c r="F508" s="11">
        <f t="shared" si="21"/>
        <v>1.6224773675302936E-2</v>
      </c>
      <c r="G508" s="2"/>
      <c r="H508" s="2"/>
      <c r="I508" s="10">
        <f>ABS(C508-ADC!I508)</f>
        <v>9.5455418456364072E-2</v>
      </c>
    </row>
    <row r="509" spans="1:9" x14ac:dyDescent="0.25">
      <c r="A509" s="3">
        <v>507</v>
      </c>
      <c r="B509" s="3">
        <f t="shared" si="22"/>
        <v>70.7</v>
      </c>
      <c r="C509" s="12">
        <f t="shared" si="23"/>
        <v>4.2249999999999996</v>
      </c>
      <c r="D509" s="7"/>
      <c r="E509" s="10">
        <f>(ADC!I509+5/3)/(1/12)</f>
        <v>71.838625295033793</v>
      </c>
      <c r="F509" s="11">
        <f t="shared" si="21"/>
        <v>1.6105025389445408E-2</v>
      </c>
      <c r="G509" s="2"/>
      <c r="H509" s="2"/>
      <c r="I509" s="10">
        <f>ABS(C509-ADC!I509)</f>
        <v>9.4885441252815284E-2</v>
      </c>
    </row>
    <row r="510" spans="1:9" x14ac:dyDescent="0.25">
      <c r="A510" s="3">
        <v>508</v>
      </c>
      <c r="B510" s="3">
        <f t="shared" si="22"/>
        <v>70.800000000000011</v>
      </c>
      <c r="C510" s="12">
        <f t="shared" si="23"/>
        <v>4.233333</v>
      </c>
      <c r="D510" s="7"/>
      <c r="E510" s="10">
        <f>(ADC!I510+5/3)/(1/12)</f>
        <v>71.931922893957619</v>
      </c>
      <c r="F510" s="11">
        <f t="shared" si="21"/>
        <v>1.598761149657638E-2</v>
      </c>
      <c r="G510" s="2"/>
      <c r="H510" s="2"/>
      <c r="I510" s="10">
        <f>ABS(C510-ADC!I510)</f>
        <v>9.4327241163133735E-2</v>
      </c>
    </row>
    <row r="511" spans="1:9" x14ac:dyDescent="0.25">
      <c r="A511" s="3">
        <v>509</v>
      </c>
      <c r="B511" s="3">
        <f t="shared" si="22"/>
        <v>70.900000000000006</v>
      </c>
      <c r="C511" s="12">
        <f t="shared" si="23"/>
        <v>4.2416669999999996</v>
      </c>
      <c r="D511" s="7"/>
      <c r="E511" s="10">
        <f>(ADC!I511+5/3)/(1/12)</f>
        <v>72.025360455183886</v>
      </c>
      <c r="F511" s="11">
        <f t="shared" si="21"/>
        <v>1.5872502893989851E-2</v>
      </c>
      <c r="G511" s="2"/>
      <c r="H511" s="2"/>
      <c r="I511" s="10">
        <f>ABS(C511-ADC!I511)</f>
        <v>9.3779704598656366E-2</v>
      </c>
    </row>
    <row r="512" spans="1:9" x14ac:dyDescent="0.25">
      <c r="A512" s="3">
        <v>510</v>
      </c>
      <c r="B512" s="3">
        <f t="shared" si="22"/>
        <v>71</v>
      </c>
      <c r="C512" s="12">
        <f t="shared" si="23"/>
        <v>4.25</v>
      </c>
      <c r="D512" s="7"/>
      <c r="E512" s="10">
        <f>(ADC!I512+5/3)/(1/12)</f>
        <v>72.124373477103973</v>
      </c>
      <c r="F512" s="11">
        <f t="shared" si="21"/>
        <v>1.5836246156393979E-2</v>
      </c>
      <c r="G512" s="2"/>
      <c r="H512" s="2"/>
      <c r="I512" s="10">
        <f>ABS(C512-ADC!I512)</f>
        <v>9.3697789758663497E-2</v>
      </c>
    </row>
    <row r="513" spans="1:9" x14ac:dyDescent="0.25">
      <c r="A513" s="3">
        <v>511</v>
      </c>
      <c r="B513" s="3">
        <f t="shared" si="22"/>
        <v>71.099999999999994</v>
      </c>
      <c r="C513" s="12">
        <f t="shared" si="23"/>
        <v>4.2583330000000004</v>
      </c>
      <c r="D513" s="7"/>
      <c r="E513" s="10">
        <f>(ADC!I513+5/3)/(1/12)</f>
        <v>72.21807553886687</v>
      </c>
      <c r="F513" s="11">
        <f t="shared" si="21"/>
        <v>1.5725394358183906E-2</v>
      </c>
      <c r="G513" s="2"/>
      <c r="H513" s="2"/>
      <c r="I513" s="10">
        <f>ABS(C513-ADC!I513)</f>
        <v>9.3173294905571247E-2</v>
      </c>
    </row>
    <row r="514" spans="1:9" x14ac:dyDescent="0.25">
      <c r="A514" s="3">
        <v>512</v>
      </c>
      <c r="B514" s="3">
        <f t="shared" si="22"/>
        <v>71.2</v>
      </c>
      <c r="C514" s="12">
        <f t="shared" si="23"/>
        <v>4.266667</v>
      </c>
      <c r="D514" s="7"/>
      <c r="E514" s="10">
        <f>(ADC!I514+5/3)/(1/12)</f>
        <v>72.31191351195379</v>
      </c>
      <c r="F514" s="11">
        <f t="shared" ref="F514:F577" si="24">ABS(B514-E514)/B514</f>
        <v>1.5616762808339709E-2</v>
      </c>
      <c r="G514" s="2"/>
      <c r="H514" s="2"/>
      <c r="I514" s="10">
        <f>ABS(C514-ADC!I514)</f>
        <v>9.2659125996148006E-2</v>
      </c>
    </row>
    <row r="515" spans="1:9" x14ac:dyDescent="0.25">
      <c r="A515" s="3">
        <v>513</v>
      </c>
      <c r="B515" s="3">
        <f t="shared" ref="B515:B578" si="25">0.1*A515+20</f>
        <v>71.300000000000011</v>
      </c>
      <c r="C515" s="12">
        <f t="shared" ref="C515:C578" si="26">ROUND(1/12*B515-5/3,6)</f>
        <v>4.2750000000000004</v>
      </c>
      <c r="D515" s="7"/>
      <c r="E515" s="10">
        <f>(ADC!I515+5/3)/(1/12)</f>
        <v>72.405886054301163</v>
      </c>
      <c r="F515" s="11">
        <f t="shared" si="24"/>
        <v>1.5510323342232143E-2</v>
      </c>
      <c r="G515" s="2"/>
      <c r="H515" s="2"/>
      <c r="I515" s="10">
        <f>ABS(C515-ADC!I515)</f>
        <v>9.2157171191762366E-2</v>
      </c>
    </row>
    <row r="516" spans="1:9" x14ac:dyDescent="0.25">
      <c r="A516" s="3">
        <v>514</v>
      </c>
      <c r="B516" s="3">
        <f t="shared" si="25"/>
        <v>71.400000000000006</v>
      </c>
      <c r="C516" s="12">
        <f t="shared" si="26"/>
        <v>4.2833329999999998</v>
      </c>
      <c r="D516" s="7"/>
      <c r="E516" s="10">
        <f>(ADC!I516+5/3)/(1/12)</f>
        <v>72.499991816574237</v>
      </c>
      <c r="F516" s="11">
        <f t="shared" si="24"/>
        <v>1.5406047851179713E-2</v>
      </c>
      <c r="G516" s="2"/>
      <c r="H516" s="2"/>
      <c r="I516" s="10">
        <f>ABS(C516-ADC!I516)</f>
        <v>9.166631804785208E-2</v>
      </c>
    </row>
    <row r="517" spans="1:9" x14ac:dyDescent="0.25">
      <c r="A517" s="3">
        <v>515</v>
      </c>
      <c r="B517" s="3">
        <f t="shared" si="25"/>
        <v>71.5</v>
      </c>
      <c r="C517" s="12">
        <f t="shared" si="26"/>
        <v>4.2916670000000003</v>
      </c>
      <c r="D517" s="7"/>
      <c r="E517" s="10">
        <f>(ADC!I517+5/3)/(1/12)</f>
        <v>72.599609727608183</v>
      </c>
      <c r="F517" s="11">
        <f t="shared" si="24"/>
        <v>1.5379157029485072E-2</v>
      </c>
      <c r="G517" s="2"/>
      <c r="H517" s="2"/>
      <c r="I517" s="10">
        <f>ABS(C517-ADC!I517)</f>
        <v>9.163381063401399E-2</v>
      </c>
    </row>
    <row r="518" spans="1:9" x14ac:dyDescent="0.25">
      <c r="A518" s="3">
        <v>516</v>
      </c>
      <c r="B518" s="3">
        <f t="shared" si="25"/>
        <v>71.599999999999994</v>
      </c>
      <c r="C518" s="12">
        <f t="shared" si="26"/>
        <v>4.3</v>
      </c>
      <c r="D518" s="7"/>
      <c r="E518" s="10">
        <f>(ADC!I518+5/3)/(1/12)</f>
        <v>72.693966640046625</v>
      </c>
      <c r="F518" s="11">
        <f t="shared" si="24"/>
        <v>1.5278863687802107E-2</v>
      </c>
      <c r="G518" s="2"/>
      <c r="H518" s="2"/>
      <c r="I518" s="10">
        <f>ABS(C518-ADC!I518)</f>
        <v>9.1163886670551086E-2</v>
      </c>
    </row>
    <row r="519" spans="1:9" x14ac:dyDescent="0.25">
      <c r="A519" s="3">
        <v>517</v>
      </c>
      <c r="B519" s="3">
        <f t="shared" si="25"/>
        <v>71.7</v>
      </c>
      <c r="C519" s="12">
        <f t="shared" si="26"/>
        <v>4.3083330000000002</v>
      </c>
      <c r="D519" s="7"/>
      <c r="E519" s="10">
        <f>(ADC!I519+5/3)/(1/12)</f>
        <v>72.788452778672905</v>
      </c>
      <c r="F519" s="11">
        <f t="shared" si="24"/>
        <v>1.5180652422216211E-2</v>
      </c>
      <c r="G519" s="2"/>
      <c r="H519" s="2"/>
      <c r="I519" s="10">
        <f>ABS(C519-ADC!I519)</f>
        <v>9.0704731556074947E-2</v>
      </c>
    </row>
    <row r="520" spans="1:9" x14ac:dyDescent="0.25">
      <c r="A520" s="3">
        <v>518</v>
      </c>
      <c r="B520" s="3">
        <f t="shared" si="25"/>
        <v>71.800000000000011</v>
      </c>
      <c r="C520" s="12">
        <f t="shared" si="26"/>
        <v>4.3166669999999998</v>
      </c>
      <c r="D520" s="7"/>
      <c r="E520" s="10">
        <f>(ADC!I520+5/3)/(1/12)</f>
        <v>72.877720315253441</v>
      </c>
      <c r="F520" s="11">
        <f t="shared" si="24"/>
        <v>1.5010032245869494E-2</v>
      </c>
      <c r="G520" s="2"/>
      <c r="H520" s="2"/>
      <c r="I520" s="10">
        <f>ABS(C520-ADC!I520)</f>
        <v>8.9809692937786068E-2</v>
      </c>
    </row>
    <row r="521" spans="1:9" x14ac:dyDescent="0.25">
      <c r="A521" s="3">
        <v>519</v>
      </c>
      <c r="B521" s="3">
        <f t="shared" si="25"/>
        <v>71.900000000000006</v>
      </c>
      <c r="C521" s="12">
        <f t="shared" si="26"/>
        <v>4.3250000000000002</v>
      </c>
      <c r="D521" s="7"/>
      <c r="E521" s="10">
        <f>(ADC!I521+5/3)/(1/12)</f>
        <v>72.972472138275478</v>
      </c>
      <c r="F521" s="11">
        <f t="shared" si="24"/>
        <v>1.4916163258351491E-2</v>
      </c>
      <c r="G521" s="2"/>
      <c r="H521" s="2"/>
      <c r="I521" s="10">
        <f>ABS(C521-ADC!I521)</f>
        <v>8.9372678189621801E-2</v>
      </c>
    </row>
    <row r="522" spans="1:9" x14ac:dyDescent="0.25">
      <c r="A522" s="3">
        <v>520</v>
      </c>
      <c r="B522" s="3">
        <f t="shared" si="25"/>
        <v>72</v>
      </c>
      <c r="C522" s="12">
        <f t="shared" si="26"/>
        <v>4.3333329999999997</v>
      </c>
      <c r="D522" s="7"/>
      <c r="E522" s="10">
        <f>(ADC!I522+5/3)/(1/12)</f>
        <v>73.072673253341407</v>
      </c>
      <c r="F522" s="11">
        <f t="shared" si="24"/>
        <v>1.4898239629741758E-2</v>
      </c>
      <c r="G522" s="2"/>
      <c r="H522" s="2"/>
      <c r="I522" s="10">
        <f>ABS(C522-ADC!I522)</f>
        <v>8.9389771111783922E-2</v>
      </c>
    </row>
    <row r="523" spans="1:9" x14ac:dyDescent="0.25">
      <c r="A523" s="3">
        <v>521</v>
      </c>
      <c r="B523" s="3">
        <f t="shared" si="25"/>
        <v>72.099999999999994</v>
      </c>
      <c r="C523" s="12">
        <f t="shared" si="26"/>
        <v>4.3416670000000002</v>
      </c>
      <c r="D523" s="7"/>
      <c r="E523" s="10">
        <f>(ADC!I523+5/3)/(1/12)</f>
        <v>73.162350143765494</v>
      </c>
      <c r="F523" s="11">
        <f t="shared" si="24"/>
        <v>1.4734398665263515E-2</v>
      </c>
      <c r="G523" s="2"/>
      <c r="H523" s="2"/>
      <c r="I523" s="10">
        <f>ABS(C523-ADC!I523)</f>
        <v>8.8528845313789795E-2</v>
      </c>
    </row>
    <row r="524" spans="1:9" x14ac:dyDescent="0.25">
      <c r="A524" s="3">
        <v>522</v>
      </c>
      <c r="B524" s="3">
        <f t="shared" si="25"/>
        <v>72.2</v>
      </c>
      <c r="C524" s="12">
        <f t="shared" si="26"/>
        <v>4.3499999999999996</v>
      </c>
      <c r="D524" s="7"/>
      <c r="E524" s="10">
        <f>(ADC!I524+5/3)/(1/12)</f>
        <v>73.257473688612805</v>
      </c>
      <c r="F524" s="11">
        <f t="shared" si="24"/>
        <v>1.4646449980786734E-2</v>
      </c>
      <c r="G524" s="2"/>
      <c r="H524" s="2"/>
      <c r="I524" s="10">
        <f>ABS(C524-ADC!I524)</f>
        <v>8.8122807384400481E-2</v>
      </c>
    </row>
    <row r="525" spans="1:9" x14ac:dyDescent="0.25">
      <c r="A525" s="3">
        <v>523</v>
      </c>
      <c r="B525" s="3">
        <f t="shared" si="25"/>
        <v>72.300000000000011</v>
      </c>
      <c r="C525" s="12">
        <f t="shared" si="26"/>
        <v>4.358333</v>
      </c>
      <c r="D525" s="7"/>
      <c r="E525" s="10">
        <f>(ADC!I525+5/3)/(1/12)</f>
        <v>73.347427981242447</v>
      </c>
      <c r="F525" s="11">
        <f t="shared" si="24"/>
        <v>1.4487247320089011E-2</v>
      </c>
      <c r="G525" s="2"/>
      <c r="H525" s="2"/>
      <c r="I525" s="10">
        <f>ABS(C525-ADC!I525)</f>
        <v>8.7285998436869683E-2</v>
      </c>
    </row>
    <row r="526" spans="1:9" x14ac:dyDescent="0.25">
      <c r="A526" s="3">
        <v>524</v>
      </c>
      <c r="B526" s="3">
        <f t="shared" si="25"/>
        <v>72.400000000000006</v>
      </c>
      <c r="C526" s="12">
        <f t="shared" si="26"/>
        <v>4.3666669999999996</v>
      </c>
      <c r="D526" s="7"/>
      <c r="E526" s="10">
        <f>(ADC!I526+5/3)/(1/12)</f>
        <v>73.448083300760317</v>
      </c>
      <c r="F526" s="11">
        <f t="shared" si="24"/>
        <v>1.4476288684534681E-2</v>
      </c>
      <c r="G526" s="2"/>
      <c r="H526" s="2"/>
      <c r="I526" s="10">
        <f>ABS(C526-ADC!I526)</f>
        <v>8.7339941730025572E-2</v>
      </c>
    </row>
    <row r="527" spans="1:9" x14ac:dyDescent="0.25">
      <c r="A527" s="3">
        <v>525</v>
      </c>
      <c r="B527" s="3">
        <f t="shared" si="25"/>
        <v>72.5</v>
      </c>
      <c r="C527" s="12">
        <f t="shared" si="26"/>
        <v>4.375</v>
      </c>
      <c r="D527" s="7"/>
      <c r="E527" s="10">
        <f>(ADC!I527+5/3)/(1/12)</f>
        <v>73.533030234428821</v>
      </c>
      <c r="F527" s="11">
        <f t="shared" si="24"/>
        <v>1.4248692888673397E-2</v>
      </c>
      <c r="G527" s="2"/>
      <c r="H527" s="2"/>
      <c r="I527" s="10">
        <f>ABS(C527-ADC!I527)</f>
        <v>8.6085852869067558E-2</v>
      </c>
    </row>
    <row r="528" spans="1:9" x14ac:dyDescent="0.25">
      <c r="A528" s="3">
        <v>526</v>
      </c>
      <c r="B528" s="3">
        <f t="shared" si="25"/>
        <v>72.599999999999994</v>
      </c>
      <c r="C528" s="12">
        <f t="shared" si="26"/>
        <v>4.3833330000000004</v>
      </c>
      <c r="D528" s="7"/>
      <c r="E528" s="10">
        <f>(ADC!I528+5/3)/(1/12)</f>
        <v>73.628653254147935</v>
      </c>
      <c r="F528" s="11">
        <f t="shared" si="24"/>
        <v>1.4168777605343531E-2</v>
      </c>
      <c r="G528" s="2"/>
      <c r="H528" s="2"/>
      <c r="I528" s="10">
        <f>ABS(C528-ADC!I528)</f>
        <v>8.5721437845660553E-2</v>
      </c>
    </row>
    <row r="529" spans="1:9" x14ac:dyDescent="0.25">
      <c r="A529" s="3">
        <v>527</v>
      </c>
      <c r="B529" s="3">
        <f t="shared" si="25"/>
        <v>72.7</v>
      </c>
      <c r="C529" s="12">
        <f t="shared" si="26"/>
        <v>4.391667</v>
      </c>
      <c r="D529" s="7"/>
      <c r="E529" s="10">
        <f>(ADC!I529+5/3)/(1/12)</f>
        <v>73.719146267918887</v>
      </c>
      <c r="F529" s="11">
        <f t="shared" si="24"/>
        <v>1.4018518128182731E-2</v>
      </c>
      <c r="G529" s="2"/>
      <c r="H529" s="2"/>
      <c r="I529" s="10">
        <f>ABS(C529-ADC!I529)</f>
        <v>8.4928522326573663E-2</v>
      </c>
    </row>
    <row r="530" spans="1:9" x14ac:dyDescent="0.25">
      <c r="A530" s="3">
        <v>528</v>
      </c>
      <c r="B530" s="3">
        <f t="shared" si="25"/>
        <v>72.800000000000011</v>
      </c>
      <c r="C530" s="12">
        <f t="shared" si="26"/>
        <v>4.4000000000000004</v>
      </c>
      <c r="D530" s="7"/>
      <c r="E530" s="10">
        <f>(ADC!I530+5/3)/(1/12)</f>
        <v>73.80977617328459</v>
      </c>
      <c r="F530" s="11">
        <f t="shared" si="24"/>
        <v>1.3870551830832117E-2</v>
      </c>
      <c r="G530" s="2"/>
      <c r="H530" s="2"/>
      <c r="I530" s="10">
        <f>ABS(C530-ADC!I530)</f>
        <v>8.4148014440381225E-2</v>
      </c>
    </row>
    <row r="531" spans="1:9" x14ac:dyDescent="0.25">
      <c r="A531" s="3">
        <v>529</v>
      </c>
      <c r="B531" s="3">
        <f t="shared" si="25"/>
        <v>72.900000000000006</v>
      </c>
      <c r="C531" s="12">
        <f t="shared" si="26"/>
        <v>4.4083329999999998</v>
      </c>
      <c r="D531" s="7"/>
      <c r="E531" s="10">
        <f>(ADC!I531+5/3)/(1/12)</f>
        <v>73.905765503960822</v>
      </c>
      <c r="F531" s="11">
        <f t="shared" si="24"/>
        <v>1.3796508970655917E-2</v>
      </c>
      <c r="G531" s="2"/>
      <c r="H531" s="2"/>
      <c r="I531" s="10">
        <f>ABS(C531-ADC!I531)</f>
        <v>8.3814125330068379E-2</v>
      </c>
    </row>
    <row r="532" spans="1:9" x14ac:dyDescent="0.25">
      <c r="A532" s="3">
        <v>530</v>
      </c>
      <c r="B532" s="3">
        <f t="shared" si="25"/>
        <v>73</v>
      </c>
      <c r="C532" s="12">
        <f t="shared" si="26"/>
        <v>4.4166670000000003</v>
      </c>
      <c r="D532" s="7"/>
      <c r="E532" s="10">
        <f>(ADC!I532+5/3)/(1/12)</f>
        <v>74.001866951941494</v>
      </c>
      <c r="F532" s="11">
        <f t="shared" si="24"/>
        <v>1.3724204821116359E-2</v>
      </c>
      <c r="G532" s="2"/>
      <c r="H532" s="2"/>
      <c r="I532" s="10">
        <f>ABS(C532-ADC!I532)</f>
        <v>8.3488579328457213E-2</v>
      </c>
    </row>
    <row r="533" spans="1:9" x14ac:dyDescent="0.25">
      <c r="A533" s="3">
        <v>531</v>
      </c>
      <c r="B533" s="3">
        <f t="shared" si="25"/>
        <v>73.099999999999994</v>
      </c>
      <c r="C533" s="12">
        <f t="shared" si="26"/>
        <v>4.4249999999999998</v>
      </c>
      <c r="D533" s="7"/>
      <c r="E533" s="10">
        <f>(ADC!I533+5/3)/(1/12)</f>
        <v>74.09287742524269</v>
      </c>
      <c r="F533" s="11">
        <f t="shared" si="24"/>
        <v>1.3582454517683943E-2</v>
      </c>
      <c r="G533" s="2"/>
      <c r="H533" s="2"/>
      <c r="I533" s="10">
        <f>ABS(C533-ADC!I533)</f>
        <v>8.2739785436889868E-2</v>
      </c>
    </row>
    <row r="534" spans="1:9" x14ac:dyDescent="0.25">
      <c r="A534" s="3">
        <v>532</v>
      </c>
      <c r="B534" s="3">
        <f t="shared" si="25"/>
        <v>73.2</v>
      </c>
      <c r="C534" s="12">
        <f t="shared" si="26"/>
        <v>4.4333330000000002</v>
      </c>
      <c r="D534" s="7"/>
      <c r="E534" s="10">
        <f>(ADC!I534+5/3)/(1/12)</f>
        <v>74.184019477404377</v>
      </c>
      <c r="F534" s="11">
        <f t="shared" si="24"/>
        <v>1.3442889035578876E-2</v>
      </c>
      <c r="G534" s="2"/>
      <c r="H534" s="2"/>
      <c r="I534" s="10">
        <f>ABS(C534-ADC!I534)</f>
        <v>8.2001956450364233E-2</v>
      </c>
    </row>
    <row r="535" spans="1:9" x14ac:dyDescent="0.25">
      <c r="A535" s="3">
        <v>533</v>
      </c>
      <c r="B535" s="3">
        <f t="shared" si="25"/>
        <v>73.300000000000011</v>
      </c>
      <c r="C535" s="12">
        <f t="shared" si="26"/>
        <v>4.4416669999999998</v>
      </c>
      <c r="D535" s="7"/>
      <c r="E535" s="10">
        <f>(ADC!I535+5/3)/(1/12)</f>
        <v>74.28047156772935</v>
      </c>
      <c r="F535" s="11">
        <f t="shared" si="24"/>
        <v>1.3376146899445274E-2</v>
      </c>
      <c r="G535" s="2"/>
      <c r="H535" s="2"/>
      <c r="I535" s="10">
        <f>ABS(C535-ADC!I535)</f>
        <v>8.1705630644112404E-2</v>
      </c>
    </row>
    <row r="536" spans="1:9" x14ac:dyDescent="0.25">
      <c r="A536" s="3">
        <v>534</v>
      </c>
      <c r="B536" s="3">
        <f t="shared" si="25"/>
        <v>73.400000000000006</v>
      </c>
      <c r="C536" s="12">
        <f t="shared" si="26"/>
        <v>4.45</v>
      </c>
      <c r="D536" s="7"/>
      <c r="E536" s="10">
        <f>(ADC!I536+5/3)/(1/12)</f>
        <v>74.371861818364977</v>
      </c>
      <c r="F536" s="11">
        <f t="shared" si="24"/>
        <v>1.3240624228405598E-2</v>
      </c>
      <c r="G536" s="2"/>
      <c r="H536" s="2"/>
      <c r="I536" s="10">
        <f>ABS(C536-ADC!I536)</f>
        <v>8.098848486374699E-2</v>
      </c>
    </row>
    <row r="537" spans="1:9" x14ac:dyDescent="0.25">
      <c r="A537" s="3">
        <v>535</v>
      </c>
      <c r="B537" s="3">
        <f t="shared" si="25"/>
        <v>73.5</v>
      </c>
      <c r="C537" s="12">
        <f t="shared" si="26"/>
        <v>4.4583329999999997</v>
      </c>
      <c r="D537" s="7"/>
      <c r="E537" s="10">
        <f>(ADC!I537+5/3)/(1/12)</f>
        <v>74.46337969535854</v>
      </c>
      <c r="F537" s="11">
        <f t="shared" si="24"/>
        <v>1.3107206739571976E-2</v>
      </c>
      <c r="G537" s="2"/>
      <c r="H537" s="2"/>
      <c r="I537" s="10">
        <f>ABS(C537-ADC!I537)</f>
        <v>8.0281974613210849E-2</v>
      </c>
    </row>
    <row r="538" spans="1:9" x14ac:dyDescent="0.25">
      <c r="A538" s="3">
        <v>536</v>
      </c>
      <c r="B538" s="3">
        <f t="shared" si="25"/>
        <v>73.599999999999994</v>
      </c>
      <c r="C538" s="12">
        <f t="shared" si="26"/>
        <v>4.4666670000000002</v>
      </c>
      <c r="D538" s="7"/>
      <c r="E538" s="10">
        <f>(ADC!I538+5/3)/(1/12)</f>
        <v>74.555023882998356</v>
      </c>
      <c r="F538" s="11">
        <f t="shared" si="24"/>
        <v>1.2975867975521214E-2</v>
      </c>
      <c r="G538" s="2"/>
      <c r="H538" s="2"/>
      <c r="I538" s="10">
        <f>ABS(C538-ADC!I538)</f>
        <v>7.9584990249862209E-2</v>
      </c>
    </row>
    <row r="539" spans="1:9" x14ac:dyDescent="0.25">
      <c r="A539" s="3">
        <v>537</v>
      </c>
      <c r="B539" s="3">
        <f t="shared" si="25"/>
        <v>73.7</v>
      </c>
      <c r="C539" s="12">
        <f t="shared" si="26"/>
        <v>4.4749999999999996</v>
      </c>
      <c r="D539" s="7"/>
      <c r="E539" s="10">
        <f>(ADC!I539+5/3)/(1/12)</f>
        <v>74.641657139010917</v>
      </c>
      <c r="F539" s="11">
        <f t="shared" si="24"/>
        <v>1.2776894694856364E-2</v>
      </c>
      <c r="G539" s="2"/>
      <c r="H539" s="2"/>
      <c r="I539" s="10">
        <f>ABS(C539-ADC!I539)</f>
        <v>7.8471428250909803E-2</v>
      </c>
    </row>
    <row r="540" spans="1:9" x14ac:dyDescent="0.25">
      <c r="A540" s="3">
        <v>538</v>
      </c>
      <c r="B540" s="3">
        <f t="shared" si="25"/>
        <v>73.800000000000011</v>
      </c>
      <c r="C540" s="12">
        <f t="shared" si="26"/>
        <v>4.483333</v>
      </c>
      <c r="D540" s="7"/>
      <c r="E540" s="10">
        <f>(ADC!I540+5/3)/(1/12)</f>
        <v>74.738685941898197</v>
      </c>
      <c r="F540" s="11">
        <f t="shared" si="24"/>
        <v>1.2719321705937474E-2</v>
      </c>
      <c r="G540" s="2"/>
      <c r="H540" s="2"/>
      <c r="I540" s="10">
        <f>ABS(C540-ADC!I540)</f>
        <v>7.8224161824849148E-2</v>
      </c>
    </row>
    <row r="541" spans="1:9" x14ac:dyDescent="0.25">
      <c r="A541" s="3">
        <v>539</v>
      </c>
      <c r="B541" s="3">
        <f t="shared" si="25"/>
        <v>73.900000000000006</v>
      </c>
      <c r="C541" s="12">
        <f t="shared" si="26"/>
        <v>4.4916669999999996</v>
      </c>
      <c r="D541" s="7"/>
      <c r="E541" s="10">
        <f>(ADC!I541+5/3)/(1/12)</f>
        <v>74.830701197553907</v>
      </c>
      <c r="F541" s="11">
        <f t="shared" si="24"/>
        <v>1.2594062213178636E-2</v>
      </c>
      <c r="G541" s="2"/>
      <c r="H541" s="2"/>
      <c r="I541" s="10">
        <f>ABS(C541-ADC!I541)</f>
        <v>7.7558099796158686E-2</v>
      </c>
    </row>
    <row r="542" spans="1:9" x14ac:dyDescent="0.25">
      <c r="A542" s="3">
        <v>540</v>
      </c>
      <c r="B542" s="3">
        <f t="shared" si="25"/>
        <v>74</v>
      </c>
      <c r="C542" s="12">
        <f t="shared" si="26"/>
        <v>4.5</v>
      </c>
      <c r="D542" s="7"/>
      <c r="E542" s="10">
        <f>(ADC!I542+5/3)/(1/12)</f>
        <v>74.917734316711432</v>
      </c>
      <c r="F542" s="11">
        <f t="shared" si="24"/>
        <v>1.2401815090695021E-2</v>
      </c>
      <c r="G542" s="2"/>
      <c r="H542" s="2"/>
      <c r="I542" s="10">
        <f>ABS(C542-ADC!I542)</f>
        <v>7.6477859725952335E-2</v>
      </c>
    </row>
    <row r="543" spans="1:9" x14ac:dyDescent="0.25">
      <c r="A543" s="3">
        <v>541</v>
      </c>
      <c r="B543" s="3">
        <f t="shared" si="25"/>
        <v>74.099999999999994</v>
      </c>
      <c r="C543" s="12">
        <f t="shared" si="26"/>
        <v>4.5083330000000004</v>
      </c>
      <c r="D543" s="7"/>
      <c r="E543" s="10">
        <f>(ADC!I543+5/3)/(1/12)</f>
        <v>75.004908976342179</v>
      </c>
      <c r="F543" s="11">
        <f t="shared" si="24"/>
        <v>1.2211996981675908E-2</v>
      </c>
      <c r="G543" s="2"/>
      <c r="H543" s="2"/>
      <c r="I543" s="10">
        <f>ABS(C543-ADC!I543)</f>
        <v>7.5409414695180921E-2</v>
      </c>
    </row>
    <row r="544" spans="1:9" x14ac:dyDescent="0.25">
      <c r="A544" s="3">
        <v>542</v>
      </c>
      <c r="B544" s="3">
        <f t="shared" si="25"/>
        <v>74.2</v>
      </c>
      <c r="C544" s="12">
        <f t="shared" si="26"/>
        <v>4.516667</v>
      </c>
      <c r="D544" s="7"/>
      <c r="E544" s="10">
        <f>(ADC!I544+5/3)/(1/12)</f>
        <v>75.102386772262719</v>
      </c>
      <c r="F544" s="11">
        <f t="shared" si="24"/>
        <v>1.2161546795993475E-2</v>
      </c>
      <c r="G544" s="2"/>
      <c r="H544" s="2"/>
      <c r="I544" s="10">
        <f>ABS(C544-ADC!I544)</f>
        <v>7.5198564355225983E-2</v>
      </c>
    </row>
    <row r="545" spans="1:9" x14ac:dyDescent="0.25">
      <c r="A545" s="3">
        <v>543</v>
      </c>
      <c r="B545" s="3">
        <f t="shared" si="25"/>
        <v>74.300000000000011</v>
      </c>
      <c r="C545" s="12">
        <f t="shared" si="26"/>
        <v>4.5250000000000004</v>
      </c>
      <c r="D545" s="7"/>
      <c r="E545" s="10">
        <f>(ADC!I545+5/3)/(1/12)</f>
        <v>75.1898187705944</v>
      </c>
      <c r="F545" s="11">
        <f t="shared" si="24"/>
        <v>1.1976026522131738E-2</v>
      </c>
      <c r="G545" s="2"/>
      <c r="H545" s="2"/>
      <c r="I545" s="10">
        <f>ABS(C545-ADC!I545)</f>
        <v>7.4151564216198729E-2</v>
      </c>
    </row>
    <row r="546" spans="1:9" x14ac:dyDescent="0.25">
      <c r="A546" s="3">
        <v>544</v>
      </c>
      <c r="B546" s="3">
        <f t="shared" si="25"/>
        <v>74.400000000000006</v>
      </c>
      <c r="C546" s="12">
        <f t="shared" si="26"/>
        <v>4.5333329999999998</v>
      </c>
      <c r="D546" s="7"/>
      <c r="E546" s="10">
        <f>(ADC!I546+5/3)/(1/12)</f>
        <v>75.28244812716504</v>
      </c>
      <c r="F546" s="11">
        <f t="shared" si="24"/>
        <v>1.1860861924261211E-2</v>
      </c>
      <c r="G546" s="2"/>
      <c r="H546" s="2"/>
      <c r="I546" s="10">
        <f>ABS(C546-ADC!I546)</f>
        <v>7.3537677263752599E-2</v>
      </c>
    </row>
    <row r="547" spans="1:9" x14ac:dyDescent="0.25">
      <c r="A547" s="3">
        <v>545</v>
      </c>
      <c r="B547" s="3">
        <f t="shared" si="25"/>
        <v>74.5</v>
      </c>
      <c r="C547" s="12">
        <f t="shared" si="26"/>
        <v>4.5416670000000003</v>
      </c>
      <c r="D547" s="7"/>
      <c r="E547" s="10">
        <f>(ADC!I547+5/3)/(1/12)</f>
        <v>75.370143070439497</v>
      </c>
      <c r="F547" s="11">
        <f t="shared" si="24"/>
        <v>1.1679772757577134E-2</v>
      </c>
      <c r="G547" s="2"/>
      <c r="H547" s="2"/>
      <c r="I547" s="10">
        <f>ABS(C547-ADC!I547)</f>
        <v>7.251158920329015E-2</v>
      </c>
    </row>
    <row r="548" spans="1:9" x14ac:dyDescent="0.25">
      <c r="A548" s="3">
        <v>546</v>
      </c>
      <c r="B548" s="3">
        <f t="shared" si="25"/>
        <v>74.599999999999994</v>
      </c>
      <c r="C548" s="12">
        <f t="shared" si="26"/>
        <v>4.55</v>
      </c>
      <c r="D548" s="7"/>
      <c r="E548" s="10">
        <f>(ADC!I548+5/3)/(1/12)</f>
        <v>75.463011122789922</v>
      </c>
      <c r="F548" s="11">
        <f t="shared" si="24"/>
        <v>1.1568513710320747E-2</v>
      </c>
      <c r="G548" s="2"/>
      <c r="H548" s="2"/>
      <c r="I548" s="10">
        <f>ABS(C548-ADC!I548)</f>
        <v>7.1917593565826721E-2</v>
      </c>
    </row>
    <row r="549" spans="1:9" x14ac:dyDescent="0.25">
      <c r="A549" s="3">
        <v>547</v>
      </c>
      <c r="B549" s="3">
        <f t="shared" si="25"/>
        <v>74.7</v>
      </c>
      <c r="C549" s="12">
        <f t="shared" si="26"/>
        <v>4.5583330000000002</v>
      </c>
      <c r="D549" s="7"/>
      <c r="E549" s="10">
        <f>(ADC!I549+5/3)/(1/12)</f>
        <v>75.555991198139338</v>
      </c>
      <c r="F549" s="11">
        <f t="shared" si="24"/>
        <v>1.1459052183926847E-2</v>
      </c>
      <c r="G549" s="2"/>
      <c r="H549" s="2"/>
      <c r="I549" s="10">
        <f>ABS(C549-ADC!I549)</f>
        <v>7.1332933178276825E-2</v>
      </c>
    </row>
    <row r="550" spans="1:9" x14ac:dyDescent="0.25">
      <c r="A550" s="3">
        <v>548</v>
      </c>
      <c r="B550" s="3">
        <f t="shared" si="25"/>
        <v>74.800000000000011</v>
      </c>
      <c r="C550" s="12">
        <f t="shared" si="26"/>
        <v>4.5666669999999998</v>
      </c>
      <c r="D550" s="7"/>
      <c r="E550" s="10">
        <f>(ADC!I550+5/3)/(1/12)</f>
        <v>75.644065328594593</v>
      </c>
      <c r="F550" s="11">
        <f t="shared" si="24"/>
        <v>1.1284295836825952E-2</v>
      </c>
      <c r="G550" s="2"/>
      <c r="H550" s="2"/>
      <c r="I550" s="10">
        <f>ABS(C550-ADC!I550)</f>
        <v>7.0338444049548698E-2</v>
      </c>
    </row>
    <row r="551" spans="1:9" x14ac:dyDescent="0.25">
      <c r="A551" s="3">
        <v>549</v>
      </c>
      <c r="B551" s="3">
        <f t="shared" si="25"/>
        <v>74.900000000000006</v>
      </c>
      <c r="C551" s="12">
        <f t="shared" si="26"/>
        <v>4.5750000000000002</v>
      </c>
      <c r="D551" s="7"/>
      <c r="E551" s="10">
        <f>(ADC!I551+5/3)/(1/12)</f>
        <v>75.73227042431192</v>
      </c>
      <c r="F551" s="11">
        <f t="shared" si="24"/>
        <v>1.1111754663710477E-2</v>
      </c>
      <c r="G551" s="2"/>
      <c r="H551" s="2"/>
      <c r="I551" s="10">
        <f>ABS(C551-ADC!I551)</f>
        <v>6.9355868692658973E-2</v>
      </c>
    </row>
    <row r="552" spans="1:9" x14ac:dyDescent="0.25">
      <c r="A552" s="3">
        <v>550</v>
      </c>
      <c r="B552" s="3">
        <f t="shared" si="25"/>
        <v>75</v>
      </c>
      <c r="C552" s="12">
        <f t="shared" si="26"/>
        <v>4.5833329999999997</v>
      </c>
      <c r="D552" s="7"/>
      <c r="E552" s="10">
        <f>(ADC!I552+5/3)/(1/12)</f>
        <v>75.825600386982018</v>
      </c>
      <c r="F552" s="11">
        <f t="shared" si="24"/>
        <v>1.1008005159760236E-2</v>
      </c>
      <c r="G552" s="2"/>
      <c r="H552" s="2"/>
      <c r="I552" s="10">
        <f>ABS(C552-ADC!I552)</f>
        <v>6.8800365581834555E-2</v>
      </c>
    </row>
    <row r="553" spans="1:9" x14ac:dyDescent="0.25">
      <c r="A553" s="3">
        <v>551</v>
      </c>
      <c r="B553" s="3">
        <f t="shared" si="25"/>
        <v>75.099999999999994</v>
      </c>
      <c r="C553" s="12">
        <f t="shared" si="26"/>
        <v>4.5916670000000002</v>
      </c>
      <c r="D553" s="7"/>
      <c r="E553" s="10">
        <f>(ADC!I553+5/3)/(1/12)</f>
        <v>75.914052753339732</v>
      </c>
      <c r="F553" s="11">
        <f t="shared" si="24"/>
        <v>1.0839583932619674E-2</v>
      </c>
      <c r="G553" s="2"/>
      <c r="H553" s="2"/>
      <c r="I553" s="10">
        <f>ABS(C553-ADC!I553)</f>
        <v>6.7837396111643855E-2</v>
      </c>
    </row>
    <row r="554" spans="1:9" x14ac:dyDescent="0.25">
      <c r="A554" s="3">
        <v>552</v>
      </c>
      <c r="B554" s="3">
        <f t="shared" si="25"/>
        <v>75.2</v>
      </c>
      <c r="C554" s="12">
        <f t="shared" si="26"/>
        <v>4.5999999999999996</v>
      </c>
      <c r="D554" s="7"/>
      <c r="E554" s="10">
        <f>(ADC!I554+5/3)/(1/12)</f>
        <v>76.002632167347258</v>
      </c>
      <c r="F554" s="11">
        <f t="shared" si="24"/>
        <v>1.0673300097702862E-2</v>
      </c>
      <c r="G554" s="2"/>
      <c r="H554" s="2"/>
      <c r="I554" s="10">
        <f>ABS(C554-ADC!I554)</f>
        <v>6.6886013945604006E-2</v>
      </c>
    </row>
    <row r="555" spans="1:9" x14ac:dyDescent="0.25">
      <c r="A555" s="3">
        <v>553</v>
      </c>
      <c r="B555" s="3">
        <f t="shared" si="25"/>
        <v>75.300000000000011</v>
      </c>
      <c r="C555" s="12">
        <f t="shared" si="26"/>
        <v>4.608333</v>
      </c>
      <c r="D555" s="7"/>
      <c r="E555" s="10">
        <f>(ADC!I555+5/3)/(1/12)</f>
        <v>76.091337320253629</v>
      </c>
      <c r="F555" s="11">
        <f t="shared" si="24"/>
        <v>1.0509127759012186E-2</v>
      </c>
      <c r="G555" s="2"/>
      <c r="H555" s="2"/>
      <c r="I555" s="10">
        <f>ABS(C555-ADC!I555)</f>
        <v>6.5945110021135456E-2</v>
      </c>
    </row>
    <row r="556" spans="1:9" x14ac:dyDescent="0.25">
      <c r="A556" s="3">
        <v>554</v>
      </c>
      <c r="B556" s="3">
        <f t="shared" si="25"/>
        <v>75.400000000000006</v>
      </c>
      <c r="C556" s="12">
        <f t="shared" si="26"/>
        <v>4.6166669999999996</v>
      </c>
      <c r="D556" s="7"/>
      <c r="E556" s="10">
        <f>(ADC!I556+5/3)/(1/12)</f>
        <v>76.185119403928269</v>
      </c>
      <c r="F556" s="11">
        <f t="shared" si="24"/>
        <v>1.0412724190030014E-2</v>
      </c>
      <c r="G556" s="2"/>
      <c r="H556" s="2"/>
      <c r="I556" s="10">
        <f>ABS(C556-ADC!I556)</f>
        <v>6.5426283660689144E-2</v>
      </c>
    </row>
    <row r="557" spans="1:9" x14ac:dyDescent="0.25">
      <c r="A557" s="3">
        <v>555</v>
      </c>
      <c r="B557" s="3">
        <f t="shared" si="25"/>
        <v>75.5</v>
      </c>
      <c r="C557" s="12">
        <f t="shared" si="26"/>
        <v>4.625</v>
      </c>
      <c r="D557" s="7"/>
      <c r="E557" s="10">
        <f>(ADC!I557+5/3)/(1/12)</f>
        <v>76.274061502248202</v>
      </c>
      <c r="F557" s="11">
        <f t="shared" si="24"/>
        <v>1.0252470228453004E-2</v>
      </c>
      <c r="G557" s="2"/>
      <c r="H557" s="2"/>
      <c r="I557" s="10">
        <f>ABS(C557-ADC!I557)</f>
        <v>6.4505125187349854E-2</v>
      </c>
    </row>
    <row r="558" spans="1:9" x14ac:dyDescent="0.25">
      <c r="A558" s="3">
        <v>556</v>
      </c>
      <c r="B558" s="3">
        <f t="shared" si="25"/>
        <v>75.599999999999994</v>
      </c>
      <c r="C558" s="12">
        <f t="shared" si="26"/>
        <v>4.6333330000000004</v>
      </c>
      <c r="D558" s="7"/>
      <c r="E558" s="10">
        <f>(ADC!I558+5/3)/(1/12)</f>
        <v>76.36312547031298</v>
      </c>
      <c r="F558" s="11">
        <f t="shared" si="24"/>
        <v>1.0094252252817269E-2</v>
      </c>
      <c r="G558" s="2"/>
      <c r="H558" s="2"/>
      <c r="I558" s="10">
        <f>ABS(C558-ADC!I558)</f>
        <v>6.3594122526080987E-2</v>
      </c>
    </row>
    <row r="559" spans="1:9" x14ac:dyDescent="0.25">
      <c r="A559" s="3">
        <v>557</v>
      </c>
      <c r="B559" s="3">
        <f t="shared" si="25"/>
        <v>75.7</v>
      </c>
      <c r="C559" s="12">
        <f t="shared" si="26"/>
        <v>4.641667</v>
      </c>
      <c r="D559" s="7"/>
      <c r="E559" s="10">
        <f>(ADC!I559+5/3)/(1/12)</f>
        <v>76.452310019057819</v>
      </c>
      <c r="F559" s="11">
        <f t="shared" si="24"/>
        <v>9.9380451658892498E-3</v>
      </c>
      <c r="G559" s="2"/>
      <c r="H559" s="2"/>
      <c r="I559" s="10">
        <f>ABS(C559-ADC!I559)</f>
        <v>6.2692168254817382E-2</v>
      </c>
    </row>
    <row r="560" spans="1:9" x14ac:dyDescent="0.25">
      <c r="A560" s="3">
        <v>558</v>
      </c>
      <c r="B560" s="3">
        <f t="shared" si="25"/>
        <v>75.800000000000011</v>
      </c>
      <c r="C560" s="12">
        <f t="shared" si="26"/>
        <v>4.6500000000000004</v>
      </c>
      <c r="D560" s="7"/>
      <c r="E560" s="10">
        <f>(ADC!I560+5/3)/(1/12)</f>
        <v>76.536703843282027</v>
      </c>
      <c r="F560" s="11">
        <f t="shared" si="24"/>
        <v>9.7190480644065314E-3</v>
      </c>
      <c r="G560" s="2"/>
      <c r="H560" s="2"/>
      <c r="I560" s="10">
        <f>ABS(C560-ADC!I560)</f>
        <v>6.1391986940168231E-2</v>
      </c>
    </row>
    <row r="561" spans="1:9" x14ac:dyDescent="0.25">
      <c r="A561" s="3">
        <v>559</v>
      </c>
      <c r="B561" s="3">
        <f t="shared" si="25"/>
        <v>75.900000000000006</v>
      </c>
      <c r="C561" s="12">
        <f t="shared" si="26"/>
        <v>4.6583329999999998</v>
      </c>
      <c r="D561" s="7"/>
      <c r="E561" s="10">
        <f>(ADC!I561+5/3)/(1/12)</f>
        <v>76.626136278024561</v>
      </c>
      <c r="F561" s="11">
        <f t="shared" si="24"/>
        <v>9.5670128856990087E-3</v>
      </c>
      <c r="G561" s="2"/>
      <c r="H561" s="2"/>
      <c r="I561" s="10">
        <f>ABS(C561-ADC!I561)</f>
        <v>6.0511689835379912E-2</v>
      </c>
    </row>
    <row r="562" spans="1:9" x14ac:dyDescent="0.25">
      <c r="A562" s="3">
        <v>560</v>
      </c>
      <c r="B562" s="3">
        <f t="shared" si="25"/>
        <v>76</v>
      </c>
      <c r="C562" s="12">
        <f t="shared" si="26"/>
        <v>4.6666670000000003</v>
      </c>
      <c r="D562" s="7"/>
      <c r="E562" s="10">
        <f>(ADC!I562+5/3)/(1/12)</f>
        <v>76.715685433518217</v>
      </c>
      <c r="F562" s="11">
        <f t="shared" si="24"/>
        <v>9.4169135989239146E-3</v>
      </c>
      <c r="G562" s="2"/>
      <c r="H562" s="2"/>
      <c r="I562" s="10">
        <f>ABS(C562-ADC!I562)</f>
        <v>5.9640119459849927E-2</v>
      </c>
    </row>
    <row r="563" spans="1:9" x14ac:dyDescent="0.25">
      <c r="A563" s="3">
        <v>561</v>
      </c>
      <c r="B563" s="3">
        <f t="shared" si="25"/>
        <v>76.099999999999994</v>
      </c>
      <c r="C563" s="12">
        <f t="shared" si="26"/>
        <v>4.6749999999999998</v>
      </c>
      <c r="D563" s="7"/>
      <c r="E563" s="10">
        <f>(ADC!I563+5/3)/(1/12)</f>
        <v>76.805350037346273</v>
      </c>
      <c r="F563" s="11">
        <f t="shared" si="24"/>
        <v>9.2687258521192938E-3</v>
      </c>
      <c r="G563" s="2"/>
      <c r="H563" s="2"/>
      <c r="I563" s="10">
        <f>ABS(C563-ADC!I563)</f>
        <v>5.8779169778855334E-2</v>
      </c>
    </row>
    <row r="564" spans="1:9" x14ac:dyDescent="0.25">
      <c r="A564" s="3">
        <v>562</v>
      </c>
      <c r="B564" s="3">
        <f t="shared" si="25"/>
        <v>76.2</v>
      </c>
      <c r="C564" s="12">
        <f t="shared" si="26"/>
        <v>4.6833330000000002</v>
      </c>
      <c r="D564" s="7"/>
      <c r="E564" s="10">
        <f>(ADC!I564+5/3)/(1/12)</f>
        <v>76.895128821357815</v>
      </c>
      <c r="F564" s="11">
        <f t="shared" si="24"/>
        <v>9.1224254771366461E-3</v>
      </c>
      <c r="G564" s="2"/>
      <c r="H564" s="2"/>
      <c r="I564" s="10">
        <f>ABS(C564-ADC!I564)</f>
        <v>5.7927735113150192E-2</v>
      </c>
    </row>
    <row r="565" spans="1:9" x14ac:dyDescent="0.25">
      <c r="A565" s="3">
        <v>563</v>
      </c>
      <c r="B565" s="3">
        <f t="shared" si="25"/>
        <v>76.300000000000011</v>
      </c>
      <c r="C565" s="12">
        <f t="shared" si="26"/>
        <v>4.6916669999999998</v>
      </c>
      <c r="D565" s="7"/>
      <c r="E565" s="10">
        <f>(ADC!I565+5/3)/(1/12)</f>
        <v>76.980163206023747</v>
      </c>
      <c r="F565" s="11">
        <f t="shared" si="24"/>
        <v>8.9143277329454141E-3</v>
      </c>
      <c r="G565" s="2"/>
      <c r="H565" s="2"/>
      <c r="I565" s="10">
        <f>ABS(C565-ADC!I565)</f>
        <v>5.6679933835312113E-2</v>
      </c>
    </row>
    <row r="566" spans="1:9" x14ac:dyDescent="0.25">
      <c r="A566" s="3">
        <v>564</v>
      </c>
      <c r="B566" s="3">
        <f t="shared" si="25"/>
        <v>76.400000000000006</v>
      </c>
      <c r="C566" s="12">
        <f t="shared" si="26"/>
        <v>4.7</v>
      </c>
      <c r="D566" s="7"/>
      <c r="E566" s="10">
        <f>(ADC!I566+5/3)/(1/12)</f>
        <v>77.065330229799045</v>
      </c>
      <c r="F566" s="11">
        <f t="shared" si="24"/>
        <v>8.7085108612439694E-3</v>
      </c>
      <c r="G566" s="2"/>
      <c r="H566" s="2"/>
      <c r="I566" s="10">
        <f>ABS(C566-ADC!I566)</f>
        <v>5.5444185816586611E-2</v>
      </c>
    </row>
    <row r="567" spans="1:9" x14ac:dyDescent="0.25">
      <c r="A567" s="3">
        <v>565</v>
      </c>
      <c r="B567" s="3">
        <f t="shared" si="25"/>
        <v>76.5</v>
      </c>
      <c r="C567" s="12">
        <f t="shared" si="26"/>
        <v>4.7083329999999997</v>
      </c>
      <c r="D567" s="7"/>
      <c r="E567" s="10">
        <f>(ADC!I567+5/3)/(1/12)</f>
        <v>77.16030125606126</v>
      </c>
      <c r="F567" s="11">
        <f t="shared" si="24"/>
        <v>8.6313889681210437E-3</v>
      </c>
      <c r="G567" s="2"/>
      <c r="H567" s="2"/>
      <c r="I567" s="10">
        <f>ABS(C567-ADC!I567)</f>
        <v>5.5025438005104732E-2</v>
      </c>
    </row>
    <row r="568" spans="1:9" x14ac:dyDescent="0.25">
      <c r="A568" s="3">
        <v>566</v>
      </c>
      <c r="B568" s="3">
        <f t="shared" si="25"/>
        <v>76.599999999999994</v>
      </c>
      <c r="C568" s="12">
        <f t="shared" si="26"/>
        <v>4.7166670000000002</v>
      </c>
      <c r="D568" s="7"/>
      <c r="E568" s="10">
        <f>(ADC!I568+5/3)/(1/12)</f>
        <v>77.24570870213779</v>
      </c>
      <c r="F568" s="11">
        <f t="shared" si="24"/>
        <v>8.4296175213811469E-3</v>
      </c>
      <c r="G568" s="2"/>
      <c r="H568" s="2"/>
      <c r="I568" s="10">
        <f>ABS(C568-ADC!I568)</f>
        <v>5.380872517814872E-2</v>
      </c>
    </row>
    <row r="569" spans="1:9" x14ac:dyDescent="0.25">
      <c r="A569" s="3">
        <v>567</v>
      </c>
      <c r="B569" s="3">
        <f t="shared" si="25"/>
        <v>76.7</v>
      </c>
      <c r="C569" s="12">
        <f t="shared" si="26"/>
        <v>4.7249999999999996</v>
      </c>
      <c r="D569" s="7"/>
      <c r="E569" s="10">
        <f>(ADC!I569+5/3)/(1/12)</f>
        <v>77.331244906072158</v>
      </c>
      <c r="F569" s="11">
        <f t="shared" si="24"/>
        <v>8.2300509266252254E-3</v>
      </c>
      <c r="G569" s="2"/>
      <c r="H569" s="2"/>
      <c r="I569" s="10">
        <f>ABS(C569-ADC!I569)</f>
        <v>5.2603742172679269E-2</v>
      </c>
    </row>
    <row r="570" spans="1:9" x14ac:dyDescent="0.25">
      <c r="A570" s="3">
        <v>568</v>
      </c>
      <c r="B570" s="3">
        <f t="shared" si="25"/>
        <v>76.800000000000011</v>
      </c>
      <c r="C570" s="12">
        <f t="shared" si="26"/>
        <v>4.733333</v>
      </c>
      <c r="D570" s="7"/>
      <c r="E570" s="10">
        <f>(ADC!I570+5/3)/(1/12)</f>
        <v>77.42171358253502</v>
      </c>
      <c r="F570" s="11">
        <f t="shared" si="24"/>
        <v>8.0952289392579209E-3</v>
      </c>
      <c r="G570" s="2"/>
      <c r="H570" s="2"/>
      <c r="I570" s="10">
        <f>ABS(C570-ADC!I570)</f>
        <v>5.1809798544583785E-2</v>
      </c>
    </row>
    <row r="571" spans="1:9" x14ac:dyDescent="0.25">
      <c r="A571" s="3">
        <v>569</v>
      </c>
      <c r="B571" s="3">
        <f t="shared" si="25"/>
        <v>76.900000000000006</v>
      </c>
      <c r="C571" s="12">
        <f t="shared" si="26"/>
        <v>4.7416669999999996</v>
      </c>
      <c r="D571" s="7"/>
      <c r="E571" s="10">
        <f>(ADC!I571+5/3)/(1/12)</f>
        <v>77.507492997280522</v>
      </c>
      <c r="F571" s="11">
        <f t="shared" si="24"/>
        <v>7.8997788983162093E-3</v>
      </c>
      <c r="G571" s="2"/>
      <c r="H571" s="2"/>
      <c r="I571" s="10">
        <f>ABS(C571-ADC!I571)</f>
        <v>5.0624083106709961E-2</v>
      </c>
    </row>
    <row r="572" spans="1:9" x14ac:dyDescent="0.25">
      <c r="A572" s="3">
        <v>570</v>
      </c>
      <c r="B572" s="3">
        <f t="shared" si="25"/>
        <v>77</v>
      </c>
      <c r="C572" s="12">
        <f t="shared" si="26"/>
        <v>4.75</v>
      </c>
      <c r="D572" s="7"/>
      <c r="E572" s="10">
        <f>(ADC!I572+5/3)/(1/12)</f>
        <v>77.593397304199044</v>
      </c>
      <c r="F572" s="11">
        <f t="shared" si="24"/>
        <v>7.7064584960914824E-3</v>
      </c>
      <c r="G572" s="2"/>
      <c r="H572" s="2"/>
      <c r="I572" s="10">
        <f>ABS(C572-ADC!I572)</f>
        <v>4.9449775349919456E-2</v>
      </c>
    </row>
    <row r="573" spans="1:9" x14ac:dyDescent="0.25">
      <c r="A573" s="3">
        <v>571</v>
      </c>
      <c r="B573" s="3">
        <f t="shared" si="25"/>
        <v>77.099999999999994</v>
      </c>
      <c r="C573" s="12">
        <f t="shared" si="26"/>
        <v>4.7583330000000004</v>
      </c>
      <c r="D573" s="7"/>
      <c r="E573" s="10">
        <f>(ADC!I573+5/3)/(1/12)</f>
        <v>77.67942521706172</v>
      </c>
      <c r="F573" s="11">
        <f t="shared" si="24"/>
        <v>7.5152427634465058E-3</v>
      </c>
      <c r="G573" s="2"/>
      <c r="H573" s="2"/>
      <c r="I573" s="10">
        <f>ABS(C573-ADC!I573)</f>
        <v>4.82857680884754E-2</v>
      </c>
    </row>
    <row r="574" spans="1:9" x14ac:dyDescent="0.25">
      <c r="A574" s="3">
        <v>572</v>
      </c>
      <c r="B574" s="3">
        <f t="shared" si="25"/>
        <v>77.2</v>
      </c>
      <c r="C574" s="12">
        <f t="shared" si="26"/>
        <v>4.766667</v>
      </c>
      <c r="D574" s="7"/>
      <c r="E574" s="10">
        <f>(ADC!I574+5/3)/(1/12)</f>
        <v>77.770338939595618</v>
      </c>
      <c r="F574" s="11">
        <f t="shared" si="24"/>
        <v>7.3878100983887961E-3</v>
      </c>
      <c r="G574" s="2"/>
      <c r="H574" s="2"/>
      <c r="I574" s="10">
        <f>ABS(C574-ADC!I574)</f>
        <v>4.752791163296699E-2</v>
      </c>
    </row>
    <row r="575" spans="1:9" x14ac:dyDescent="0.25">
      <c r="A575" s="3">
        <v>573</v>
      </c>
      <c r="B575" s="3">
        <f t="shared" si="25"/>
        <v>77.300000000000011</v>
      </c>
      <c r="C575" s="12">
        <f t="shared" si="26"/>
        <v>4.7750000000000004</v>
      </c>
      <c r="D575" s="7"/>
      <c r="E575" s="10">
        <f>(ADC!I575+5/3)/(1/12)</f>
        <v>77.856599880614212</v>
      </c>
      <c r="F575" s="11">
        <f t="shared" si="24"/>
        <v>7.20051591997672E-3</v>
      </c>
      <c r="G575" s="2"/>
      <c r="H575" s="2"/>
      <c r="I575" s="10">
        <f>ABS(C575-ADC!I575)</f>
        <v>4.6383323384517006E-2</v>
      </c>
    </row>
    <row r="576" spans="1:9" x14ac:dyDescent="0.25">
      <c r="A576" s="3">
        <v>574</v>
      </c>
      <c r="B576" s="3">
        <f t="shared" si="25"/>
        <v>77.400000000000006</v>
      </c>
      <c r="C576" s="12">
        <f t="shared" si="26"/>
        <v>4.7833329999999998</v>
      </c>
      <c r="D576" s="7"/>
      <c r="E576" s="10">
        <f>(ADC!I576+5/3)/(1/12)</f>
        <v>77.94298061344638</v>
      </c>
      <c r="F576" s="11">
        <f t="shared" si="24"/>
        <v>7.0152534036999302E-3</v>
      </c>
      <c r="G576" s="2"/>
      <c r="H576" s="2"/>
      <c r="I576" s="10">
        <f>ABS(C576-ADC!I576)</f>
        <v>4.5248717787197634E-2</v>
      </c>
    </row>
    <row r="577" spans="1:9" x14ac:dyDescent="0.25">
      <c r="A577" s="3">
        <v>575</v>
      </c>
      <c r="B577" s="3">
        <f t="shared" si="25"/>
        <v>77.5</v>
      </c>
      <c r="C577" s="12">
        <f t="shared" si="26"/>
        <v>4.7916670000000003</v>
      </c>
      <c r="D577" s="7"/>
      <c r="E577" s="10">
        <f>(ADC!I577+5/3)/(1/12)</f>
        <v>78.029479864803449</v>
      </c>
      <c r="F577" s="11">
        <f t="shared" si="24"/>
        <v>6.8319982555283699E-3</v>
      </c>
      <c r="G577" s="2"/>
      <c r="H577" s="2"/>
      <c r="I577" s="10">
        <f>ABS(C577-ADC!I577)</f>
        <v>4.4122988733620083E-2</v>
      </c>
    </row>
    <row r="578" spans="1:9" x14ac:dyDescent="0.25">
      <c r="A578" s="3">
        <v>576</v>
      </c>
      <c r="B578" s="3">
        <f t="shared" si="25"/>
        <v>77.599999999999994</v>
      </c>
      <c r="C578" s="12">
        <f t="shared" si="26"/>
        <v>4.8</v>
      </c>
      <c r="D578" s="7"/>
      <c r="E578" s="10">
        <f>(ADC!I578+5/3)/(1/12)</f>
        <v>78.116096369462298</v>
      </c>
      <c r="F578" s="11">
        <f t="shared" ref="F578:F602" si="27">ABS(B578-E578)/B578</f>
        <v>6.6507264105966956E-3</v>
      </c>
      <c r="G578" s="2"/>
      <c r="H578" s="2"/>
      <c r="I578" s="10">
        <f>ABS(C578-ADC!I578)</f>
        <v>4.300803078852411E-2</v>
      </c>
    </row>
    <row r="579" spans="1:9" x14ac:dyDescent="0.25">
      <c r="A579" s="3">
        <v>577</v>
      </c>
      <c r="B579" s="3">
        <f t="shared" ref="B579:B602" si="28">0.1*A579+20</f>
        <v>77.7</v>
      </c>
      <c r="C579" s="12">
        <f t="shared" ref="C579:C602" si="29">ROUND(1/12*B579-5/3,6)</f>
        <v>4.8083330000000002</v>
      </c>
      <c r="D579" s="7"/>
      <c r="E579" s="10">
        <f>(ADC!I579+5/3)/(1/12)</f>
        <v>78.198116914861416</v>
      </c>
      <c r="F579" s="11">
        <f t="shared" si="27"/>
        <v>6.4107711050374883E-3</v>
      </c>
      <c r="G579" s="2"/>
      <c r="H579" s="2"/>
      <c r="I579" s="10">
        <f>ABS(C579-ADC!I579)</f>
        <v>4.1510076238450822E-2</v>
      </c>
    </row>
    <row r="580" spans="1:9" x14ac:dyDescent="0.25">
      <c r="A580" s="3">
        <v>578</v>
      </c>
      <c r="B580" s="3">
        <f t="shared" si="28"/>
        <v>77.800000000000011</v>
      </c>
      <c r="C580" s="12">
        <f t="shared" si="29"/>
        <v>4.8166669999999998</v>
      </c>
      <c r="D580" s="7"/>
      <c r="E580" s="10">
        <f>(ADC!I580+5/3)/(1/12)</f>
        <v>78.284974398556429</v>
      </c>
      <c r="F580" s="11">
        <f t="shared" si="27"/>
        <v>6.233604094555493E-3</v>
      </c>
      <c r="G580" s="2"/>
      <c r="H580" s="2"/>
      <c r="I580" s="10">
        <f>ABS(C580-ADC!I580)</f>
        <v>4.0414199879702295E-2</v>
      </c>
    </row>
    <row r="581" spans="1:9" x14ac:dyDescent="0.25">
      <c r="A581" s="3">
        <v>579</v>
      </c>
      <c r="B581" s="3">
        <f t="shared" si="28"/>
        <v>77.900000000000006</v>
      </c>
      <c r="C581" s="12">
        <f t="shared" si="29"/>
        <v>4.8250000000000002</v>
      </c>
      <c r="D581" s="7"/>
      <c r="E581" s="10">
        <f>(ADC!I581+5/3)/(1/12)</f>
        <v>78.371945344633062</v>
      </c>
      <c r="F581" s="11">
        <f t="shared" si="27"/>
        <v>6.0583484548530952E-3</v>
      </c>
      <c r="G581" s="2"/>
      <c r="H581" s="2"/>
      <c r="I581" s="10">
        <f>ABS(C581-ADC!I581)</f>
        <v>3.9328778719420754E-2</v>
      </c>
    </row>
    <row r="582" spans="1:9" x14ac:dyDescent="0.25">
      <c r="A582" s="3">
        <v>580</v>
      </c>
      <c r="B582" s="3">
        <f t="shared" si="28"/>
        <v>78</v>
      </c>
      <c r="C582" s="12">
        <f t="shared" si="29"/>
        <v>4.8333329999999997</v>
      </c>
      <c r="D582" s="7"/>
      <c r="E582" s="10">
        <f>(ADC!I582+5/3)/(1/12)</f>
        <v>78.459028504647705</v>
      </c>
      <c r="F582" s="11">
        <f t="shared" si="27"/>
        <v>5.8849808288167303E-3</v>
      </c>
      <c r="G582" s="2"/>
      <c r="H582" s="2"/>
      <c r="I582" s="10">
        <f>ABS(C582-ADC!I582)</f>
        <v>3.8252708720641238E-2</v>
      </c>
    </row>
    <row r="583" spans="1:9" x14ac:dyDescent="0.25">
      <c r="A583" s="3">
        <v>581</v>
      </c>
      <c r="B583" s="3">
        <f t="shared" si="28"/>
        <v>78.099999999999994</v>
      </c>
      <c r="C583" s="12">
        <f t="shared" si="29"/>
        <v>4.8416670000000002</v>
      </c>
      <c r="D583" s="7"/>
      <c r="E583" s="10">
        <f>(ADC!I583+5/3)/(1/12)</f>
        <v>78.541551599016273</v>
      </c>
      <c r="F583" s="11">
        <f t="shared" si="27"/>
        <v>5.6536696416937112E-3</v>
      </c>
      <c r="G583" s="2"/>
      <c r="H583" s="2"/>
      <c r="I583" s="10">
        <f>ABS(C583-ADC!I583)</f>
        <v>3.6795633251355042E-2</v>
      </c>
    </row>
    <row r="584" spans="1:9" x14ac:dyDescent="0.25">
      <c r="A584" s="3">
        <v>582</v>
      </c>
      <c r="B584" s="3">
        <f t="shared" si="28"/>
        <v>78.2</v>
      </c>
      <c r="C584" s="12">
        <f t="shared" si="29"/>
        <v>4.8499999999999996</v>
      </c>
      <c r="D584" s="7"/>
      <c r="E584" s="10">
        <f>(ADC!I584+5/3)/(1/12)</f>
        <v>78.633526483459278</v>
      </c>
      <c r="F584" s="11">
        <f t="shared" si="27"/>
        <v>5.5438169240316481E-3</v>
      </c>
      <c r="G584" s="2"/>
      <c r="H584" s="2"/>
      <c r="I584" s="10">
        <f>ABS(C584-ADC!I584)</f>
        <v>3.6127206954939872E-2</v>
      </c>
    </row>
    <row r="585" spans="1:9" x14ac:dyDescent="0.25">
      <c r="A585" s="3">
        <v>583</v>
      </c>
      <c r="B585" s="3">
        <f t="shared" si="28"/>
        <v>78.300000000000011</v>
      </c>
      <c r="C585" s="12">
        <f t="shared" si="29"/>
        <v>4.858333</v>
      </c>
      <c r="D585" s="7"/>
      <c r="E585" s="10">
        <f>(ADC!I585+5/3)/(1/12)</f>
        <v>78.716288137985643</v>
      </c>
      <c r="F585" s="11">
        <f t="shared" si="27"/>
        <v>5.316579029190696E-3</v>
      </c>
      <c r="G585" s="2"/>
      <c r="H585" s="2"/>
      <c r="I585" s="10">
        <f>ABS(C585-ADC!I585)</f>
        <v>3.4691011498802382E-2</v>
      </c>
    </row>
    <row r="586" spans="1:9" x14ac:dyDescent="0.25">
      <c r="A586" s="3">
        <v>584</v>
      </c>
      <c r="B586" s="3">
        <f t="shared" si="28"/>
        <v>78.400000000000006</v>
      </c>
      <c r="C586" s="12">
        <f t="shared" si="29"/>
        <v>4.8666669999999996</v>
      </c>
      <c r="D586" s="7"/>
      <c r="E586" s="10">
        <f>(ADC!I586+5/3)/(1/12)</f>
        <v>78.799177354829112</v>
      </c>
      <c r="F586" s="11">
        <f t="shared" si="27"/>
        <v>5.0915478932283985E-3</v>
      </c>
      <c r="G586" s="2"/>
      <c r="H586" s="2"/>
      <c r="I586" s="10">
        <f>ABS(C586-ADC!I586)</f>
        <v>3.3264446235758527E-2</v>
      </c>
    </row>
    <row r="587" spans="1:9" x14ac:dyDescent="0.25">
      <c r="A587" s="3">
        <v>585</v>
      </c>
      <c r="B587" s="3">
        <f t="shared" si="28"/>
        <v>78.5</v>
      </c>
      <c r="C587" s="12">
        <f t="shared" si="29"/>
        <v>4.875</v>
      </c>
      <c r="D587" s="7"/>
      <c r="E587" s="10">
        <f>(ADC!I587+5/3)/(1/12)</f>
        <v>78.886823233103939</v>
      </c>
      <c r="F587" s="11">
        <f t="shared" si="27"/>
        <v>4.9276844981393552E-3</v>
      </c>
      <c r="G587" s="2"/>
      <c r="H587" s="2"/>
      <c r="I587" s="10">
        <f>ABS(C587-ADC!I587)</f>
        <v>3.2235269425327395E-2</v>
      </c>
    </row>
    <row r="588" spans="1:9" x14ac:dyDescent="0.25">
      <c r="A588" s="3">
        <v>586</v>
      </c>
      <c r="B588" s="3">
        <f t="shared" si="28"/>
        <v>78.599999999999994</v>
      </c>
      <c r="C588" s="12">
        <f t="shared" si="29"/>
        <v>4.8833330000000004</v>
      </c>
      <c r="D588" s="7"/>
      <c r="E588" s="10">
        <f>(ADC!I588+5/3)/(1/12)</f>
        <v>78.974573878032643</v>
      </c>
      <c r="F588" s="11">
        <f t="shared" si="27"/>
        <v>4.7655709673365028E-3</v>
      </c>
      <c r="G588" s="2"/>
      <c r="H588" s="2"/>
      <c r="I588" s="10">
        <f>ABS(C588-ADC!I588)</f>
        <v>3.1214823169386285E-2</v>
      </c>
    </row>
    <row r="589" spans="1:9" x14ac:dyDescent="0.25">
      <c r="A589" s="3">
        <v>587</v>
      </c>
      <c r="B589" s="3">
        <f t="shared" si="28"/>
        <v>78.7</v>
      </c>
      <c r="C589" s="12">
        <f t="shared" si="29"/>
        <v>4.891667</v>
      </c>
      <c r="D589" s="7"/>
      <c r="E589" s="10">
        <f>(ADC!I589+5/3)/(1/12)</f>
        <v>79.057817885570557</v>
      </c>
      <c r="F589" s="11">
        <f t="shared" si="27"/>
        <v>4.5466059157630813E-3</v>
      </c>
      <c r="G589" s="2"/>
      <c r="H589" s="2"/>
      <c r="I589" s="10">
        <f>ABS(C589-ADC!I589)</f>
        <v>2.9817823797545273E-2</v>
      </c>
    </row>
    <row r="590" spans="1:9" x14ac:dyDescent="0.25">
      <c r="A590" s="3">
        <v>588</v>
      </c>
      <c r="B590" s="3">
        <f t="shared" si="28"/>
        <v>78.800000000000011</v>
      </c>
      <c r="C590" s="12">
        <f t="shared" si="29"/>
        <v>4.9000000000000004</v>
      </c>
      <c r="D590" s="7"/>
      <c r="E590" s="10">
        <f>(ADC!I590+5/3)/(1/12)</f>
        <v>79.145784477571794</v>
      </c>
      <c r="F590" s="11">
        <f t="shared" si="27"/>
        <v>4.3881278879667899E-3</v>
      </c>
      <c r="G590" s="2"/>
      <c r="H590" s="2"/>
      <c r="I590" s="10">
        <f>ABS(C590-ADC!I590)</f>
        <v>2.8815373130981925E-2</v>
      </c>
    </row>
    <row r="591" spans="1:9" x14ac:dyDescent="0.25">
      <c r="A591" s="3">
        <v>589</v>
      </c>
      <c r="B591" s="3">
        <f t="shared" si="28"/>
        <v>78.900000000000006</v>
      </c>
      <c r="C591" s="12">
        <f t="shared" si="29"/>
        <v>4.9083329999999998</v>
      </c>
      <c r="D591" s="7"/>
      <c r="E591" s="10">
        <f>(ADC!I591+5/3)/(1/12)</f>
        <v>79.229262130530543</v>
      </c>
      <c r="F591" s="11">
        <f t="shared" si="27"/>
        <v>4.1731575479155569E-3</v>
      </c>
      <c r="G591" s="2"/>
      <c r="H591" s="2"/>
      <c r="I591" s="10">
        <f>ABS(C591-ADC!I591)</f>
        <v>2.7438844210878166E-2</v>
      </c>
    </row>
    <row r="592" spans="1:9" x14ac:dyDescent="0.25">
      <c r="A592" s="3">
        <v>590</v>
      </c>
      <c r="B592" s="3">
        <f t="shared" si="28"/>
        <v>79</v>
      </c>
      <c r="C592" s="12">
        <f t="shared" si="29"/>
        <v>4.9166670000000003</v>
      </c>
      <c r="D592" s="7"/>
      <c r="E592" s="10">
        <f>(ADC!I592+5/3)/(1/12)</f>
        <v>79.312859765530263</v>
      </c>
      <c r="F592" s="11">
        <f t="shared" si="27"/>
        <v>3.9602501965856039E-3</v>
      </c>
      <c r="G592" s="2"/>
      <c r="H592" s="2"/>
      <c r="I592" s="10">
        <f>ABS(C592-ADC!I592)</f>
        <v>2.6071313794187034E-2</v>
      </c>
    </row>
    <row r="593" spans="1:9" x14ac:dyDescent="0.25">
      <c r="A593" s="3">
        <v>591</v>
      </c>
      <c r="B593" s="3">
        <f t="shared" si="28"/>
        <v>79.099999999999994</v>
      </c>
      <c r="C593" s="12">
        <f t="shared" si="29"/>
        <v>4.9249999999999998</v>
      </c>
      <c r="D593" s="7"/>
      <c r="E593" s="10">
        <f>(ADC!I593+5/3)/(1/12)</f>
        <v>79.396576124851094</v>
      </c>
      <c r="F593" s="11">
        <f t="shared" si="27"/>
        <v>3.7493821093691542E-3</v>
      </c>
      <c r="G593" s="2"/>
      <c r="H593" s="2"/>
      <c r="I593" s="10">
        <f>ABS(C593-ADC!I593)</f>
        <v>2.4714677070924118E-2</v>
      </c>
    </row>
    <row r="594" spans="1:9" x14ac:dyDescent="0.25">
      <c r="A594" s="3">
        <v>592</v>
      </c>
      <c r="B594" s="3">
        <f t="shared" si="28"/>
        <v>79.2</v>
      </c>
      <c r="C594" s="12">
        <f t="shared" si="29"/>
        <v>4.9333330000000002</v>
      </c>
      <c r="D594" s="7"/>
      <c r="E594" s="10">
        <f>(ADC!I594+5/3)/(1/12)</f>
        <v>79.475850039175739</v>
      </c>
      <c r="F594" s="11">
        <f t="shared" si="27"/>
        <v>3.4829550400976841E-3</v>
      </c>
      <c r="G594" s="2"/>
      <c r="H594" s="2"/>
      <c r="I594" s="10">
        <f>ABS(C594-ADC!I594)</f>
        <v>2.2987836597977207E-2</v>
      </c>
    </row>
    <row r="595" spans="1:9" x14ac:dyDescent="0.25">
      <c r="A595" s="3">
        <v>593</v>
      </c>
      <c r="B595" s="3">
        <f t="shared" si="28"/>
        <v>79.300000000000011</v>
      </c>
      <c r="C595" s="12">
        <f t="shared" si="29"/>
        <v>4.9416669999999998</v>
      </c>
      <c r="D595" s="7"/>
      <c r="E595" s="10">
        <f>(ADC!I595+5/3)/(1/12)</f>
        <v>79.559810088529119</v>
      </c>
      <c r="F595" s="11">
        <f t="shared" si="27"/>
        <v>3.2762936762813044E-3</v>
      </c>
      <c r="G595" s="2"/>
      <c r="H595" s="2"/>
      <c r="I595" s="10">
        <f>ABS(C595-ADC!I595)</f>
        <v>2.1650507377425576E-2</v>
      </c>
    </row>
    <row r="596" spans="1:9" x14ac:dyDescent="0.25">
      <c r="A596" s="3">
        <v>594</v>
      </c>
      <c r="B596" s="3">
        <f t="shared" si="28"/>
        <v>79.400000000000006</v>
      </c>
      <c r="C596" s="12">
        <f t="shared" si="29"/>
        <v>4.95</v>
      </c>
      <c r="D596" s="7"/>
      <c r="E596" s="10">
        <f>(ADC!I596+5/3)/(1/12)</f>
        <v>79.648425023347102</v>
      </c>
      <c r="F596" s="11">
        <f t="shared" si="27"/>
        <v>3.1287786315755154E-3</v>
      </c>
      <c r="G596" s="2"/>
      <c r="H596" s="2"/>
      <c r="I596" s="10">
        <f>ABS(C596-ADC!I596)</f>
        <v>2.0702085278924365E-2</v>
      </c>
    </row>
    <row r="597" spans="1:9" x14ac:dyDescent="0.25">
      <c r="A597" s="3">
        <v>595</v>
      </c>
      <c r="B597" s="3">
        <f t="shared" si="28"/>
        <v>79.5</v>
      </c>
      <c r="C597" s="12">
        <f t="shared" si="29"/>
        <v>4.9583329999999997</v>
      </c>
      <c r="D597" s="7"/>
      <c r="E597" s="10">
        <f>(ADC!I597+5/3)/(1/12)</f>
        <v>79.728073810539357</v>
      </c>
      <c r="F597" s="11">
        <f t="shared" si="27"/>
        <v>2.8688529627592038E-3</v>
      </c>
      <c r="G597" s="2"/>
      <c r="H597" s="2"/>
      <c r="I597" s="10">
        <f>ABS(C597-ADC!I597)</f>
        <v>1.9006484211612218E-2</v>
      </c>
    </row>
    <row r="598" spans="1:9" x14ac:dyDescent="0.25">
      <c r="A598" s="3">
        <v>596</v>
      </c>
      <c r="B598" s="3">
        <f t="shared" si="28"/>
        <v>79.599999999999994</v>
      </c>
      <c r="C598" s="12">
        <f t="shared" si="29"/>
        <v>4.9666670000000002</v>
      </c>
      <c r="D598" s="7"/>
      <c r="E598" s="10">
        <f>(ADC!I598+5/3)/(1/12)</f>
        <v>79.812375010606544</v>
      </c>
      <c r="F598" s="11">
        <f t="shared" si="27"/>
        <v>2.6680277714390714E-3</v>
      </c>
      <c r="G598" s="2"/>
      <c r="H598" s="2"/>
      <c r="I598" s="10">
        <f>ABS(C598-ADC!I598)</f>
        <v>1.769758421721157E-2</v>
      </c>
    </row>
    <row r="599" spans="1:9" x14ac:dyDescent="0.25">
      <c r="A599" s="3">
        <v>597</v>
      </c>
      <c r="B599" s="3">
        <f t="shared" si="28"/>
        <v>79.7</v>
      </c>
      <c r="C599" s="12">
        <f t="shared" si="29"/>
        <v>4.9749999999999996</v>
      </c>
      <c r="D599" s="7"/>
      <c r="E599" s="10">
        <f>(ADC!I599+5/3)/(1/12)</f>
        <v>79.896787453178689</v>
      </c>
      <c r="F599" s="11">
        <f t="shared" si="27"/>
        <v>2.4691022983523987E-3</v>
      </c>
      <c r="G599" s="2"/>
      <c r="H599" s="2"/>
      <c r="I599" s="10">
        <f>ABS(C599-ADC!I599)</f>
        <v>1.6398954431556589E-2</v>
      </c>
    </row>
    <row r="600" spans="1:9" x14ac:dyDescent="0.25">
      <c r="A600" s="3">
        <v>598</v>
      </c>
      <c r="B600" s="3">
        <f t="shared" si="28"/>
        <v>79.800000000000011</v>
      </c>
      <c r="C600" s="12">
        <f t="shared" si="29"/>
        <v>4.983333</v>
      </c>
      <c r="D600" s="7"/>
      <c r="E600" s="10">
        <f>(ADC!I600+5/3)/(1/12)</f>
        <v>79.981309914107499</v>
      </c>
      <c r="F600" s="11">
        <f t="shared" si="27"/>
        <v>2.2720540614973332E-3</v>
      </c>
      <c r="G600" s="2"/>
      <c r="H600" s="2"/>
      <c r="I600" s="10">
        <f>ABS(C600-ADC!I600)</f>
        <v>1.5109492842290351E-2</v>
      </c>
    </row>
    <row r="601" spans="1:9" x14ac:dyDescent="0.25">
      <c r="A601" s="3">
        <v>599</v>
      </c>
      <c r="B601" s="3">
        <f t="shared" si="28"/>
        <v>79.900000000000006</v>
      </c>
      <c r="C601" s="12">
        <f t="shared" si="29"/>
        <v>4.9916669999999996</v>
      </c>
      <c r="D601" s="7"/>
      <c r="E601" s="10">
        <f>(ADC!I601+5/3)/(1/12)</f>
        <v>80.061450887326657</v>
      </c>
      <c r="F601" s="11">
        <f t="shared" si="27"/>
        <v>2.0206619189818719E-3</v>
      </c>
      <c r="G601" s="2"/>
      <c r="H601" s="2"/>
      <c r="I601" s="10">
        <f>ABS(C601-ADC!I601)</f>
        <v>1.3453907277220623E-2</v>
      </c>
    </row>
    <row r="602" spans="1:9" x14ac:dyDescent="0.25">
      <c r="A602" s="3">
        <v>600</v>
      </c>
      <c r="B602" s="3">
        <f t="shared" si="28"/>
        <v>80</v>
      </c>
      <c r="C602" s="12">
        <f t="shared" si="29"/>
        <v>5</v>
      </c>
      <c r="D602" s="7"/>
      <c r="E602" s="10">
        <f>(ADC!I602+5/3)/(1/12)</f>
        <v>80.146199584081913</v>
      </c>
      <c r="F602" s="11">
        <f t="shared" si="27"/>
        <v>1.82749480102391E-3</v>
      </c>
      <c r="G602" s="2"/>
      <c r="H602" s="2"/>
      <c r="I602" s="10">
        <f>ABS(C602-ADC!I602)</f>
        <v>1.2183298673491549E-2</v>
      </c>
    </row>
  </sheetData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8DF46-3D37-4C8C-845B-A0FBD87A3379}">
  <sheetPr>
    <pageSetUpPr fitToPage="1"/>
  </sheetPr>
  <dimension ref="A1:Z602"/>
  <sheetViews>
    <sheetView tabSelected="1" zoomScale="115" zoomScaleNormal="115" workbookViewId="0">
      <pane ySplit="1" topLeftCell="A2" activePane="bottomLeft" state="frozen"/>
      <selection pane="bottomLeft" activeCell="X5" sqref="X5"/>
    </sheetView>
  </sheetViews>
  <sheetFormatPr defaultRowHeight="15" x14ac:dyDescent="0.25"/>
  <cols>
    <col min="1" max="1" width="34" bestFit="1" customWidth="1"/>
    <col min="2" max="3" width="21.7109375" bestFit="1" customWidth="1"/>
    <col min="4" max="4" width="14.85546875" bestFit="1" customWidth="1"/>
    <col min="5" max="5" width="10.5703125" style="5" bestFit="1" customWidth="1"/>
    <col min="6" max="6" width="14.7109375" customWidth="1"/>
    <col min="7" max="7" width="9.140625" style="4"/>
    <col min="8" max="8" width="6.28515625" bestFit="1" customWidth="1"/>
    <col min="9" max="9" width="14.85546875" style="27" bestFit="1" customWidth="1"/>
    <col min="10" max="10" width="11.7109375" bestFit="1" customWidth="1"/>
    <col min="11" max="11" width="12.42578125" bestFit="1" customWidth="1"/>
    <col min="12" max="12" width="11.140625" bestFit="1" customWidth="1"/>
    <col min="13" max="13" width="14.85546875" bestFit="1" customWidth="1"/>
    <col min="14" max="14" width="16.7109375" bestFit="1" customWidth="1"/>
    <col min="15" max="15" width="13.5703125" bestFit="1" customWidth="1"/>
    <col min="16" max="16" width="13.140625" bestFit="1" customWidth="1"/>
    <col min="17" max="17" width="21.42578125" bestFit="1" customWidth="1"/>
    <col min="18" max="18" width="12.42578125" bestFit="1" customWidth="1"/>
    <col min="19" max="19" width="11.140625" bestFit="1" customWidth="1"/>
    <col min="20" max="20" width="9.42578125" customWidth="1"/>
    <col min="24" max="24" width="10" bestFit="1" customWidth="1"/>
    <col min="26" max="26" width="7.140625" customWidth="1"/>
  </cols>
  <sheetData>
    <row r="1" spans="1:26" ht="16.5" thickTop="1" thickBot="1" x14ac:dyDescent="0.3">
      <c r="H1" s="6" t="s">
        <v>20</v>
      </c>
      <c r="I1" s="6" t="s">
        <v>21</v>
      </c>
      <c r="J1" s="6" t="s">
        <v>51</v>
      </c>
      <c r="K1" s="6" t="s">
        <v>52</v>
      </c>
      <c r="L1" s="6" t="s">
        <v>57</v>
      </c>
      <c r="M1" s="6" t="s">
        <v>56</v>
      </c>
      <c r="N1" s="6" t="s">
        <v>58</v>
      </c>
      <c r="O1" s="6" t="s">
        <v>2</v>
      </c>
      <c r="P1" s="6" t="s">
        <v>67</v>
      </c>
      <c r="Q1" s="6" t="s">
        <v>68</v>
      </c>
      <c r="R1" s="6" t="s">
        <v>69</v>
      </c>
      <c r="S1" s="6" t="s">
        <v>70</v>
      </c>
      <c r="T1" s="6" t="s">
        <v>81</v>
      </c>
      <c r="U1" s="6"/>
      <c r="V1" s="6" t="s">
        <v>82</v>
      </c>
      <c r="W1" s="6"/>
    </row>
    <row r="2" spans="1:26" ht="15.75" thickTop="1" x14ac:dyDescent="0.25">
      <c r="A2" s="30" t="s">
        <v>24</v>
      </c>
      <c r="B2" s="30"/>
      <c r="C2" s="30"/>
      <c r="D2" s="30"/>
      <c r="E2" s="30"/>
      <c r="H2" s="13">
        <v>20</v>
      </c>
      <c r="I2" s="13">
        <v>2.2990888831383356E-2</v>
      </c>
      <c r="J2" s="14">
        <f>ROUND(H2*0.00000575 -0.00034,6)</f>
        <v>-2.2499999999999999E-4</v>
      </c>
      <c r="K2" s="23">
        <f>ROUND(H2*0.000005-0.0001,6)</f>
        <v>0</v>
      </c>
      <c r="L2" s="14">
        <f>ROUND(K2+($C$24*(H2-25)),6)</f>
        <v>-1.5E-3</v>
      </c>
      <c r="M2" s="10">
        <f>(I2-J2)/(1-L2)+$C$26+$D$27</f>
        <v>2.3239117155649879E-2</v>
      </c>
      <c r="N2" s="16">
        <f>ABS(I2-M2)/I2</f>
        <v>1.0796812863001746E-2</v>
      </c>
      <c r="O2" s="13">
        <f>ROUND((M2*(2^($C$12-1)))/$C$44,4)</f>
        <v>123.9829</v>
      </c>
      <c r="P2" s="13">
        <f ca="1">ROUND(O2+$C$47+$C$49+RANDBETWEEN($B$45,$D$45),0)</f>
        <v>125</v>
      </c>
      <c r="Q2" s="13" t="str">
        <f ca="1">_xlfn.BASE(IF(P2&lt;0, P2+2^($C$12)-1, P2), 2, 16)</f>
        <v>0000000001111101</v>
      </c>
      <c r="R2" s="13">
        <f ca="1">($C$16/2^($C$12-1)) * P2</f>
        <v>2.3436784744262695E-2</v>
      </c>
      <c r="S2" s="13">
        <f ca="1">(R2+5/3)/(1/12)</f>
        <v>20.281241416931156</v>
      </c>
      <c r="T2" s="17">
        <f ca="1">ABS(H2-S2)/H2</f>
        <v>1.4062070846557796E-2</v>
      </c>
      <c r="U2" s="16">
        <f ca="1">MAX(T:T)</f>
        <v>3.3550466068455374E-2</v>
      </c>
      <c r="V2" s="14">
        <f ca="1">ROUND(ABS(H2-S2),6)</f>
        <v>0.28124100000000002</v>
      </c>
      <c r="W2" s="13">
        <f ca="1">MAX(V:V)</f>
        <v>1.911446</v>
      </c>
      <c r="X2" s="2"/>
      <c r="Z2" s="1"/>
    </row>
    <row r="3" spans="1:26" x14ac:dyDescent="0.25">
      <c r="A3" s="13" t="s">
        <v>25</v>
      </c>
      <c r="B3" s="20">
        <v>0.05</v>
      </c>
      <c r="C3" s="13"/>
      <c r="D3" s="13"/>
      <c r="E3" s="15"/>
      <c r="H3" s="13">
        <v>20.100000000000001</v>
      </c>
      <c r="I3" s="13">
        <v>2.9618393123745323E-2</v>
      </c>
      <c r="J3" s="14">
        <f t="shared" ref="J3:J66" si="0">ROUND(H3*0.00000575 -0.00034,6)</f>
        <v>-2.24E-4</v>
      </c>
      <c r="K3" s="23">
        <f>ROUND(H3*0.000005-0.0001,6)</f>
        <v>9.9999999999999995E-7</v>
      </c>
      <c r="L3" s="14">
        <f t="shared" ref="L3:L66" si="1">ROUND(K3+($C$24*(H3-25)),6)</f>
        <v>-1.469E-3</v>
      </c>
      <c r="M3" s="10">
        <f t="shared" ref="M3:M66" si="2">(I3-J3)/(1-L3)+$C$26+$D$27</f>
        <v>2.9856618952504094E-2</v>
      </c>
      <c r="N3" s="16">
        <f t="shared" ref="N3:N66" si="3">ABS(I3-M3)/I3</f>
        <v>8.0431719493851903E-3</v>
      </c>
      <c r="O3" s="13">
        <f t="shared" ref="O3:O66" si="4">ROUND((M3*(2^($C$12-1)))/$C$44,4)</f>
        <v>159.28790000000001</v>
      </c>
      <c r="P3" s="13">
        <f t="shared" ref="P3:P13" ca="1" si="5">ROUND(O3+$C$47+$C$49+RANDBETWEEN($B$45,$D$45),0)</f>
        <v>162</v>
      </c>
      <c r="Q3" s="13" t="str">
        <f t="shared" ref="Q3:Q66" ca="1" si="6">_xlfn.BASE(IF(P3&lt;0, P3+2^($C$12)-1, P3), 2, 16)</f>
        <v>0000000010100010</v>
      </c>
      <c r="R3" s="13">
        <f t="shared" ref="R3:R66" ca="1" si="7">($C$16/2^($C$12-1)) * P3</f>
        <v>3.0374073028564454E-2</v>
      </c>
      <c r="S3" s="13">
        <f t="shared" ref="S3:S66" ca="1" si="8">(R3+5/3)/(1/12)</f>
        <v>20.364488876342776</v>
      </c>
      <c r="T3" s="17">
        <f ca="1">ABS(H3-S3)/H3</f>
        <v>1.3158650564317134E-2</v>
      </c>
      <c r="U3" s="16">
        <f ca="1">MIN(T:T)</f>
        <v>3.3469492486745274E-5</v>
      </c>
      <c r="V3" s="14">
        <f t="shared" ref="V3:V66" ca="1" si="9">ROUND(ABS(H3-S3),6)</f>
        <v>0.26448899999999997</v>
      </c>
      <c r="W3" s="13">
        <f ca="1">MIN(V:V)</f>
        <v>1.583E-3</v>
      </c>
      <c r="X3" s="2"/>
      <c r="Z3" s="1"/>
    </row>
    <row r="4" spans="1:26" x14ac:dyDescent="0.25">
      <c r="H4" s="13">
        <v>20.2</v>
      </c>
      <c r="I4" s="13">
        <v>3.5300538995865625E-2</v>
      </c>
      <c r="J4" s="14">
        <f>ROUND(H4*0.00000575 -0.00034,6)</f>
        <v>-2.24E-4</v>
      </c>
      <c r="K4" s="23">
        <f t="shared" ref="K4:K66" si="10">ROUND(H4*0.000005-0.0001,6)</f>
        <v>9.9999999999999995E-7</v>
      </c>
      <c r="L4" s="14">
        <f t="shared" si="1"/>
        <v>-1.439E-3</v>
      </c>
      <c r="M4" s="10">
        <f t="shared" si="2"/>
        <v>3.5531492639956731E-2</v>
      </c>
      <c r="N4" s="16">
        <f t="shared" si="3"/>
        <v>6.5424962524837085E-3</v>
      </c>
      <c r="O4" s="13">
        <f t="shared" si="4"/>
        <v>189.56389999999999</v>
      </c>
      <c r="P4" s="13">
        <f t="shared" ca="1" si="5"/>
        <v>188</v>
      </c>
      <c r="Q4" s="13" t="str">
        <f t="shared" ca="1" si="6"/>
        <v>0000000010111100</v>
      </c>
      <c r="R4" s="13">
        <f t="shared" ca="1" si="7"/>
        <v>3.5248924255371093E-2</v>
      </c>
      <c r="S4" s="13">
        <f t="shared" ca="1" si="8"/>
        <v>20.422987091064456</v>
      </c>
      <c r="T4" s="17">
        <f t="shared" ref="T4:T67" ca="1" si="11">ABS(H4-S4)/H4</f>
        <v>1.1038964904181046E-2</v>
      </c>
      <c r="U4" s="13"/>
      <c r="V4" s="14">
        <f t="shared" ca="1" si="9"/>
        <v>0.22298699999999999</v>
      </c>
      <c r="W4" s="13"/>
      <c r="X4" s="2"/>
    </row>
    <row r="5" spans="1:26" x14ac:dyDescent="0.25">
      <c r="H5" s="13">
        <v>20.3</v>
      </c>
      <c r="I5" s="13">
        <v>4.198226804002167E-2</v>
      </c>
      <c r="J5" s="14">
        <f t="shared" si="0"/>
        <v>-2.23E-4</v>
      </c>
      <c r="K5" s="23">
        <f t="shared" si="10"/>
        <v>1.9999999999999999E-6</v>
      </c>
      <c r="L5" s="14">
        <f>ROUND(K5+($C$24*(H5-25)),6)</f>
        <v>-1.408E-3</v>
      </c>
      <c r="M5" s="10">
        <f t="shared" si="2"/>
        <v>4.2203926575403498E-2</v>
      </c>
      <c r="N5" s="16">
        <f>ABS(I5-M5)/I5</f>
        <v>5.2798132576001317E-3</v>
      </c>
      <c r="O5" s="13">
        <f>ROUND((M5*(2^($C$12-1)))/$C$44,4)</f>
        <v>225.16200000000001</v>
      </c>
      <c r="P5" s="13">
        <f ca="1">ROUND(O5+$C$47+$C$49+RANDBETWEEN($B$45,$D$45),0)</f>
        <v>223</v>
      </c>
      <c r="Q5" s="13" t="str">
        <f t="shared" ca="1" si="6"/>
        <v>0000000011011111</v>
      </c>
      <c r="R5" s="13">
        <f t="shared" ca="1" si="7"/>
        <v>4.1811223983764648E-2</v>
      </c>
      <c r="S5" s="13">
        <f t="shared" ca="1" si="8"/>
        <v>20.501734687805179</v>
      </c>
      <c r="T5" s="17">
        <f t="shared" ca="1" si="11"/>
        <v>9.9376693500087786E-3</v>
      </c>
      <c r="U5" s="13"/>
      <c r="V5" s="14">
        <f t="shared" ca="1" si="9"/>
        <v>0.201735</v>
      </c>
      <c r="W5" s="13"/>
      <c r="X5" s="2"/>
    </row>
    <row r="6" spans="1:26" x14ac:dyDescent="0.25">
      <c r="H6" s="13">
        <v>20.399999999999999</v>
      </c>
      <c r="I6" s="13">
        <v>4.7720223028902671E-2</v>
      </c>
      <c r="J6" s="14">
        <f t="shared" si="0"/>
        <v>-2.23E-4</v>
      </c>
      <c r="K6" s="23">
        <f t="shared" si="10"/>
        <v>1.9999999999999999E-6</v>
      </c>
      <c r="L6" s="14">
        <f t="shared" si="1"/>
        <v>-1.3780000000000001E-3</v>
      </c>
      <c r="M6" s="10">
        <f t="shared" si="2"/>
        <v>4.7935248180909378E-2</v>
      </c>
      <c r="N6" s="16">
        <f t="shared" si="3"/>
        <v>4.5059544645563027E-3</v>
      </c>
      <c r="O6" s="13">
        <f t="shared" si="4"/>
        <v>255.73920000000001</v>
      </c>
      <c r="P6" s="13">
        <f t="shared" ca="1" si="5"/>
        <v>254</v>
      </c>
      <c r="Q6" s="13" t="str">
        <f t="shared" ca="1" si="6"/>
        <v>0000000011111110</v>
      </c>
      <c r="R6" s="13">
        <f t="shared" ca="1" si="7"/>
        <v>4.76235466003418E-2</v>
      </c>
      <c r="S6" s="13">
        <f t="shared" ca="1" si="8"/>
        <v>20.571482559204103</v>
      </c>
      <c r="T6" s="17">
        <f t="shared" ca="1" si="11"/>
        <v>8.4060078041227702E-3</v>
      </c>
      <c r="U6" s="13"/>
      <c r="V6" s="14">
        <f t="shared" ca="1" si="9"/>
        <v>0.171483</v>
      </c>
      <c r="W6" s="13"/>
      <c r="X6" s="2"/>
    </row>
    <row r="7" spans="1:26" x14ac:dyDescent="0.25">
      <c r="H7" s="13">
        <v>20.5</v>
      </c>
      <c r="I7" s="13">
        <v>5.4456156933717831E-2</v>
      </c>
      <c r="J7" s="14">
        <f t="shared" si="0"/>
        <v>-2.22E-4</v>
      </c>
      <c r="K7" s="23">
        <f t="shared" si="10"/>
        <v>3.0000000000000001E-6</v>
      </c>
      <c r="L7" s="14">
        <f t="shared" si="1"/>
        <v>-1.3470000000000001E-3</v>
      </c>
      <c r="M7" s="10">
        <f t="shared" si="2"/>
        <v>5.466260453141402E-2</v>
      </c>
      <c r="N7" s="16">
        <f t="shared" si="3"/>
        <v>3.791079086749926E-3</v>
      </c>
      <c r="O7" s="13">
        <f t="shared" si="4"/>
        <v>291.63029999999998</v>
      </c>
      <c r="P7" s="13">
        <f t="shared" ca="1" si="5"/>
        <v>295</v>
      </c>
      <c r="Q7" s="13" t="str">
        <f t="shared" ca="1" si="6"/>
        <v>0000000100100111</v>
      </c>
      <c r="R7" s="13">
        <f t="shared" ca="1" si="7"/>
        <v>5.5310811996459965E-2</v>
      </c>
      <c r="S7" s="13">
        <f t="shared" ca="1" si="8"/>
        <v>20.663729743957521</v>
      </c>
      <c r="T7" s="17">
        <f t="shared" ca="1" si="11"/>
        <v>7.9868167784156764E-3</v>
      </c>
      <c r="U7" s="13"/>
      <c r="V7" s="14">
        <f t="shared" ca="1" si="9"/>
        <v>0.16372999999999999</v>
      </c>
      <c r="W7" s="13"/>
      <c r="X7" s="2"/>
    </row>
    <row r="8" spans="1:26" x14ac:dyDescent="0.25">
      <c r="A8" s="30" t="s">
        <v>26</v>
      </c>
      <c r="B8" s="30"/>
      <c r="C8" s="30"/>
      <c r="D8" s="30"/>
      <c r="E8" s="30"/>
      <c r="H8" s="13">
        <v>20.6</v>
      </c>
      <c r="I8" s="13">
        <v>6.1218784130293434E-2</v>
      </c>
      <c r="J8" s="14">
        <f t="shared" si="0"/>
        <v>-2.22E-4</v>
      </c>
      <c r="K8" s="23">
        <f t="shared" si="10"/>
        <v>3.0000000000000001E-6</v>
      </c>
      <c r="L8" s="14">
        <f t="shared" si="1"/>
        <v>-1.317E-3</v>
      </c>
      <c r="M8" s="10">
        <f t="shared" si="2"/>
        <v>6.1417973045792128E-2</v>
      </c>
      <c r="N8" s="16">
        <f t="shared" si="3"/>
        <v>3.253722175774596E-3</v>
      </c>
      <c r="O8" s="13">
        <f t="shared" si="4"/>
        <v>327.67079999999999</v>
      </c>
      <c r="P8" s="13">
        <f t="shared" ca="1" si="5"/>
        <v>325</v>
      </c>
      <c r="Q8" s="13" t="str">
        <f t="shared" ca="1" si="6"/>
        <v>0000000101000101</v>
      </c>
      <c r="R8" s="13">
        <f t="shared" ca="1" si="7"/>
        <v>6.0935640335083009E-2</v>
      </c>
      <c r="S8" s="13">
        <f t="shared" ca="1" si="8"/>
        <v>20.731227684020997</v>
      </c>
      <c r="T8" s="17">
        <f t="shared" ca="1" si="11"/>
        <v>6.3702759233492902E-3</v>
      </c>
      <c r="U8" s="13"/>
      <c r="V8" s="14">
        <f t="shared" ca="1" si="9"/>
        <v>0.13122800000000001</v>
      </c>
      <c r="W8" s="13"/>
      <c r="X8" s="2"/>
    </row>
    <row r="9" spans="1:26" x14ac:dyDescent="0.25">
      <c r="A9" s="13"/>
      <c r="B9" s="13" t="s">
        <v>27</v>
      </c>
      <c r="C9" s="13" t="s">
        <v>28</v>
      </c>
      <c r="D9" s="13" t="s">
        <v>29</v>
      </c>
      <c r="E9" s="15" t="s">
        <v>35</v>
      </c>
      <c r="H9" s="13">
        <v>20.7</v>
      </c>
      <c r="I9" s="13">
        <v>6.8008096682689007E-2</v>
      </c>
      <c r="J9" s="14">
        <f t="shared" si="0"/>
        <v>-2.2100000000000001E-4</v>
      </c>
      <c r="K9" s="23">
        <f t="shared" si="10"/>
        <v>3.9999999999999998E-6</v>
      </c>
      <c r="L9" s="14">
        <f t="shared" si="1"/>
        <v>-1.286E-3</v>
      </c>
      <c r="M9" s="10">
        <f t="shared" si="2"/>
        <v>6.819946675644023E-2</v>
      </c>
      <c r="N9" s="16">
        <f t="shared" si="3"/>
        <v>2.813930738925319E-3</v>
      </c>
      <c r="O9" s="13">
        <f t="shared" si="4"/>
        <v>363.85070000000002</v>
      </c>
      <c r="P9" s="13">
        <f t="shared" ca="1" si="5"/>
        <v>364</v>
      </c>
      <c r="Q9" s="13" t="str">
        <f t="shared" ca="1" si="6"/>
        <v>0000000101101100</v>
      </c>
      <c r="R9" s="13">
        <f t="shared" ca="1" si="7"/>
        <v>6.8247917175292966E-2</v>
      </c>
      <c r="S9" s="13">
        <f t="shared" ca="1" si="8"/>
        <v>20.818975006103518</v>
      </c>
      <c r="T9" s="17">
        <f t="shared" ca="1" si="11"/>
        <v>5.7475848359187639E-3</v>
      </c>
      <c r="U9" s="13"/>
      <c r="V9" s="14">
        <f t="shared" ca="1" si="9"/>
        <v>0.118975</v>
      </c>
      <c r="W9" s="13"/>
      <c r="X9" s="2"/>
    </row>
    <row r="10" spans="1:26" x14ac:dyDescent="0.25">
      <c r="A10" s="13" t="s">
        <v>3</v>
      </c>
      <c r="B10" s="13">
        <v>5.2</v>
      </c>
      <c r="C10" s="13">
        <v>5.5</v>
      </c>
      <c r="D10" s="13">
        <v>5.5</v>
      </c>
      <c r="E10" s="15" t="s">
        <v>22</v>
      </c>
      <c r="H10" s="13">
        <v>20.8</v>
      </c>
      <c r="I10" s="13">
        <v>7.482408551682436E-2</v>
      </c>
      <c r="J10" s="14">
        <f t="shared" si="0"/>
        <v>-2.2000000000000001E-4</v>
      </c>
      <c r="K10" s="23">
        <f t="shared" si="10"/>
        <v>3.9999999999999998E-6</v>
      </c>
      <c r="L10" s="14">
        <f t="shared" si="1"/>
        <v>-1.256E-3</v>
      </c>
      <c r="M10" s="10">
        <f t="shared" si="2"/>
        <v>7.5007948381657003E-2</v>
      </c>
      <c r="N10" s="16">
        <f t="shared" si="3"/>
        <v>2.4572684525666663E-3</v>
      </c>
      <c r="O10" s="13">
        <f t="shared" si="4"/>
        <v>400.1746</v>
      </c>
      <c r="P10" s="13">
        <f t="shared" ca="1" si="5"/>
        <v>398</v>
      </c>
      <c r="Q10" s="13" t="str">
        <f t="shared" ca="1" si="6"/>
        <v>0000000110001110</v>
      </c>
      <c r="R10" s="13">
        <f t="shared" ca="1" si="7"/>
        <v>7.4622722625732427E-2</v>
      </c>
      <c r="S10" s="13">
        <f t="shared" ca="1" si="8"/>
        <v>20.895472671508792</v>
      </c>
      <c r="T10" s="17">
        <f t="shared" ca="1" si="11"/>
        <v>4.5900322840764802E-3</v>
      </c>
      <c r="U10" s="13"/>
      <c r="V10" s="14">
        <f t="shared" ca="1" si="9"/>
        <v>9.5473000000000002E-2</v>
      </c>
      <c r="W10" s="13"/>
      <c r="X10" s="2"/>
    </row>
    <row r="11" spans="1:26" x14ac:dyDescent="0.25">
      <c r="A11" s="13" t="s">
        <v>4</v>
      </c>
      <c r="B11" s="13">
        <v>-0.3</v>
      </c>
      <c r="C11" s="13">
        <v>0</v>
      </c>
      <c r="D11" s="13">
        <v>0.3</v>
      </c>
      <c r="E11" s="15" t="s">
        <v>22</v>
      </c>
      <c r="H11" s="13">
        <v>20.9</v>
      </c>
      <c r="I11" s="13">
        <v>8.1666741666577294E-2</v>
      </c>
      <c r="J11" s="14">
        <f t="shared" si="0"/>
        <v>-2.2000000000000001E-4</v>
      </c>
      <c r="K11" s="23">
        <f t="shared" si="10"/>
        <v>5.0000000000000004E-6</v>
      </c>
      <c r="L11" s="14">
        <f t="shared" si="1"/>
        <v>-1.225E-3</v>
      </c>
      <c r="M11" s="10">
        <f t="shared" si="2"/>
        <v>8.1844553138982035E-2</v>
      </c>
      <c r="N11" s="16">
        <f t="shared" si="3"/>
        <v>2.177281336026547E-3</v>
      </c>
      <c r="O11" s="13">
        <f t="shared" si="4"/>
        <v>436.64859999999999</v>
      </c>
      <c r="P11" s="13">
        <f t="shared" ca="1" si="5"/>
        <v>440</v>
      </c>
      <c r="Q11" s="13" t="str">
        <f t="shared" ca="1" si="6"/>
        <v>0000000110111000</v>
      </c>
      <c r="R11" s="13">
        <f t="shared" ca="1" si="7"/>
        <v>8.2497482299804692E-2</v>
      </c>
      <c r="S11" s="13">
        <f t="shared" ca="1" si="8"/>
        <v>20.989969787597659</v>
      </c>
      <c r="T11" s="17">
        <f t="shared" ca="1" si="11"/>
        <v>4.3047745262038252E-3</v>
      </c>
      <c r="U11" s="13"/>
      <c r="V11" s="14">
        <f t="shared" ca="1" si="9"/>
        <v>8.9969999999999994E-2</v>
      </c>
      <c r="W11" s="13"/>
      <c r="X11" s="2"/>
    </row>
    <row r="12" spans="1:26" x14ac:dyDescent="0.25">
      <c r="A12" s="13" t="s">
        <v>9</v>
      </c>
      <c r="B12" s="13"/>
      <c r="C12" s="13">
        <v>16</v>
      </c>
      <c r="D12" s="13"/>
      <c r="E12" s="15" t="s">
        <v>1</v>
      </c>
      <c r="H12" s="13">
        <v>21</v>
      </c>
      <c r="I12" s="13">
        <v>8.8536055969326705E-2</v>
      </c>
      <c r="J12" s="14">
        <f t="shared" si="0"/>
        <v>-2.1900000000000001E-4</v>
      </c>
      <c r="K12" s="23">
        <f t="shared" si="10"/>
        <v>5.0000000000000004E-6</v>
      </c>
      <c r="L12" s="14">
        <f t="shared" si="1"/>
        <v>-1.1950000000000001E-3</v>
      </c>
      <c r="M12" s="10">
        <f t="shared" si="2"/>
        <v>8.8707120270603332E-2</v>
      </c>
      <c r="N12" s="16">
        <f t="shared" si="3"/>
        <v>1.9321427796139053E-3</v>
      </c>
      <c r="O12" s="13">
        <f t="shared" si="4"/>
        <v>473.26100000000002</v>
      </c>
      <c r="P12" s="13">
        <f t="shared" ca="1" si="5"/>
        <v>471</v>
      </c>
      <c r="Q12" s="13" t="str">
        <f t="shared" ca="1" si="6"/>
        <v>0000000111010111</v>
      </c>
      <c r="R12" s="13">
        <f t="shared" ca="1" si="7"/>
        <v>8.8309804916381837E-2</v>
      </c>
      <c r="S12" s="13">
        <f t="shared" ca="1" si="8"/>
        <v>21.059717658996583</v>
      </c>
      <c r="T12" s="17">
        <f t="shared" ca="1" si="11"/>
        <v>2.8436980474563171E-3</v>
      </c>
      <c r="U12" s="13"/>
      <c r="V12" s="14">
        <f t="shared" ca="1" si="9"/>
        <v>5.9718E-2</v>
      </c>
      <c r="W12" s="13"/>
      <c r="X12" s="2"/>
    </row>
    <row r="13" spans="1:26" x14ac:dyDescent="0.25">
      <c r="A13" s="13" t="s">
        <v>30</v>
      </c>
      <c r="B13" s="13"/>
      <c r="C13" s="13"/>
      <c r="D13" s="13"/>
      <c r="E13" s="15" t="s">
        <v>22</v>
      </c>
      <c r="H13" s="13">
        <v>21.1</v>
      </c>
      <c r="I13" s="13">
        <v>9.4467173608866709E-2</v>
      </c>
      <c r="J13" s="14">
        <f t="shared" si="0"/>
        <v>-2.1900000000000001E-4</v>
      </c>
      <c r="K13" s="23">
        <f t="shared" si="10"/>
        <v>6.0000000000000002E-6</v>
      </c>
      <c r="L13" s="14">
        <f t="shared" si="1"/>
        <v>-1.1640000000000001E-3</v>
      </c>
      <c r="M13" s="10">
        <f t="shared" si="2"/>
        <v>9.4634087043548018E-2</v>
      </c>
      <c r="N13" s="16">
        <f t="shared" si="3"/>
        <v>1.7668934964901177E-3</v>
      </c>
      <c r="O13" s="13">
        <f t="shared" si="4"/>
        <v>504.88200000000001</v>
      </c>
      <c r="P13" s="13">
        <f t="shared" ca="1" si="5"/>
        <v>508</v>
      </c>
      <c r="Q13" s="13" t="str">
        <f t="shared" ca="1" si="6"/>
        <v>0000000111111100</v>
      </c>
      <c r="R13" s="13">
        <f t="shared" ca="1" si="7"/>
        <v>9.52470932006836E-2</v>
      </c>
      <c r="S13" s="13">
        <f t="shared" ca="1" si="8"/>
        <v>21.142965118408206</v>
      </c>
      <c r="T13" s="17">
        <f t="shared" ca="1" si="11"/>
        <v>2.0362615359338725E-3</v>
      </c>
      <c r="U13" s="13"/>
      <c r="V13" s="14">
        <f t="shared" ca="1" si="9"/>
        <v>4.2965000000000003E-2</v>
      </c>
      <c r="W13" s="13"/>
      <c r="X13" s="2"/>
    </row>
    <row r="14" spans="1:26" x14ac:dyDescent="0.25">
      <c r="A14" s="13" t="s">
        <v>31</v>
      </c>
      <c r="B14" s="13">
        <v>-60</v>
      </c>
      <c r="C14" s="13"/>
      <c r="D14" s="13">
        <v>150</v>
      </c>
      <c r="E14" s="15" t="s">
        <v>32</v>
      </c>
      <c r="H14" s="13">
        <v>21.2</v>
      </c>
      <c r="I14" s="13">
        <v>0.10139058506826154</v>
      </c>
      <c r="J14" s="14">
        <f t="shared" si="0"/>
        <v>-2.1800000000000001E-4</v>
      </c>
      <c r="K14" s="23">
        <f t="shared" si="10"/>
        <v>6.0000000000000002E-6</v>
      </c>
      <c r="L14" s="14">
        <f t="shared" si="1"/>
        <v>-1.134E-3</v>
      </c>
      <c r="M14" s="10">
        <f t="shared" si="2"/>
        <v>0.10155149144895842</v>
      </c>
      <c r="N14" s="16">
        <f t="shared" si="3"/>
        <v>1.5869952874672574E-3</v>
      </c>
      <c r="O14" s="13">
        <f t="shared" si="4"/>
        <v>541.78700000000003</v>
      </c>
      <c r="P14" s="13">
        <f ca="1">ROUND(O14+$C$47+$C$49+RANDBETWEEN($B$45,$D$45) + 1,0)</f>
        <v>546</v>
      </c>
      <c r="Q14" s="13" t="str">
        <f t="shared" ca="1" si="6"/>
        <v>0000001000100010</v>
      </c>
      <c r="R14" s="13">
        <f t="shared" ca="1" si="7"/>
        <v>0.10237187576293945</v>
      </c>
      <c r="S14" s="13">
        <f t="shared" ca="1" si="8"/>
        <v>21.228462509155275</v>
      </c>
      <c r="T14" s="17">
        <f t="shared" ca="1" si="11"/>
        <v>1.3425711865695984E-3</v>
      </c>
      <c r="U14" s="13"/>
      <c r="V14" s="14">
        <f t="shared" ca="1" si="9"/>
        <v>2.8462999999999999E-2</v>
      </c>
      <c r="W14" s="13"/>
      <c r="X14" s="2"/>
    </row>
    <row r="15" spans="1:26" x14ac:dyDescent="0.25">
      <c r="A15" s="13" t="s">
        <v>33</v>
      </c>
      <c r="B15" s="13">
        <f>2/3</f>
        <v>0.66666666666666663</v>
      </c>
      <c r="C15" s="13">
        <f>2/3*$C$24+$B$15</f>
        <v>0.66686666666666661</v>
      </c>
      <c r="D15" s="13"/>
      <c r="E15" s="15"/>
      <c r="H15" s="13">
        <v>21.3</v>
      </c>
      <c r="I15" s="13">
        <v>0.10834062440616517</v>
      </c>
      <c r="J15" s="14">
        <f t="shared" si="0"/>
        <v>-2.1800000000000001E-4</v>
      </c>
      <c r="K15" s="23">
        <f t="shared" si="10"/>
        <v>6.9999999999999999E-6</v>
      </c>
      <c r="L15" s="14">
        <f t="shared" si="1"/>
        <v>-1.103E-3</v>
      </c>
      <c r="M15" s="10">
        <f t="shared" si="2"/>
        <v>0.10849701617132819</v>
      </c>
      <c r="N15" s="16">
        <f t="shared" si="3"/>
        <v>1.443519141783001E-3</v>
      </c>
      <c r="O15" s="13">
        <f t="shared" si="4"/>
        <v>578.84199999999998</v>
      </c>
      <c r="P15" s="13">
        <f t="shared" ref="P15:P78" ca="1" si="12">ROUND(O15+$C$47+$C$49+RANDBETWEEN($B$45,$D$45) + 1,0)</f>
        <v>579</v>
      </c>
      <c r="Q15" s="13" t="str">
        <f t="shared" ca="1" si="6"/>
        <v>0000001001000011</v>
      </c>
      <c r="R15" s="13">
        <f t="shared" ca="1" si="7"/>
        <v>0.10855918693542481</v>
      </c>
      <c r="S15" s="13">
        <f t="shared" ca="1" si="8"/>
        <v>21.3027102432251</v>
      </c>
      <c r="T15" s="17">
        <f t="shared" ca="1" si="11"/>
        <v>1.2724146596709683E-4</v>
      </c>
      <c r="U15" s="13"/>
      <c r="V15" s="14">
        <f t="shared" ca="1" si="9"/>
        <v>2.7100000000000002E-3</v>
      </c>
      <c r="W15" s="13"/>
      <c r="X15" s="2"/>
    </row>
    <row r="16" spans="1:26" x14ac:dyDescent="0.25">
      <c r="A16" s="13" t="s">
        <v>34</v>
      </c>
      <c r="B16" s="13">
        <f>-4.096/$C$15</f>
        <v>-6.1421573527941629</v>
      </c>
      <c r="C16" s="13">
        <f>4.096/$B$15 * ((2^15 - 1)/(2^15))</f>
        <v>6.1438125000000001</v>
      </c>
      <c r="D16" s="13">
        <f>4.096/$C$15</f>
        <v>6.1421573527941629</v>
      </c>
      <c r="E16" s="15" t="s">
        <v>22</v>
      </c>
      <c r="H16" s="13">
        <v>21.4</v>
      </c>
      <c r="I16" s="13">
        <v>0.11531728059365691</v>
      </c>
      <c r="J16" s="14">
        <f t="shared" si="0"/>
        <v>-2.1699999999999999E-4</v>
      </c>
      <c r="K16" s="23">
        <f t="shared" si="10"/>
        <v>6.9999999999999999E-6</v>
      </c>
      <c r="L16" s="14">
        <f t="shared" si="1"/>
        <v>-1.073E-3</v>
      </c>
      <c r="M16" s="10">
        <f t="shared" si="2"/>
        <v>0.11546844518597235</v>
      </c>
      <c r="N16" s="16">
        <f t="shared" si="3"/>
        <v>1.3108581084919971E-3</v>
      </c>
      <c r="O16" s="13">
        <f t="shared" si="4"/>
        <v>616.03530000000001</v>
      </c>
      <c r="P16" s="13">
        <f t="shared" ca="1" si="12"/>
        <v>620</v>
      </c>
      <c r="Q16" s="13" t="str">
        <f t="shared" ca="1" si="6"/>
        <v>0000001001101100</v>
      </c>
      <c r="R16" s="13">
        <f t="shared" ca="1" si="7"/>
        <v>0.11624645233154297</v>
      </c>
      <c r="S16" s="13">
        <f t="shared" ca="1" si="8"/>
        <v>21.394957427978518</v>
      </c>
      <c r="T16" s="17">
        <f t="shared" ca="1" si="11"/>
        <v>2.3563420661123347E-4</v>
      </c>
      <c r="U16" s="13"/>
      <c r="V16" s="14">
        <f t="shared" ca="1" si="9"/>
        <v>5.0429999999999997E-3</v>
      </c>
      <c r="W16" s="13"/>
      <c r="X16" s="2"/>
    </row>
    <row r="17" spans="1:24" x14ac:dyDescent="0.25">
      <c r="A17" s="13" t="s">
        <v>36</v>
      </c>
      <c r="B17" s="13"/>
      <c r="C17" s="13">
        <f>6000000</f>
        <v>6000000</v>
      </c>
      <c r="D17" s="13"/>
      <c r="E17" s="15" t="s">
        <v>37</v>
      </c>
      <c r="H17" s="13">
        <v>21.5</v>
      </c>
      <c r="I17" s="13">
        <v>0.12232054172659139</v>
      </c>
      <c r="J17" s="14">
        <f t="shared" si="0"/>
        <v>-2.1599999999999999E-4</v>
      </c>
      <c r="K17" s="23">
        <f t="shared" si="10"/>
        <v>7.9999999999999996E-6</v>
      </c>
      <c r="L17" s="14">
        <f t="shared" si="1"/>
        <v>-1.042E-3</v>
      </c>
      <c r="M17" s="10">
        <f t="shared" si="2"/>
        <v>0.12246699155738859</v>
      </c>
      <c r="N17" s="16">
        <f t="shared" si="3"/>
        <v>1.1972627714856242E-3</v>
      </c>
      <c r="O17" s="13">
        <f t="shared" si="4"/>
        <v>653.3732</v>
      </c>
      <c r="P17" s="13">
        <f t="shared" ca="1" si="12"/>
        <v>654</v>
      </c>
      <c r="Q17" s="13" t="str">
        <f t="shared" ca="1" si="6"/>
        <v>0000001010001110</v>
      </c>
      <c r="R17" s="13">
        <f t="shared" ca="1" si="7"/>
        <v>0.12262125778198242</v>
      </c>
      <c r="S17" s="13">
        <f t="shared" ca="1" si="8"/>
        <v>21.471455093383792</v>
      </c>
      <c r="T17" s="17">
        <f t="shared" ca="1" si="11"/>
        <v>1.3276700751724657E-3</v>
      </c>
      <c r="U17" s="13"/>
      <c r="V17" s="14">
        <f t="shared" ca="1" si="9"/>
        <v>2.8545000000000001E-2</v>
      </c>
      <c r="W17" s="13"/>
      <c r="X17" s="2"/>
    </row>
    <row r="18" spans="1:24" x14ac:dyDescent="0.25">
      <c r="A18" s="13" t="s">
        <v>38</v>
      </c>
      <c r="B18" s="13"/>
      <c r="C18" s="13">
        <v>128</v>
      </c>
      <c r="D18" s="13"/>
      <c r="E18" s="15" t="s">
        <v>8</v>
      </c>
      <c r="H18" s="13">
        <v>21.6</v>
      </c>
      <c r="I18" s="13">
        <v>0.12838963123818384</v>
      </c>
      <c r="J18" s="14">
        <f t="shared" si="0"/>
        <v>-2.1599999999999999E-4</v>
      </c>
      <c r="K18" s="23">
        <f t="shared" si="10"/>
        <v>7.9999999999999996E-6</v>
      </c>
      <c r="L18" s="14">
        <f>ROUND(K18+($C$24*(H18-25)),6)</f>
        <v>-1.0120000000000001E-3</v>
      </c>
      <c r="M18" s="10">
        <f t="shared" si="2"/>
        <v>0.12853361391689994</v>
      </c>
      <c r="N18" s="16">
        <f t="shared" si="3"/>
        <v>1.1214509873385846E-3</v>
      </c>
      <c r="O18" s="13">
        <f t="shared" si="4"/>
        <v>685.73919999999998</v>
      </c>
      <c r="P18" s="13">
        <f t="shared" ca="1" si="12"/>
        <v>684</v>
      </c>
      <c r="Q18" s="13" t="str">
        <f t="shared" ca="1" si="6"/>
        <v>0000001010101100</v>
      </c>
      <c r="R18" s="13">
        <f t="shared" ca="1" si="7"/>
        <v>0.12824608612060548</v>
      </c>
      <c r="S18" s="13">
        <f t="shared" ca="1" si="8"/>
        <v>21.538953033447267</v>
      </c>
      <c r="T18" s="17">
        <f t="shared" ca="1" si="11"/>
        <v>2.826248451515463E-3</v>
      </c>
      <c r="U18" s="13"/>
      <c r="V18" s="14">
        <f t="shared" ca="1" si="9"/>
        <v>6.1046999999999997E-2</v>
      </c>
      <c r="W18" s="13"/>
      <c r="X18" s="2"/>
    </row>
    <row r="19" spans="1:24" x14ac:dyDescent="0.25">
      <c r="A19" s="18" t="s">
        <v>39</v>
      </c>
      <c r="B19" s="18">
        <v>20</v>
      </c>
      <c r="C19" s="18"/>
      <c r="D19" s="18">
        <v>80</v>
      </c>
      <c r="E19" s="19" t="s">
        <v>32</v>
      </c>
      <c r="H19" s="13">
        <v>21.7</v>
      </c>
      <c r="I19" s="13">
        <v>0.13544688518544515</v>
      </c>
      <c r="J19" s="14">
        <f t="shared" si="0"/>
        <v>-2.1499999999999999E-4</v>
      </c>
      <c r="K19" s="23">
        <f t="shared" si="10"/>
        <v>9.0000000000000002E-6</v>
      </c>
      <c r="L19" s="14">
        <f t="shared" si="1"/>
        <v>-9.810000000000001E-4</v>
      </c>
      <c r="M19" s="10">
        <f t="shared" si="2"/>
        <v>0.13558693130383609</v>
      </c>
      <c r="N19" s="16">
        <f t="shared" si="3"/>
        <v>1.0339559909347388E-3</v>
      </c>
      <c r="O19" s="13">
        <f t="shared" si="4"/>
        <v>723.36929999999995</v>
      </c>
      <c r="P19" s="13">
        <f t="shared" ca="1" si="12"/>
        <v>728</v>
      </c>
      <c r="Q19" s="13" t="str">
        <f t="shared" ca="1" si="6"/>
        <v>0000001011011000</v>
      </c>
      <c r="R19" s="13">
        <f t="shared" ca="1" si="7"/>
        <v>0.13649583435058593</v>
      </c>
      <c r="S19" s="13">
        <f t="shared" ca="1" si="8"/>
        <v>21.637950012207035</v>
      </c>
      <c r="T19" s="17">
        <f t="shared" ca="1" si="11"/>
        <v>2.8594464420720689E-3</v>
      </c>
      <c r="U19" s="13"/>
      <c r="V19" s="14">
        <f t="shared" ca="1" si="9"/>
        <v>6.2050000000000001E-2</v>
      </c>
      <c r="W19" s="13"/>
      <c r="X19" s="2"/>
    </row>
    <row r="20" spans="1:24" x14ac:dyDescent="0.25">
      <c r="A20" s="13" t="s">
        <v>47</v>
      </c>
      <c r="B20" s="13">
        <f>-0.000225</f>
        <v>-2.2499999999999999E-4</v>
      </c>
      <c r="C20" s="13"/>
      <c r="D20" s="13">
        <f>-0.00012</f>
        <v>-1.2E-4</v>
      </c>
      <c r="E20" s="15" t="s">
        <v>22</v>
      </c>
      <c r="H20" s="13">
        <v>21.8</v>
      </c>
      <c r="I20" s="13">
        <v>0.14253070685912658</v>
      </c>
      <c r="J20" s="14">
        <f t="shared" si="0"/>
        <v>-2.1499999999999999E-4</v>
      </c>
      <c r="K20" s="23">
        <f t="shared" si="10"/>
        <v>9.0000000000000002E-6</v>
      </c>
      <c r="L20" s="14">
        <f t="shared" si="1"/>
        <v>-9.5100000000000002E-4</v>
      </c>
      <c r="M20" s="10">
        <f t="shared" si="2"/>
        <v>0.14266808466860675</v>
      </c>
      <c r="N20" s="16">
        <f t="shared" si="3"/>
        <v>9.638471071076063E-4</v>
      </c>
      <c r="O20" s="13">
        <f t="shared" si="4"/>
        <v>761.14790000000005</v>
      </c>
      <c r="P20" s="13">
        <f t="shared" ca="1" si="12"/>
        <v>761</v>
      </c>
      <c r="Q20" s="13" t="str">
        <f t="shared" ca="1" si="6"/>
        <v>0000001011111001</v>
      </c>
      <c r="R20" s="13">
        <f t="shared" ca="1" si="7"/>
        <v>0.14268314552307129</v>
      </c>
      <c r="S20" s="13">
        <f t="shared" ca="1" si="8"/>
        <v>21.712197746276857</v>
      </c>
      <c r="T20" s="17">
        <f t="shared" ca="1" si="11"/>
        <v>4.027626317575402E-3</v>
      </c>
      <c r="U20" s="13"/>
      <c r="V20" s="14">
        <f t="shared" ca="1" si="9"/>
        <v>8.7802000000000005E-2</v>
      </c>
      <c r="W20" s="13"/>
      <c r="X20" s="2"/>
    </row>
    <row r="21" spans="1:24" x14ac:dyDescent="0.25">
      <c r="A21" s="13"/>
      <c r="B21" s="13"/>
      <c r="C21" s="13"/>
      <c r="D21" s="13"/>
      <c r="E21" s="15"/>
      <c r="H21" s="13">
        <v>21.9</v>
      </c>
      <c r="I21" s="13">
        <v>0.14964108263628889</v>
      </c>
      <c r="J21" s="14">
        <f t="shared" si="0"/>
        <v>-2.14E-4</v>
      </c>
      <c r="K21" s="23">
        <f t="shared" si="10"/>
        <v>1.0000000000000001E-5</v>
      </c>
      <c r="L21" s="14">
        <f t="shared" si="1"/>
        <v>-9.2000000000000003E-4</v>
      </c>
      <c r="M21" s="10">
        <f t="shared" si="2"/>
        <v>0.14977534268102233</v>
      </c>
      <c r="N21" s="16">
        <f t="shared" si="3"/>
        <v>8.9721380230697043E-4</v>
      </c>
      <c r="O21" s="13">
        <f t="shared" si="4"/>
        <v>799.06590000000006</v>
      </c>
      <c r="P21" s="13">
        <f t="shared" ca="1" si="12"/>
        <v>801</v>
      </c>
      <c r="Q21" s="13" t="str">
        <f t="shared" ca="1" si="6"/>
        <v>0000001100100001</v>
      </c>
      <c r="R21" s="13">
        <f t="shared" ca="1" si="7"/>
        <v>0.15018291664123534</v>
      </c>
      <c r="S21" s="13">
        <f t="shared" ca="1" si="8"/>
        <v>21.802194999694827</v>
      </c>
      <c r="T21" s="17">
        <f t="shared" ca="1" si="11"/>
        <v>4.4659817490946135E-3</v>
      </c>
      <c r="U21" s="13"/>
      <c r="V21" s="14">
        <f t="shared" ca="1" si="9"/>
        <v>9.7805000000000003E-2</v>
      </c>
      <c r="W21" s="13"/>
      <c r="X21" s="2"/>
    </row>
    <row r="22" spans="1:24" x14ac:dyDescent="0.25">
      <c r="A22" s="13" t="s">
        <v>48</v>
      </c>
      <c r="B22" s="20">
        <v>0</v>
      </c>
      <c r="C22" s="13"/>
      <c r="D22" s="21">
        <v>2.9999999999999997E-4</v>
      </c>
      <c r="E22" s="15" t="s">
        <v>23</v>
      </c>
      <c r="H22" s="13">
        <v>22</v>
      </c>
      <c r="I22" s="13">
        <v>0.1558205310685242</v>
      </c>
      <c r="J22" s="14">
        <f t="shared" si="0"/>
        <v>-2.14E-4</v>
      </c>
      <c r="K22" s="23">
        <f t="shared" si="10"/>
        <v>1.0000000000000001E-5</v>
      </c>
      <c r="L22" s="14">
        <f t="shared" si="1"/>
        <v>-8.8999999999999995E-4</v>
      </c>
      <c r="M22" s="10">
        <f t="shared" si="2"/>
        <v>0.15595378382092356</v>
      </c>
      <c r="N22" s="16">
        <f t="shared" si="3"/>
        <v>8.5516813147534256E-4</v>
      </c>
      <c r="O22" s="13">
        <f t="shared" si="4"/>
        <v>832.02840000000003</v>
      </c>
      <c r="P22" s="13">
        <f t="shared" ca="1" si="12"/>
        <v>834</v>
      </c>
      <c r="Q22" s="13" t="str">
        <f t="shared" ca="1" si="6"/>
        <v>0000001101000010</v>
      </c>
      <c r="R22" s="13">
        <f t="shared" ca="1" si="7"/>
        <v>0.1563702278137207</v>
      </c>
      <c r="S22" s="13">
        <f t="shared" ca="1" si="8"/>
        <v>21.876442733764652</v>
      </c>
      <c r="T22" s="17">
        <f t="shared" ca="1" si="11"/>
        <v>5.6162393743340163E-3</v>
      </c>
      <c r="U22" s="13"/>
      <c r="V22" s="14">
        <f t="shared" ca="1" si="9"/>
        <v>0.123557</v>
      </c>
      <c r="W22" s="13"/>
      <c r="X22" s="2"/>
    </row>
    <row r="23" spans="1:24" x14ac:dyDescent="0.25">
      <c r="A23" s="13" t="s">
        <v>40</v>
      </c>
      <c r="B23" s="13"/>
      <c r="C23" s="22">
        <v>5.0000000000000004E-6</v>
      </c>
      <c r="D23" s="13"/>
      <c r="E23" s="34" t="s">
        <v>41</v>
      </c>
      <c r="H23" s="13">
        <v>22.1</v>
      </c>
      <c r="I23" s="13">
        <v>0.16298479946231265</v>
      </c>
      <c r="J23" s="14">
        <f t="shared" si="0"/>
        <v>-2.13E-4</v>
      </c>
      <c r="K23" s="23">
        <f t="shared" si="10"/>
        <v>1.1E-5</v>
      </c>
      <c r="L23" s="14">
        <f t="shared" si="1"/>
        <v>-8.5899999999999995E-4</v>
      </c>
      <c r="M23" s="10">
        <f t="shared" si="2"/>
        <v>0.16311573286977751</v>
      </c>
      <c r="N23" s="16">
        <f t="shared" si="3"/>
        <v>8.0334735445769707E-4</v>
      </c>
      <c r="O23" s="13">
        <f t="shared" si="4"/>
        <v>870.23810000000003</v>
      </c>
      <c r="P23" s="13">
        <f t="shared" ca="1" si="12"/>
        <v>870</v>
      </c>
      <c r="Q23" s="13" t="str">
        <f t="shared" ca="1" si="6"/>
        <v>0000001101100110</v>
      </c>
      <c r="R23" s="13">
        <f t="shared" ca="1" si="7"/>
        <v>0.16312002182006835</v>
      </c>
      <c r="S23" s="13">
        <f t="shared" ca="1" si="8"/>
        <v>21.957440261840823</v>
      </c>
      <c r="T23" s="17">
        <f t="shared" ca="1" si="11"/>
        <v>6.4506668850307031E-3</v>
      </c>
      <c r="U23" s="13"/>
      <c r="V23" s="14">
        <f t="shared" ca="1" si="9"/>
        <v>0.14255999999999999</v>
      </c>
      <c r="W23" s="13"/>
      <c r="X23" s="2"/>
    </row>
    <row r="24" spans="1:24" x14ac:dyDescent="0.25">
      <c r="A24" s="13"/>
      <c r="B24" s="13" t="s">
        <v>43</v>
      </c>
      <c r="C24" s="23">
        <f>($D$19-$B$19)*C23</f>
        <v>3.0000000000000003E-4</v>
      </c>
      <c r="D24" s="13"/>
      <c r="E24" s="34"/>
      <c r="H24" s="13">
        <v>22.2</v>
      </c>
      <c r="I24" s="13">
        <v>0.17017557935292399</v>
      </c>
      <c r="J24" s="14">
        <f t="shared" si="0"/>
        <v>-2.12E-4</v>
      </c>
      <c r="K24" s="23">
        <f t="shared" si="10"/>
        <v>1.1E-5</v>
      </c>
      <c r="L24" s="14">
        <f t="shared" si="1"/>
        <v>-8.2899999999999998E-4</v>
      </c>
      <c r="M24" s="10">
        <f t="shared" si="2"/>
        <v>0.17030444504997755</v>
      </c>
      <c r="N24" s="16">
        <f t="shared" si="3"/>
        <v>7.5725140789036104E-4</v>
      </c>
      <c r="O24" s="13">
        <f t="shared" si="4"/>
        <v>908.59059999999999</v>
      </c>
      <c r="P24" s="13">
        <f t="shared" ca="1" si="12"/>
        <v>912</v>
      </c>
      <c r="Q24" s="13" t="str">
        <f t="shared" ca="1" si="6"/>
        <v>0000001110010000</v>
      </c>
      <c r="R24" s="13">
        <f t="shared" ca="1" si="7"/>
        <v>0.17099478149414063</v>
      </c>
      <c r="S24" s="13">
        <f t="shared" ca="1" si="8"/>
        <v>22.05193737792969</v>
      </c>
      <c r="T24" s="17">
        <f t="shared" ca="1" si="11"/>
        <v>6.6694874806445675E-3</v>
      </c>
      <c r="U24" s="13"/>
      <c r="V24" s="14">
        <f t="shared" ca="1" si="9"/>
        <v>0.148063</v>
      </c>
      <c r="W24" s="13"/>
      <c r="X24" s="2"/>
    </row>
    <row r="25" spans="1:24" x14ac:dyDescent="0.25">
      <c r="A25" s="13" t="s">
        <v>42</v>
      </c>
      <c r="B25" s="13" t="s">
        <v>43</v>
      </c>
      <c r="C25" s="13">
        <v>90</v>
      </c>
      <c r="D25" s="13"/>
      <c r="E25" s="15" t="s">
        <v>10</v>
      </c>
      <c r="H25" s="13">
        <v>22.3</v>
      </c>
      <c r="I25" s="13">
        <v>0.17643787971664276</v>
      </c>
      <c r="J25" s="14">
        <f t="shared" si="0"/>
        <v>-2.12E-4</v>
      </c>
      <c r="K25" s="23">
        <f t="shared" si="10"/>
        <v>1.2E-5</v>
      </c>
      <c r="L25" s="14">
        <f t="shared" si="1"/>
        <v>-7.9799999999999999E-4</v>
      </c>
      <c r="M25" s="10">
        <f t="shared" si="2"/>
        <v>0.17656702551428236</v>
      </c>
      <c r="N25" s="16">
        <f t="shared" si="3"/>
        <v>7.3196185448950719E-4</v>
      </c>
      <c r="O25" s="13">
        <f t="shared" si="4"/>
        <v>942.00210000000004</v>
      </c>
      <c r="P25" s="13">
        <f t="shared" ca="1" si="12"/>
        <v>943</v>
      </c>
      <c r="Q25" s="13" t="str">
        <f t="shared" ca="1" si="6"/>
        <v>0000001110101111</v>
      </c>
      <c r="R25" s="13">
        <f t="shared" ca="1" si="7"/>
        <v>0.17680710411071779</v>
      </c>
      <c r="S25" s="13">
        <f t="shared" ca="1" si="8"/>
        <v>22.121685249328614</v>
      </c>
      <c r="T25" s="17">
        <f t="shared" ca="1" si="11"/>
        <v>7.9961771601518693E-3</v>
      </c>
      <c r="U25" s="13"/>
      <c r="V25" s="14">
        <f t="shared" ca="1" si="9"/>
        <v>0.178315</v>
      </c>
      <c r="W25" s="13"/>
      <c r="X25" s="2"/>
    </row>
    <row r="26" spans="1:24" x14ac:dyDescent="0.25">
      <c r="A26" s="13" t="s">
        <v>49</v>
      </c>
      <c r="B26" s="13"/>
      <c r="C26" s="14">
        <f>0.00002</f>
        <v>2.0000000000000002E-5</v>
      </c>
      <c r="D26" s="13"/>
      <c r="E26" s="15" t="s">
        <v>22</v>
      </c>
      <c r="H26" s="13">
        <v>22.4</v>
      </c>
      <c r="I26" s="13">
        <v>0.18368246779152025</v>
      </c>
      <c r="J26" s="14">
        <f t="shared" si="0"/>
        <v>-2.1100000000000001E-4</v>
      </c>
      <c r="K26" s="23">
        <f t="shared" si="10"/>
        <v>1.2E-5</v>
      </c>
      <c r="L26" s="14">
        <f t="shared" si="1"/>
        <v>-7.6800000000000002E-4</v>
      </c>
      <c r="M26" s="10">
        <f t="shared" si="2"/>
        <v>0.18381034598980006</v>
      </c>
      <c r="N26" s="16">
        <f t="shared" si="3"/>
        <v>6.9619163885008902E-4</v>
      </c>
      <c r="O26" s="13">
        <f t="shared" si="4"/>
        <v>980.64589999999998</v>
      </c>
      <c r="P26" s="13">
        <f t="shared" ca="1" si="12"/>
        <v>981</v>
      </c>
      <c r="Q26" s="13" t="str">
        <f t="shared" ca="1" si="6"/>
        <v>0000001111010101</v>
      </c>
      <c r="R26" s="13">
        <f t="shared" ca="1" si="7"/>
        <v>0.18393188667297364</v>
      </c>
      <c r="S26" s="13">
        <f t="shared" ca="1" si="8"/>
        <v>22.207182640075686</v>
      </c>
      <c r="T26" s="17">
        <f t="shared" ca="1" si="11"/>
        <v>8.6079178537639463E-3</v>
      </c>
      <c r="U26" s="13"/>
      <c r="V26" s="14">
        <f t="shared" ca="1" si="9"/>
        <v>0.19281699999999999</v>
      </c>
      <c r="W26" s="13"/>
      <c r="X26" s="2"/>
    </row>
    <row r="27" spans="1:24" x14ac:dyDescent="0.25">
      <c r="A27" s="13" t="s">
        <v>50</v>
      </c>
      <c r="B27" s="13">
        <f>0.000022</f>
        <v>2.1999999999999999E-5</v>
      </c>
      <c r="C27" s="13"/>
      <c r="D27" s="13">
        <f>0.000038</f>
        <v>3.8000000000000002E-5</v>
      </c>
      <c r="E27" s="15" t="s">
        <v>22</v>
      </c>
      <c r="H27" s="13">
        <v>22.5</v>
      </c>
      <c r="I27" s="13">
        <v>0.19095352045328073</v>
      </c>
      <c r="J27" s="14">
        <f t="shared" si="0"/>
        <v>-2.1100000000000001E-4</v>
      </c>
      <c r="K27" s="23">
        <f t="shared" si="10"/>
        <v>1.2999999999999999E-5</v>
      </c>
      <c r="L27" s="14">
        <f t="shared" si="1"/>
        <v>-7.3700000000000002E-4</v>
      </c>
      <c r="M27" s="10">
        <f t="shared" si="2"/>
        <v>0.19108173595987829</v>
      </c>
      <c r="N27" s="16">
        <f t="shared" si="3"/>
        <v>6.7144877084853816E-4</v>
      </c>
      <c r="O27" s="13">
        <f t="shared" si="4"/>
        <v>1019.4394</v>
      </c>
      <c r="P27" s="13">
        <f t="shared" ca="1" si="12"/>
        <v>1018</v>
      </c>
      <c r="Q27" s="13" t="str">
        <f t="shared" ca="1" si="6"/>
        <v>0000001111111010</v>
      </c>
      <c r="R27" s="13">
        <f t="shared" ca="1" si="7"/>
        <v>0.1908691749572754</v>
      </c>
      <c r="S27" s="13">
        <f t="shared" ca="1" si="8"/>
        <v>22.290430099487306</v>
      </c>
      <c r="T27" s="17">
        <f t="shared" ca="1" si="11"/>
        <v>9.3142178005641719E-3</v>
      </c>
      <c r="U27" s="13"/>
      <c r="V27" s="14">
        <f t="shared" ca="1" si="9"/>
        <v>0.20957000000000001</v>
      </c>
      <c r="W27" s="13"/>
      <c r="X27" s="2"/>
    </row>
    <row r="28" spans="1:24" x14ac:dyDescent="0.25">
      <c r="A28" s="24" t="s">
        <v>44</v>
      </c>
      <c r="B28" s="24"/>
      <c r="C28" s="24"/>
      <c r="D28" s="24"/>
      <c r="E28" s="25"/>
      <c r="H28" s="13">
        <v>22.6</v>
      </c>
      <c r="I28" s="13">
        <v>0.19729855262713231</v>
      </c>
      <c r="J28" s="14">
        <f t="shared" si="0"/>
        <v>-2.1000000000000001E-4</v>
      </c>
      <c r="K28" s="23">
        <f t="shared" si="10"/>
        <v>1.2999999999999999E-5</v>
      </c>
      <c r="L28" s="14">
        <f t="shared" si="1"/>
        <v>-7.0699999999999995E-4</v>
      </c>
      <c r="M28" s="10">
        <f t="shared" si="2"/>
        <v>0.19742701273512855</v>
      </c>
      <c r="N28" s="16">
        <f t="shared" si="3"/>
        <v>6.510950348379901E-4</v>
      </c>
      <c r="O28" s="13">
        <f t="shared" si="4"/>
        <v>1053.2920999999999</v>
      </c>
      <c r="P28" s="13">
        <f t="shared" ca="1" si="12"/>
        <v>1052</v>
      </c>
      <c r="Q28" s="13" t="str">
        <f t="shared" ca="1" si="6"/>
        <v>0000010000011100</v>
      </c>
      <c r="R28" s="13">
        <f t="shared" ca="1" si="7"/>
        <v>0.19724398040771485</v>
      </c>
      <c r="S28" s="13">
        <f t="shared" ca="1" si="8"/>
        <v>22.36692776489258</v>
      </c>
      <c r="T28" s="17">
        <f t="shared" ca="1" si="11"/>
        <v>1.0312930756965551E-2</v>
      </c>
      <c r="U28" s="13"/>
      <c r="V28" s="14">
        <f t="shared" ca="1" si="9"/>
        <v>0.233072</v>
      </c>
      <c r="W28" s="13"/>
      <c r="X28" s="2"/>
    </row>
    <row r="29" spans="1:24" x14ac:dyDescent="0.25">
      <c r="A29" s="13" t="s">
        <v>45</v>
      </c>
      <c r="B29" s="13">
        <f>0.7*$C$10</f>
        <v>3.8499999999999996</v>
      </c>
      <c r="C29" s="13"/>
      <c r="D29" s="13">
        <f>$D$10</f>
        <v>5.5</v>
      </c>
      <c r="E29" s="15"/>
      <c r="H29" s="13">
        <v>22.7</v>
      </c>
      <c r="I29" s="13">
        <v>0.20462332042835779</v>
      </c>
      <c r="J29" s="14">
        <f t="shared" si="0"/>
        <v>-2.0900000000000001E-4</v>
      </c>
      <c r="K29" s="23">
        <f t="shared" si="10"/>
        <v>1.4E-5</v>
      </c>
      <c r="L29" s="14">
        <f t="shared" si="1"/>
        <v>-6.7599999999999995E-4</v>
      </c>
      <c r="M29" s="10">
        <f t="shared" si="2"/>
        <v>0.20475194731996951</v>
      </c>
      <c r="N29" s="16">
        <f t="shared" si="3"/>
        <v>6.2860328599132582E-4</v>
      </c>
      <c r="O29" s="13">
        <f t="shared" si="4"/>
        <v>1092.3713</v>
      </c>
      <c r="P29" s="13">
        <f t="shared" ca="1" si="12"/>
        <v>1091</v>
      </c>
      <c r="Q29" s="13" t="str">
        <f t="shared" ca="1" si="6"/>
        <v>0000010001000011</v>
      </c>
      <c r="R29" s="13">
        <f t="shared" ca="1" si="7"/>
        <v>0.20455625724792481</v>
      </c>
      <c r="S29" s="13">
        <f t="shared" ca="1" si="8"/>
        <v>22.454675086975097</v>
      </c>
      <c r="T29" s="17">
        <f t="shared" ca="1" si="11"/>
        <v>1.0807264890964846E-2</v>
      </c>
      <c r="U29" s="13"/>
      <c r="V29" s="14">
        <f t="shared" ca="1" si="9"/>
        <v>0.24532499999999999</v>
      </c>
      <c r="W29" s="13"/>
      <c r="X29" s="2"/>
    </row>
    <row r="30" spans="1:24" x14ac:dyDescent="0.25">
      <c r="A30" s="13" t="s">
        <v>46</v>
      </c>
      <c r="B30" s="13">
        <f>$C$11-0.5</f>
        <v>-0.5</v>
      </c>
      <c r="C30" s="13"/>
      <c r="D30" s="13">
        <f>0.3*$C$10</f>
        <v>1.65</v>
      </c>
      <c r="E30" s="15"/>
      <c r="H30" s="13">
        <v>22.8</v>
      </c>
      <c r="I30" s="13">
        <v>0.21197450116450739</v>
      </c>
      <c r="J30" s="14">
        <f t="shared" si="0"/>
        <v>-2.0900000000000001E-4</v>
      </c>
      <c r="K30" s="23">
        <f t="shared" si="10"/>
        <v>1.4E-5</v>
      </c>
      <c r="L30" s="14">
        <f t="shared" si="1"/>
        <v>-6.4599999999999998E-4</v>
      </c>
      <c r="M30" s="10">
        <f t="shared" si="2"/>
        <v>0.21210451911316031</v>
      </c>
      <c r="N30" s="16">
        <f t="shared" si="3"/>
        <v>6.1336598477008811E-4</v>
      </c>
      <c r="O30" s="13">
        <f t="shared" si="4"/>
        <v>1131.598</v>
      </c>
      <c r="P30" s="13">
        <f t="shared" ca="1" si="12"/>
        <v>1136</v>
      </c>
      <c r="Q30" s="13" t="str">
        <f t="shared" ca="1" si="6"/>
        <v>0000010001110000</v>
      </c>
      <c r="R30" s="13">
        <f t="shared" ca="1" si="7"/>
        <v>0.21299349975585938</v>
      </c>
      <c r="S30" s="13">
        <f t="shared" ca="1" si="8"/>
        <v>22.555921997070314</v>
      </c>
      <c r="T30" s="17">
        <f t="shared" ca="1" si="11"/>
        <v>1.0705175567091524E-2</v>
      </c>
      <c r="U30" s="13"/>
      <c r="V30" s="14">
        <f t="shared" ca="1" si="9"/>
        <v>0.24407799999999999</v>
      </c>
      <c r="W30" s="13"/>
      <c r="X30" s="2"/>
    </row>
    <row r="31" spans="1:24" x14ac:dyDescent="0.25">
      <c r="H31" s="13">
        <v>22.9</v>
      </c>
      <c r="I31" s="13">
        <v>0.21840213240529027</v>
      </c>
      <c r="J31" s="14">
        <f t="shared" si="0"/>
        <v>-2.0799999999999999E-4</v>
      </c>
      <c r="K31" s="23">
        <f t="shared" si="10"/>
        <v>1.5E-5</v>
      </c>
      <c r="L31" s="14">
        <f t="shared" si="1"/>
        <v>-6.1499999999999999E-4</v>
      </c>
      <c r="M31" s="10">
        <f t="shared" si="2"/>
        <v>0.21853376980685907</v>
      </c>
      <c r="N31" s="16">
        <f t="shared" si="3"/>
        <v>6.0272947026229404E-4</v>
      </c>
      <c r="O31" s="13">
        <f t="shared" si="4"/>
        <v>1165.8987</v>
      </c>
      <c r="P31" s="13">
        <f t="shared" ca="1" si="12"/>
        <v>1169</v>
      </c>
      <c r="Q31" s="13" t="str">
        <f t="shared" ca="1" si="6"/>
        <v>0000010010010001</v>
      </c>
      <c r="R31" s="13">
        <f t="shared" ca="1" si="7"/>
        <v>0.21918081092834474</v>
      </c>
      <c r="S31" s="13">
        <f t="shared" ca="1" si="8"/>
        <v>22.630169731140139</v>
      </c>
      <c r="T31" s="17">
        <f t="shared" ca="1" si="11"/>
        <v>1.178298117291963E-2</v>
      </c>
      <c r="U31" s="13"/>
      <c r="V31" s="14">
        <f t="shared" ca="1" si="9"/>
        <v>0.26983000000000001</v>
      </c>
      <c r="W31" s="13"/>
      <c r="X31" s="2"/>
    </row>
    <row r="32" spans="1:24" x14ac:dyDescent="0.25">
      <c r="A32" s="30" t="s">
        <v>53</v>
      </c>
      <c r="B32" s="30"/>
      <c r="C32" s="30"/>
      <c r="D32" s="30"/>
      <c r="E32" s="30"/>
      <c r="H32" s="13">
        <v>23</v>
      </c>
      <c r="I32" s="13">
        <v>0.22580692634108476</v>
      </c>
      <c r="J32" s="14">
        <f t="shared" si="0"/>
        <v>-2.0799999999999999E-4</v>
      </c>
      <c r="K32" s="23">
        <f t="shared" si="10"/>
        <v>1.5E-5</v>
      </c>
      <c r="L32" s="14">
        <f t="shared" si="1"/>
        <v>-5.8500000000000002E-4</v>
      </c>
      <c r="M32" s="10">
        <f t="shared" si="2"/>
        <v>0.2259407849119113</v>
      </c>
      <c r="N32" s="16">
        <f t="shared" si="3"/>
        <v>5.9280099594617405E-4</v>
      </c>
      <c r="O32" s="13">
        <f t="shared" si="4"/>
        <v>1205.4158</v>
      </c>
      <c r="P32" s="13">
        <f t="shared" ca="1" si="12"/>
        <v>1204</v>
      </c>
      <c r="Q32" s="13" t="str">
        <f t="shared" ca="1" si="6"/>
        <v>0000010010110100</v>
      </c>
      <c r="R32" s="13">
        <f t="shared" ca="1" si="7"/>
        <v>0.2257431106567383</v>
      </c>
      <c r="S32" s="13">
        <f t="shared" ca="1" si="8"/>
        <v>22.708917327880862</v>
      </c>
      <c r="T32" s="17">
        <f t="shared" ca="1" si="11"/>
        <v>1.2655768353006018E-2</v>
      </c>
      <c r="U32" s="13"/>
      <c r="V32" s="14">
        <f t="shared" ca="1" si="9"/>
        <v>0.29108299999999998</v>
      </c>
      <c r="W32" s="13"/>
      <c r="X32" s="2"/>
    </row>
    <row r="33" spans="1:24" x14ac:dyDescent="0.25">
      <c r="A33" s="13"/>
      <c r="B33" s="13" t="s">
        <v>54</v>
      </c>
      <c r="C33" s="13" t="s">
        <v>55</v>
      </c>
      <c r="D33" s="13" t="s">
        <v>19</v>
      </c>
      <c r="E33" s="15"/>
      <c r="H33" s="13">
        <v>23.1</v>
      </c>
      <c r="I33" s="13">
        <v>0.23228982545953009</v>
      </c>
      <c r="J33" s="14">
        <f t="shared" si="0"/>
        <v>-2.0699999999999999E-4</v>
      </c>
      <c r="K33" s="23">
        <f t="shared" si="10"/>
        <v>1.5999999999999999E-5</v>
      </c>
      <c r="L33" s="14">
        <f t="shared" si="1"/>
        <v>-5.5400000000000002E-4</v>
      </c>
      <c r="M33" s="10">
        <f t="shared" si="2"/>
        <v>0.23242609353571134</v>
      </c>
      <c r="N33" s="16">
        <f t="shared" si="3"/>
        <v>5.8662955173209488E-4</v>
      </c>
      <c r="O33" s="13">
        <f t="shared" si="4"/>
        <v>1240.0155999999999</v>
      </c>
      <c r="P33" s="13">
        <f t="shared" ca="1" si="12"/>
        <v>1239</v>
      </c>
      <c r="Q33" s="13" t="str">
        <f t="shared" ca="1" si="6"/>
        <v>0000010011010111</v>
      </c>
      <c r="R33" s="13">
        <f t="shared" ca="1" si="7"/>
        <v>0.23230541038513183</v>
      </c>
      <c r="S33" s="13">
        <f t="shared" ca="1" si="8"/>
        <v>22.787664924621584</v>
      </c>
      <c r="T33" s="17">
        <f t="shared" ca="1" si="11"/>
        <v>1.3520998934130619E-2</v>
      </c>
      <c r="U33" s="13"/>
      <c r="V33" s="14">
        <f t="shared" ca="1" si="9"/>
        <v>0.31233499999999997</v>
      </c>
      <c r="W33" s="13"/>
      <c r="X33" s="2"/>
    </row>
    <row r="34" spans="1:24" x14ac:dyDescent="0.25">
      <c r="A34" s="13" t="s">
        <v>11</v>
      </c>
      <c r="B34" s="13">
        <v>0</v>
      </c>
      <c r="C34" s="13">
        <v>0</v>
      </c>
      <c r="D34" s="13">
        <f>B34-C34</f>
        <v>0</v>
      </c>
      <c r="E34" s="15"/>
      <c r="H34" s="13">
        <v>23.2</v>
      </c>
      <c r="I34" s="13">
        <v>0.23974816124988241</v>
      </c>
      <c r="J34" s="14">
        <f t="shared" si="0"/>
        <v>-2.0699999999999999E-4</v>
      </c>
      <c r="K34" s="23">
        <f t="shared" si="10"/>
        <v>1.5999999999999999E-5</v>
      </c>
      <c r="L34" s="14">
        <f t="shared" si="1"/>
        <v>-5.2400000000000005E-4</v>
      </c>
      <c r="M34" s="10">
        <f t="shared" si="2"/>
        <v>0.23988749059680969</v>
      </c>
      <c r="N34" s="16">
        <f t="shared" si="3"/>
        <v>5.8114876127065348E-4</v>
      </c>
      <c r="O34" s="13">
        <f t="shared" si="4"/>
        <v>1279.8227999999999</v>
      </c>
      <c r="P34" s="13">
        <f t="shared" ca="1" si="12"/>
        <v>1280</v>
      </c>
      <c r="Q34" s="13" t="str">
        <f t="shared" ca="1" si="6"/>
        <v>0000010100000000</v>
      </c>
      <c r="R34" s="13">
        <f t="shared" ca="1" si="7"/>
        <v>0.23999267578125</v>
      </c>
      <c r="S34" s="13">
        <f t="shared" ca="1" si="8"/>
        <v>22.879912109375002</v>
      </c>
      <c r="T34" s="17">
        <f t="shared" ca="1" si="11"/>
        <v>1.3796891837284348E-2</v>
      </c>
      <c r="U34" s="13"/>
      <c r="V34" s="14">
        <f t="shared" ca="1" si="9"/>
        <v>0.32008799999999998</v>
      </c>
      <c r="W34" s="13"/>
      <c r="X34" s="2"/>
    </row>
    <row r="35" spans="1:24" x14ac:dyDescent="0.25">
      <c r="A35" s="13" t="s">
        <v>12</v>
      </c>
      <c r="B35" s="13">
        <v>5</v>
      </c>
      <c r="C35" s="13">
        <v>5</v>
      </c>
      <c r="D35" s="13">
        <f t="shared" ref="D35:D41" si="13">B35-C35</f>
        <v>0</v>
      </c>
      <c r="E35" s="15"/>
      <c r="H35" s="13">
        <v>23.3</v>
      </c>
      <c r="I35" s="13">
        <v>0.24628626142565627</v>
      </c>
      <c r="J35" s="14">
        <f t="shared" si="0"/>
        <v>-2.0599999999999999E-4</v>
      </c>
      <c r="K35" s="23">
        <f t="shared" si="10"/>
        <v>1.7E-5</v>
      </c>
      <c r="L35" s="14">
        <f t="shared" si="1"/>
        <v>-4.9299999999999995E-4</v>
      </c>
      <c r="M35" s="10">
        <f t="shared" si="2"/>
        <v>0.24642880062095013</v>
      </c>
      <c r="N35" s="16">
        <f t="shared" si="3"/>
        <v>5.7875414758727108E-4</v>
      </c>
      <c r="O35" s="13">
        <f t="shared" si="4"/>
        <v>1314.7212999999999</v>
      </c>
      <c r="P35" s="13">
        <f t="shared" ca="1" si="12"/>
        <v>1313</v>
      </c>
      <c r="Q35" s="13" t="str">
        <f t="shared" ca="1" si="6"/>
        <v>0000010100100001</v>
      </c>
      <c r="R35" s="13">
        <f t="shared" ca="1" si="7"/>
        <v>0.24617998695373536</v>
      </c>
      <c r="S35" s="13">
        <f t="shared" ca="1" si="8"/>
        <v>22.954159843444828</v>
      </c>
      <c r="T35" s="17">
        <f t="shared" ca="1" si="11"/>
        <v>1.4842925174041767E-2</v>
      </c>
      <c r="U35" s="13"/>
      <c r="V35" s="14">
        <f t="shared" ca="1" si="9"/>
        <v>0.34583999999999998</v>
      </c>
      <c r="W35" s="13"/>
      <c r="X35" s="2"/>
    </row>
    <row r="36" spans="1:24" x14ac:dyDescent="0.25">
      <c r="A36" s="13" t="s">
        <v>13</v>
      </c>
      <c r="B36" s="13">
        <v>0</v>
      </c>
      <c r="C36" s="13">
        <v>0</v>
      </c>
      <c r="D36" s="13">
        <f t="shared" si="13"/>
        <v>0</v>
      </c>
      <c r="E36" s="15"/>
      <c r="H36" s="13">
        <v>23.4</v>
      </c>
      <c r="I36" s="13">
        <v>0.25379806285474665</v>
      </c>
      <c r="J36" s="14">
        <f t="shared" si="0"/>
        <v>-2.05E-4</v>
      </c>
      <c r="K36" s="23">
        <f t="shared" si="10"/>
        <v>1.7E-5</v>
      </c>
      <c r="L36" s="14">
        <f t="shared" si="1"/>
        <v>-4.6299999999999998E-4</v>
      </c>
      <c r="M36" s="10">
        <f t="shared" si="2"/>
        <v>0.25394351386182862</v>
      </c>
      <c r="N36" s="16">
        <f t="shared" si="3"/>
        <v>5.7309738871099704E-4</v>
      </c>
      <c r="O36" s="13">
        <f t="shared" si="4"/>
        <v>1354.8131000000001</v>
      </c>
      <c r="P36" s="13">
        <f t="shared" ca="1" si="12"/>
        <v>1355</v>
      </c>
      <c r="Q36" s="13" t="str">
        <f t="shared" ca="1" si="6"/>
        <v>0000010101001011</v>
      </c>
      <c r="R36" s="13">
        <f t="shared" ca="1" si="7"/>
        <v>0.25405474662780764</v>
      </c>
      <c r="S36" s="13">
        <f t="shared" ca="1" si="8"/>
        <v>23.048656959533695</v>
      </c>
      <c r="T36" s="17">
        <f t="shared" ca="1" si="11"/>
        <v>1.5014659848987354E-2</v>
      </c>
      <c r="U36" s="13"/>
      <c r="V36" s="14">
        <f t="shared" ca="1" si="9"/>
        <v>0.35134300000000002</v>
      </c>
      <c r="W36" s="13"/>
      <c r="X36" s="2"/>
    </row>
    <row r="37" spans="1:24" x14ac:dyDescent="0.25">
      <c r="A37" s="13" t="s">
        <v>14</v>
      </c>
      <c r="B37" s="13">
        <v>5</v>
      </c>
      <c r="C37" s="13">
        <v>5</v>
      </c>
      <c r="D37" s="13">
        <f t="shared" si="13"/>
        <v>0</v>
      </c>
      <c r="E37" s="15"/>
      <c r="H37" s="13">
        <v>23.5</v>
      </c>
      <c r="I37" s="13">
        <v>0.2613361413379266</v>
      </c>
      <c r="J37" s="14">
        <f t="shared" si="0"/>
        <v>-2.05E-4</v>
      </c>
      <c r="K37" s="23">
        <f t="shared" si="10"/>
        <v>1.8E-5</v>
      </c>
      <c r="L37" s="14">
        <f t="shared" si="1"/>
        <v>-4.3199999999999998E-4</v>
      </c>
      <c r="M37" s="10">
        <f t="shared" si="2"/>
        <v>0.26148620435364583</v>
      </c>
      <c r="N37" s="16">
        <f t="shared" si="3"/>
        <v>5.7421455352857202E-4</v>
      </c>
      <c r="O37" s="13">
        <f t="shared" si="4"/>
        <v>1395.0540000000001</v>
      </c>
      <c r="P37" s="13">
        <f t="shared" ca="1" si="12"/>
        <v>1399</v>
      </c>
      <c r="Q37" s="13" t="str">
        <f t="shared" ca="1" si="6"/>
        <v>0000010101110111</v>
      </c>
      <c r="R37" s="13">
        <f t="shared" ca="1" si="7"/>
        <v>0.26230449485778812</v>
      </c>
      <c r="S37" s="13">
        <f t="shared" ca="1" si="8"/>
        <v>23.147653938293459</v>
      </c>
      <c r="T37" s="17">
        <f t="shared" ca="1" si="11"/>
        <v>1.4993449434320896E-2</v>
      </c>
      <c r="U37" s="13"/>
      <c r="V37" s="14">
        <f t="shared" ca="1" si="9"/>
        <v>0.35234599999999999</v>
      </c>
      <c r="W37" s="13"/>
      <c r="X37" s="2"/>
    </row>
    <row r="38" spans="1:24" x14ac:dyDescent="0.25">
      <c r="A38" s="13" t="s">
        <v>15</v>
      </c>
      <c r="B38" s="13">
        <v>0</v>
      </c>
      <c r="C38" s="13">
        <v>0</v>
      </c>
      <c r="D38" s="13">
        <f t="shared" si="13"/>
        <v>0</v>
      </c>
      <c r="E38" s="15"/>
      <c r="H38" s="13">
        <v>23.6</v>
      </c>
      <c r="I38" s="13">
        <v>0.26795648148783491</v>
      </c>
      <c r="J38" s="14">
        <f t="shared" si="0"/>
        <v>-2.04E-4</v>
      </c>
      <c r="K38" s="23">
        <f t="shared" si="10"/>
        <v>1.8E-5</v>
      </c>
      <c r="L38" s="14">
        <f t="shared" si="1"/>
        <v>-4.0200000000000001E-4</v>
      </c>
      <c r="M38" s="10">
        <f t="shared" si="2"/>
        <v>0.26811072429266924</v>
      </c>
      <c r="N38" s="16">
        <f t="shared" si="3"/>
        <v>5.7562632550591799E-4</v>
      </c>
      <c r="O38" s="13">
        <f t="shared" si="4"/>
        <v>1430.3965000000001</v>
      </c>
      <c r="P38" s="13">
        <f t="shared" ca="1" si="12"/>
        <v>1435</v>
      </c>
      <c r="Q38" s="13" t="str">
        <f t="shared" ca="1" si="6"/>
        <v>0000010110011011</v>
      </c>
      <c r="R38" s="13">
        <f t="shared" ca="1" si="7"/>
        <v>0.26905428886413574</v>
      </c>
      <c r="S38" s="13">
        <f t="shared" ca="1" si="8"/>
        <v>23.22865146636963</v>
      </c>
      <c r="T38" s="17">
        <f t="shared" ca="1" si="11"/>
        <v>1.5735107357219121E-2</v>
      </c>
      <c r="U38" s="13"/>
      <c r="V38" s="14">
        <f t="shared" ca="1" si="9"/>
        <v>0.37134899999999998</v>
      </c>
      <c r="W38" s="13"/>
      <c r="X38" s="2"/>
    </row>
    <row r="39" spans="1:24" x14ac:dyDescent="0.25">
      <c r="A39" s="13" t="s">
        <v>16</v>
      </c>
      <c r="B39" s="13">
        <v>5</v>
      </c>
      <c r="C39" s="13">
        <v>5</v>
      </c>
      <c r="D39" s="13">
        <f t="shared" si="13"/>
        <v>0</v>
      </c>
      <c r="E39" s="15"/>
      <c r="H39" s="13">
        <v>23.7</v>
      </c>
      <c r="I39" s="13">
        <v>0.27554790304073035</v>
      </c>
      <c r="J39" s="14">
        <f t="shared" si="0"/>
        <v>-2.04E-4</v>
      </c>
      <c r="K39" s="23">
        <f t="shared" si="10"/>
        <v>1.9000000000000001E-5</v>
      </c>
      <c r="L39" s="14">
        <f t="shared" si="1"/>
        <v>-3.7100000000000002E-4</v>
      </c>
      <c r="M39" s="10">
        <f t="shared" si="2"/>
        <v>0.27570763702539391</v>
      </c>
      <c r="N39" s="16">
        <f t="shared" si="3"/>
        <v>5.7969588191697085E-4</v>
      </c>
      <c r="O39" s="13">
        <f t="shared" si="4"/>
        <v>1470.9268</v>
      </c>
      <c r="P39" s="13">
        <f t="shared" ca="1" si="12"/>
        <v>1475</v>
      </c>
      <c r="Q39" s="13" t="str">
        <f t="shared" ca="1" si="6"/>
        <v>0000010111000011</v>
      </c>
      <c r="R39" s="13">
        <f t="shared" ca="1" si="7"/>
        <v>0.27655405998229982</v>
      </c>
      <c r="S39" s="13">
        <f t="shared" ca="1" si="8"/>
        <v>23.3186487197876</v>
      </c>
      <c r="T39" s="17">
        <f t="shared" ca="1" si="11"/>
        <v>1.6090771316978881E-2</v>
      </c>
      <c r="U39" s="13"/>
      <c r="V39" s="14">
        <f t="shared" ca="1" si="9"/>
        <v>0.381351</v>
      </c>
      <c r="W39" s="13"/>
      <c r="X39" s="2"/>
    </row>
    <row r="40" spans="1:24" x14ac:dyDescent="0.25">
      <c r="A40" s="13" t="s">
        <v>17</v>
      </c>
      <c r="B40" s="13">
        <v>0</v>
      </c>
      <c r="C40" s="13">
        <v>0</v>
      </c>
      <c r="D40" s="13">
        <f t="shared" si="13"/>
        <v>0</v>
      </c>
      <c r="E40" s="15"/>
      <c r="H40" s="13">
        <v>23.8</v>
      </c>
      <c r="I40" s="13">
        <v>0.28222325853257463</v>
      </c>
      <c r="J40" s="14">
        <f t="shared" si="0"/>
        <v>-2.03E-4</v>
      </c>
      <c r="K40" s="23">
        <f t="shared" si="10"/>
        <v>1.9000000000000001E-5</v>
      </c>
      <c r="L40" s="14">
        <f t="shared" si="1"/>
        <v>-3.4099999999999999E-4</v>
      </c>
      <c r="M40" s="10">
        <f t="shared" si="2"/>
        <v>0.28238798400802795</v>
      </c>
      <c r="N40" s="16">
        <f t="shared" si="3"/>
        <v>5.8367080130040808E-4</v>
      </c>
      <c r="O40" s="13">
        <f t="shared" si="4"/>
        <v>1506.567</v>
      </c>
      <c r="P40" s="13">
        <f t="shared" ca="1" si="12"/>
        <v>1508</v>
      </c>
      <c r="Q40" s="13" t="str">
        <f t="shared" ca="1" si="6"/>
        <v>0000010111100100</v>
      </c>
      <c r="R40" s="13">
        <f t="shared" ca="1" si="7"/>
        <v>0.28274137115478515</v>
      </c>
      <c r="S40" s="13">
        <f t="shared" ca="1" si="8"/>
        <v>23.392896453857421</v>
      </c>
      <c r="T40" s="17">
        <f t="shared" ca="1" si="11"/>
        <v>1.7105191014394092E-2</v>
      </c>
      <c r="U40" s="13"/>
      <c r="V40" s="14">
        <f t="shared" ca="1" si="9"/>
        <v>0.40710400000000002</v>
      </c>
      <c r="W40" s="13"/>
      <c r="X40" s="2"/>
    </row>
    <row r="41" spans="1:24" x14ac:dyDescent="0.25">
      <c r="A41" s="13" t="s">
        <v>18</v>
      </c>
      <c r="B41" s="13">
        <v>5</v>
      </c>
      <c r="C41" s="13">
        <v>5</v>
      </c>
      <c r="D41" s="13">
        <f t="shared" si="13"/>
        <v>0</v>
      </c>
      <c r="E41" s="15"/>
      <c r="H41" s="13">
        <v>23.9</v>
      </c>
      <c r="I41" s="13">
        <v>0.2898679378145001</v>
      </c>
      <c r="J41" s="14">
        <f t="shared" si="0"/>
        <v>-2.03E-4</v>
      </c>
      <c r="K41" s="23">
        <f t="shared" si="10"/>
        <v>2.0000000000000002E-5</v>
      </c>
      <c r="L41" s="14">
        <f t="shared" si="1"/>
        <v>-3.1E-4</v>
      </c>
      <c r="M41" s="10">
        <f t="shared" si="2"/>
        <v>0.2900390436909559</v>
      </c>
      <c r="N41" s="16">
        <f t="shared" si="3"/>
        <v>5.9028907352043922E-4</v>
      </c>
      <c r="O41" s="13">
        <f t="shared" si="4"/>
        <v>1547.3861999999999</v>
      </c>
      <c r="P41" s="13">
        <f t="shared" ca="1" si="12"/>
        <v>1550</v>
      </c>
      <c r="Q41" s="13" t="str">
        <f t="shared" ca="1" si="6"/>
        <v>0000011000001110</v>
      </c>
      <c r="R41" s="13">
        <f t="shared" ca="1" si="7"/>
        <v>0.29061613082885746</v>
      </c>
      <c r="S41" s="13">
        <f t="shared" ca="1" si="8"/>
        <v>23.487393569946292</v>
      </c>
      <c r="T41" s="17">
        <f t="shared" ca="1" si="11"/>
        <v>1.7263867366263879E-2</v>
      </c>
      <c r="U41" s="13"/>
      <c r="V41" s="14">
        <f t="shared" ca="1" si="9"/>
        <v>0.41260599999999997</v>
      </c>
      <c r="W41" s="13"/>
      <c r="X41" s="2"/>
    </row>
    <row r="42" spans="1:24" x14ac:dyDescent="0.25">
      <c r="H42" s="13">
        <v>24</v>
      </c>
      <c r="I42" s="13">
        <v>0.29659822789040086</v>
      </c>
      <c r="J42" s="14">
        <f t="shared" si="0"/>
        <v>-2.02E-4</v>
      </c>
      <c r="K42" s="23">
        <f t="shared" si="10"/>
        <v>2.0000000000000002E-5</v>
      </c>
      <c r="L42" s="14">
        <f t="shared" si="1"/>
        <v>-2.7999999999999998E-4</v>
      </c>
      <c r="M42" s="10">
        <f t="shared" si="2"/>
        <v>0.29677514708921582</v>
      </c>
      <c r="N42" s="16">
        <f t="shared" si="3"/>
        <v>5.9649445673808066E-4</v>
      </c>
      <c r="O42" s="13">
        <f t="shared" si="4"/>
        <v>1583.3239000000001</v>
      </c>
      <c r="P42" s="13">
        <f t="shared" ca="1" si="12"/>
        <v>1584</v>
      </c>
      <c r="Q42" s="13" t="str">
        <f t="shared" ca="1" si="6"/>
        <v>0000011000110000</v>
      </c>
      <c r="R42" s="13">
        <f t="shared" ca="1" si="7"/>
        <v>0.2969909362792969</v>
      </c>
      <c r="S42" s="13">
        <f t="shared" ca="1" si="8"/>
        <v>23.563891235351566</v>
      </c>
      <c r="T42" s="17">
        <f t="shared" ca="1" si="11"/>
        <v>1.8171198527018095E-2</v>
      </c>
      <c r="U42" s="13"/>
      <c r="V42" s="14">
        <f t="shared" ca="1" si="9"/>
        <v>0.43610900000000002</v>
      </c>
      <c r="W42" s="13"/>
      <c r="X42" s="2"/>
    </row>
    <row r="43" spans="1:24" x14ac:dyDescent="0.25">
      <c r="A43" s="30" t="s">
        <v>59</v>
      </c>
      <c r="B43" s="30"/>
      <c r="C43" s="30"/>
      <c r="D43" s="30"/>
      <c r="E43" s="30"/>
      <c r="H43" s="13">
        <v>24.1</v>
      </c>
      <c r="I43" s="13">
        <v>0.30335638607066173</v>
      </c>
      <c r="J43" s="14">
        <f t="shared" si="0"/>
        <v>-2.0100000000000001E-4</v>
      </c>
      <c r="K43" s="23">
        <f t="shared" si="10"/>
        <v>2.0999999999999999E-5</v>
      </c>
      <c r="L43" s="14">
        <f t="shared" si="1"/>
        <v>-2.4899999999999998E-4</v>
      </c>
      <c r="M43" s="10">
        <f t="shared" si="2"/>
        <v>0.30353981909770644</v>
      </c>
      <c r="N43" s="16">
        <f t="shared" si="3"/>
        <v>6.0467831061905781E-4</v>
      </c>
      <c r="O43" s="13">
        <f t="shared" si="4"/>
        <v>1619.4141</v>
      </c>
      <c r="P43" s="13">
        <f t="shared" ca="1" si="12"/>
        <v>1621</v>
      </c>
      <c r="Q43" s="13" t="str">
        <f t="shared" ca="1" si="6"/>
        <v>0000011001010101</v>
      </c>
      <c r="R43" s="13">
        <f t="shared" ca="1" si="7"/>
        <v>0.30392822456359864</v>
      </c>
      <c r="S43" s="13">
        <f t="shared" ca="1" si="8"/>
        <v>23.647138694763186</v>
      </c>
      <c r="T43" s="17">
        <f t="shared" ca="1" si="11"/>
        <v>1.8790925528498578E-2</v>
      </c>
      <c r="U43" s="13"/>
      <c r="V43" s="14">
        <f t="shared" ca="1" si="9"/>
        <v>0.45286100000000001</v>
      </c>
      <c r="W43" s="13"/>
      <c r="X43" s="2"/>
    </row>
    <row r="44" spans="1:24" x14ac:dyDescent="0.25">
      <c r="A44" s="13" t="s">
        <v>60</v>
      </c>
      <c r="B44" s="13" t="s">
        <v>61</v>
      </c>
      <c r="C44" s="13">
        <f>$D$16*(2^($C$12-1) - 1)/(2^($C$12-1))</f>
        <v>6.141969909027293</v>
      </c>
      <c r="D44" s="13" t="s">
        <v>22</v>
      </c>
      <c r="E44" s="15"/>
      <c r="H44" s="13">
        <v>24.2</v>
      </c>
      <c r="I44" s="13">
        <v>0.31014239302708885</v>
      </c>
      <c r="J44" s="14">
        <f t="shared" si="0"/>
        <v>-2.0100000000000001E-4</v>
      </c>
      <c r="K44" s="23">
        <f t="shared" si="10"/>
        <v>2.0999999999999999E-5</v>
      </c>
      <c r="L44" s="14">
        <f t="shared" si="1"/>
        <v>-2.1900000000000001E-4</v>
      </c>
      <c r="M44" s="10">
        <f t="shared" si="2"/>
        <v>0.31033344270513646</v>
      </c>
      <c r="N44" s="16">
        <f t="shared" si="3"/>
        <v>6.1600633239110216E-4</v>
      </c>
      <c r="O44" s="13">
        <f t="shared" si="4"/>
        <v>1655.6587999999999</v>
      </c>
      <c r="P44" s="13">
        <f t="shared" ca="1" si="12"/>
        <v>1658</v>
      </c>
      <c r="Q44" s="13" t="str">
        <f t="shared" ca="1" si="6"/>
        <v>0000011001111010</v>
      </c>
      <c r="R44" s="13">
        <f t="shared" ca="1" si="7"/>
        <v>0.31086551284790037</v>
      </c>
      <c r="S44" s="13">
        <f t="shared" ca="1" si="8"/>
        <v>23.730386154174806</v>
      </c>
      <c r="T44" s="17">
        <f t="shared" ca="1" si="11"/>
        <v>1.9405530819222881E-2</v>
      </c>
      <c r="U44" s="13"/>
      <c r="V44" s="14">
        <f t="shared" ca="1" si="9"/>
        <v>0.46961399999999998</v>
      </c>
      <c r="W44" s="13"/>
      <c r="X44" s="2"/>
    </row>
    <row r="45" spans="1:24" x14ac:dyDescent="0.25">
      <c r="A45" s="13" t="s">
        <v>5</v>
      </c>
      <c r="B45" s="13">
        <v>-3</v>
      </c>
      <c r="C45" s="13"/>
      <c r="D45" s="13">
        <v>3</v>
      </c>
      <c r="E45" s="15" t="s">
        <v>6</v>
      </c>
      <c r="H45" s="13">
        <v>24.3</v>
      </c>
      <c r="I45" s="13">
        <v>0.31695622764164927</v>
      </c>
      <c r="J45" s="14">
        <f t="shared" si="0"/>
        <v>-2.0000000000000001E-4</v>
      </c>
      <c r="K45" s="23">
        <f t="shared" si="10"/>
        <v>2.1999999999999999E-5</v>
      </c>
      <c r="L45" s="14">
        <f t="shared" si="1"/>
        <v>-1.8799999999999999E-4</v>
      </c>
      <c r="M45" s="10">
        <f t="shared" si="2"/>
        <v>0.31715461347831531</v>
      </c>
      <c r="N45" s="16">
        <f t="shared" si="3"/>
        <v>6.2590925612079288E-4</v>
      </c>
      <c r="O45" s="13">
        <f t="shared" si="4"/>
        <v>1692.0504000000001</v>
      </c>
      <c r="P45" s="13">
        <f t="shared" ca="1" si="12"/>
        <v>1694</v>
      </c>
      <c r="Q45" s="13" t="str">
        <f t="shared" ca="1" si="6"/>
        <v>0000011010011110</v>
      </c>
      <c r="R45" s="13">
        <f t="shared" ca="1" si="7"/>
        <v>0.31761530685424805</v>
      </c>
      <c r="S45" s="13">
        <f t="shared" ca="1" si="8"/>
        <v>23.811383682250977</v>
      </c>
      <c r="T45" s="17">
        <f t="shared" ca="1" si="11"/>
        <v>2.0107667397079174E-2</v>
      </c>
      <c r="U45" s="13"/>
      <c r="V45" s="14">
        <f t="shared" ca="1" si="9"/>
        <v>0.48861599999999999</v>
      </c>
      <c r="W45" s="13"/>
      <c r="X45" s="2"/>
    </row>
    <row r="46" spans="1:24" x14ac:dyDescent="0.25">
      <c r="A46" s="13" t="s">
        <v>62</v>
      </c>
      <c r="B46" s="13"/>
      <c r="C46" s="13">
        <v>5.0000000000000001E-3</v>
      </c>
      <c r="D46" s="13"/>
      <c r="E46" s="15" t="s">
        <v>63</v>
      </c>
      <c r="H46" s="13">
        <v>24.4</v>
      </c>
      <c r="I46" s="13">
        <v>0.32473495233840277</v>
      </c>
      <c r="J46" s="14">
        <f t="shared" si="0"/>
        <v>-2.0000000000000001E-4</v>
      </c>
      <c r="K46" s="23">
        <f t="shared" si="10"/>
        <v>2.1999999999999999E-5</v>
      </c>
      <c r="L46" s="14">
        <f t="shared" si="1"/>
        <v>-1.5799999999999999E-4</v>
      </c>
      <c r="M46" s="10">
        <f t="shared" si="2"/>
        <v>0.32494162072632798</v>
      </c>
      <c r="N46" s="16">
        <f t="shared" si="3"/>
        <v>6.3642175391654798E-4</v>
      </c>
      <c r="O46" s="13">
        <f t="shared" si="4"/>
        <v>1733.5948000000001</v>
      </c>
      <c r="P46" s="13">
        <f t="shared" ca="1" si="12"/>
        <v>1734</v>
      </c>
      <c r="Q46" s="13" t="str">
        <f t="shared" ca="1" si="6"/>
        <v>0000011011000110</v>
      </c>
      <c r="R46" s="13">
        <f t="shared" ca="1" si="7"/>
        <v>0.32511507797241213</v>
      </c>
      <c r="S46" s="13">
        <f t="shared" ca="1" si="8"/>
        <v>23.901380935668946</v>
      </c>
      <c r="T46" s="17">
        <f t="shared" ca="1" si="11"/>
        <v>2.0435207554551322E-2</v>
      </c>
      <c r="U46" s="13"/>
      <c r="V46" s="14">
        <f t="shared" ca="1" si="9"/>
        <v>0.49861899999999998</v>
      </c>
      <c r="W46" s="13"/>
      <c r="X46" s="2"/>
    </row>
    <row r="47" spans="1:24" x14ac:dyDescent="0.25">
      <c r="A47" s="13"/>
      <c r="B47" s="13" t="s">
        <v>64</v>
      </c>
      <c r="C47" s="13">
        <f>($D$19-$B$19)*C46</f>
        <v>0.3</v>
      </c>
      <c r="D47" s="13"/>
      <c r="E47" s="15" t="s">
        <v>6</v>
      </c>
      <c r="H47" s="13">
        <v>24.5</v>
      </c>
      <c r="I47" s="13">
        <v>0.3316035070767846</v>
      </c>
      <c r="J47" s="14">
        <f t="shared" si="0"/>
        <v>-1.9900000000000001E-4</v>
      </c>
      <c r="K47" s="23">
        <f t="shared" si="10"/>
        <v>2.3E-5</v>
      </c>
      <c r="L47" s="14">
        <f t="shared" si="1"/>
        <v>-1.27E-4</v>
      </c>
      <c r="M47" s="10">
        <f t="shared" si="2"/>
        <v>0.3318183735093489</v>
      </c>
      <c r="N47" s="16">
        <f t="shared" si="3"/>
        <v>6.4796188212371485E-4</v>
      </c>
      <c r="O47" s="13">
        <f t="shared" si="4"/>
        <v>1770.2828999999999</v>
      </c>
      <c r="P47" s="13">
        <f t="shared" ca="1" si="12"/>
        <v>1770</v>
      </c>
      <c r="Q47" s="13" t="str">
        <f t="shared" ca="1" si="6"/>
        <v>0000011011101010</v>
      </c>
      <c r="R47" s="13">
        <f t="shared" ca="1" si="7"/>
        <v>0.33186487197875975</v>
      </c>
      <c r="S47" s="13">
        <f t="shared" ca="1" si="8"/>
        <v>23.982378463745121</v>
      </c>
      <c r="T47" s="17">
        <f t="shared" ca="1" si="11"/>
        <v>2.1127409643056278E-2</v>
      </c>
      <c r="U47" s="13"/>
      <c r="V47" s="14">
        <f t="shared" ca="1" si="9"/>
        <v>0.51762200000000003</v>
      </c>
      <c r="W47" s="13"/>
      <c r="X47" s="2"/>
    </row>
    <row r="48" spans="1:24" x14ac:dyDescent="0.25">
      <c r="A48" s="13" t="s">
        <v>65</v>
      </c>
      <c r="B48" s="13"/>
      <c r="C48" s="13">
        <v>1</v>
      </c>
      <c r="D48" s="13"/>
      <c r="E48" s="15" t="s">
        <v>7</v>
      </c>
      <c r="H48" s="13">
        <v>24.6</v>
      </c>
      <c r="I48" s="13">
        <v>0.33849982392967387</v>
      </c>
      <c r="J48" s="14">
        <f t="shared" si="0"/>
        <v>-1.9900000000000001E-4</v>
      </c>
      <c r="K48" s="23">
        <f t="shared" si="10"/>
        <v>2.3E-5</v>
      </c>
      <c r="L48" s="14">
        <f t="shared" si="1"/>
        <v>-9.7E-5</v>
      </c>
      <c r="M48" s="10">
        <f t="shared" si="2"/>
        <v>0.33872397333026083</v>
      </c>
      <c r="N48" s="16">
        <f t="shared" si="3"/>
        <v>6.6218468885681958E-4</v>
      </c>
      <c r="O48" s="13">
        <f t="shared" si="4"/>
        <v>1807.125</v>
      </c>
      <c r="P48" s="13">
        <f t="shared" ca="1" si="12"/>
        <v>1810</v>
      </c>
      <c r="Q48" s="13" t="str">
        <f t="shared" ca="1" si="6"/>
        <v>0000011100010010</v>
      </c>
      <c r="R48" s="13">
        <f t="shared" ca="1" si="7"/>
        <v>0.33936464309692382</v>
      </c>
      <c r="S48" s="13">
        <f t="shared" ca="1" si="8"/>
        <v>24.072375717163087</v>
      </c>
      <c r="T48" s="17">
        <f t="shared" ca="1" si="11"/>
        <v>2.1448141578736347E-2</v>
      </c>
      <c r="U48" s="13"/>
      <c r="V48" s="14">
        <f t="shared" ca="1" si="9"/>
        <v>0.52762399999999998</v>
      </c>
      <c r="W48" s="13"/>
      <c r="X48" s="2"/>
    </row>
    <row r="49" spans="1:24" x14ac:dyDescent="0.25">
      <c r="A49" s="13"/>
      <c r="B49" s="13" t="s">
        <v>66</v>
      </c>
      <c r="C49" s="13">
        <f>($D$10-$B$10)*C48</f>
        <v>0.29999999999999982</v>
      </c>
      <c r="D49" s="13"/>
      <c r="E49" s="15" t="s">
        <v>6</v>
      </c>
      <c r="H49" s="13">
        <v>24.7</v>
      </c>
      <c r="I49" s="13">
        <v>0.34635834388255204</v>
      </c>
      <c r="J49" s="14">
        <f t="shared" si="0"/>
        <v>-1.9799999999999999E-4</v>
      </c>
      <c r="K49" s="23">
        <f t="shared" si="10"/>
        <v>2.4000000000000001E-5</v>
      </c>
      <c r="L49" s="14">
        <f t="shared" si="1"/>
        <v>-6.6000000000000005E-5</v>
      </c>
      <c r="M49" s="10">
        <f t="shared" si="2"/>
        <v>0.34659147267335561</v>
      </c>
      <c r="N49" s="16">
        <f t="shared" si="3"/>
        <v>6.730855338730144E-4</v>
      </c>
      <c r="O49" s="13">
        <f t="shared" si="4"/>
        <v>1849.0988</v>
      </c>
      <c r="P49" s="13">
        <f t="shared" ca="1" si="12"/>
        <v>1848</v>
      </c>
      <c r="Q49" s="13" t="str">
        <f t="shared" ca="1" si="6"/>
        <v>0000011100111000</v>
      </c>
      <c r="R49" s="13">
        <f t="shared" ca="1" si="7"/>
        <v>0.34648942565917967</v>
      </c>
      <c r="S49" s="13">
        <f t="shared" ca="1" si="8"/>
        <v>24.157873107910159</v>
      </c>
      <c r="T49" s="17">
        <f t="shared" ca="1" si="11"/>
        <v>2.1948457169629145E-2</v>
      </c>
      <c r="U49" s="13"/>
      <c r="V49" s="14">
        <f t="shared" ca="1" si="9"/>
        <v>0.54212700000000003</v>
      </c>
      <c r="W49" s="13"/>
      <c r="X49" s="2"/>
    </row>
    <row r="50" spans="1:24" x14ac:dyDescent="0.25">
      <c r="A50" s="13" t="s">
        <v>80</v>
      </c>
      <c r="B50" s="13"/>
      <c r="C50" s="13">
        <v>1</v>
      </c>
      <c r="D50" s="13"/>
      <c r="E50" s="15" t="s">
        <v>6</v>
      </c>
      <c r="H50" s="13">
        <v>24.8</v>
      </c>
      <c r="I50" s="13">
        <v>0.35330923877388831</v>
      </c>
      <c r="J50" s="14">
        <f t="shared" si="0"/>
        <v>-1.9699999999999999E-4</v>
      </c>
      <c r="K50" s="23">
        <f t="shared" si="10"/>
        <v>2.4000000000000001E-5</v>
      </c>
      <c r="L50" s="14">
        <f t="shared" si="1"/>
        <v>-3.6000000000000001E-5</v>
      </c>
      <c r="M50" s="10">
        <f t="shared" si="2"/>
        <v>0.3535515130074201</v>
      </c>
      <c r="N50" s="16">
        <f t="shared" si="3"/>
        <v>6.8572855431851029E-4</v>
      </c>
      <c r="O50" s="13">
        <f t="shared" si="4"/>
        <v>1886.2312999999999</v>
      </c>
      <c r="P50" s="13">
        <f t="shared" ca="1" si="12"/>
        <v>1888</v>
      </c>
      <c r="Q50" s="13" t="str">
        <f t="shared" ca="1" si="6"/>
        <v>0000011101100000</v>
      </c>
      <c r="R50" s="13">
        <f t="shared" ca="1" si="7"/>
        <v>0.35398919677734375</v>
      </c>
      <c r="S50" s="13">
        <f t="shared" ca="1" si="8"/>
        <v>24.247870361328129</v>
      </c>
      <c r="T50" s="17">
        <f t="shared" ca="1" si="11"/>
        <v>2.2263291881930311E-2</v>
      </c>
      <c r="U50" s="13"/>
      <c r="V50" s="14">
        <f t="shared" ca="1" si="9"/>
        <v>0.55213000000000001</v>
      </c>
      <c r="W50" s="13"/>
      <c r="X50" s="2"/>
    </row>
    <row r="51" spans="1:24" x14ac:dyDescent="0.25">
      <c r="H51" s="13">
        <v>24.9</v>
      </c>
      <c r="I51" s="13">
        <v>0.36028782440109819</v>
      </c>
      <c r="J51" s="14">
        <f t="shared" si="0"/>
        <v>-1.9699999999999999E-4</v>
      </c>
      <c r="K51" s="23">
        <f t="shared" si="10"/>
        <v>2.5000000000000001E-5</v>
      </c>
      <c r="L51" s="14">
        <f t="shared" si="1"/>
        <v>-5.0000000000000004E-6</v>
      </c>
      <c r="M51" s="10">
        <f t="shared" si="2"/>
        <v>0.36054102198598825</v>
      </c>
      <c r="N51" s="16">
        <f t="shared" si="3"/>
        <v>7.0276475568096337E-4</v>
      </c>
      <c r="O51" s="13">
        <f t="shared" si="4"/>
        <v>1923.521</v>
      </c>
      <c r="P51" s="13">
        <f t="shared" ca="1" si="12"/>
        <v>1926</v>
      </c>
      <c r="Q51" s="13" t="str">
        <f t="shared" ca="1" si="6"/>
        <v>0000011110000110</v>
      </c>
      <c r="R51" s="13">
        <f t="shared" ca="1" si="7"/>
        <v>0.3611139793395996</v>
      </c>
      <c r="S51" s="13">
        <f t="shared" ca="1" si="8"/>
        <v>24.333367752075194</v>
      </c>
      <c r="T51" s="17">
        <f t="shared" ca="1" si="11"/>
        <v>2.2756315177702994E-2</v>
      </c>
      <c r="U51" s="13"/>
      <c r="V51" s="14">
        <f t="shared" ca="1" si="9"/>
        <v>0.56663200000000002</v>
      </c>
      <c r="W51" s="13"/>
      <c r="X51" s="2"/>
    </row>
    <row r="52" spans="1:24" x14ac:dyDescent="0.25">
      <c r="H52" s="13">
        <v>25</v>
      </c>
      <c r="I52" s="13">
        <v>0.36822590731644561</v>
      </c>
      <c r="J52" s="14">
        <f t="shared" si="0"/>
        <v>-1.9599999999999999E-4</v>
      </c>
      <c r="K52" s="23">
        <f t="shared" si="10"/>
        <v>2.5000000000000001E-5</v>
      </c>
      <c r="L52" s="14">
        <f t="shared" si="1"/>
        <v>2.5000000000000001E-5</v>
      </c>
      <c r="M52" s="10">
        <f t="shared" si="2"/>
        <v>0.36848911809439799</v>
      </c>
      <c r="N52" s="16">
        <f t="shared" si="3"/>
        <v>7.1480787397771304E-4</v>
      </c>
      <c r="O52" s="13">
        <f t="shared" si="4"/>
        <v>1965.9249</v>
      </c>
      <c r="P52" s="13">
        <f t="shared" ca="1" si="12"/>
        <v>1971</v>
      </c>
      <c r="Q52" s="13" t="str">
        <f t="shared" ca="1" si="6"/>
        <v>0000011110110011</v>
      </c>
      <c r="R52" s="13">
        <f t="shared" ca="1" si="7"/>
        <v>0.36955122184753419</v>
      </c>
      <c r="S52" s="13">
        <f t="shared" ca="1" si="8"/>
        <v>24.434614662170414</v>
      </c>
      <c r="T52" s="17">
        <f t="shared" ca="1" si="11"/>
        <v>2.2615413513183427E-2</v>
      </c>
      <c r="U52" s="13"/>
      <c r="V52" s="14">
        <f t="shared" ca="1" si="9"/>
        <v>0.56538500000000003</v>
      </c>
      <c r="W52" s="13"/>
      <c r="X52" s="2"/>
    </row>
    <row r="53" spans="1:24" x14ac:dyDescent="0.25">
      <c r="H53" s="13">
        <v>25.1</v>
      </c>
      <c r="I53" s="13">
        <v>0.37525892027784247</v>
      </c>
      <c r="J53" s="14">
        <f t="shared" si="0"/>
        <v>-1.9599999999999999E-4</v>
      </c>
      <c r="K53" s="23">
        <f t="shared" si="10"/>
        <v>2.5999999999999998E-5</v>
      </c>
      <c r="L53" s="14">
        <f t="shared" si="1"/>
        <v>5.5999999999999999E-5</v>
      </c>
      <c r="M53" s="10">
        <f t="shared" si="2"/>
        <v>0.37553394693087055</v>
      </c>
      <c r="N53" s="16">
        <f t="shared" si="3"/>
        <v>7.3289837540559274E-4</v>
      </c>
      <c r="O53" s="13">
        <f t="shared" si="4"/>
        <v>2003.5097000000001</v>
      </c>
      <c r="P53" s="13">
        <f t="shared" ca="1" si="12"/>
        <v>2002</v>
      </c>
      <c r="Q53" s="13" t="str">
        <f t="shared" ca="1" si="6"/>
        <v>0000011111010010</v>
      </c>
      <c r="R53" s="13">
        <f t="shared" ca="1" si="7"/>
        <v>0.37536354446411135</v>
      </c>
      <c r="S53" s="13">
        <f t="shared" ca="1" si="8"/>
        <v>24.504362533569338</v>
      </c>
      <c r="T53" s="17">
        <f t="shared" ca="1" si="11"/>
        <v>2.373057635181924E-2</v>
      </c>
      <c r="U53" s="13"/>
      <c r="V53" s="14">
        <f t="shared" ca="1" si="9"/>
        <v>0.59563699999999997</v>
      </c>
      <c r="W53" s="13"/>
      <c r="X53" s="2"/>
    </row>
    <row r="54" spans="1:24" x14ac:dyDescent="0.25">
      <c r="H54" s="13">
        <v>25.2</v>
      </c>
      <c r="I54" s="13">
        <v>0.38231954856806788</v>
      </c>
      <c r="J54" s="14">
        <f t="shared" si="0"/>
        <v>-1.95E-4</v>
      </c>
      <c r="K54" s="23">
        <f t="shared" si="10"/>
        <v>2.5999999999999998E-5</v>
      </c>
      <c r="L54" s="14">
        <f t="shared" si="1"/>
        <v>8.6000000000000003E-5</v>
      </c>
      <c r="M54" s="10">
        <f t="shared" si="2"/>
        <v>0.38260544764856569</v>
      </c>
      <c r="N54" s="16">
        <f t="shared" si="3"/>
        <v>7.4780136555561906E-4</v>
      </c>
      <c r="O54" s="13">
        <f t="shared" si="4"/>
        <v>2041.2367999999999</v>
      </c>
      <c r="P54" s="13">
        <f t="shared" ca="1" si="12"/>
        <v>2041</v>
      </c>
      <c r="Q54" s="13" t="str">
        <f t="shared" ca="1" si="6"/>
        <v>0000011111111001</v>
      </c>
      <c r="R54" s="13">
        <f t="shared" ca="1" si="7"/>
        <v>0.38267582130432132</v>
      </c>
      <c r="S54" s="13">
        <f t="shared" ca="1" si="8"/>
        <v>24.592109855651859</v>
      </c>
      <c r="T54" s="17">
        <f t="shared" ca="1" si="11"/>
        <v>2.4122624775719838E-2</v>
      </c>
      <c r="U54" s="13"/>
      <c r="V54" s="14">
        <f t="shared" ca="1" si="9"/>
        <v>0.60789000000000004</v>
      </c>
      <c r="W54" s="13"/>
      <c r="X54" s="2"/>
    </row>
    <row r="55" spans="1:24" x14ac:dyDescent="0.25">
      <c r="H55" s="13">
        <v>25.3</v>
      </c>
      <c r="I55" s="13">
        <v>0.3903369478777402</v>
      </c>
      <c r="J55" s="14">
        <f t="shared" si="0"/>
        <v>-1.95E-4</v>
      </c>
      <c r="K55" s="23">
        <f t="shared" si="10"/>
        <v>2.6999999999999999E-5</v>
      </c>
      <c r="L55" s="14">
        <f t="shared" si="1"/>
        <v>1.17E-4</v>
      </c>
      <c r="M55" s="10">
        <f t="shared" si="2"/>
        <v>0.39063564546225932</v>
      </c>
      <c r="N55" s="16">
        <f t="shared" si="3"/>
        <v>7.6523010732940165E-4</v>
      </c>
      <c r="O55" s="13">
        <f t="shared" si="4"/>
        <v>2084.0787</v>
      </c>
      <c r="P55" s="13">
        <f t="shared" ca="1" si="12"/>
        <v>2089</v>
      </c>
      <c r="Q55" s="13" t="str">
        <f t="shared" ca="1" si="6"/>
        <v>0000100000101001</v>
      </c>
      <c r="R55" s="13">
        <f t="shared" ca="1" si="7"/>
        <v>0.39167554664611814</v>
      </c>
      <c r="S55" s="13">
        <f t="shared" ca="1" si="8"/>
        <v>24.700106559753419</v>
      </c>
      <c r="T55" s="17">
        <f t="shared" ca="1" si="11"/>
        <v>2.3711203171801663E-2</v>
      </c>
      <c r="U55" s="13"/>
      <c r="V55" s="14">
        <f t="shared" ca="1" si="9"/>
        <v>0.59989300000000001</v>
      </c>
      <c r="W55" s="13"/>
      <c r="X55" s="2"/>
    </row>
    <row r="56" spans="1:24" x14ac:dyDescent="0.25">
      <c r="H56" s="13">
        <v>25.4</v>
      </c>
      <c r="I56" s="13">
        <v>0.39745184317826499</v>
      </c>
      <c r="J56" s="14">
        <f t="shared" si="0"/>
        <v>-1.94E-4</v>
      </c>
      <c r="K56" s="23">
        <f t="shared" si="10"/>
        <v>2.6999999999999999E-5</v>
      </c>
      <c r="L56" s="14">
        <f t="shared" si="1"/>
        <v>1.47E-4</v>
      </c>
      <c r="M56" s="10">
        <f t="shared" si="2"/>
        <v>0.39776230571120458</v>
      </c>
      <c r="N56" s="16">
        <f t="shared" si="3"/>
        <v>7.8113245231660466E-4</v>
      </c>
      <c r="O56" s="13">
        <f t="shared" si="4"/>
        <v>2122.1001000000001</v>
      </c>
      <c r="P56" s="13">
        <f t="shared" ca="1" si="12"/>
        <v>2125</v>
      </c>
      <c r="Q56" s="13" t="str">
        <f t="shared" ca="1" si="6"/>
        <v>0000100001001101</v>
      </c>
      <c r="R56" s="13">
        <f t="shared" ca="1" si="7"/>
        <v>0.39842534065246582</v>
      </c>
      <c r="S56" s="13">
        <f t="shared" ca="1" si="8"/>
        <v>24.781104087829593</v>
      </c>
      <c r="T56" s="17">
        <f t="shared" ca="1" si="11"/>
        <v>2.4365980794110443E-2</v>
      </c>
      <c r="U56" s="13"/>
      <c r="V56" s="14">
        <f t="shared" ca="1" si="9"/>
        <v>0.618896</v>
      </c>
      <c r="W56" s="13"/>
      <c r="X56" s="2"/>
    </row>
    <row r="57" spans="1:24" x14ac:dyDescent="0.25">
      <c r="H57" s="13">
        <v>25.5</v>
      </c>
      <c r="I57" s="13">
        <v>0.40459427375251356</v>
      </c>
      <c r="J57" s="14">
        <f t="shared" si="0"/>
        <v>-1.93E-4</v>
      </c>
      <c r="K57" s="23">
        <f t="shared" si="10"/>
        <v>2.8E-5</v>
      </c>
      <c r="L57" s="14">
        <f t="shared" si="1"/>
        <v>1.7799999999999999E-4</v>
      </c>
      <c r="M57" s="10">
        <f t="shared" si="2"/>
        <v>0.40491733871480479</v>
      </c>
      <c r="N57" s="16">
        <f t="shared" si="3"/>
        <v>7.9849118796190984E-4</v>
      </c>
      <c r="O57" s="13">
        <f t="shared" si="4"/>
        <v>2160.2728999999999</v>
      </c>
      <c r="P57" s="13">
        <f t="shared" ca="1" si="12"/>
        <v>2162</v>
      </c>
      <c r="Q57" s="13" t="str">
        <f t="shared" ca="1" si="6"/>
        <v>0000100001110010</v>
      </c>
      <c r="R57" s="13">
        <f t="shared" ca="1" si="7"/>
        <v>0.40536262893676761</v>
      </c>
      <c r="S57" s="13">
        <f t="shared" ca="1" si="8"/>
        <v>24.864351547241213</v>
      </c>
      <c r="T57" s="17">
        <f t="shared" ca="1" si="11"/>
        <v>2.4927390304266144E-2</v>
      </c>
      <c r="U57" s="13"/>
      <c r="V57" s="14">
        <f t="shared" ca="1" si="9"/>
        <v>0.63564799999999999</v>
      </c>
      <c r="W57" s="13"/>
      <c r="X57" s="2"/>
    </row>
    <row r="58" spans="1:24" x14ac:dyDescent="0.25">
      <c r="H58" s="13">
        <v>25.6</v>
      </c>
      <c r="I58" s="13">
        <v>0.41176421298696941</v>
      </c>
      <c r="J58" s="14">
        <f t="shared" si="0"/>
        <v>-1.93E-4</v>
      </c>
      <c r="K58" s="23">
        <f t="shared" si="10"/>
        <v>2.8E-5</v>
      </c>
      <c r="L58" s="14">
        <f t="shared" si="1"/>
        <v>2.0799999999999999E-4</v>
      </c>
      <c r="M58" s="10">
        <f t="shared" si="2"/>
        <v>0.41210091791389553</v>
      </c>
      <c r="N58" s="16">
        <f t="shared" si="3"/>
        <v>8.1771294422025868E-4</v>
      </c>
      <c r="O58" s="13">
        <f t="shared" si="4"/>
        <v>2198.598</v>
      </c>
      <c r="P58" s="13">
        <f t="shared" ca="1" si="12"/>
        <v>2197</v>
      </c>
      <c r="Q58" s="13" t="str">
        <f t="shared" ca="1" si="6"/>
        <v>0000100010010101</v>
      </c>
      <c r="R58" s="13">
        <f t="shared" ca="1" si="7"/>
        <v>0.41192492866516112</v>
      </c>
      <c r="S58" s="13">
        <f t="shared" ca="1" si="8"/>
        <v>24.943099143981932</v>
      </c>
      <c r="T58" s="17">
        <f t="shared" ca="1" si="11"/>
        <v>2.5660189688205826E-2</v>
      </c>
      <c r="U58" s="13"/>
      <c r="V58" s="14">
        <f t="shared" ca="1" si="9"/>
        <v>0.65690099999999996</v>
      </c>
      <c r="W58" s="13"/>
      <c r="X58" s="2"/>
    </row>
    <row r="59" spans="1:24" x14ac:dyDescent="0.25">
      <c r="H59" s="13">
        <v>25.7</v>
      </c>
      <c r="I59" s="13">
        <v>0.41988725781079705</v>
      </c>
      <c r="J59" s="14">
        <f t="shared" si="0"/>
        <v>-1.92E-4</v>
      </c>
      <c r="K59" s="23">
        <f t="shared" si="10"/>
        <v>2.9E-5</v>
      </c>
      <c r="L59" s="14">
        <f t="shared" si="1"/>
        <v>2.3900000000000001E-4</v>
      </c>
      <c r="M59" s="10">
        <f t="shared" si="2"/>
        <v>0.42023768075449741</v>
      </c>
      <c r="N59" s="16">
        <f t="shared" si="3"/>
        <v>8.3456436741469067E-4</v>
      </c>
      <c r="O59" s="13">
        <f t="shared" si="4"/>
        <v>2242.0084000000002</v>
      </c>
      <c r="P59" s="13">
        <f t="shared" ca="1" si="12"/>
        <v>2245</v>
      </c>
      <c r="Q59" s="13" t="str">
        <f t="shared" ca="1" si="6"/>
        <v>0000100011000101</v>
      </c>
      <c r="R59" s="13">
        <f t="shared" ca="1" si="7"/>
        <v>0.420924654006958</v>
      </c>
      <c r="S59" s="13">
        <f t="shared" ca="1" si="8"/>
        <v>25.051095848083499</v>
      </c>
      <c r="T59" s="17">
        <f t="shared" ca="1" si="11"/>
        <v>2.5249188790525318E-2</v>
      </c>
      <c r="U59" s="13"/>
      <c r="V59" s="14">
        <f t="shared" ca="1" si="9"/>
        <v>0.64890400000000004</v>
      </c>
      <c r="W59" s="13"/>
      <c r="X59" s="2"/>
    </row>
    <row r="60" spans="1:24" x14ac:dyDescent="0.25">
      <c r="H60" s="13">
        <v>25.8</v>
      </c>
      <c r="I60" s="13">
        <v>0.42711123658200367</v>
      </c>
      <c r="J60" s="14">
        <f t="shared" si="0"/>
        <v>-1.92E-4</v>
      </c>
      <c r="K60" s="23">
        <f t="shared" si="10"/>
        <v>2.9E-5</v>
      </c>
      <c r="L60" s="14">
        <f t="shared" si="1"/>
        <v>2.6899999999999998E-4</v>
      </c>
      <c r="M60" s="10">
        <f t="shared" si="2"/>
        <v>0.42747621208105346</v>
      </c>
      <c r="N60" s="16">
        <f t="shared" si="3"/>
        <v>8.5452094861877337E-4</v>
      </c>
      <c r="O60" s="13">
        <f t="shared" si="4"/>
        <v>2280.6266999999998</v>
      </c>
      <c r="P60" s="13">
        <f t="shared" ca="1" si="12"/>
        <v>2281</v>
      </c>
      <c r="Q60" s="13" t="str">
        <f t="shared" ca="1" si="6"/>
        <v>0000100011101001</v>
      </c>
      <c r="R60" s="13">
        <f t="shared" ca="1" si="7"/>
        <v>0.42767444801330567</v>
      </c>
      <c r="S60" s="13">
        <f t="shared" ca="1" si="8"/>
        <v>25.132093376159666</v>
      </c>
      <c r="T60" s="17">
        <f t="shared" ca="1" si="11"/>
        <v>2.5887853637222263E-2</v>
      </c>
      <c r="U60" s="13"/>
      <c r="V60" s="14">
        <f t="shared" ca="1" si="9"/>
        <v>0.66790700000000003</v>
      </c>
      <c r="W60" s="13"/>
      <c r="X60" s="2"/>
    </row>
    <row r="61" spans="1:24" x14ac:dyDescent="0.25">
      <c r="H61" s="13">
        <v>25.9</v>
      </c>
      <c r="I61" s="13">
        <v>0.43436263799034519</v>
      </c>
      <c r="J61" s="14">
        <f t="shared" si="0"/>
        <v>-1.9100000000000001E-4</v>
      </c>
      <c r="K61" s="23">
        <f t="shared" si="10"/>
        <v>3.0000000000000001E-5</v>
      </c>
      <c r="L61" s="14">
        <f t="shared" si="1"/>
        <v>2.9999999999999997E-4</v>
      </c>
      <c r="M61" s="10">
        <f t="shared" si="2"/>
        <v>0.43474204320330617</v>
      </c>
      <c r="N61" s="16">
        <f t="shared" si="3"/>
        <v>8.7347570849179428E-4</v>
      </c>
      <c r="O61" s="13">
        <f t="shared" si="4"/>
        <v>2319.3906000000002</v>
      </c>
      <c r="P61" s="13">
        <f t="shared" ca="1" si="12"/>
        <v>2321</v>
      </c>
      <c r="Q61" s="13" t="str">
        <f t="shared" ca="1" si="6"/>
        <v>0000100100010001</v>
      </c>
      <c r="R61" s="13">
        <f t="shared" ca="1" si="7"/>
        <v>0.43517421913146975</v>
      </c>
      <c r="S61" s="13">
        <f t="shared" ca="1" si="8"/>
        <v>25.222090629577636</v>
      </c>
      <c r="T61" s="17">
        <f t="shared" ca="1" si="11"/>
        <v>2.6174106966114389E-2</v>
      </c>
      <c r="U61" s="13"/>
      <c r="V61" s="14">
        <f t="shared" ca="1" si="9"/>
        <v>0.67790899999999998</v>
      </c>
      <c r="W61" s="13"/>
      <c r="X61" s="2"/>
    </row>
    <row r="62" spans="1:24" x14ac:dyDescent="0.25">
      <c r="H62" s="13">
        <v>26</v>
      </c>
      <c r="I62" s="13">
        <v>0.44164143242549386</v>
      </c>
      <c r="J62" s="14">
        <f t="shared" si="0"/>
        <v>-1.9100000000000001E-4</v>
      </c>
      <c r="K62" s="23">
        <f t="shared" si="10"/>
        <v>3.0000000000000001E-5</v>
      </c>
      <c r="L62" s="14">
        <f t="shared" si="1"/>
        <v>3.3E-4</v>
      </c>
      <c r="M62" s="10">
        <f t="shared" si="2"/>
        <v>0.44203628525962957</v>
      </c>
      <c r="N62" s="16">
        <f t="shared" si="3"/>
        <v>8.9405749810921292E-4</v>
      </c>
      <c r="O62" s="13">
        <f t="shared" si="4"/>
        <v>2358.3060999999998</v>
      </c>
      <c r="P62" s="13">
        <f t="shared" ca="1" si="12"/>
        <v>2360</v>
      </c>
      <c r="Q62" s="13" t="str">
        <f t="shared" ca="1" si="6"/>
        <v>0000100100111000</v>
      </c>
      <c r="R62" s="13">
        <f t="shared" ca="1" si="7"/>
        <v>0.44248649597167972</v>
      </c>
      <c r="S62" s="13">
        <f t="shared" ca="1" si="8"/>
        <v>25.309837951660157</v>
      </c>
      <c r="T62" s="17">
        <f t="shared" ca="1" si="11"/>
        <v>2.6544694166917047E-2</v>
      </c>
      <c r="U62" s="13"/>
      <c r="V62" s="14">
        <f t="shared" ca="1" si="9"/>
        <v>0.69016200000000005</v>
      </c>
      <c r="W62" s="13"/>
      <c r="X62" s="2"/>
    </row>
    <row r="63" spans="1:24" x14ac:dyDescent="0.25">
      <c r="H63" s="13">
        <v>26.1</v>
      </c>
      <c r="I63" s="13">
        <v>0.44894759031987419</v>
      </c>
      <c r="J63" s="14">
        <f t="shared" si="0"/>
        <v>-1.9000000000000001E-4</v>
      </c>
      <c r="K63" s="23">
        <f t="shared" si="10"/>
        <v>3.1000000000000001E-5</v>
      </c>
      <c r="L63" s="14">
        <f t="shared" si="1"/>
        <v>3.6099999999999999E-4</v>
      </c>
      <c r="M63" s="10">
        <f t="shared" si="2"/>
        <v>0.44935778754317729</v>
      </c>
      <c r="N63" s="16">
        <f t="shared" si="3"/>
        <v>9.1368621226106737E-4</v>
      </c>
      <c r="O63" s="13">
        <f t="shared" si="4"/>
        <v>2397.3670000000002</v>
      </c>
      <c r="P63" s="13">
        <f t="shared" ca="1" si="12"/>
        <v>2402</v>
      </c>
      <c r="Q63" s="13" t="str">
        <f t="shared" ca="1" si="6"/>
        <v>0000100101100010</v>
      </c>
      <c r="R63" s="13">
        <f t="shared" ca="1" si="7"/>
        <v>0.45036125564575197</v>
      </c>
      <c r="S63" s="13">
        <f t="shared" ca="1" si="8"/>
        <v>25.404335067749024</v>
      </c>
      <c r="T63" s="17">
        <f t="shared" ca="1" si="11"/>
        <v>2.6653828821876533E-2</v>
      </c>
      <c r="U63" s="13"/>
      <c r="V63" s="14">
        <f t="shared" ca="1" si="9"/>
        <v>0.69566499999999998</v>
      </c>
      <c r="W63" s="13"/>
      <c r="X63" s="2"/>
    </row>
    <row r="64" spans="1:24" x14ac:dyDescent="0.25">
      <c r="H64" s="13">
        <v>26.2</v>
      </c>
      <c r="I64" s="13">
        <v>0.45720222360700741</v>
      </c>
      <c r="J64" s="14">
        <f t="shared" si="0"/>
        <v>-1.8900000000000001E-4</v>
      </c>
      <c r="K64" s="23">
        <f t="shared" si="10"/>
        <v>3.1000000000000001E-5</v>
      </c>
      <c r="L64" s="14">
        <f t="shared" si="1"/>
        <v>3.9100000000000002E-4</v>
      </c>
      <c r="M64" s="10">
        <f t="shared" si="2"/>
        <v>0.45762813352921733</v>
      </c>
      <c r="N64" s="16">
        <f t="shared" si="3"/>
        <v>9.3155697898796009E-4</v>
      </c>
      <c r="O64" s="13">
        <f t="shared" si="4"/>
        <v>2441.4901</v>
      </c>
      <c r="P64" s="13">
        <f t="shared" ca="1" si="12"/>
        <v>2445</v>
      </c>
      <c r="Q64" s="13" t="str">
        <f t="shared" ca="1" si="6"/>
        <v>0000100110001101</v>
      </c>
      <c r="R64" s="13">
        <f t="shared" ca="1" si="7"/>
        <v>0.45842350959777833</v>
      </c>
      <c r="S64" s="13">
        <f t="shared" ca="1" si="8"/>
        <v>25.50108211517334</v>
      </c>
      <c r="T64" s="17">
        <f t="shared" ca="1" si="11"/>
        <v>2.6676255146055716E-2</v>
      </c>
      <c r="U64" s="13"/>
      <c r="V64" s="14">
        <f t="shared" ca="1" si="9"/>
        <v>0.69891800000000004</v>
      </c>
      <c r="W64" s="13"/>
      <c r="X64" s="2"/>
    </row>
    <row r="65" spans="8:24" x14ac:dyDescent="0.25">
      <c r="H65" s="13">
        <v>26.3</v>
      </c>
      <c r="I65" s="13">
        <v>0.46456211547817844</v>
      </c>
      <c r="J65" s="14">
        <f t="shared" si="0"/>
        <v>-1.8900000000000001E-4</v>
      </c>
      <c r="K65" s="23">
        <f t="shared" si="10"/>
        <v>3.1999999999999999E-5</v>
      </c>
      <c r="L65" s="14">
        <f t="shared" si="1"/>
        <v>4.2200000000000001E-4</v>
      </c>
      <c r="M65" s="10">
        <f t="shared" si="2"/>
        <v>0.46500532324858934</v>
      </c>
      <c r="N65" s="16">
        <f t="shared" si="3"/>
        <v>9.5403339111004471E-4</v>
      </c>
      <c r="O65" s="13">
        <f t="shared" si="4"/>
        <v>2480.8481000000002</v>
      </c>
      <c r="P65" s="13">
        <f t="shared" ca="1" si="12"/>
        <v>2481</v>
      </c>
      <c r="Q65" s="13" t="str">
        <f t="shared" ca="1" si="6"/>
        <v>0000100110110001</v>
      </c>
      <c r="R65" s="13">
        <f t="shared" ca="1" si="7"/>
        <v>0.46517330360412601</v>
      </c>
      <c r="S65" s="13">
        <f t="shared" ca="1" si="8"/>
        <v>25.582079643249514</v>
      </c>
      <c r="T65" s="17">
        <f t="shared" ca="1" si="11"/>
        <v>2.7297351967699102E-2</v>
      </c>
      <c r="U65" s="13"/>
      <c r="V65" s="14">
        <f t="shared" ca="1" si="9"/>
        <v>0.71792</v>
      </c>
      <c r="W65" s="13"/>
      <c r="X65" s="2"/>
    </row>
    <row r="66" spans="8:24" x14ac:dyDescent="0.25">
      <c r="H66" s="13">
        <v>26.4</v>
      </c>
      <c r="I66" s="13">
        <v>0.47194927696378852</v>
      </c>
      <c r="J66" s="14">
        <f t="shared" si="0"/>
        <v>-1.8799999999999999E-4</v>
      </c>
      <c r="K66" s="23">
        <f t="shared" si="10"/>
        <v>3.1999999999999999E-5</v>
      </c>
      <c r="L66" s="14">
        <f t="shared" si="1"/>
        <v>4.5199999999999998E-4</v>
      </c>
      <c r="M66" s="10">
        <f t="shared" si="2"/>
        <v>0.47240877951612986</v>
      </c>
      <c r="N66" s="16">
        <f t="shared" si="3"/>
        <v>9.7362698656405897E-4</v>
      </c>
      <c r="O66" s="13">
        <f t="shared" si="4"/>
        <v>2520.3463000000002</v>
      </c>
      <c r="P66" s="13">
        <f t="shared" ca="1" si="12"/>
        <v>2525</v>
      </c>
      <c r="Q66" s="13" t="str">
        <f t="shared" ca="1" si="6"/>
        <v>0000100111011101</v>
      </c>
      <c r="R66" s="13">
        <f t="shared" ca="1" si="7"/>
        <v>0.47342305183410643</v>
      </c>
      <c r="S66" s="13">
        <f t="shared" ca="1" si="8"/>
        <v>25.681076622009279</v>
      </c>
      <c r="T66" s="17">
        <f t="shared" ca="1" si="11"/>
        <v>2.7231946136012115E-2</v>
      </c>
      <c r="U66" s="13"/>
      <c r="V66" s="14">
        <f t="shared" ca="1" si="9"/>
        <v>0.71892299999999998</v>
      </c>
      <c r="W66" s="13"/>
      <c r="X66" s="2"/>
    </row>
    <row r="67" spans="8:24" x14ac:dyDescent="0.25">
      <c r="H67" s="13">
        <v>26.5</v>
      </c>
      <c r="I67" s="13">
        <v>0.47936367654644368</v>
      </c>
      <c r="J67" s="14">
        <f t="shared" ref="J67:J130" si="14">ROUND(H67*0.00000575 -0.00034,6)</f>
        <v>-1.8799999999999999E-4</v>
      </c>
      <c r="K67" s="23">
        <f t="shared" ref="K67:K130" si="15">ROUND(H67*0.000005-0.0001,6)</f>
        <v>3.3000000000000003E-5</v>
      </c>
      <c r="L67" s="14">
        <f t="shared" ref="L67:L130" si="16">ROUND(K67+($C$24*(H67-25)),6)</f>
        <v>4.8299999999999998E-4</v>
      </c>
      <c r="M67" s="10">
        <f t="shared" ref="M67:M130" si="17">(I67-J67)/(1-L67)+$C$26+$D$27</f>
        <v>0.47984141193440805</v>
      </c>
      <c r="N67" s="16">
        <f t="shared" ref="N67:N130" si="18">ABS(I67-M67)/I67</f>
        <v>9.9660322911028086E-4</v>
      </c>
      <c r="O67" s="13">
        <f t="shared" ref="O67:O130" si="19">ROUND((M67*(2^($C$12-1)))/$C$44,4)</f>
        <v>2560.0001000000002</v>
      </c>
      <c r="P67" s="13">
        <f t="shared" ca="1" si="12"/>
        <v>2559</v>
      </c>
      <c r="Q67" s="13" t="str">
        <f t="shared" ref="Q67:Q130" ca="1" si="20">_xlfn.BASE(IF(P67&lt;0, P67+2^($C$12)-1, P67), 2, 16)</f>
        <v>0000100111111111</v>
      </c>
      <c r="R67" s="13">
        <f t="shared" ref="R67:R130" ca="1" si="21">($C$16/2^($C$12-1)) * P67</f>
        <v>0.47979785728454588</v>
      </c>
      <c r="S67" s="13">
        <f t="shared" ref="S67:S130" ca="1" si="22">(R67+5/3)/(1/12)</f>
        <v>25.757574287414553</v>
      </c>
      <c r="T67" s="17">
        <f t="shared" ca="1" si="11"/>
        <v>2.8016064625865939E-2</v>
      </c>
      <c r="U67" s="13"/>
      <c r="V67" s="14">
        <f t="shared" ref="V67:V130" ca="1" si="23">ROUND(ABS(H67-S67),6)</f>
        <v>0.74242600000000003</v>
      </c>
      <c r="W67" s="13"/>
      <c r="X67" s="2"/>
    </row>
    <row r="68" spans="8:24" x14ac:dyDescent="0.25">
      <c r="H68" s="13">
        <v>26.6</v>
      </c>
      <c r="I68" s="13">
        <v>0.48680528180912447</v>
      </c>
      <c r="J68" s="14">
        <f t="shared" si="14"/>
        <v>-1.8699999999999999E-4</v>
      </c>
      <c r="K68" s="23">
        <f t="shared" si="15"/>
        <v>3.3000000000000003E-5</v>
      </c>
      <c r="L68" s="14">
        <f t="shared" si="16"/>
        <v>5.13E-4</v>
      </c>
      <c r="M68" s="10">
        <f t="shared" si="17"/>
        <v>0.4873002370767448</v>
      </c>
      <c r="N68" s="16">
        <f t="shared" si="18"/>
        <v>1.0167417776999492E-3</v>
      </c>
      <c r="O68" s="13">
        <f t="shared" si="19"/>
        <v>2599.7936</v>
      </c>
      <c r="P68" s="13">
        <f t="shared" ca="1" si="12"/>
        <v>2604</v>
      </c>
      <c r="Q68" s="13" t="str">
        <f t="shared" ca="1" si="20"/>
        <v>0000101000101100</v>
      </c>
      <c r="R68" s="13">
        <f t="shared" ca="1" si="21"/>
        <v>0.48823509979248048</v>
      </c>
      <c r="S68" s="13">
        <f t="shared" ca="1" si="22"/>
        <v>25.858821197509769</v>
      </c>
      <c r="T68" s="17">
        <f t="shared" ref="T68:T131" ca="1" si="24">ABS(H68-S68)/H68</f>
        <v>2.7863864755271885E-2</v>
      </c>
      <c r="U68" s="13"/>
      <c r="V68" s="14">
        <f t="shared" ca="1" si="23"/>
        <v>0.74117900000000003</v>
      </c>
      <c r="W68" s="13"/>
      <c r="X68" s="2"/>
    </row>
    <row r="69" spans="8:24" x14ac:dyDescent="0.25">
      <c r="H69" s="13">
        <v>26.7</v>
      </c>
      <c r="I69" s="13">
        <v>0.49427405979875927</v>
      </c>
      <c r="J69" s="14">
        <f t="shared" si="14"/>
        <v>-1.8599999999999999E-4</v>
      </c>
      <c r="K69" s="23">
        <f t="shared" si="15"/>
        <v>3.4E-5</v>
      </c>
      <c r="L69" s="14">
        <f t="shared" si="16"/>
        <v>5.44E-4</v>
      </c>
      <c r="M69" s="10">
        <f t="shared" si="17"/>
        <v>0.49478719247946812</v>
      </c>
      <c r="N69" s="16">
        <f t="shared" si="18"/>
        <v>1.0381541789139589E-3</v>
      </c>
      <c r="O69" s="13">
        <f t="shared" si="19"/>
        <v>2639.7372</v>
      </c>
      <c r="P69" s="13">
        <f t="shared" ca="1" si="12"/>
        <v>2642</v>
      </c>
      <c r="Q69" s="13" t="str">
        <f t="shared" ca="1" si="20"/>
        <v>0000101001010010</v>
      </c>
      <c r="R69" s="13">
        <f t="shared" ca="1" si="21"/>
        <v>0.49535988235473633</v>
      </c>
      <c r="S69" s="13">
        <f t="shared" ca="1" si="22"/>
        <v>25.944318588256838</v>
      </c>
      <c r="T69" s="17">
        <f t="shared" ca="1" si="24"/>
        <v>2.830267459712215E-2</v>
      </c>
      <c r="U69" s="13"/>
      <c r="V69" s="14">
        <f t="shared" ca="1" si="23"/>
        <v>0.75568100000000005</v>
      </c>
      <c r="W69" s="13"/>
      <c r="X69" s="2"/>
    </row>
    <row r="70" spans="8:24" x14ac:dyDescent="0.25">
      <c r="H70" s="13">
        <v>26.8</v>
      </c>
      <c r="I70" s="13">
        <v>0.50176997750404295</v>
      </c>
      <c r="J70" s="14">
        <f t="shared" si="14"/>
        <v>-1.8599999999999999E-4</v>
      </c>
      <c r="K70" s="23">
        <f t="shared" si="15"/>
        <v>3.4E-5</v>
      </c>
      <c r="L70" s="14">
        <f t="shared" si="16"/>
        <v>5.7399999999999997E-4</v>
      </c>
      <c r="M70" s="10">
        <f t="shared" si="17"/>
        <v>0.50230226571256198</v>
      </c>
      <c r="N70" s="16">
        <f t="shared" si="18"/>
        <v>1.0608211578675777E-3</v>
      </c>
      <c r="O70" s="13">
        <f t="shared" si="19"/>
        <v>2679.8308999999999</v>
      </c>
      <c r="P70" s="13">
        <f t="shared" ca="1" si="12"/>
        <v>2683</v>
      </c>
      <c r="Q70" s="13" t="str">
        <f t="shared" ca="1" si="20"/>
        <v>0000101001111011</v>
      </c>
      <c r="R70" s="13">
        <f t="shared" ca="1" si="21"/>
        <v>0.50304714775085446</v>
      </c>
      <c r="S70" s="13">
        <f t="shared" ca="1" si="22"/>
        <v>26.036565773010256</v>
      </c>
      <c r="T70" s="17">
        <f t="shared" ca="1" si="24"/>
        <v>2.8486351753348675E-2</v>
      </c>
      <c r="U70" s="13"/>
      <c r="V70" s="14">
        <f t="shared" ca="1" si="23"/>
        <v>0.76343399999999995</v>
      </c>
      <c r="W70" s="13"/>
      <c r="X70" s="2"/>
    </row>
    <row r="71" spans="8:24" x14ac:dyDescent="0.25">
      <c r="H71" s="13">
        <v>26.9</v>
      </c>
      <c r="I71" s="13">
        <v>0.50929300104683495</v>
      </c>
      <c r="J71" s="14">
        <f t="shared" si="14"/>
        <v>-1.85E-4</v>
      </c>
      <c r="K71" s="23">
        <f t="shared" si="15"/>
        <v>3.4999999999999997E-5</v>
      </c>
      <c r="L71" s="14">
        <f t="shared" si="16"/>
        <v>6.0499999999999996E-4</v>
      </c>
      <c r="M71" s="10">
        <f t="shared" si="17"/>
        <v>0.50984442183204326</v>
      </c>
      <c r="N71" s="16">
        <f t="shared" si="18"/>
        <v>1.0827181682742247E-3</v>
      </c>
      <c r="O71" s="13">
        <f t="shared" si="19"/>
        <v>2720.069</v>
      </c>
      <c r="P71" s="13">
        <f t="shared" ca="1" si="12"/>
        <v>2719</v>
      </c>
      <c r="Q71" s="13" t="str">
        <f t="shared" ca="1" si="20"/>
        <v>0000101010011111</v>
      </c>
      <c r="R71" s="13">
        <f t="shared" ca="1" si="21"/>
        <v>0.50979694175720214</v>
      </c>
      <c r="S71" s="13">
        <f t="shared" ca="1" si="22"/>
        <v>26.117563301086424</v>
      </c>
      <c r="T71" s="17">
        <f t="shared" ca="1" si="24"/>
        <v>2.9086866130616163E-2</v>
      </c>
      <c r="U71" s="13"/>
      <c r="V71" s="14">
        <f t="shared" ca="1" si="23"/>
        <v>0.78243700000000005</v>
      </c>
      <c r="W71" s="13"/>
      <c r="X71" s="2"/>
    </row>
    <row r="72" spans="8:24" x14ac:dyDescent="0.25">
      <c r="H72" s="13">
        <v>27</v>
      </c>
      <c r="I72" s="13">
        <v>0.51684309604862944</v>
      </c>
      <c r="J72" s="14">
        <f t="shared" si="14"/>
        <v>-1.85E-4</v>
      </c>
      <c r="K72" s="23">
        <f t="shared" si="15"/>
        <v>3.4999999999999997E-5</v>
      </c>
      <c r="L72" s="14">
        <f t="shared" si="16"/>
        <v>6.3500000000000004E-4</v>
      </c>
      <c r="M72" s="10">
        <f t="shared" si="17"/>
        <v>0.51741461750074247</v>
      </c>
      <c r="N72" s="16">
        <f t="shared" si="18"/>
        <v>1.1057929504765193E-3</v>
      </c>
      <c r="O72" s="13">
        <f t="shared" si="19"/>
        <v>2760.4567000000002</v>
      </c>
      <c r="P72" s="13">
        <f t="shared" ca="1" si="12"/>
        <v>2763</v>
      </c>
      <c r="Q72" s="13" t="str">
        <f t="shared" ca="1" si="20"/>
        <v>0000101011001011</v>
      </c>
      <c r="R72" s="13">
        <f t="shared" ca="1" si="21"/>
        <v>0.51804668998718262</v>
      </c>
      <c r="S72" s="13">
        <f t="shared" ca="1" si="22"/>
        <v>26.216560279846195</v>
      </c>
      <c r="T72" s="17">
        <f t="shared" ca="1" si="24"/>
        <v>2.9016285931622393E-2</v>
      </c>
      <c r="U72" s="13"/>
      <c r="V72" s="14">
        <f t="shared" ca="1" si="23"/>
        <v>0.78344000000000003</v>
      </c>
      <c r="W72" s="13"/>
      <c r="X72" s="2"/>
    </row>
    <row r="73" spans="8:24" x14ac:dyDescent="0.25">
      <c r="H73" s="13">
        <v>27.1</v>
      </c>
      <c r="I73" s="13">
        <v>0.52442022761729479</v>
      </c>
      <c r="J73" s="14">
        <f t="shared" si="14"/>
        <v>-1.84E-4</v>
      </c>
      <c r="K73" s="23">
        <f t="shared" si="15"/>
        <v>3.6000000000000001E-5</v>
      </c>
      <c r="L73" s="14">
        <f t="shared" si="16"/>
        <v>6.6600000000000003E-4</v>
      </c>
      <c r="M73" s="10">
        <f t="shared" si="17"/>
        <v>0.52501184687931646</v>
      </c>
      <c r="N73" s="16">
        <f t="shared" si="18"/>
        <v>1.1281396690392628E-3</v>
      </c>
      <c r="O73" s="13">
        <f t="shared" si="19"/>
        <v>2800.9886999999999</v>
      </c>
      <c r="P73" s="13">
        <f t="shared" ca="1" si="12"/>
        <v>2806</v>
      </c>
      <c r="Q73" s="13" t="str">
        <f t="shared" ca="1" si="20"/>
        <v>0000101011110110</v>
      </c>
      <c r="R73" s="13">
        <f t="shared" ca="1" si="21"/>
        <v>0.52610894393920904</v>
      </c>
      <c r="S73" s="13">
        <f t="shared" ca="1" si="22"/>
        <v>26.313307327270511</v>
      </c>
      <c r="T73" s="17">
        <f t="shared" ca="1" si="24"/>
        <v>2.9029249916217352E-2</v>
      </c>
      <c r="U73" s="13"/>
      <c r="V73" s="14">
        <f t="shared" ca="1" si="23"/>
        <v>0.78669299999999998</v>
      </c>
      <c r="W73" s="13"/>
      <c r="X73" s="2"/>
    </row>
    <row r="74" spans="8:24" x14ac:dyDescent="0.25">
      <c r="H74" s="13">
        <v>27.2</v>
      </c>
      <c r="I74" s="13">
        <v>0.53202436045766222</v>
      </c>
      <c r="J74" s="14">
        <f t="shared" si="14"/>
        <v>-1.84E-4</v>
      </c>
      <c r="K74" s="23">
        <f t="shared" si="15"/>
        <v>3.6000000000000001E-5</v>
      </c>
      <c r="L74" s="14">
        <f t="shared" si="16"/>
        <v>6.96E-4</v>
      </c>
      <c r="M74" s="10">
        <f t="shared" si="17"/>
        <v>0.53263703546634678</v>
      </c>
      <c r="N74" s="16">
        <f t="shared" si="18"/>
        <v>1.1515920213832312E-3</v>
      </c>
      <c r="O74" s="13">
        <f t="shared" si="19"/>
        <v>2841.6698000000001</v>
      </c>
      <c r="P74" s="13">
        <f t="shared" ca="1" si="12"/>
        <v>2845</v>
      </c>
      <c r="Q74" s="13" t="str">
        <f t="shared" ca="1" si="20"/>
        <v>0000101100011101</v>
      </c>
      <c r="R74" s="13">
        <f t="shared" ca="1" si="21"/>
        <v>0.533421220779419</v>
      </c>
      <c r="S74" s="13">
        <f t="shared" ca="1" si="22"/>
        <v>26.401054649353032</v>
      </c>
      <c r="T74" s="17">
        <f t="shared" ca="1" si="24"/>
        <v>2.9372990832609091E-2</v>
      </c>
      <c r="U74" s="13"/>
      <c r="V74" s="14">
        <f t="shared" ca="1" si="23"/>
        <v>0.79894500000000002</v>
      </c>
      <c r="W74" s="13"/>
      <c r="X74" s="2"/>
    </row>
    <row r="75" spans="8:24" x14ac:dyDescent="0.25">
      <c r="H75" s="13">
        <v>27.3</v>
      </c>
      <c r="I75" s="13">
        <v>0.53965545883633759</v>
      </c>
      <c r="J75" s="14">
        <f t="shared" si="14"/>
        <v>-1.83E-4</v>
      </c>
      <c r="K75" s="23">
        <f t="shared" si="15"/>
        <v>3.6999999999999998E-5</v>
      </c>
      <c r="L75" s="14">
        <f t="shared" si="16"/>
        <v>7.27E-4</v>
      </c>
      <c r="M75" s="10">
        <f t="shared" si="17"/>
        <v>0.54028920692377125</v>
      </c>
      <c r="N75" s="16">
        <f t="shared" si="18"/>
        <v>1.174356855020453E-3</v>
      </c>
      <c r="O75" s="13">
        <f t="shared" si="19"/>
        <v>2882.4949000000001</v>
      </c>
      <c r="P75" s="13">
        <f t="shared" ca="1" si="12"/>
        <v>2885</v>
      </c>
      <c r="Q75" s="13" t="str">
        <f t="shared" ca="1" si="20"/>
        <v>0000101101000101</v>
      </c>
      <c r="R75" s="13">
        <f t="shared" ca="1" si="21"/>
        <v>0.54092099189758303</v>
      </c>
      <c r="S75" s="13">
        <f t="shared" ca="1" si="22"/>
        <v>26.491051902770995</v>
      </c>
      <c r="T75" s="17">
        <f t="shared" ca="1" si="24"/>
        <v>2.963179843329693E-2</v>
      </c>
      <c r="U75" s="13"/>
      <c r="V75" s="14">
        <f t="shared" ca="1" si="23"/>
        <v>0.808948</v>
      </c>
      <c r="W75" s="13"/>
      <c r="X75" s="2"/>
    </row>
    <row r="76" spans="8:24" x14ac:dyDescent="0.25">
      <c r="H76" s="13">
        <v>27.4</v>
      </c>
      <c r="I76" s="13">
        <v>0.54640327350649731</v>
      </c>
      <c r="J76" s="14">
        <f t="shared" si="14"/>
        <v>-1.8200000000000001E-4</v>
      </c>
      <c r="K76" s="23">
        <f t="shared" si="15"/>
        <v>3.6999999999999998E-5</v>
      </c>
      <c r="L76" s="14">
        <f t="shared" si="16"/>
        <v>7.5699999999999997E-4</v>
      </c>
      <c r="M76" s="10">
        <f t="shared" si="17"/>
        <v>0.54705735201597339</v>
      </c>
      <c r="N76" s="16">
        <f t="shared" si="18"/>
        <v>1.1970618427641925E-3</v>
      </c>
      <c r="O76" s="13">
        <f t="shared" si="19"/>
        <v>2918.6035999999999</v>
      </c>
      <c r="P76" s="13">
        <f t="shared" ca="1" si="12"/>
        <v>2918</v>
      </c>
      <c r="Q76" s="13" t="str">
        <f t="shared" ca="1" si="20"/>
        <v>0000101101100110</v>
      </c>
      <c r="R76" s="13">
        <f t="shared" ca="1" si="21"/>
        <v>0.54710830307006841</v>
      </c>
      <c r="S76" s="13">
        <f t="shared" ca="1" si="22"/>
        <v>26.565299636840823</v>
      </c>
      <c r="T76" s="17">
        <f t="shared" ca="1" si="24"/>
        <v>3.0463516903619543E-2</v>
      </c>
      <c r="U76" s="13"/>
      <c r="V76" s="14">
        <f t="shared" ca="1" si="23"/>
        <v>0.8347</v>
      </c>
      <c r="W76" s="13"/>
      <c r="X76" s="2"/>
    </row>
    <row r="77" spans="8:24" x14ac:dyDescent="0.25">
      <c r="H77" s="13">
        <v>27.5</v>
      </c>
      <c r="I77" s="13">
        <v>0.55408911399530658</v>
      </c>
      <c r="J77" s="14">
        <f t="shared" si="14"/>
        <v>-1.8200000000000001E-4</v>
      </c>
      <c r="K77" s="23">
        <f t="shared" si="15"/>
        <v>3.8000000000000002E-5</v>
      </c>
      <c r="L77" s="14">
        <f t="shared" si="16"/>
        <v>7.8799999999999996E-4</v>
      </c>
      <c r="M77" s="10">
        <f t="shared" si="17"/>
        <v>0.55476622407587839</v>
      </c>
      <c r="N77" s="16">
        <f t="shared" si="18"/>
        <v>1.2220237926882339E-3</v>
      </c>
      <c r="O77" s="13">
        <f t="shared" si="19"/>
        <v>2959.7311</v>
      </c>
      <c r="P77" s="13">
        <f t="shared" ca="1" si="12"/>
        <v>2962</v>
      </c>
      <c r="Q77" s="13" t="str">
        <f t="shared" ca="1" si="20"/>
        <v>0000101110010010</v>
      </c>
      <c r="R77" s="13">
        <f t="shared" ca="1" si="21"/>
        <v>0.55535805130004889</v>
      </c>
      <c r="S77" s="13">
        <f t="shared" ca="1" si="22"/>
        <v>26.664296615600588</v>
      </c>
      <c r="T77" s="17">
        <f t="shared" ca="1" si="24"/>
        <v>3.038921397816045E-2</v>
      </c>
      <c r="U77" s="13"/>
      <c r="V77" s="14">
        <f t="shared" ca="1" si="23"/>
        <v>0.83570299999999997</v>
      </c>
      <c r="W77" s="13"/>
      <c r="X77" s="2"/>
    </row>
    <row r="78" spans="8:24" x14ac:dyDescent="0.25">
      <c r="H78" s="13">
        <v>27.6</v>
      </c>
      <c r="I78" s="13">
        <v>0.56180181073460123</v>
      </c>
      <c r="J78" s="14">
        <f t="shared" si="14"/>
        <v>-1.8100000000000001E-4</v>
      </c>
      <c r="K78" s="23">
        <f t="shared" si="15"/>
        <v>3.8000000000000002E-5</v>
      </c>
      <c r="L78" s="14">
        <f t="shared" si="16"/>
        <v>8.1800000000000004E-4</v>
      </c>
      <c r="M78" s="10">
        <f t="shared" si="17"/>
        <v>0.56250088901781781</v>
      </c>
      <c r="N78" s="16">
        <f t="shared" si="18"/>
        <v>1.2443503560490125E-3</v>
      </c>
      <c r="O78" s="13">
        <f t="shared" si="19"/>
        <v>3000.9962999999998</v>
      </c>
      <c r="P78" s="13">
        <f t="shared" ca="1" si="12"/>
        <v>3002</v>
      </c>
      <c r="Q78" s="13" t="str">
        <f t="shared" ca="1" si="20"/>
        <v>0000101110111010</v>
      </c>
      <c r="R78" s="13">
        <f t="shared" ca="1" si="21"/>
        <v>0.56285782241821292</v>
      </c>
      <c r="S78" s="13">
        <f t="shared" ca="1" si="22"/>
        <v>26.754293869018557</v>
      </c>
      <c r="T78" s="17">
        <f t="shared" ca="1" si="24"/>
        <v>3.0641526484834935E-2</v>
      </c>
      <c r="U78" s="13"/>
      <c r="V78" s="14">
        <f t="shared" ca="1" si="23"/>
        <v>0.84570599999999996</v>
      </c>
      <c r="W78" s="13"/>
      <c r="X78" s="2"/>
    </row>
    <row r="79" spans="8:24" x14ac:dyDescent="0.25">
      <c r="H79" s="13">
        <v>27.7</v>
      </c>
      <c r="I79" s="13">
        <v>0.5695413257834343</v>
      </c>
      <c r="J79" s="14">
        <f t="shared" si="14"/>
        <v>-1.8100000000000001E-4</v>
      </c>
      <c r="K79" s="23">
        <f t="shared" si="15"/>
        <v>3.8999999999999999E-5</v>
      </c>
      <c r="L79" s="14">
        <f t="shared" si="16"/>
        <v>8.4900000000000004E-4</v>
      </c>
      <c r="M79" s="10">
        <f t="shared" si="17"/>
        <v>0.57026443104339009</v>
      </c>
      <c r="N79" s="16">
        <f t="shared" si="18"/>
        <v>1.2696273777168165E-3</v>
      </c>
      <c r="O79" s="13">
        <f t="shared" si="19"/>
        <v>3042.4155999999998</v>
      </c>
      <c r="P79" s="13">
        <f t="shared" ref="P79:P142" ca="1" si="25">ROUND(O79+$C$47+$C$49+RANDBETWEEN($B$45,$D$45) + 1,0)</f>
        <v>3045</v>
      </c>
      <c r="Q79" s="13" t="str">
        <f t="shared" ca="1" si="20"/>
        <v>0000101111100101</v>
      </c>
      <c r="R79" s="13">
        <f t="shared" ca="1" si="21"/>
        <v>0.57092007637023923</v>
      </c>
      <c r="S79" s="13">
        <f t="shared" ca="1" si="22"/>
        <v>26.851040916442873</v>
      </c>
      <c r="T79" s="17">
        <f t="shared" ca="1" si="24"/>
        <v>3.0648342366683262E-2</v>
      </c>
      <c r="U79" s="13"/>
      <c r="V79" s="14">
        <f t="shared" ca="1" si="23"/>
        <v>0.84895900000000002</v>
      </c>
      <c r="W79" s="13"/>
      <c r="X79" s="2"/>
    </row>
    <row r="80" spans="8:24" x14ac:dyDescent="0.25">
      <c r="H80" s="13">
        <v>27.8</v>
      </c>
      <c r="I80" s="13">
        <v>0.57730762105818256</v>
      </c>
      <c r="J80" s="14">
        <f t="shared" si="14"/>
        <v>-1.8000000000000001E-4</v>
      </c>
      <c r="K80" s="23">
        <f t="shared" si="15"/>
        <v>3.8999999999999999E-5</v>
      </c>
      <c r="L80" s="14">
        <f t="shared" si="16"/>
        <v>8.7900000000000001E-4</v>
      </c>
      <c r="M80" s="10">
        <f t="shared" si="17"/>
        <v>0.57805367926025231</v>
      </c>
      <c r="N80" s="16">
        <f t="shared" si="18"/>
        <v>1.2923061724046667E-3</v>
      </c>
      <c r="O80" s="13">
        <f t="shared" si="19"/>
        <v>3083.9720000000002</v>
      </c>
      <c r="P80" s="13">
        <f t="shared" ca="1" si="25"/>
        <v>3089</v>
      </c>
      <c r="Q80" s="13" t="str">
        <f t="shared" ca="1" si="20"/>
        <v>0000110000010001</v>
      </c>
      <c r="R80" s="13">
        <f t="shared" ca="1" si="21"/>
        <v>0.57916982460021971</v>
      </c>
      <c r="S80" s="13">
        <f t="shared" ca="1" si="22"/>
        <v>26.950037895202637</v>
      </c>
      <c r="T80" s="17">
        <f t="shared" ca="1" si="24"/>
        <v>3.0574176431559831E-2</v>
      </c>
      <c r="U80" s="13"/>
      <c r="V80" s="14">
        <f t="shared" ca="1" si="23"/>
        <v>0.849962</v>
      </c>
      <c r="W80" s="13"/>
      <c r="X80" s="2"/>
    </row>
    <row r="81" spans="8:24" x14ac:dyDescent="0.25">
      <c r="H81" s="13">
        <v>27.9</v>
      </c>
      <c r="I81" s="13">
        <v>0.58510065687874102</v>
      </c>
      <c r="J81" s="14">
        <f t="shared" si="14"/>
        <v>-1.8000000000000001E-4</v>
      </c>
      <c r="K81" s="23">
        <f t="shared" si="15"/>
        <v>4.0000000000000003E-5</v>
      </c>
      <c r="L81" s="14">
        <f t="shared" si="16"/>
        <v>9.1E-4</v>
      </c>
      <c r="M81" s="10">
        <f t="shared" si="17"/>
        <v>0.58587174738886483</v>
      </c>
      <c r="N81" s="16">
        <f t="shared" si="18"/>
        <v>1.3178766782406992E-3</v>
      </c>
      <c r="O81" s="13">
        <f t="shared" si="19"/>
        <v>3125.6821</v>
      </c>
      <c r="P81" s="13">
        <f t="shared" ca="1" si="25"/>
        <v>3125</v>
      </c>
      <c r="Q81" s="13" t="str">
        <f t="shared" ca="1" si="20"/>
        <v>0000110000110101</v>
      </c>
      <c r="R81" s="13">
        <f t="shared" ca="1" si="21"/>
        <v>0.58591961860656738</v>
      </c>
      <c r="S81" s="13">
        <f t="shared" ca="1" si="22"/>
        <v>27.031035423278812</v>
      </c>
      <c r="T81" s="17">
        <f t="shared" ca="1" si="24"/>
        <v>3.1145683753447544E-2</v>
      </c>
      <c r="U81" s="13"/>
      <c r="V81" s="14">
        <f t="shared" ca="1" si="23"/>
        <v>0.86896499999999999</v>
      </c>
      <c r="W81" s="13"/>
      <c r="X81" s="2"/>
    </row>
    <row r="82" spans="8:24" x14ac:dyDescent="0.25">
      <c r="H82" s="13">
        <v>28</v>
      </c>
      <c r="I82" s="13">
        <v>0.5929203942519008</v>
      </c>
      <c r="J82" s="14">
        <f t="shared" si="14"/>
        <v>-1.7899999999999999E-4</v>
      </c>
      <c r="K82" s="23">
        <f t="shared" si="15"/>
        <v>4.0000000000000003E-5</v>
      </c>
      <c r="L82" s="14">
        <f t="shared" si="16"/>
        <v>9.3999999999999997E-4</v>
      </c>
      <c r="M82" s="10">
        <f t="shared" si="17"/>
        <v>0.59371543223820478</v>
      </c>
      <c r="N82" s="16">
        <f t="shared" si="18"/>
        <v>1.3408848709059776E-3</v>
      </c>
      <c r="O82" s="13">
        <f t="shared" si="19"/>
        <v>3167.5288999999998</v>
      </c>
      <c r="P82" s="13">
        <f t="shared" ca="1" si="25"/>
        <v>3170</v>
      </c>
      <c r="Q82" s="13" t="str">
        <f t="shared" ca="1" si="20"/>
        <v>0000110001100010</v>
      </c>
      <c r="R82" s="13">
        <f t="shared" ca="1" si="21"/>
        <v>0.59435686111450192</v>
      </c>
      <c r="S82" s="13">
        <f t="shared" ca="1" si="22"/>
        <v>27.132282333374025</v>
      </c>
      <c r="T82" s="17">
        <f t="shared" ca="1" si="24"/>
        <v>3.0989916665213384E-2</v>
      </c>
      <c r="U82" s="13"/>
      <c r="V82" s="14">
        <f t="shared" ca="1" si="23"/>
        <v>0.86771799999999999</v>
      </c>
      <c r="W82" s="13"/>
      <c r="X82" s="2"/>
    </row>
    <row r="83" spans="8:24" x14ac:dyDescent="0.25">
      <c r="H83" s="13">
        <v>28.1</v>
      </c>
      <c r="I83" s="13">
        <v>0.60076679314058279</v>
      </c>
      <c r="J83" s="14">
        <f t="shared" si="14"/>
        <v>-1.7799999999999999E-4</v>
      </c>
      <c r="K83" s="23">
        <f t="shared" si="15"/>
        <v>4.1E-5</v>
      </c>
      <c r="L83" s="14">
        <f t="shared" si="16"/>
        <v>9.7099999999999997E-4</v>
      </c>
      <c r="M83" s="10">
        <f t="shared" si="17"/>
        <v>0.60158687768081087</v>
      </c>
      <c r="N83" s="16">
        <f t="shared" si="18"/>
        <v>1.3650630320976792E-3</v>
      </c>
      <c r="O83" s="13">
        <f t="shared" si="19"/>
        <v>3209.5237999999999</v>
      </c>
      <c r="P83" s="13">
        <f t="shared" ca="1" si="25"/>
        <v>3210</v>
      </c>
      <c r="Q83" s="13" t="str">
        <f t="shared" ca="1" si="20"/>
        <v>0000110010001010</v>
      </c>
      <c r="R83" s="13">
        <f t="shared" ca="1" si="21"/>
        <v>0.60185663223266606</v>
      </c>
      <c r="S83" s="13">
        <f t="shared" ca="1" si="22"/>
        <v>27.222279586791995</v>
      </c>
      <c r="T83" s="17">
        <f t="shared" ca="1" si="24"/>
        <v>3.1235601893523361E-2</v>
      </c>
      <c r="U83" s="13"/>
      <c r="V83" s="14">
        <f t="shared" ca="1" si="23"/>
        <v>0.87771999999999994</v>
      </c>
      <c r="W83" s="13"/>
      <c r="X83" s="2"/>
    </row>
    <row r="84" spans="8:24" x14ac:dyDescent="0.25">
      <c r="H84" s="13">
        <v>28.200000000000003</v>
      </c>
      <c r="I84" s="13">
        <v>0.60773701482529563</v>
      </c>
      <c r="J84" s="14">
        <f t="shared" si="14"/>
        <v>-1.7799999999999999E-4</v>
      </c>
      <c r="K84" s="23">
        <f t="shared" si="15"/>
        <v>4.1E-5</v>
      </c>
      <c r="L84" s="14">
        <f t="shared" si="16"/>
        <v>1.0009999999999999E-3</v>
      </c>
      <c r="M84" s="10">
        <f t="shared" si="17"/>
        <v>0.60858214749694006</v>
      </c>
      <c r="N84" s="16">
        <f t="shared" si="18"/>
        <v>1.3906223432636907E-3</v>
      </c>
      <c r="O84" s="13">
        <f t="shared" si="19"/>
        <v>3246.8443000000002</v>
      </c>
      <c r="P84" s="13">
        <f t="shared" ca="1" si="25"/>
        <v>3246</v>
      </c>
      <c r="Q84" s="13" t="str">
        <f t="shared" ca="1" si="20"/>
        <v>0000110010101110</v>
      </c>
      <c r="R84" s="13">
        <f t="shared" ca="1" si="21"/>
        <v>0.60860642623901373</v>
      </c>
      <c r="S84" s="13">
        <f t="shared" ca="1" si="22"/>
        <v>27.303277114868166</v>
      </c>
      <c r="T84" s="17">
        <f t="shared" ca="1" si="24"/>
        <v>3.1798683869923287E-2</v>
      </c>
      <c r="U84" s="13"/>
      <c r="V84" s="14">
        <f t="shared" ca="1" si="23"/>
        <v>0.89672300000000005</v>
      </c>
      <c r="W84" s="13"/>
      <c r="X84" s="2"/>
    </row>
    <row r="85" spans="8:24" x14ac:dyDescent="0.25">
      <c r="H85" s="13">
        <v>28.3</v>
      </c>
      <c r="I85" s="13">
        <v>0.61563754819347627</v>
      </c>
      <c r="J85" s="14">
        <f t="shared" si="14"/>
        <v>-1.7699999999999999E-4</v>
      </c>
      <c r="K85" s="23">
        <f t="shared" si="15"/>
        <v>4.1999999999999998E-5</v>
      </c>
      <c r="L85" s="14">
        <f t="shared" si="16"/>
        <v>1.0319999999999999E-3</v>
      </c>
      <c r="M85" s="10">
        <f t="shared" si="17"/>
        <v>0.61650872534202927</v>
      </c>
      <c r="N85" s="16">
        <f t="shared" si="18"/>
        <v>1.4150812456280191E-3</v>
      </c>
      <c r="O85" s="13">
        <f t="shared" si="19"/>
        <v>3289.1333</v>
      </c>
      <c r="P85" s="13">
        <f t="shared" ca="1" si="25"/>
        <v>3290</v>
      </c>
      <c r="Q85" s="13" t="str">
        <f t="shared" ca="1" si="20"/>
        <v>0000110011011010</v>
      </c>
      <c r="R85" s="13">
        <f t="shared" ca="1" si="21"/>
        <v>0.6168561744689941</v>
      </c>
      <c r="S85" s="13">
        <f t="shared" ca="1" si="22"/>
        <v>27.402274093627931</v>
      </c>
      <c r="T85" s="17">
        <f t="shared" ca="1" si="24"/>
        <v>3.1721763476044884E-2</v>
      </c>
      <c r="U85" s="13"/>
      <c r="V85" s="14">
        <f t="shared" ca="1" si="23"/>
        <v>0.89772600000000002</v>
      </c>
      <c r="W85" s="13"/>
      <c r="X85" s="2"/>
    </row>
    <row r="86" spans="8:24" x14ac:dyDescent="0.25">
      <c r="H86" s="13">
        <v>28.4</v>
      </c>
      <c r="I86" s="13">
        <v>0.6235646214388979</v>
      </c>
      <c r="J86" s="14">
        <f t="shared" si="14"/>
        <v>-1.7699999999999999E-4</v>
      </c>
      <c r="K86" s="23">
        <f t="shared" si="15"/>
        <v>4.1999999999999998E-5</v>
      </c>
      <c r="L86" s="14">
        <f t="shared" si="16"/>
        <v>1.062E-3</v>
      </c>
      <c r="M86" s="10">
        <f t="shared" si="17"/>
        <v>0.6244627392720048</v>
      </c>
      <c r="N86" s="16">
        <f t="shared" si="18"/>
        <v>1.4402963257191428E-3</v>
      </c>
      <c r="O86" s="13">
        <f t="shared" si="19"/>
        <v>3331.5688</v>
      </c>
      <c r="P86" s="13">
        <f t="shared" ca="1" si="25"/>
        <v>3335</v>
      </c>
      <c r="Q86" s="13" t="str">
        <f t="shared" ca="1" si="20"/>
        <v>0000110100000111</v>
      </c>
      <c r="R86" s="13">
        <f t="shared" ca="1" si="21"/>
        <v>0.62529341697692875</v>
      </c>
      <c r="S86" s="13">
        <f t="shared" ca="1" si="22"/>
        <v>27.503521003723147</v>
      </c>
      <c r="T86" s="17">
        <f t="shared" ca="1" si="24"/>
        <v>3.1566161840734207E-2</v>
      </c>
      <c r="U86" s="13"/>
      <c r="V86" s="14">
        <f t="shared" ca="1" si="23"/>
        <v>0.89647900000000003</v>
      </c>
      <c r="W86" s="13"/>
      <c r="X86" s="2"/>
    </row>
    <row r="87" spans="8:24" x14ac:dyDescent="0.25">
      <c r="H87" s="13">
        <v>28.5</v>
      </c>
      <c r="I87" s="13">
        <v>0.63151819261410402</v>
      </c>
      <c r="J87" s="14">
        <f t="shared" si="14"/>
        <v>-1.76E-4</v>
      </c>
      <c r="K87" s="23">
        <f t="shared" si="15"/>
        <v>4.3000000000000002E-5</v>
      </c>
      <c r="L87" s="14">
        <f t="shared" si="16"/>
        <v>1.093E-3</v>
      </c>
      <c r="M87" s="10">
        <f t="shared" si="17"/>
        <v>0.63244338984520476</v>
      </c>
      <c r="N87" s="16">
        <f t="shared" si="18"/>
        <v>1.4650365451404977E-3</v>
      </c>
      <c r="O87" s="13">
        <f t="shared" si="19"/>
        <v>3374.1462999999999</v>
      </c>
      <c r="P87" s="13">
        <f t="shared" ca="1" si="25"/>
        <v>3375</v>
      </c>
      <c r="Q87" s="13" t="str">
        <f t="shared" ca="1" si="20"/>
        <v>0000110100101111</v>
      </c>
      <c r="R87" s="13">
        <f t="shared" ca="1" si="21"/>
        <v>0.63279318809509277</v>
      </c>
      <c r="S87" s="13">
        <f t="shared" ca="1" si="22"/>
        <v>27.593518257141117</v>
      </c>
      <c r="T87" s="17">
        <f t="shared" ca="1" si="24"/>
        <v>3.1806376942416954E-2</v>
      </c>
      <c r="U87" s="13"/>
      <c r="V87" s="14">
        <f t="shared" ca="1" si="23"/>
        <v>0.90648200000000001</v>
      </c>
      <c r="W87" s="13"/>
      <c r="X87" s="2"/>
    </row>
    <row r="88" spans="8:24" x14ac:dyDescent="0.25">
      <c r="H88" s="13">
        <v>28.6</v>
      </c>
      <c r="I88" s="13">
        <v>0.63949821909021987</v>
      </c>
      <c r="J88" s="14">
        <f t="shared" si="14"/>
        <v>-1.76E-4</v>
      </c>
      <c r="K88" s="23">
        <f t="shared" si="15"/>
        <v>4.3000000000000002E-5</v>
      </c>
      <c r="L88" s="14">
        <f t="shared" si="16"/>
        <v>1.1230000000000001E-3</v>
      </c>
      <c r="M88" s="10">
        <f t="shared" si="17"/>
        <v>0.6404513808569221</v>
      </c>
      <c r="N88" s="16">
        <f t="shared" si="18"/>
        <v>1.4904838485058644E-3</v>
      </c>
      <c r="O88" s="13">
        <f t="shared" si="19"/>
        <v>3416.8697000000002</v>
      </c>
      <c r="P88" s="13">
        <f t="shared" ca="1" si="25"/>
        <v>3417</v>
      </c>
      <c r="Q88" s="13" t="str">
        <f t="shared" ca="1" si="20"/>
        <v>0000110101011001</v>
      </c>
      <c r="R88" s="13">
        <f t="shared" ca="1" si="21"/>
        <v>0.64066794776916502</v>
      </c>
      <c r="S88" s="13">
        <f t="shared" ca="1" si="22"/>
        <v>27.688015373229984</v>
      </c>
      <c r="T88" s="17">
        <f t="shared" ca="1" si="24"/>
        <v>3.1887574362588024E-2</v>
      </c>
      <c r="U88" s="13"/>
      <c r="V88" s="14">
        <f t="shared" ca="1" si="23"/>
        <v>0.91198500000000005</v>
      </c>
      <c r="W88" s="13"/>
      <c r="X88" s="2"/>
    </row>
    <row r="89" spans="8:24" x14ac:dyDescent="0.25">
      <c r="H89" s="13">
        <v>28.700000000000003</v>
      </c>
      <c r="I89" s="13">
        <v>0.64660654482607927</v>
      </c>
      <c r="J89" s="14">
        <f t="shared" si="14"/>
        <v>-1.75E-4</v>
      </c>
      <c r="K89" s="23">
        <f t="shared" si="15"/>
        <v>4.3999999999999999E-5</v>
      </c>
      <c r="L89" s="14">
        <f t="shared" si="16"/>
        <v>1.1540000000000001E-3</v>
      </c>
      <c r="M89" s="10">
        <f t="shared" si="17"/>
        <v>0.64758679305326272</v>
      </c>
      <c r="N89" s="16">
        <f t="shared" si="18"/>
        <v>1.5159887183745062E-3</v>
      </c>
      <c r="O89" s="13">
        <f t="shared" si="19"/>
        <v>3454.9378000000002</v>
      </c>
      <c r="P89" s="13">
        <f t="shared" ca="1" si="25"/>
        <v>3460</v>
      </c>
      <c r="Q89" s="13" t="str">
        <f t="shared" ca="1" si="20"/>
        <v>0000110110000100</v>
      </c>
      <c r="R89" s="13">
        <f t="shared" ca="1" si="21"/>
        <v>0.64873020172119145</v>
      </c>
      <c r="S89" s="13">
        <f t="shared" ca="1" si="22"/>
        <v>27.7847624206543</v>
      </c>
      <c r="T89" s="17">
        <f t="shared" ca="1" si="24"/>
        <v>3.1889811127027982E-2</v>
      </c>
      <c r="U89" s="13"/>
      <c r="V89" s="14">
        <f t="shared" ca="1" si="23"/>
        <v>0.915238</v>
      </c>
      <c r="W89" s="13"/>
      <c r="X89" s="2"/>
    </row>
    <row r="90" spans="8:24" x14ac:dyDescent="0.25">
      <c r="H90" s="13">
        <v>28.8</v>
      </c>
      <c r="I90" s="13">
        <v>0.65464029341775665</v>
      </c>
      <c r="J90" s="14">
        <f t="shared" si="14"/>
        <v>-1.74E-4</v>
      </c>
      <c r="K90" s="23">
        <f t="shared" si="15"/>
        <v>4.3999999999999999E-5</v>
      </c>
      <c r="L90" s="14">
        <f t="shared" si="16"/>
        <v>1.1839999999999999E-3</v>
      </c>
      <c r="M90" s="10">
        <f t="shared" si="17"/>
        <v>0.65564851258465684</v>
      </c>
      <c r="N90" s="16">
        <f t="shared" si="18"/>
        <v>1.5401116873458335E-3</v>
      </c>
      <c r="O90" s="13">
        <f t="shared" si="19"/>
        <v>3497.9479000000001</v>
      </c>
      <c r="P90" s="13">
        <f t="shared" ca="1" si="25"/>
        <v>3500</v>
      </c>
      <c r="Q90" s="13" t="str">
        <f t="shared" ca="1" si="20"/>
        <v>0000110110101100</v>
      </c>
      <c r="R90" s="13">
        <f t="shared" ca="1" si="21"/>
        <v>0.65622997283935547</v>
      </c>
      <c r="S90" s="13">
        <f t="shared" ca="1" si="22"/>
        <v>27.874759674072269</v>
      </c>
      <c r="T90" s="17">
        <f t="shared" ca="1" si="24"/>
        <v>3.212640020582401E-2</v>
      </c>
      <c r="U90" s="13"/>
      <c r="V90" s="14">
        <f t="shared" ca="1" si="23"/>
        <v>0.92523999999999995</v>
      </c>
      <c r="W90" s="13"/>
      <c r="X90" s="2"/>
    </row>
    <row r="91" spans="8:24" x14ac:dyDescent="0.25">
      <c r="H91" s="13">
        <v>28.9</v>
      </c>
      <c r="I91" s="13">
        <v>0.66270036817616973</v>
      </c>
      <c r="J91" s="14">
        <f t="shared" si="14"/>
        <v>-1.74E-4</v>
      </c>
      <c r="K91" s="23">
        <f t="shared" si="15"/>
        <v>4.5000000000000003E-5</v>
      </c>
      <c r="L91" s="14">
        <f t="shared" si="16"/>
        <v>1.2149999999999999E-3</v>
      </c>
      <c r="M91" s="10">
        <f t="shared" si="17"/>
        <v>0.66373874027560453</v>
      </c>
      <c r="N91" s="16">
        <f t="shared" si="18"/>
        <v>1.5668802211360271E-3</v>
      </c>
      <c r="O91" s="13">
        <f t="shared" si="19"/>
        <v>3541.11</v>
      </c>
      <c r="P91" s="13">
        <f t="shared" ca="1" si="25"/>
        <v>3540</v>
      </c>
      <c r="Q91" s="13" t="str">
        <f t="shared" ca="1" si="20"/>
        <v>0000110111010100</v>
      </c>
      <c r="R91" s="13">
        <f t="shared" ca="1" si="21"/>
        <v>0.66372974395751949</v>
      </c>
      <c r="S91" s="13">
        <f t="shared" ca="1" si="22"/>
        <v>27.964756927490235</v>
      </c>
      <c r="T91" s="17">
        <f t="shared" ca="1" si="24"/>
        <v>3.236135198995721E-2</v>
      </c>
      <c r="U91" s="13"/>
      <c r="V91" s="14">
        <f t="shared" ca="1" si="23"/>
        <v>0.93524300000000005</v>
      </c>
      <c r="W91" s="13"/>
      <c r="X91" s="2"/>
    </row>
    <row r="92" spans="8:24" x14ac:dyDescent="0.25">
      <c r="H92" s="13">
        <v>29</v>
      </c>
      <c r="I92" s="13">
        <v>0.67078672469857203</v>
      </c>
      <c r="J92" s="14">
        <f t="shared" si="14"/>
        <v>-1.73E-4</v>
      </c>
      <c r="K92" s="23">
        <f t="shared" si="15"/>
        <v>4.5000000000000003E-5</v>
      </c>
      <c r="L92" s="14">
        <f t="shared" si="16"/>
        <v>1.245E-3</v>
      </c>
      <c r="M92" s="10">
        <f t="shared" si="17"/>
        <v>0.67185411085658853</v>
      </c>
      <c r="N92" s="16">
        <f t="shared" si="18"/>
        <v>1.5912452031547554E-3</v>
      </c>
      <c r="O92" s="13">
        <f t="shared" si="19"/>
        <v>3584.4063000000001</v>
      </c>
      <c r="P92" s="13">
        <f t="shared" ca="1" si="25"/>
        <v>3588</v>
      </c>
      <c r="Q92" s="13" t="str">
        <f t="shared" ca="1" si="20"/>
        <v>0000111000000100</v>
      </c>
      <c r="R92" s="13">
        <f t="shared" ca="1" si="21"/>
        <v>0.67272946929931643</v>
      </c>
      <c r="S92" s="13">
        <f t="shared" ca="1" si="22"/>
        <v>28.072753631591798</v>
      </c>
      <c r="T92" s="17">
        <f t="shared" ca="1" si="24"/>
        <v>3.1974012703731104E-2</v>
      </c>
      <c r="U92" s="13"/>
      <c r="V92" s="14">
        <f t="shared" ca="1" si="23"/>
        <v>0.92724600000000001</v>
      </c>
      <c r="W92" s="13"/>
      <c r="X92" s="2"/>
    </row>
    <row r="93" spans="8:24" x14ac:dyDescent="0.25">
      <c r="H93" s="13">
        <v>29.1</v>
      </c>
      <c r="I93" s="13">
        <v>0.67800497983937191</v>
      </c>
      <c r="J93" s="14">
        <f t="shared" si="14"/>
        <v>-1.73E-4</v>
      </c>
      <c r="K93" s="23">
        <f t="shared" si="15"/>
        <v>4.6E-5</v>
      </c>
      <c r="L93" s="14">
        <f t="shared" si="16"/>
        <v>1.276E-3</v>
      </c>
      <c r="M93" s="10">
        <f t="shared" si="17"/>
        <v>0.67910244054550795</v>
      </c>
      <c r="N93" s="16">
        <f t="shared" si="18"/>
        <v>1.6186617189685474E-3</v>
      </c>
      <c r="O93" s="13">
        <f t="shared" si="19"/>
        <v>3623.0767999999998</v>
      </c>
      <c r="P93" s="13">
        <f t="shared" ca="1" si="25"/>
        <v>3625</v>
      </c>
      <c r="Q93" s="13" t="str">
        <f t="shared" ca="1" si="20"/>
        <v>0000111000101001</v>
      </c>
      <c r="R93" s="13">
        <f t="shared" ca="1" si="21"/>
        <v>0.67966675758361816</v>
      </c>
      <c r="S93" s="13">
        <f t="shared" ca="1" si="22"/>
        <v>28.156001091003422</v>
      </c>
      <c r="T93" s="17">
        <f t="shared" ca="1" si="24"/>
        <v>3.243982505142886E-2</v>
      </c>
      <c r="U93" s="13"/>
      <c r="V93" s="14">
        <f t="shared" ca="1" si="23"/>
        <v>0.94399900000000003</v>
      </c>
      <c r="W93" s="13"/>
      <c r="X93" s="2"/>
    </row>
    <row r="94" spans="8:24" x14ac:dyDescent="0.25">
      <c r="H94" s="13">
        <v>29.200000000000003</v>
      </c>
      <c r="I94" s="13">
        <v>0.68614471054013026</v>
      </c>
      <c r="J94" s="14">
        <f t="shared" si="14"/>
        <v>-1.7200000000000001E-4</v>
      </c>
      <c r="K94" s="23">
        <f t="shared" si="15"/>
        <v>4.6E-5</v>
      </c>
      <c r="L94" s="14">
        <f t="shared" si="16"/>
        <v>1.3060000000000001E-3</v>
      </c>
      <c r="M94" s="10">
        <f t="shared" si="17"/>
        <v>0.6872722123013959</v>
      </c>
      <c r="N94" s="16">
        <f t="shared" si="18"/>
        <v>1.6432419341658585E-3</v>
      </c>
      <c r="O94" s="13">
        <f t="shared" si="19"/>
        <v>3666.6633000000002</v>
      </c>
      <c r="P94" s="13">
        <f t="shared" ca="1" si="25"/>
        <v>3666</v>
      </c>
      <c r="Q94" s="13" t="str">
        <f t="shared" ca="1" si="20"/>
        <v>0000111001010010</v>
      </c>
      <c r="R94" s="13">
        <f t="shared" ca="1" si="21"/>
        <v>0.68735402297973636</v>
      </c>
      <c r="S94" s="13">
        <f t="shared" ca="1" si="22"/>
        <v>28.24824827575684</v>
      </c>
      <c r="T94" s="17">
        <f t="shared" ca="1" si="24"/>
        <v>3.2594237131615168E-2</v>
      </c>
      <c r="U94" s="13"/>
      <c r="V94" s="14">
        <f t="shared" ca="1" si="23"/>
        <v>0.95175200000000004</v>
      </c>
      <c r="W94" s="13"/>
      <c r="X94" s="2"/>
    </row>
    <row r="95" spans="8:24" x14ac:dyDescent="0.25">
      <c r="H95" s="13">
        <v>29.3</v>
      </c>
      <c r="I95" s="13">
        <v>0.69431058732151274</v>
      </c>
      <c r="J95" s="14">
        <f t="shared" si="14"/>
        <v>-1.7200000000000001E-4</v>
      </c>
      <c r="K95" s="23">
        <f t="shared" si="15"/>
        <v>4.6999999999999997E-5</v>
      </c>
      <c r="L95" s="14">
        <f t="shared" si="16"/>
        <v>1.3370000000000001E-3</v>
      </c>
      <c r="M95" s="10">
        <f t="shared" si="17"/>
        <v>0.69547035363832721</v>
      </c>
      <c r="N95" s="16">
        <f t="shared" si="18"/>
        <v>1.6703854701230702E-3</v>
      </c>
      <c r="O95" s="13">
        <f t="shared" si="19"/>
        <v>3710.4011999999998</v>
      </c>
      <c r="P95" s="13">
        <f t="shared" ca="1" si="25"/>
        <v>3711</v>
      </c>
      <c r="Q95" s="13" t="str">
        <f t="shared" ca="1" si="20"/>
        <v>0000111001111111</v>
      </c>
      <c r="R95" s="13">
        <f t="shared" ca="1" si="21"/>
        <v>0.6957912654876709</v>
      </c>
      <c r="S95" s="13">
        <f t="shared" ca="1" si="22"/>
        <v>28.349495185852053</v>
      </c>
      <c r="T95" s="17">
        <f t="shared" ca="1" si="24"/>
        <v>3.2440437342933372E-2</v>
      </c>
      <c r="U95" s="13"/>
      <c r="V95" s="14">
        <f t="shared" ca="1" si="23"/>
        <v>0.95050500000000004</v>
      </c>
      <c r="W95" s="13"/>
      <c r="X95" s="2"/>
    </row>
    <row r="96" spans="8:24" x14ac:dyDescent="0.25">
      <c r="H96" s="13">
        <v>29.4</v>
      </c>
      <c r="I96" s="13">
        <v>0.70161107412611967</v>
      </c>
      <c r="J96" s="14">
        <f t="shared" si="14"/>
        <v>-1.7100000000000001E-4</v>
      </c>
      <c r="K96" s="23">
        <f t="shared" si="15"/>
        <v>4.6999999999999997E-5</v>
      </c>
      <c r="L96" s="14">
        <f t="shared" si="16"/>
        <v>1.3669999999999999E-3</v>
      </c>
      <c r="M96" s="10">
        <f t="shared" si="17"/>
        <v>0.7028007234290472</v>
      </c>
      <c r="N96" s="16">
        <f t="shared" si="18"/>
        <v>1.6955965303274035E-3</v>
      </c>
      <c r="O96" s="13">
        <f t="shared" si="19"/>
        <v>3749.5093999999999</v>
      </c>
      <c r="P96" s="13">
        <f t="shared" ca="1" si="25"/>
        <v>3751</v>
      </c>
      <c r="Q96" s="13" t="str">
        <f t="shared" ca="1" si="20"/>
        <v>0000111010100111</v>
      </c>
      <c r="R96" s="13">
        <f t="shared" ca="1" si="21"/>
        <v>0.70329103660583503</v>
      </c>
      <c r="S96" s="13">
        <f t="shared" ca="1" si="22"/>
        <v>28.439492439270023</v>
      </c>
      <c r="T96" s="17">
        <f t="shared" ca="1" si="24"/>
        <v>3.2670325194897147E-2</v>
      </c>
      <c r="U96" s="13"/>
      <c r="V96" s="14">
        <f t="shared" ca="1" si="23"/>
        <v>0.96050800000000003</v>
      </c>
      <c r="W96" s="13"/>
      <c r="X96" s="2"/>
    </row>
    <row r="97" spans="8:24" x14ac:dyDescent="0.25">
      <c r="H97" s="13">
        <v>29.5</v>
      </c>
      <c r="I97" s="13">
        <v>0.70983005453699288</v>
      </c>
      <c r="J97" s="14">
        <f t="shared" si="14"/>
        <v>-1.7000000000000001E-4</v>
      </c>
      <c r="K97" s="23">
        <f t="shared" si="15"/>
        <v>4.8000000000000001E-5</v>
      </c>
      <c r="L97" s="14">
        <f t="shared" si="16"/>
        <v>1.3979999999999999E-3</v>
      </c>
      <c r="M97" s="10">
        <f t="shared" si="17"/>
        <v>0.71105202418280045</v>
      </c>
      <c r="N97" s="16">
        <f t="shared" si="18"/>
        <v>1.7214960651456615E-3</v>
      </c>
      <c r="O97" s="13">
        <f t="shared" si="19"/>
        <v>3793.5309000000002</v>
      </c>
      <c r="P97" s="13">
        <f t="shared" ca="1" si="25"/>
        <v>3794</v>
      </c>
      <c r="Q97" s="13" t="str">
        <f t="shared" ca="1" si="20"/>
        <v>0000111011010010</v>
      </c>
      <c r="R97" s="13">
        <f t="shared" ca="1" si="21"/>
        <v>0.71135329055786134</v>
      </c>
      <c r="S97" s="13">
        <f t="shared" ca="1" si="22"/>
        <v>28.536239486694338</v>
      </c>
      <c r="T97" s="17">
        <f t="shared" ca="1" si="24"/>
        <v>3.2669847908666498E-2</v>
      </c>
      <c r="U97" s="13"/>
      <c r="V97" s="14">
        <f t="shared" ca="1" si="23"/>
        <v>0.96376099999999998</v>
      </c>
      <c r="W97" s="13"/>
      <c r="X97" s="2"/>
    </row>
    <row r="98" spans="8:24" x14ac:dyDescent="0.25">
      <c r="H98" s="13">
        <v>29.6</v>
      </c>
      <c r="I98" s="13">
        <v>0.71807504119237098</v>
      </c>
      <c r="J98" s="14">
        <f t="shared" si="14"/>
        <v>-1.7000000000000001E-4</v>
      </c>
      <c r="K98" s="23">
        <f t="shared" si="15"/>
        <v>4.8000000000000001E-5</v>
      </c>
      <c r="L98" s="14">
        <f t="shared" si="16"/>
        <v>1.428E-3</v>
      </c>
      <c r="M98" s="10">
        <f t="shared" si="17"/>
        <v>0.71933016183947773</v>
      </c>
      <c r="N98" s="16">
        <f t="shared" si="18"/>
        <v>1.7478962157250512E-3</v>
      </c>
      <c r="O98" s="13">
        <f t="shared" si="19"/>
        <v>3837.6956</v>
      </c>
      <c r="P98" s="13">
        <f t="shared" ca="1" si="25"/>
        <v>3839</v>
      </c>
      <c r="Q98" s="13" t="str">
        <f t="shared" ca="1" si="20"/>
        <v>0000111011111111</v>
      </c>
      <c r="R98" s="13">
        <f t="shared" ca="1" si="21"/>
        <v>0.71979053306579588</v>
      </c>
      <c r="S98" s="13">
        <f t="shared" ca="1" si="22"/>
        <v>28.637486396789551</v>
      </c>
      <c r="T98" s="17">
        <f t="shared" ca="1" si="24"/>
        <v>3.25173514598125E-2</v>
      </c>
      <c r="U98" s="13"/>
      <c r="V98" s="14">
        <f t="shared" ca="1" si="23"/>
        <v>0.96251399999999998</v>
      </c>
      <c r="W98" s="13"/>
      <c r="X98" s="2"/>
    </row>
    <row r="99" spans="8:24" x14ac:dyDescent="0.25">
      <c r="H99" s="13">
        <v>29.700000000000003</v>
      </c>
      <c r="I99" s="13">
        <v>0.72545735720165883</v>
      </c>
      <c r="J99" s="14">
        <f t="shared" si="14"/>
        <v>-1.6899999999999999E-4</v>
      </c>
      <c r="K99" s="23">
        <f t="shared" si="15"/>
        <v>4.8999999999999998E-5</v>
      </c>
      <c r="L99" s="14">
        <f t="shared" si="16"/>
        <v>1.459E-3</v>
      </c>
      <c r="M99" s="10">
        <f t="shared" si="17"/>
        <v>0.72674459294075933</v>
      </c>
      <c r="N99" s="16">
        <f t="shared" si="18"/>
        <v>1.7743782268137942E-3</v>
      </c>
      <c r="O99" s="13">
        <f t="shared" si="19"/>
        <v>3877.2523000000001</v>
      </c>
      <c r="P99" s="13">
        <f t="shared" ca="1" si="25"/>
        <v>3880</v>
      </c>
      <c r="Q99" s="13" t="str">
        <f t="shared" ca="1" si="20"/>
        <v>0000111100101000</v>
      </c>
      <c r="R99" s="13">
        <f t="shared" ca="1" si="21"/>
        <v>0.72747779846191407</v>
      </c>
      <c r="S99" s="13">
        <f t="shared" ca="1" si="22"/>
        <v>28.72973358154297</v>
      </c>
      <c r="T99" s="17">
        <f t="shared" ca="1" si="24"/>
        <v>3.2668902978351282E-2</v>
      </c>
      <c r="U99" s="13"/>
      <c r="V99" s="14">
        <f t="shared" ca="1" si="23"/>
        <v>0.97026599999999996</v>
      </c>
      <c r="W99" s="13"/>
      <c r="X99" s="2"/>
    </row>
    <row r="100" spans="8:24" x14ac:dyDescent="0.25">
      <c r="H100" s="13">
        <v>29.8</v>
      </c>
      <c r="I100" s="13">
        <v>0.73375516721878153</v>
      </c>
      <c r="J100" s="14">
        <f t="shared" si="14"/>
        <v>-1.6899999999999999E-4</v>
      </c>
      <c r="K100" s="23">
        <f t="shared" si="15"/>
        <v>4.8999999999999998E-5</v>
      </c>
      <c r="L100" s="14">
        <f t="shared" si="16"/>
        <v>1.4890000000000001E-3</v>
      </c>
      <c r="M100" s="10">
        <f t="shared" si="17"/>
        <v>0.73507660992896573</v>
      </c>
      <c r="N100" s="16">
        <f t="shared" si="18"/>
        <v>1.8009313858640054E-3</v>
      </c>
      <c r="O100" s="13">
        <f t="shared" si="19"/>
        <v>3921.7044000000001</v>
      </c>
      <c r="P100" s="13">
        <f t="shared" ca="1" si="25"/>
        <v>3923</v>
      </c>
      <c r="Q100" s="13" t="str">
        <f t="shared" ca="1" si="20"/>
        <v>0000111101010011</v>
      </c>
      <c r="R100" s="13">
        <f t="shared" ca="1" si="21"/>
        <v>0.73554005241394049</v>
      </c>
      <c r="S100" s="13">
        <f t="shared" ca="1" si="22"/>
        <v>28.826480628967285</v>
      </c>
      <c r="T100" s="17">
        <f t="shared" ca="1" si="24"/>
        <v>3.2668435269554201E-2</v>
      </c>
      <c r="U100" s="13"/>
      <c r="V100" s="14">
        <f t="shared" ca="1" si="23"/>
        <v>0.97351900000000002</v>
      </c>
      <c r="W100" s="13"/>
      <c r="X100" s="2"/>
    </row>
    <row r="101" spans="8:24" x14ac:dyDescent="0.25">
      <c r="H101" s="13">
        <v>29.9</v>
      </c>
      <c r="I101" s="13">
        <v>0.7411921256176548</v>
      </c>
      <c r="J101" s="14">
        <f t="shared" si="14"/>
        <v>-1.6799999999999999E-4</v>
      </c>
      <c r="K101" s="23">
        <f t="shared" si="15"/>
        <v>5.0000000000000002E-5</v>
      </c>
      <c r="L101" s="14">
        <f t="shared" si="16"/>
        <v>1.5200000000000001E-3</v>
      </c>
      <c r="M101" s="10">
        <f t="shared" si="17"/>
        <v>0.74254670845450554</v>
      </c>
      <c r="N101" s="16">
        <f t="shared" si="18"/>
        <v>1.8275731622512032E-3</v>
      </c>
      <c r="O101" s="13">
        <f t="shared" si="19"/>
        <v>3961.5581000000002</v>
      </c>
      <c r="P101" s="13">
        <f t="shared" ca="1" si="25"/>
        <v>3960</v>
      </c>
      <c r="Q101" s="13" t="str">
        <f t="shared" ca="1" si="20"/>
        <v>0000111101111000</v>
      </c>
      <c r="R101" s="13">
        <f t="shared" ca="1" si="21"/>
        <v>0.74247734069824223</v>
      </c>
      <c r="S101" s="13">
        <f t="shared" ca="1" si="22"/>
        <v>28.909728088378909</v>
      </c>
      <c r="T101" s="17">
        <f t="shared" ca="1" si="24"/>
        <v>3.3119461927126746E-2</v>
      </c>
      <c r="U101" s="13"/>
      <c r="V101" s="14">
        <f t="shared" ca="1" si="23"/>
        <v>0.99027200000000004</v>
      </c>
      <c r="W101" s="13"/>
      <c r="X101" s="2"/>
    </row>
    <row r="102" spans="8:24" x14ac:dyDescent="0.25">
      <c r="H102" s="13">
        <v>30</v>
      </c>
      <c r="I102" s="13">
        <v>0.74954256816926235</v>
      </c>
      <c r="J102" s="14">
        <f t="shared" si="14"/>
        <v>-1.6799999999999999E-4</v>
      </c>
      <c r="K102" s="23">
        <f t="shared" si="15"/>
        <v>5.0000000000000002E-5</v>
      </c>
      <c r="L102" s="14">
        <f t="shared" si="16"/>
        <v>1.5499999999999999E-3</v>
      </c>
      <c r="M102" s="10">
        <f t="shared" si="17"/>
        <v>0.7509324235257272</v>
      </c>
      <c r="N102" s="16">
        <f t="shared" si="18"/>
        <v>1.8542714123088934E-3</v>
      </c>
      <c r="O102" s="13">
        <f t="shared" si="19"/>
        <v>4006.2966999999999</v>
      </c>
      <c r="P102" s="13">
        <f t="shared" ca="1" si="25"/>
        <v>4007</v>
      </c>
      <c r="Q102" s="13" t="str">
        <f t="shared" ca="1" si="20"/>
        <v>0000111110100111</v>
      </c>
      <c r="R102" s="13">
        <f t="shared" ca="1" si="21"/>
        <v>0.751289571762085</v>
      </c>
      <c r="S102" s="13">
        <f t="shared" ca="1" si="22"/>
        <v>29.01547486114502</v>
      </c>
      <c r="T102" s="17">
        <f t="shared" ca="1" si="24"/>
        <v>3.2817504628499347E-2</v>
      </c>
      <c r="U102" s="13"/>
      <c r="V102" s="14">
        <f t="shared" ca="1" si="23"/>
        <v>0.98452499999999998</v>
      </c>
      <c r="W102" s="13"/>
      <c r="X102" s="2"/>
    </row>
    <row r="103" spans="8:24" x14ac:dyDescent="0.25">
      <c r="H103" s="13">
        <v>30.1</v>
      </c>
      <c r="I103" s="13">
        <v>0.75703398203010119</v>
      </c>
      <c r="J103" s="14">
        <f t="shared" si="14"/>
        <v>-1.6699999999999999E-4</v>
      </c>
      <c r="K103" s="23">
        <f t="shared" si="15"/>
        <v>5.1E-5</v>
      </c>
      <c r="L103" s="14">
        <f t="shared" si="16"/>
        <v>1.5809999999999999E-3</v>
      </c>
      <c r="M103" s="10">
        <f t="shared" si="17"/>
        <v>0.75845801244978439</v>
      </c>
      <c r="N103" s="16">
        <f t="shared" si="18"/>
        <v>1.8810653860800866E-3</v>
      </c>
      <c r="O103" s="13">
        <f t="shared" si="19"/>
        <v>4046.4463999999998</v>
      </c>
      <c r="P103" s="13">
        <f t="shared" ca="1" si="25"/>
        <v>4050</v>
      </c>
      <c r="Q103" s="13" t="str">
        <f t="shared" ca="1" si="20"/>
        <v>0000111111010010</v>
      </c>
      <c r="R103" s="13">
        <f t="shared" ca="1" si="21"/>
        <v>0.75935182571411131</v>
      </c>
      <c r="S103" s="13">
        <f t="shared" ca="1" si="22"/>
        <v>29.112221908569335</v>
      </c>
      <c r="T103" s="17">
        <f t="shared" ca="1" si="24"/>
        <v>3.2816547888062E-2</v>
      </c>
      <c r="U103" s="13"/>
      <c r="V103" s="14">
        <f t="shared" ca="1" si="23"/>
        <v>0.98777800000000004</v>
      </c>
      <c r="W103" s="13"/>
      <c r="X103" s="2"/>
    </row>
    <row r="104" spans="8:24" x14ac:dyDescent="0.25">
      <c r="H104" s="13">
        <v>30.200000000000003</v>
      </c>
      <c r="I104" s="13">
        <v>0.76455303409170183</v>
      </c>
      <c r="J104" s="14">
        <f t="shared" si="14"/>
        <v>-1.66E-4</v>
      </c>
      <c r="K104" s="23">
        <f t="shared" si="15"/>
        <v>5.1E-5</v>
      </c>
      <c r="L104" s="14">
        <f t="shared" si="16"/>
        <v>1.611E-3</v>
      </c>
      <c r="M104" s="10">
        <f t="shared" si="17"/>
        <v>0.76601098434948889</v>
      </c>
      <c r="N104" s="16">
        <f t="shared" si="18"/>
        <v>1.906931491703669E-3</v>
      </c>
      <c r="O104" s="13">
        <f t="shared" si="19"/>
        <v>4086.7422999999999</v>
      </c>
      <c r="P104" s="13">
        <f t="shared" ca="1" si="25"/>
        <v>4087</v>
      </c>
      <c r="Q104" s="13" t="str">
        <f t="shared" ca="1" si="20"/>
        <v>0000111111110111</v>
      </c>
      <c r="R104" s="13">
        <f t="shared" ca="1" si="21"/>
        <v>0.76628911399841315</v>
      </c>
      <c r="S104" s="13">
        <f t="shared" ca="1" si="22"/>
        <v>29.195469367980959</v>
      </c>
      <c r="T104" s="17">
        <f t="shared" ca="1" si="24"/>
        <v>3.326260370923987E-2</v>
      </c>
      <c r="U104" s="13"/>
      <c r="V104" s="14">
        <f t="shared" ca="1" si="23"/>
        <v>1.0045310000000001</v>
      </c>
      <c r="W104" s="13"/>
      <c r="X104" s="2"/>
    </row>
    <row r="105" spans="8:24" x14ac:dyDescent="0.25">
      <c r="H105" s="13">
        <v>30.3</v>
      </c>
      <c r="I105" s="13">
        <v>0.7729825402593552</v>
      </c>
      <c r="J105" s="14">
        <f t="shared" si="14"/>
        <v>-1.66E-4</v>
      </c>
      <c r="K105" s="23">
        <f t="shared" si="15"/>
        <v>5.1999999999999997E-5</v>
      </c>
      <c r="L105" s="14">
        <f t="shared" si="16"/>
        <v>1.642E-3</v>
      </c>
      <c r="M105" s="10">
        <f t="shared" si="17"/>
        <v>0.7744781381261584</v>
      </c>
      <c r="N105" s="16">
        <f t="shared" si="18"/>
        <v>1.9348404251167031E-3</v>
      </c>
      <c r="O105" s="13">
        <f t="shared" si="19"/>
        <v>4131.9152999999997</v>
      </c>
      <c r="P105" s="13">
        <f t="shared" ca="1" si="25"/>
        <v>4132</v>
      </c>
      <c r="Q105" s="13" t="str">
        <f t="shared" ca="1" si="20"/>
        <v>0001000000100100</v>
      </c>
      <c r="R105" s="13">
        <f t="shared" ca="1" si="21"/>
        <v>0.77472635650634769</v>
      </c>
      <c r="S105" s="13">
        <f t="shared" ca="1" si="22"/>
        <v>29.296716278076172</v>
      </c>
      <c r="T105" s="17">
        <f t="shared" ca="1" si="24"/>
        <v>3.3111673990885437E-2</v>
      </c>
      <c r="U105" s="13"/>
      <c r="V105" s="14">
        <f t="shared" ca="1" si="23"/>
        <v>1.0032840000000001</v>
      </c>
      <c r="W105" s="13"/>
      <c r="X105" s="2"/>
    </row>
    <row r="106" spans="8:24" x14ac:dyDescent="0.25">
      <c r="H106" s="13">
        <v>30.4</v>
      </c>
      <c r="I106" s="13">
        <v>0.78055576045461894</v>
      </c>
      <c r="J106" s="14">
        <f t="shared" si="14"/>
        <v>-1.65E-4</v>
      </c>
      <c r="K106" s="23">
        <f t="shared" si="15"/>
        <v>5.1999999999999997E-5</v>
      </c>
      <c r="L106" s="14">
        <f t="shared" si="16"/>
        <v>1.6720000000000001E-3</v>
      </c>
      <c r="M106" s="10">
        <f t="shared" si="17"/>
        <v>0.782086311791935</v>
      </c>
      <c r="N106" s="16">
        <f t="shared" si="18"/>
        <v>1.960848173645681E-3</v>
      </c>
      <c r="O106" s="13">
        <f t="shared" si="19"/>
        <v>4172.5056999999997</v>
      </c>
      <c r="P106" s="13">
        <f t="shared" ca="1" si="25"/>
        <v>4176</v>
      </c>
      <c r="Q106" s="13" t="str">
        <f t="shared" ca="1" si="20"/>
        <v>0001000001010000</v>
      </c>
      <c r="R106" s="13">
        <f t="shared" ca="1" si="21"/>
        <v>0.78297610473632817</v>
      </c>
      <c r="S106" s="13">
        <f t="shared" ca="1" si="22"/>
        <v>29.395713256835936</v>
      </c>
      <c r="T106" s="17">
        <f t="shared" ca="1" si="24"/>
        <v>3.3035748130396787E-2</v>
      </c>
      <c r="U106" s="13"/>
      <c r="V106" s="14">
        <f t="shared" ca="1" si="23"/>
        <v>1.0042869999999999</v>
      </c>
      <c r="W106" s="13"/>
      <c r="X106" s="2"/>
    </row>
    <row r="107" spans="8:24" x14ac:dyDescent="0.25">
      <c r="H107" s="13">
        <v>30.5</v>
      </c>
      <c r="I107" s="13">
        <v>0.78815647521272325</v>
      </c>
      <c r="J107" s="14">
        <f t="shared" si="14"/>
        <v>-1.65E-4</v>
      </c>
      <c r="K107" s="23">
        <f t="shared" si="15"/>
        <v>5.3000000000000001E-5</v>
      </c>
      <c r="L107" s="14">
        <f t="shared" si="16"/>
        <v>1.7030000000000001E-3</v>
      </c>
      <c r="M107" s="10">
        <f t="shared" si="17"/>
        <v>0.78972427688225366</v>
      </c>
      <c r="N107" s="16">
        <f t="shared" si="18"/>
        <v>1.9892010264931995E-3</v>
      </c>
      <c r="O107" s="13">
        <f t="shared" si="19"/>
        <v>4213.2548999999999</v>
      </c>
      <c r="P107" s="13">
        <f t="shared" ca="1" si="25"/>
        <v>4212</v>
      </c>
      <c r="Q107" s="13" t="str">
        <f t="shared" ca="1" si="20"/>
        <v>0001000001110100</v>
      </c>
      <c r="R107" s="13">
        <f t="shared" ca="1" si="21"/>
        <v>0.78972589874267585</v>
      </c>
      <c r="S107" s="13">
        <f t="shared" ca="1" si="22"/>
        <v>29.476710784912111</v>
      </c>
      <c r="T107" s="17">
        <f t="shared" ca="1" si="24"/>
        <v>3.3550466068455374E-2</v>
      </c>
      <c r="U107" s="13"/>
      <c r="V107" s="14">
        <f t="shared" ca="1" si="23"/>
        <v>1.0232889999999999</v>
      </c>
      <c r="W107" s="13"/>
      <c r="X107" s="2"/>
    </row>
    <row r="108" spans="8:24" x14ac:dyDescent="0.25">
      <c r="H108" s="13">
        <v>30.6</v>
      </c>
      <c r="I108" s="13">
        <v>0.79666459668787448</v>
      </c>
      <c r="J108" s="14">
        <f t="shared" si="14"/>
        <v>-1.64E-4</v>
      </c>
      <c r="K108" s="23">
        <f t="shared" si="15"/>
        <v>5.3000000000000001E-5</v>
      </c>
      <c r="L108" s="14">
        <f t="shared" si="16"/>
        <v>1.7329999999999999E-3</v>
      </c>
      <c r="M108" s="10">
        <f t="shared" si="17"/>
        <v>0.79826989790694725</v>
      </c>
      <c r="N108" s="16">
        <f t="shared" si="18"/>
        <v>2.0150276863648616E-3</v>
      </c>
      <c r="O108" s="13">
        <f t="shared" si="19"/>
        <v>4258.8467000000001</v>
      </c>
      <c r="P108" s="13">
        <f t="shared" ca="1" si="25"/>
        <v>4257</v>
      </c>
      <c r="Q108" s="13" t="str">
        <f t="shared" ca="1" si="20"/>
        <v>0001000010100001</v>
      </c>
      <c r="R108" s="13">
        <f t="shared" ca="1" si="21"/>
        <v>0.79816314125061039</v>
      </c>
      <c r="S108" s="13">
        <f t="shared" ca="1" si="22"/>
        <v>29.577957695007324</v>
      </c>
      <c r="T108" s="17">
        <f t="shared" ca="1" si="24"/>
        <v>3.340007532655808E-2</v>
      </c>
      <c r="U108" s="13"/>
      <c r="V108" s="14">
        <f t="shared" ca="1" si="23"/>
        <v>1.0220419999999999</v>
      </c>
      <c r="W108" s="13"/>
      <c r="X108" s="2"/>
    </row>
    <row r="109" spans="8:24" x14ac:dyDescent="0.25">
      <c r="H109" s="13">
        <v>30.700000000000003</v>
      </c>
      <c r="I109" s="13">
        <v>0.80431918364855015</v>
      </c>
      <c r="J109" s="14">
        <f t="shared" si="14"/>
        <v>-1.63E-4</v>
      </c>
      <c r="K109" s="23">
        <f t="shared" si="15"/>
        <v>5.3999999999999998E-5</v>
      </c>
      <c r="L109" s="14">
        <f t="shared" si="16"/>
        <v>1.7639999999999999E-3</v>
      </c>
      <c r="M109" s="10">
        <f t="shared" si="17"/>
        <v>0.80596179794813072</v>
      </c>
      <c r="N109" s="16">
        <f t="shared" si="18"/>
        <v>2.0422418524563188E-3</v>
      </c>
      <c r="O109" s="13">
        <f t="shared" si="19"/>
        <v>4299.8837000000003</v>
      </c>
      <c r="P109" s="13">
        <f t="shared" ca="1" si="25"/>
        <v>4301</v>
      </c>
      <c r="Q109" s="13" t="str">
        <f t="shared" ca="1" si="20"/>
        <v>0001000011001101</v>
      </c>
      <c r="R109" s="13">
        <f t="shared" ca="1" si="21"/>
        <v>0.80641288948059087</v>
      </c>
      <c r="S109" s="13">
        <f t="shared" ca="1" si="22"/>
        <v>29.676954673767089</v>
      </c>
      <c r="T109" s="17">
        <f t="shared" ca="1" si="24"/>
        <v>3.3323951994557462E-2</v>
      </c>
      <c r="U109" s="13"/>
      <c r="V109" s="14">
        <f t="shared" ca="1" si="23"/>
        <v>1.023045</v>
      </c>
      <c r="W109" s="13"/>
      <c r="X109" s="2"/>
    </row>
    <row r="110" spans="8:24" x14ac:dyDescent="0.25">
      <c r="H110" s="13">
        <v>30.8</v>
      </c>
      <c r="I110" s="13">
        <v>0.81287913614732232</v>
      </c>
      <c r="J110" s="14">
        <f t="shared" si="14"/>
        <v>-1.63E-4</v>
      </c>
      <c r="K110" s="23">
        <f t="shared" si="15"/>
        <v>5.3999999999999998E-5</v>
      </c>
      <c r="L110" s="14">
        <f t="shared" si="16"/>
        <v>1.794E-3</v>
      </c>
      <c r="M110" s="10">
        <f t="shared" si="17"/>
        <v>0.81456135516649097</v>
      </c>
      <c r="N110" s="16">
        <f t="shared" si="18"/>
        <v>2.0694577389962364E-3</v>
      </c>
      <c r="O110" s="13">
        <f t="shared" si="19"/>
        <v>4345.7631000000001</v>
      </c>
      <c r="P110" s="13">
        <f t="shared" ca="1" si="25"/>
        <v>4347</v>
      </c>
      <c r="Q110" s="13" t="str">
        <f t="shared" ca="1" si="20"/>
        <v>0001000011111011</v>
      </c>
      <c r="R110" s="13">
        <f t="shared" ca="1" si="21"/>
        <v>0.81503762626647946</v>
      </c>
      <c r="S110" s="13">
        <f t="shared" ca="1" si="22"/>
        <v>29.780451515197758</v>
      </c>
      <c r="T110" s="17">
        <f t="shared" ca="1" si="24"/>
        <v>3.3102223532540359E-2</v>
      </c>
      <c r="U110" s="13"/>
      <c r="V110" s="14">
        <f t="shared" ca="1" si="23"/>
        <v>1.0195479999999999</v>
      </c>
      <c r="W110" s="13"/>
      <c r="X110" s="2"/>
    </row>
    <row r="111" spans="8:24" x14ac:dyDescent="0.25">
      <c r="H111" s="13">
        <v>30.9</v>
      </c>
      <c r="I111" s="13">
        <v>0.82058739154583005</v>
      </c>
      <c r="J111" s="14">
        <f t="shared" si="14"/>
        <v>-1.6200000000000001E-4</v>
      </c>
      <c r="K111" s="23">
        <f t="shared" si="15"/>
        <v>5.5000000000000002E-5</v>
      </c>
      <c r="L111" s="14">
        <f t="shared" si="16"/>
        <v>1.825E-3</v>
      </c>
      <c r="M111" s="10">
        <f t="shared" si="17"/>
        <v>0.82230799779180008</v>
      </c>
      <c r="N111" s="16">
        <f t="shared" si="18"/>
        <v>2.0967982980200825E-3</v>
      </c>
      <c r="O111" s="13">
        <f t="shared" si="19"/>
        <v>4387.0922</v>
      </c>
      <c r="P111" s="13">
        <f t="shared" ca="1" si="25"/>
        <v>4389</v>
      </c>
      <c r="Q111" s="13" t="str">
        <f t="shared" ca="1" si="20"/>
        <v>0001000100100101</v>
      </c>
      <c r="R111" s="13">
        <f t="shared" ca="1" si="21"/>
        <v>0.82291238594055183</v>
      </c>
      <c r="S111" s="13">
        <f t="shared" ca="1" si="22"/>
        <v>29.874948631286625</v>
      </c>
      <c r="T111" s="17">
        <f t="shared" ca="1" si="24"/>
        <v>3.3173183453507248E-2</v>
      </c>
      <c r="U111" s="13"/>
      <c r="V111" s="14">
        <f t="shared" ca="1" si="23"/>
        <v>1.0250509999999999</v>
      </c>
      <c r="W111" s="13"/>
      <c r="X111" s="2"/>
    </row>
    <row r="112" spans="8:24" x14ac:dyDescent="0.25">
      <c r="H112" s="13">
        <v>31</v>
      </c>
      <c r="I112" s="13">
        <v>0.82919896415496586</v>
      </c>
      <c r="J112" s="14">
        <f t="shared" si="14"/>
        <v>-1.6200000000000001E-4</v>
      </c>
      <c r="K112" s="23">
        <f t="shared" si="15"/>
        <v>5.5000000000000002E-5</v>
      </c>
      <c r="L112" s="14">
        <f t="shared" si="16"/>
        <v>1.8550000000000001E-3</v>
      </c>
      <c r="M112" s="10">
        <f t="shared" si="17"/>
        <v>0.83096028789901855</v>
      </c>
      <c r="N112" s="16">
        <f t="shared" si="18"/>
        <v>2.1241268021211885E-3</v>
      </c>
      <c r="O112" s="13">
        <f t="shared" si="19"/>
        <v>4433.2529999999997</v>
      </c>
      <c r="P112" s="13">
        <f t="shared" ca="1" si="25"/>
        <v>4434</v>
      </c>
      <c r="Q112" s="13" t="str">
        <f t="shared" ca="1" si="20"/>
        <v>0001000101010010</v>
      </c>
      <c r="R112" s="13">
        <f t="shared" ca="1" si="21"/>
        <v>0.83134962844848637</v>
      </c>
      <c r="S112" s="13">
        <f t="shared" ca="1" si="22"/>
        <v>29.976195541381838</v>
      </c>
      <c r="T112" s="17">
        <f t="shared" ca="1" si="24"/>
        <v>3.3025950278005235E-2</v>
      </c>
      <c r="U112" s="13"/>
      <c r="V112" s="14">
        <f t="shared" ca="1" si="23"/>
        <v>1.0238039999999999</v>
      </c>
      <c r="W112" s="13"/>
      <c r="X112" s="2"/>
    </row>
    <row r="113" spans="8:24" x14ac:dyDescent="0.25">
      <c r="H113" s="13">
        <v>31.1</v>
      </c>
      <c r="I113" s="13">
        <v>0.83696068028697856</v>
      </c>
      <c r="J113" s="14">
        <f t="shared" si="14"/>
        <v>-1.6100000000000001E-4</v>
      </c>
      <c r="K113" s="23">
        <f t="shared" si="15"/>
        <v>5.5999999999999999E-5</v>
      </c>
      <c r="L113" s="14">
        <f t="shared" si="16"/>
        <v>1.8860000000000001E-3</v>
      </c>
      <c r="M113" s="10">
        <f t="shared" si="17"/>
        <v>0.8387614750409057</v>
      </c>
      <c r="N113" s="16">
        <f t="shared" si="18"/>
        <v>2.1515882362713595E-3</v>
      </c>
      <c r="O113" s="13">
        <f t="shared" si="19"/>
        <v>4474.8730999999998</v>
      </c>
      <c r="P113" s="13">
        <f t="shared" ca="1" si="25"/>
        <v>4478</v>
      </c>
      <c r="Q113" s="13" t="str">
        <f t="shared" ca="1" si="20"/>
        <v>0001000101111110</v>
      </c>
      <c r="R113" s="13">
        <f t="shared" ca="1" si="21"/>
        <v>0.83959937667846685</v>
      </c>
      <c r="S113" s="13">
        <f t="shared" ca="1" si="22"/>
        <v>30.075192520141606</v>
      </c>
      <c r="T113" s="17">
        <f t="shared" ca="1" si="24"/>
        <v>3.2952008998662241E-2</v>
      </c>
      <c r="U113" s="13"/>
      <c r="V113" s="14">
        <f t="shared" ca="1" si="23"/>
        <v>1.024807</v>
      </c>
      <c r="W113" s="13"/>
      <c r="X113" s="2"/>
    </row>
    <row r="114" spans="8:24" x14ac:dyDescent="0.25">
      <c r="H114" s="13">
        <v>31.200000000000003</v>
      </c>
      <c r="I114" s="13">
        <v>0.84474953677248688</v>
      </c>
      <c r="J114" s="14">
        <f t="shared" si="14"/>
        <v>-1.6100000000000001E-4</v>
      </c>
      <c r="K114" s="23">
        <f t="shared" si="15"/>
        <v>5.5999999999999999E-5</v>
      </c>
      <c r="L114" s="14">
        <f t="shared" si="16"/>
        <v>1.916E-3</v>
      </c>
      <c r="M114" s="10">
        <f t="shared" si="17"/>
        <v>0.8465904930291307</v>
      </c>
      <c r="N114" s="16">
        <f t="shared" si="18"/>
        <v>2.1792924133199492E-3</v>
      </c>
      <c r="O114" s="13">
        <f t="shared" si="19"/>
        <v>4516.6417000000001</v>
      </c>
      <c r="P114" s="13">
        <f t="shared" ca="1" si="25"/>
        <v>4515</v>
      </c>
      <c r="Q114" s="13" t="str">
        <f t="shared" ca="1" si="20"/>
        <v>0001000110100011</v>
      </c>
      <c r="R114" s="13">
        <f t="shared" ca="1" si="21"/>
        <v>0.84653666496276858</v>
      </c>
      <c r="S114" s="13">
        <f t="shared" ca="1" si="22"/>
        <v>30.158439979553226</v>
      </c>
      <c r="T114" s="17">
        <f t="shared" ca="1" si="24"/>
        <v>3.3383333988678751E-2</v>
      </c>
      <c r="U114" s="13"/>
      <c r="V114" s="14">
        <f t="shared" ca="1" si="23"/>
        <v>1.04156</v>
      </c>
      <c r="W114" s="13"/>
      <c r="X114" s="2"/>
    </row>
    <row r="115" spans="8:24" x14ac:dyDescent="0.25">
      <c r="H115" s="13">
        <v>31.3</v>
      </c>
      <c r="I115" s="13">
        <v>0.85343862335987219</v>
      </c>
      <c r="J115" s="14">
        <f t="shared" si="14"/>
        <v>-1.6000000000000001E-4</v>
      </c>
      <c r="K115" s="23">
        <f t="shared" si="15"/>
        <v>5.7000000000000003E-5</v>
      </c>
      <c r="L115" s="14">
        <f t="shared" si="16"/>
        <v>1.9469999999999999E-3</v>
      </c>
      <c r="M115" s="10">
        <f t="shared" si="17"/>
        <v>0.85532182202134788</v>
      </c>
      <c r="N115" s="16">
        <f t="shared" si="18"/>
        <v>2.2066011660707182E-3</v>
      </c>
      <c r="O115" s="13">
        <f t="shared" si="19"/>
        <v>4563.2241999999997</v>
      </c>
      <c r="P115" s="13">
        <f t="shared" ca="1" si="25"/>
        <v>4568</v>
      </c>
      <c r="Q115" s="13" t="str">
        <f t="shared" ca="1" si="20"/>
        <v>0001000111011000</v>
      </c>
      <c r="R115" s="13">
        <f t="shared" ca="1" si="21"/>
        <v>0.85647386169433593</v>
      </c>
      <c r="S115" s="13">
        <f t="shared" ca="1" si="22"/>
        <v>30.277686340332032</v>
      </c>
      <c r="T115" s="17">
        <f t="shared" ca="1" si="24"/>
        <v>3.2661778264152355E-2</v>
      </c>
      <c r="U115" s="13"/>
      <c r="V115" s="14">
        <f t="shared" ca="1" si="23"/>
        <v>1.0223139999999999</v>
      </c>
      <c r="W115" s="13"/>
      <c r="X115" s="2"/>
    </row>
    <row r="116" spans="8:24" x14ac:dyDescent="0.25">
      <c r="H116" s="13">
        <v>31.4</v>
      </c>
      <c r="I116" s="13">
        <v>0.86128062284332452</v>
      </c>
      <c r="J116" s="14">
        <f t="shared" si="14"/>
        <v>-1.5899999999999999E-4</v>
      </c>
      <c r="K116" s="23">
        <f t="shared" si="15"/>
        <v>5.7000000000000003E-5</v>
      </c>
      <c r="L116" s="14">
        <f t="shared" si="16"/>
        <v>1.977E-3</v>
      </c>
      <c r="M116" s="10">
        <f t="shared" si="17"/>
        <v>0.86320406260910276</v>
      </c>
      <c r="N116" s="16">
        <f t="shared" si="18"/>
        <v>2.2332323690604358E-3</v>
      </c>
      <c r="O116" s="13">
        <f t="shared" si="19"/>
        <v>4605.2767000000003</v>
      </c>
      <c r="P116" s="13">
        <f t="shared" ca="1" si="25"/>
        <v>4605</v>
      </c>
      <c r="Q116" s="13" t="str">
        <f t="shared" ca="1" si="20"/>
        <v>0001000111111101</v>
      </c>
      <c r="R116" s="13">
        <f t="shared" ca="1" si="21"/>
        <v>0.86341114997863766</v>
      </c>
      <c r="S116" s="13">
        <f t="shared" ca="1" si="22"/>
        <v>30.360933799743655</v>
      </c>
      <c r="T116" s="17">
        <f t="shared" ca="1" si="24"/>
        <v>3.3091280262940864E-2</v>
      </c>
      <c r="U116" s="13"/>
      <c r="V116" s="14">
        <f t="shared" ca="1" si="23"/>
        <v>1.039066</v>
      </c>
      <c r="W116" s="13"/>
      <c r="X116" s="2"/>
    </row>
    <row r="117" spans="8:24" x14ac:dyDescent="0.25">
      <c r="H117" s="13">
        <v>31.5</v>
      </c>
      <c r="I117" s="13">
        <v>0.8691496034890458</v>
      </c>
      <c r="J117" s="14">
        <f t="shared" si="14"/>
        <v>-1.5899999999999999E-4</v>
      </c>
      <c r="K117" s="23">
        <f t="shared" si="15"/>
        <v>5.8E-5</v>
      </c>
      <c r="L117" s="14">
        <f t="shared" si="16"/>
        <v>2.0079999999999998E-3</v>
      </c>
      <c r="M117" s="10">
        <f t="shared" si="17"/>
        <v>0.87111568732519484</v>
      </c>
      <c r="N117" s="16">
        <f t="shared" si="18"/>
        <v>2.2620775850976105E-3</v>
      </c>
      <c r="O117" s="13">
        <f t="shared" si="19"/>
        <v>4647.4858999999997</v>
      </c>
      <c r="P117" s="13">
        <f t="shared" ca="1" si="25"/>
        <v>4649</v>
      </c>
      <c r="Q117" s="13" t="str">
        <f t="shared" ca="1" si="20"/>
        <v>0001001000101001</v>
      </c>
      <c r="R117" s="13">
        <f t="shared" ca="1" si="21"/>
        <v>0.87166089820861814</v>
      </c>
      <c r="S117" s="13">
        <f t="shared" ca="1" si="22"/>
        <v>30.45993077850342</v>
      </c>
      <c r="T117" s="17">
        <f t="shared" ca="1" si="24"/>
        <v>3.3018070523700954E-2</v>
      </c>
      <c r="U117" s="13"/>
      <c r="V117" s="14">
        <f t="shared" ca="1" si="23"/>
        <v>1.0400689999999999</v>
      </c>
      <c r="W117" s="13"/>
      <c r="X117" s="2"/>
    </row>
    <row r="118" spans="8:24" x14ac:dyDescent="0.25">
      <c r="H118" s="13">
        <v>31.6</v>
      </c>
      <c r="I118" s="13">
        <v>0.87878591088776248</v>
      </c>
      <c r="J118" s="14">
        <f t="shared" si="14"/>
        <v>-1.5799999999999999E-4</v>
      </c>
      <c r="K118" s="23">
        <f t="shared" si="15"/>
        <v>5.8E-5</v>
      </c>
      <c r="L118" s="14">
        <f t="shared" si="16"/>
        <v>2.0379999999999999E-3</v>
      </c>
      <c r="M118" s="10">
        <f t="shared" si="17"/>
        <v>0.8807968566776716</v>
      </c>
      <c r="N118" s="16">
        <f t="shared" si="18"/>
        <v>2.2883227473203768E-3</v>
      </c>
      <c r="O118" s="13">
        <f t="shared" si="19"/>
        <v>4699.1359000000002</v>
      </c>
      <c r="P118" s="13">
        <f t="shared" ca="1" si="25"/>
        <v>4704</v>
      </c>
      <c r="Q118" s="13" t="str">
        <f t="shared" ca="1" si="20"/>
        <v>0001001001100000</v>
      </c>
      <c r="R118" s="13">
        <f t="shared" ca="1" si="21"/>
        <v>0.88197308349609371</v>
      </c>
      <c r="S118" s="13">
        <f t="shared" ca="1" si="22"/>
        <v>30.583677001953127</v>
      </c>
      <c r="T118" s="17">
        <f t="shared" ca="1" si="24"/>
        <v>3.216212019135678E-2</v>
      </c>
      <c r="U118" s="13"/>
      <c r="V118" s="14">
        <f t="shared" ca="1" si="23"/>
        <v>1.0163230000000001</v>
      </c>
      <c r="W118" s="13"/>
      <c r="X118" s="2"/>
    </row>
    <row r="119" spans="8:24" x14ac:dyDescent="0.25">
      <c r="H119" s="13">
        <v>31.700000000000003</v>
      </c>
      <c r="I119" s="13">
        <v>0.88670672333666789</v>
      </c>
      <c r="J119" s="14">
        <f t="shared" si="14"/>
        <v>-1.5799999999999999E-4</v>
      </c>
      <c r="K119" s="23">
        <f t="shared" si="15"/>
        <v>5.8999999999999998E-5</v>
      </c>
      <c r="L119" s="14">
        <f t="shared" si="16"/>
        <v>2.0690000000000001E-3</v>
      </c>
      <c r="M119" s="10">
        <f t="shared" si="17"/>
        <v>0.88876145077632407</v>
      </c>
      <c r="N119" s="16">
        <f t="shared" si="18"/>
        <v>2.3172570880304836E-3</v>
      </c>
      <c r="O119" s="13">
        <f t="shared" si="19"/>
        <v>4741.6278000000002</v>
      </c>
      <c r="P119" s="13">
        <f t="shared" ca="1" si="25"/>
        <v>4743</v>
      </c>
      <c r="Q119" s="13" t="str">
        <f t="shared" ca="1" si="20"/>
        <v>0001001010000111</v>
      </c>
      <c r="R119" s="13">
        <f t="shared" ca="1" si="21"/>
        <v>0.88928536033630368</v>
      </c>
      <c r="S119" s="13">
        <f t="shared" ca="1" si="22"/>
        <v>30.671424324035648</v>
      </c>
      <c r="T119" s="17">
        <f t="shared" ca="1" si="24"/>
        <v>3.2447182207077437E-2</v>
      </c>
      <c r="U119" s="13"/>
      <c r="V119" s="14">
        <f t="shared" ca="1" si="23"/>
        <v>1.0285759999999999</v>
      </c>
      <c r="W119" s="13"/>
      <c r="X119" s="2"/>
    </row>
    <row r="120" spans="8:24" x14ac:dyDescent="0.25">
      <c r="H120" s="13">
        <v>31.8</v>
      </c>
      <c r="I120" s="13">
        <v>0.89465435198933063</v>
      </c>
      <c r="J120" s="14">
        <f t="shared" si="14"/>
        <v>-1.5699999999999999E-4</v>
      </c>
      <c r="K120" s="23">
        <f t="shared" si="15"/>
        <v>5.8999999999999998E-5</v>
      </c>
      <c r="L120" s="14">
        <f t="shared" si="16"/>
        <v>2.0990000000000002E-3</v>
      </c>
      <c r="M120" s="10">
        <f t="shared" si="17"/>
        <v>0.89675151167032663</v>
      </c>
      <c r="N120" s="16">
        <f t="shared" si="18"/>
        <v>2.344100463304969E-3</v>
      </c>
      <c r="O120" s="13">
        <f t="shared" si="19"/>
        <v>4784.2555000000002</v>
      </c>
      <c r="P120" s="13">
        <f t="shared" ca="1" si="25"/>
        <v>4786</v>
      </c>
      <c r="Q120" s="13" t="str">
        <f t="shared" ca="1" si="20"/>
        <v>0001001010110010</v>
      </c>
      <c r="R120" s="13">
        <f t="shared" ca="1" si="21"/>
        <v>0.8973476142883301</v>
      </c>
      <c r="S120" s="13">
        <f t="shared" ca="1" si="22"/>
        <v>30.768171371459964</v>
      </c>
      <c r="T120" s="17">
        <f t="shared" ca="1" si="24"/>
        <v>3.244744114905776E-2</v>
      </c>
      <c r="U120" s="13"/>
      <c r="V120" s="14">
        <f t="shared" ca="1" si="23"/>
        <v>1.0318290000000001</v>
      </c>
      <c r="W120" s="13"/>
      <c r="X120" s="2"/>
    </row>
    <row r="121" spans="8:24" x14ac:dyDescent="0.25">
      <c r="H121" s="13">
        <v>31.9</v>
      </c>
      <c r="I121" s="13">
        <v>0.90262874173329077</v>
      </c>
      <c r="J121" s="14">
        <f t="shared" si="14"/>
        <v>-1.5699999999999999E-4</v>
      </c>
      <c r="K121" s="23">
        <f t="shared" si="15"/>
        <v>6.0000000000000002E-5</v>
      </c>
      <c r="L121" s="14">
        <f t="shared" si="16"/>
        <v>2.1299999999999999E-3</v>
      </c>
      <c r="M121" s="10">
        <f t="shared" si="17"/>
        <v>0.90477077995459398</v>
      </c>
      <c r="N121" s="16">
        <f t="shared" si="18"/>
        <v>2.3731110281176282E-3</v>
      </c>
      <c r="O121" s="13">
        <f t="shared" si="19"/>
        <v>4827.0391</v>
      </c>
      <c r="P121" s="13">
        <f t="shared" ca="1" si="25"/>
        <v>4832</v>
      </c>
      <c r="Q121" s="13" t="str">
        <f t="shared" ca="1" si="20"/>
        <v>0001001011100000</v>
      </c>
      <c r="R121" s="13">
        <f t="shared" ca="1" si="21"/>
        <v>0.90597235107421881</v>
      </c>
      <c r="S121" s="13">
        <f t="shared" ca="1" si="22"/>
        <v>30.871668212890629</v>
      </c>
      <c r="T121" s="17">
        <f t="shared" ca="1" si="24"/>
        <v>3.2236106178977098E-2</v>
      </c>
      <c r="U121" s="13"/>
      <c r="V121" s="14">
        <f t="shared" ca="1" si="23"/>
        <v>1.028332</v>
      </c>
      <c r="W121" s="13"/>
      <c r="X121" s="2"/>
    </row>
    <row r="122" spans="8:24" x14ac:dyDescent="0.25">
      <c r="H122" s="13">
        <v>32</v>
      </c>
      <c r="I122" s="13">
        <v>0.9114960935847799</v>
      </c>
      <c r="J122" s="14">
        <f t="shared" si="14"/>
        <v>-1.56E-4</v>
      </c>
      <c r="K122" s="23">
        <f t="shared" si="15"/>
        <v>6.0000000000000002E-5</v>
      </c>
      <c r="L122" s="14">
        <f t="shared" si="16"/>
        <v>2.16E-3</v>
      </c>
      <c r="M122" s="10">
        <f t="shared" si="17"/>
        <v>0.91368352471817127</v>
      </c>
      <c r="N122" s="16">
        <f t="shared" si="18"/>
        <v>2.3998250226048984E-3</v>
      </c>
      <c r="O122" s="13">
        <f t="shared" si="19"/>
        <v>4874.5895</v>
      </c>
      <c r="P122" s="13">
        <f t="shared" ca="1" si="25"/>
        <v>4874</v>
      </c>
      <c r="Q122" s="13" t="str">
        <f t="shared" ca="1" si="20"/>
        <v>0001001100001010</v>
      </c>
      <c r="R122" s="13">
        <f t="shared" ca="1" si="21"/>
        <v>0.91384711074829106</v>
      </c>
      <c r="S122" s="13">
        <f t="shared" ca="1" si="22"/>
        <v>30.966165328979496</v>
      </c>
      <c r="T122" s="17">
        <f t="shared" ca="1" si="24"/>
        <v>3.2307333469390742E-2</v>
      </c>
      <c r="U122" s="13"/>
      <c r="V122" s="14">
        <f t="shared" ca="1" si="23"/>
        <v>1.0338350000000001</v>
      </c>
      <c r="W122" s="13"/>
      <c r="X122" s="2"/>
    </row>
    <row r="123" spans="8:24" x14ac:dyDescent="0.25">
      <c r="H123" s="13">
        <v>32.1</v>
      </c>
      <c r="I123" s="13">
        <v>0.91952284825432851</v>
      </c>
      <c r="J123" s="14">
        <f t="shared" si="14"/>
        <v>-1.55E-4</v>
      </c>
      <c r="K123" s="23">
        <f t="shared" si="15"/>
        <v>6.0999999999999999E-5</v>
      </c>
      <c r="L123" s="14">
        <f t="shared" si="16"/>
        <v>2.1909999999999998E-3</v>
      </c>
      <c r="M123" s="10">
        <f t="shared" si="17"/>
        <v>0.92175528701016785</v>
      </c>
      <c r="N123" s="16">
        <f t="shared" si="18"/>
        <v>2.4278230389571291E-3</v>
      </c>
      <c r="O123" s="13">
        <f t="shared" si="19"/>
        <v>4917.6531000000004</v>
      </c>
      <c r="P123" s="13">
        <f t="shared" ca="1" si="25"/>
        <v>4917</v>
      </c>
      <c r="Q123" s="13" t="str">
        <f t="shared" ca="1" si="20"/>
        <v>0001001100110101</v>
      </c>
      <c r="R123" s="13">
        <f t="shared" ca="1" si="21"/>
        <v>0.92190936470031737</v>
      </c>
      <c r="S123" s="13">
        <f t="shared" ca="1" si="22"/>
        <v>31.062912376403812</v>
      </c>
      <c r="T123" s="17">
        <f t="shared" ca="1" si="24"/>
        <v>3.2308025657202165E-2</v>
      </c>
      <c r="U123" s="13"/>
      <c r="V123" s="14">
        <f t="shared" ca="1" si="23"/>
        <v>1.037088</v>
      </c>
      <c r="W123" s="13"/>
      <c r="X123" s="2"/>
    </row>
    <row r="124" spans="8:24" x14ac:dyDescent="0.25">
      <c r="H124" s="13">
        <v>32.200000000000003</v>
      </c>
      <c r="I124" s="13">
        <v>0.92757619430936622</v>
      </c>
      <c r="J124" s="14">
        <f t="shared" si="14"/>
        <v>-1.55E-4</v>
      </c>
      <c r="K124" s="23">
        <f t="shared" si="15"/>
        <v>6.0999999999999999E-5</v>
      </c>
      <c r="L124" s="14">
        <f t="shared" si="16"/>
        <v>2.2209999999999999E-3</v>
      </c>
      <c r="M124" s="10">
        <f t="shared" si="17"/>
        <v>0.92985427182909874</v>
      </c>
      <c r="N124" s="16">
        <f t="shared" si="18"/>
        <v>2.455946512759185E-3</v>
      </c>
      <c r="O124" s="13">
        <f t="shared" si="19"/>
        <v>4960.8618999999999</v>
      </c>
      <c r="P124" s="13">
        <f t="shared" ca="1" si="25"/>
        <v>4961</v>
      </c>
      <c r="Q124" s="13" t="str">
        <f t="shared" ca="1" si="20"/>
        <v>0001001101100001</v>
      </c>
      <c r="R124" s="13">
        <f t="shared" ca="1" si="21"/>
        <v>0.93015911293029785</v>
      </c>
      <c r="S124" s="13">
        <f t="shared" ca="1" si="22"/>
        <v>31.161909355163576</v>
      </c>
      <c r="T124" s="17">
        <f t="shared" ca="1" si="24"/>
        <v>3.2238839901752372E-2</v>
      </c>
      <c r="U124" s="13"/>
      <c r="V124" s="14">
        <f t="shared" ca="1" si="23"/>
        <v>1.0380910000000001</v>
      </c>
      <c r="W124" s="13"/>
      <c r="X124" s="2"/>
    </row>
    <row r="125" spans="8:24" x14ac:dyDescent="0.25">
      <c r="H125" s="13">
        <v>32.299999999999997</v>
      </c>
      <c r="I125" s="13">
        <v>0.93565607463144485</v>
      </c>
      <c r="J125" s="14">
        <f t="shared" si="14"/>
        <v>-1.54E-4</v>
      </c>
      <c r="K125" s="23">
        <f t="shared" si="15"/>
        <v>6.2000000000000003E-5</v>
      </c>
      <c r="L125" s="14">
        <f t="shared" si="16"/>
        <v>2.2520000000000001E-3</v>
      </c>
      <c r="M125" s="10">
        <f t="shared" si="17"/>
        <v>0.93798027559608721</v>
      </c>
      <c r="N125" s="16">
        <f t="shared" si="18"/>
        <v>2.4840334260191363E-3</v>
      </c>
      <c r="O125" s="13">
        <f t="shared" si="19"/>
        <v>5004.2150000000001</v>
      </c>
      <c r="P125" s="13">
        <f t="shared" ca="1" si="25"/>
        <v>5007</v>
      </c>
      <c r="Q125" s="13" t="str">
        <f t="shared" ca="1" si="20"/>
        <v>0001001110001111</v>
      </c>
      <c r="R125" s="13">
        <f t="shared" ca="1" si="21"/>
        <v>0.93878384971618656</v>
      </c>
      <c r="S125" s="13">
        <f t="shared" ca="1" si="22"/>
        <v>31.265406196594238</v>
      </c>
      <c r="T125" s="17">
        <f t="shared" ca="1" si="24"/>
        <v>3.2030767907299043E-2</v>
      </c>
      <c r="U125" s="13"/>
      <c r="V125" s="14">
        <f t="shared" ca="1" si="23"/>
        <v>1.034594</v>
      </c>
      <c r="W125" s="13"/>
      <c r="X125" s="2"/>
    </row>
    <row r="126" spans="8:24" x14ac:dyDescent="0.25">
      <c r="H126" s="13">
        <v>32.4</v>
      </c>
      <c r="I126" s="13">
        <v>0.94376243143645377</v>
      </c>
      <c r="J126" s="14">
        <f t="shared" si="14"/>
        <v>-1.54E-4</v>
      </c>
      <c r="K126" s="23">
        <f t="shared" si="15"/>
        <v>6.2000000000000003E-5</v>
      </c>
      <c r="L126" s="14">
        <f t="shared" si="16"/>
        <v>2.2820000000000002E-3</v>
      </c>
      <c r="M126" s="10">
        <f t="shared" si="17"/>
        <v>0.94613337544321519</v>
      </c>
      <c r="N126" s="16">
        <f t="shared" si="18"/>
        <v>2.5122254582148548E-3</v>
      </c>
      <c r="O126" s="13">
        <f t="shared" si="19"/>
        <v>5047.7124999999996</v>
      </c>
      <c r="P126" s="13">
        <f t="shared" ca="1" si="25"/>
        <v>5049</v>
      </c>
      <c r="Q126" s="13" t="str">
        <f t="shared" ca="1" si="20"/>
        <v>0001001110111001</v>
      </c>
      <c r="R126" s="13">
        <f t="shared" ca="1" si="21"/>
        <v>0.94665860939025881</v>
      </c>
      <c r="S126" s="13">
        <f t="shared" ca="1" si="22"/>
        <v>31.359903312683105</v>
      </c>
      <c r="T126" s="17">
        <f t="shared" ca="1" si="24"/>
        <v>3.2101749608546094E-2</v>
      </c>
      <c r="U126" s="13"/>
      <c r="V126" s="14">
        <f t="shared" ca="1" si="23"/>
        <v>1.040097</v>
      </c>
      <c r="W126" s="13"/>
      <c r="X126" s="2"/>
    </row>
    <row r="127" spans="8:24" x14ac:dyDescent="0.25">
      <c r="H127" s="13">
        <v>32.5</v>
      </c>
      <c r="I127" s="13">
        <v>0.95275650354648911</v>
      </c>
      <c r="J127" s="14">
        <f t="shared" si="14"/>
        <v>-1.5300000000000001E-4</v>
      </c>
      <c r="K127" s="23">
        <f t="shared" si="15"/>
        <v>6.3E-5</v>
      </c>
      <c r="L127" s="14">
        <f t="shared" si="16"/>
        <v>2.313E-3</v>
      </c>
      <c r="M127" s="10">
        <f t="shared" si="17"/>
        <v>0.95517669308359143</v>
      </c>
      <c r="N127" s="16">
        <f t="shared" si="18"/>
        <v>2.5401973411816577E-3</v>
      </c>
      <c r="O127" s="13">
        <f t="shared" si="19"/>
        <v>5095.9594999999999</v>
      </c>
      <c r="P127" s="13">
        <f t="shared" ca="1" si="25"/>
        <v>5097</v>
      </c>
      <c r="Q127" s="13" t="str">
        <f t="shared" ca="1" si="20"/>
        <v>0001001111101001</v>
      </c>
      <c r="R127" s="13">
        <f t="shared" ca="1" si="21"/>
        <v>0.95565833473205564</v>
      </c>
      <c r="S127" s="13">
        <f t="shared" ca="1" si="22"/>
        <v>31.467900016784672</v>
      </c>
      <c r="T127" s="17">
        <f t="shared" ca="1" si="24"/>
        <v>3.1756922560471641E-2</v>
      </c>
      <c r="U127" s="13"/>
      <c r="V127" s="14">
        <f t="shared" ca="1" si="23"/>
        <v>1.0321</v>
      </c>
      <c r="W127" s="13"/>
      <c r="X127" s="2"/>
    </row>
    <row r="128" spans="8:24" x14ac:dyDescent="0.25">
      <c r="H128" s="13">
        <v>32.6</v>
      </c>
      <c r="I128" s="13">
        <v>0.96091464259846548</v>
      </c>
      <c r="J128" s="14">
        <f t="shared" si="14"/>
        <v>-1.5300000000000001E-4</v>
      </c>
      <c r="K128" s="23">
        <f t="shared" si="15"/>
        <v>6.3E-5</v>
      </c>
      <c r="L128" s="14">
        <f t="shared" si="16"/>
        <v>2.343E-3</v>
      </c>
      <c r="M128" s="10">
        <f t="shared" si="17"/>
        <v>0.9633827123996177</v>
      </c>
      <c r="N128" s="16">
        <f t="shared" si="18"/>
        <v>2.5684589366628502E-3</v>
      </c>
      <c r="O128" s="13">
        <f t="shared" si="19"/>
        <v>5139.7394000000004</v>
      </c>
      <c r="P128" s="13">
        <f t="shared" ca="1" si="25"/>
        <v>5144</v>
      </c>
      <c r="Q128" s="13" t="str">
        <f t="shared" ca="1" si="20"/>
        <v>0001010000011000</v>
      </c>
      <c r="R128" s="13">
        <f t="shared" ca="1" si="21"/>
        <v>0.9644705657958984</v>
      </c>
      <c r="S128" s="13">
        <f t="shared" ca="1" si="22"/>
        <v>31.573646789550782</v>
      </c>
      <c r="T128" s="17">
        <f t="shared" ca="1" si="24"/>
        <v>3.1483227314393229E-2</v>
      </c>
      <c r="U128" s="13"/>
      <c r="V128" s="14">
        <f t="shared" ca="1" si="23"/>
        <v>1.0263530000000001</v>
      </c>
      <c r="W128" s="13"/>
      <c r="X128" s="2"/>
    </row>
    <row r="129" spans="8:24" x14ac:dyDescent="0.25">
      <c r="H129" s="13">
        <v>32.700000000000003</v>
      </c>
      <c r="I129" s="13">
        <v>0.96909908099520237</v>
      </c>
      <c r="J129" s="14">
        <f t="shared" si="14"/>
        <v>-1.5200000000000001E-4</v>
      </c>
      <c r="K129" s="23">
        <f t="shared" si="15"/>
        <v>6.3999999999999997E-5</v>
      </c>
      <c r="L129" s="14">
        <f t="shared" si="16"/>
        <v>2.3739999999999998E-3</v>
      </c>
      <c r="M129" s="10">
        <f t="shared" si="17"/>
        <v>0.9716155586394124</v>
      </c>
      <c r="N129" s="16">
        <f t="shared" si="18"/>
        <v>2.596718636473966E-3</v>
      </c>
      <c r="O129" s="13">
        <f t="shared" si="19"/>
        <v>5183.6624000000002</v>
      </c>
      <c r="P129" s="13">
        <f t="shared" ca="1" si="25"/>
        <v>5182</v>
      </c>
      <c r="Q129" s="13" t="str">
        <f t="shared" ca="1" si="20"/>
        <v>0001010000111110</v>
      </c>
      <c r="R129" s="13">
        <f t="shared" ca="1" si="21"/>
        <v>0.97159534835815431</v>
      </c>
      <c r="S129" s="13">
        <f t="shared" ca="1" si="22"/>
        <v>31.659144180297854</v>
      </c>
      <c r="T129" s="17">
        <f t="shared" ca="1" si="24"/>
        <v>3.183045320190056E-2</v>
      </c>
      <c r="U129" s="13"/>
      <c r="V129" s="14">
        <f t="shared" ca="1" si="23"/>
        <v>1.040856</v>
      </c>
      <c r="W129" s="13"/>
      <c r="X129" s="2"/>
    </row>
    <row r="130" spans="8:24" x14ac:dyDescent="0.25">
      <c r="H130" s="13">
        <v>32.799999999999997</v>
      </c>
      <c r="I130" s="13">
        <v>0.97645145628538266</v>
      </c>
      <c r="J130" s="14">
        <f t="shared" si="14"/>
        <v>-1.5100000000000001E-4</v>
      </c>
      <c r="K130" s="23">
        <f t="shared" si="15"/>
        <v>6.3999999999999997E-5</v>
      </c>
      <c r="L130" s="14">
        <f t="shared" si="16"/>
        <v>2.4039999999999999E-3</v>
      </c>
      <c r="M130" s="10">
        <f t="shared" si="17"/>
        <v>0.97901386618769781</v>
      </c>
      <c r="N130" s="16">
        <f t="shared" si="18"/>
        <v>2.6242061352062256E-3</v>
      </c>
      <c r="O130" s="13">
        <f t="shared" si="19"/>
        <v>5223.1331</v>
      </c>
      <c r="P130" s="13">
        <f t="shared" ca="1" si="25"/>
        <v>5227</v>
      </c>
      <c r="Q130" s="13" t="str">
        <f t="shared" ca="1" si="20"/>
        <v>0001010001101011</v>
      </c>
      <c r="R130" s="13">
        <f t="shared" ca="1" si="21"/>
        <v>0.98003259086608885</v>
      </c>
      <c r="S130" s="13">
        <f t="shared" ca="1" si="22"/>
        <v>31.760391090393068</v>
      </c>
      <c r="T130" s="17">
        <f t="shared" ca="1" si="24"/>
        <v>3.1695393585577124E-2</v>
      </c>
      <c r="U130" s="13"/>
      <c r="V130" s="14">
        <f t="shared" ca="1" si="23"/>
        <v>1.039609</v>
      </c>
      <c r="W130" s="13"/>
      <c r="X130" s="2"/>
    </row>
    <row r="131" spans="8:24" x14ac:dyDescent="0.25">
      <c r="H131" s="13">
        <v>32.9</v>
      </c>
      <c r="I131" s="13">
        <v>0.98468931468348087</v>
      </c>
      <c r="J131" s="14">
        <f t="shared" ref="J131:J194" si="26">ROUND(H131*0.00000575 -0.00034,6)</f>
        <v>-1.5100000000000001E-4</v>
      </c>
      <c r="K131" s="23">
        <f t="shared" ref="K131:K194" si="27">ROUND(H131*0.000005-0.0001,6)</f>
        <v>6.4999999999999994E-5</v>
      </c>
      <c r="L131" s="14">
        <f t="shared" ref="L131:L194" si="28">ROUND(K131+($C$24*(H131-25)),6)</f>
        <v>2.4350000000000001E-3</v>
      </c>
      <c r="M131" s="10">
        <f t="shared" ref="M131:M194" si="29">(I131-J131)/(1-L131)+$C$26+$D$27</f>
        <v>0.98730225444304964</v>
      </c>
      <c r="N131" s="16">
        <f t="shared" ref="N131:N194" si="30">ABS(I131-M131)/I131</f>
        <v>2.6535676995831751E-3</v>
      </c>
      <c r="O131" s="13">
        <f t="shared" ref="O131:O194" si="31">ROUND((M131*(2^($C$12-1)))/$C$44,4)</f>
        <v>5267.3525</v>
      </c>
      <c r="P131" s="13">
        <f t="shared" ca="1" si="25"/>
        <v>5270</v>
      </c>
      <c r="Q131" s="13" t="str">
        <f t="shared" ref="Q131:Q194" ca="1" si="32">_xlfn.BASE(IF(P131&lt;0, P131+2^($C$12)-1, P131), 2, 16)</f>
        <v>0001010010010110</v>
      </c>
      <c r="R131" s="13">
        <f t="shared" ref="R131:R194" ca="1" si="33">($C$16/2^($C$12-1)) * P131</f>
        <v>0.98809484481811527</v>
      </c>
      <c r="S131" s="13">
        <f t="shared" ref="S131:S194" ca="1" si="34">(R131+5/3)/(1/12)</f>
        <v>31.857138137817387</v>
      </c>
      <c r="T131" s="17">
        <f t="shared" ca="1" si="24"/>
        <v>3.1697928941720722E-2</v>
      </c>
      <c r="U131" s="13"/>
      <c r="V131" s="14">
        <f t="shared" ref="V131:V194" ca="1" si="35">ROUND(ABS(H131-S131),6)</f>
        <v>1.042862</v>
      </c>
      <c r="W131" s="13"/>
      <c r="X131" s="2"/>
    </row>
    <row r="132" spans="8:24" x14ac:dyDescent="0.25">
      <c r="H132" s="13">
        <v>33</v>
      </c>
      <c r="I132" s="13">
        <v>0.99295329383236197</v>
      </c>
      <c r="J132" s="14">
        <f t="shared" si="26"/>
        <v>-1.4999999999999999E-4</v>
      </c>
      <c r="K132" s="23">
        <f t="shared" si="27"/>
        <v>6.4999999999999994E-5</v>
      </c>
      <c r="L132" s="14">
        <f t="shared" si="28"/>
        <v>2.4650000000000002E-3</v>
      </c>
      <c r="M132" s="10">
        <f t="shared" si="29"/>
        <v>0.9956153426820733</v>
      </c>
      <c r="N132" s="16">
        <f t="shared" si="30"/>
        <v>2.6809406507298994E-3</v>
      </c>
      <c r="O132" s="13">
        <f t="shared" si="31"/>
        <v>5311.7035999999998</v>
      </c>
      <c r="P132" s="13">
        <f t="shared" ca="1" si="25"/>
        <v>5312</v>
      </c>
      <c r="Q132" s="13" t="str">
        <f t="shared" ca="1" si="32"/>
        <v>0001010011000000</v>
      </c>
      <c r="R132" s="13">
        <f t="shared" ca="1" si="33"/>
        <v>0.99596960449218752</v>
      </c>
      <c r="S132" s="13">
        <f t="shared" ca="1" si="34"/>
        <v>31.951635253906254</v>
      </c>
      <c r="T132" s="17">
        <f t="shared" ref="T132:T195" ca="1" si="36">ABS(H132-S132)/H132</f>
        <v>3.1768628669507464E-2</v>
      </c>
      <c r="U132" s="13"/>
      <c r="V132" s="14">
        <f t="shared" ca="1" si="35"/>
        <v>1.048365</v>
      </c>
      <c r="W132" s="13"/>
      <c r="X132" s="2"/>
    </row>
    <row r="133" spans="8:24" x14ac:dyDescent="0.25">
      <c r="H133" s="13">
        <v>33.1</v>
      </c>
      <c r="I133" s="13">
        <v>1.0012433320095309</v>
      </c>
      <c r="J133" s="14">
        <f t="shared" si="26"/>
        <v>-1.4999999999999999E-4</v>
      </c>
      <c r="K133" s="23">
        <f t="shared" si="27"/>
        <v>6.6000000000000005E-5</v>
      </c>
      <c r="L133" s="14">
        <f t="shared" si="28"/>
        <v>2.496E-3</v>
      </c>
      <c r="M133" s="10">
        <f t="shared" si="29"/>
        <v>1.0039570640734583</v>
      </c>
      <c r="N133" s="16">
        <f t="shared" si="30"/>
        <v>2.7103621838668194E-3</v>
      </c>
      <c r="O133" s="13">
        <f t="shared" si="31"/>
        <v>5356.2075000000004</v>
      </c>
      <c r="P133" s="13">
        <f t="shared" ca="1" si="25"/>
        <v>5360</v>
      </c>
      <c r="Q133" s="13" t="str">
        <f t="shared" ca="1" si="32"/>
        <v>0001010011110000</v>
      </c>
      <c r="R133" s="13">
        <f t="shared" ca="1" si="33"/>
        <v>1.0049693298339843</v>
      </c>
      <c r="S133" s="13">
        <f t="shared" ca="1" si="34"/>
        <v>32.059631958007813</v>
      </c>
      <c r="T133" s="17">
        <f t="shared" ca="1" si="36"/>
        <v>3.143105867045886E-2</v>
      </c>
      <c r="U133" s="13"/>
      <c r="V133" s="14">
        <f t="shared" ca="1" si="35"/>
        <v>1.040368</v>
      </c>
      <c r="W133" s="13"/>
      <c r="X133" s="2"/>
    </row>
    <row r="134" spans="8:24" x14ac:dyDescent="0.25">
      <c r="H134" s="13">
        <v>33.200000000000003</v>
      </c>
      <c r="I134" s="13">
        <v>1.0095593682736812</v>
      </c>
      <c r="J134" s="14">
        <f t="shared" si="26"/>
        <v>-1.4899999999999999E-4</v>
      </c>
      <c r="K134" s="23">
        <f t="shared" si="27"/>
        <v>6.6000000000000005E-5</v>
      </c>
      <c r="L134" s="14">
        <f t="shared" si="28"/>
        <v>2.526E-3</v>
      </c>
      <c r="M134" s="10">
        <f t="shared" si="29"/>
        <v>1.0123233505491682</v>
      </c>
      <c r="N134" s="16">
        <f t="shared" si="30"/>
        <v>2.737810536306898E-3</v>
      </c>
      <c r="O134" s="13">
        <f t="shared" si="31"/>
        <v>5400.8424000000005</v>
      </c>
      <c r="P134" s="13">
        <f t="shared" ca="1" si="25"/>
        <v>5399</v>
      </c>
      <c r="Q134" s="13" t="str">
        <f t="shared" ca="1" si="32"/>
        <v>0001010100010111</v>
      </c>
      <c r="R134" s="13">
        <f t="shared" ca="1" si="33"/>
        <v>1.0122816066741944</v>
      </c>
      <c r="S134" s="13">
        <f t="shared" ca="1" si="34"/>
        <v>32.147379280090334</v>
      </c>
      <c r="T134" s="17">
        <f t="shared" ca="1" si="36"/>
        <v>3.1705443370773155E-2</v>
      </c>
      <c r="U134" s="13"/>
      <c r="V134" s="14">
        <f t="shared" ca="1" si="35"/>
        <v>1.052621</v>
      </c>
      <c r="W134" s="13"/>
      <c r="X134" s="2"/>
    </row>
    <row r="135" spans="8:24" x14ac:dyDescent="0.25">
      <c r="H135" s="13">
        <v>33.299999999999997</v>
      </c>
      <c r="I135" s="13">
        <v>1.0179013398794567</v>
      </c>
      <c r="J135" s="14">
        <f t="shared" si="26"/>
        <v>-1.4899999999999999E-4</v>
      </c>
      <c r="K135" s="23">
        <f t="shared" si="27"/>
        <v>6.7000000000000002E-5</v>
      </c>
      <c r="L135" s="14">
        <f t="shared" si="28"/>
        <v>2.5569999999999998E-3</v>
      </c>
      <c r="M135" s="10">
        <f t="shared" si="29"/>
        <v>1.0207181679288506</v>
      </c>
      <c r="N135" s="16">
        <f t="shared" si="30"/>
        <v>2.7672898531869989E-3</v>
      </c>
      <c r="O135" s="13">
        <f t="shared" si="31"/>
        <v>5445.6296000000002</v>
      </c>
      <c r="P135" s="13">
        <f t="shared" ca="1" si="25"/>
        <v>5448</v>
      </c>
      <c r="Q135" s="13" t="str">
        <f t="shared" ca="1" si="32"/>
        <v>0001010101001000</v>
      </c>
      <c r="R135" s="13">
        <f t="shared" ca="1" si="33"/>
        <v>1.0214688262939453</v>
      </c>
      <c r="S135" s="13">
        <f t="shared" ca="1" si="34"/>
        <v>32.257625915527342</v>
      </c>
      <c r="T135" s="17">
        <f t="shared" ca="1" si="36"/>
        <v>3.1302525059238896E-2</v>
      </c>
      <c r="U135" s="13"/>
      <c r="V135" s="14">
        <f t="shared" ca="1" si="35"/>
        <v>1.0423739999999999</v>
      </c>
      <c r="W135" s="13"/>
      <c r="X135" s="2"/>
    </row>
    <row r="136" spans="8:24" x14ac:dyDescent="0.25">
      <c r="H136" s="13">
        <v>33.4</v>
      </c>
      <c r="I136" s="13">
        <v>1.0262691849931513</v>
      </c>
      <c r="J136" s="14">
        <f t="shared" si="26"/>
        <v>-1.4799999999999999E-4</v>
      </c>
      <c r="K136" s="23">
        <f t="shared" si="27"/>
        <v>6.7000000000000002E-5</v>
      </c>
      <c r="L136" s="14">
        <f t="shared" si="28"/>
        <v>2.5869999999999999E-3</v>
      </c>
      <c r="M136" s="10">
        <f t="shared" si="29"/>
        <v>1.0291374134357094</v>
      </c>
      <c r="N136" s="16">
        <f t="shared" si="30"/>
        <v>2.7948110344726122E-3</v>
      </c>
      <c r="O136" s="13">
        <f t="shared" si="31"/>
        <v>5490.5469999999996</v>
      </c>
      <c r="P136" s="13">
        <f t="shared" ca="1" si="25"/>
        <v>5492</v>
      </c>
      <c r="Q136" s="13" t="str">
        <f t="shared" ca="1" si="32"/>
        <v>0001010101110100</v>
      </c>
      <c r="R136" s="13">
        <f t="shared" ca="1" si="33"/>
        <v>1.0297185745239259</v>
      </c>
      <c r="S136" s="13">
        <f t="shared" ca="1" si="34"/>
        <v>32.356622894287113</v>
      </c>
      <c r="T136" s="17">
        <f t="shared" ca="1" si="36"/>
        <v>3.1238835500385784E-2</v>
      </c>
      <c r="U136" s="13"/>
      <c r="V136" s="14">
        <f t="shared" ca="1" si="35"/>
        <v>1.043377</v>
      </c>
      <c r="W136" s="13"/>
      <c r="X136" s="2"/>
    </row>
    <row r="137" spans="8:24" x14ac:dyDescent="0.25">
      <c r="H137" s="13">
        <v>33.5</v>
      </c>
      <c r="I137" s="13">
        <v>1.034662839961606</v>
      </c>
      <c r="J137" s="14">
        <f t="shared" si="26"/>
        <v>-1.47E-4</v>
      </c>
      <c r="K137" s="23">
        <f t="shared" si="27"/>
        <v>6.7999999999999999E-5</v>
      </c>
      <c r="L137" s="14">
        <f t="shared" si="28"/>
        <v>2.6180000000000001E-3</v>
      </c>
      <c r="M137" s="10">
        <f t="shared" si="29"/>
        <v>1.0375840832475478</v>
      </c>
      <c r="N137" s="16">
        <f t="shared" si="30"/>
        <v>2.8233770201413523E-3</v>
      </c>
      <c r="O137" s="13">
        <f t="shared" si="31"/>
        <v>5535.6108000000004</v>
      </c>
      <c r="P137" s="13">
        <f t="shared" ca="1" si="25"/>
        <v>5535</v>
      </c>
      <c r="Q137" s="13" t="str">
        <f t="shared" ca="1" si="32"/>
        <v>0001010110011111</v>
      </c>
      <c r="R137" s="13">
        <f t="shared" ca="1" si="33"/>
        <v>1.0377808284759522</v>
      </c>
      <c r="S137" s="13">
        <f t="shared" ca="1" si="34"/>
        <v>32.453369941711429</v>
      </c>
      <c r="T137" s="17">
        <f t="shared" ca="1" si="36"/>
        <v>3.1242688307121517E-2</v>
      </c>
      <c r="U137" s="13"/>
      <c r="V137" s="14">
        <f t="shared" ca="1" si="35"/>
        <v>1.0466299999999999</v>
      </c>
      <c r="W137" s="13"/>
      <c r="X137" s="2"/>
    </row>
    <row r="138" spans="8:24" x14ac:dyDescent="0.25">
      <c r="H138" s="13">
        <v>33.6</v>
      </c>
      <c r="I138" s="13">
        <v>1.0430822414126548</v>
      </c>
      <c r="J138" s="14">
        <f t="shared" si="26"/>
        <v>-1.47E-4</v>
      </c>
      <c r="K138" s="23">
        <f t="shared" si="27"/>
        <v>6.7999999999999999E-5</v>
      </c>
      <c r="L138" s="14">
        <f t="shared" si="28"/>
        <v>2.6480000000000002E-3</v>
      </c>
      <c r="M138" s="10">
        <f t="shared" si="29"/>
        <v>1.0460570468888162</v>
      </c>
      <c r="N138" s="16">
        <f t="shared" si="30"/>
        <v>2.8519376114893432E-3</v>
      </c>
      <c r="O138" s="13">
        <f t="shared" si="31"/>
        <v>5580.8149000000003</v>
      </c>
      <c r="P138" s="13">
        <f t="shared" ca="1" si="25"/>
        <v>5581</v>
      </c>
      <c r="Q138" s="13" t="str">
        <f t="shared" ca="1" si="32"/>
        <v>0001010111001101</v>
      </c>
      <c r="R138" s="13">
        <f t="shared" ca="1" si="33"/>
        <v>1.0464055652618409</v>
      </c>
      <c r="S138" s="13">
        <f t="shared" ca="1" si="34"/>
        <v>32.556866783142098</v>
      </c>
      <c r="T138" s="17">
        <f t="shared" ca="1" si="36"/>
        <v>3.1045631454104262E-2</v>
      </c>
      <c r="U138" s="13"/>
      <c r="V138" s="14">
        <f t="shared" ca="1" si="35"/>
        <v>1.0431330000000001</v>
      </c>
      <c r="W138" s="13"/>
      <c r="X138" s="2"/>
    </row>
    <row r="139" spans="8:24" x14ac:dyDescent="0.25">
      <c r="H139" s="13">
        <v>33.700000000000003</v>
      </c>
      <c r="I139" s="13">
        <v>1.0515273253880242</v>
      </c>
      <c r="J139" s="14">
        <f t="shared" si="26"/>
        <v>-1.46E-4</v>
      </c>
      <c r="K139" s="23">
        <f t="shared" si="27"/>
        <v>6.8999999999999997E-5</v>
      </c>
      <c r="L139" s="14">
        <f t="shared" si="28"/>
        <v>2.679E-3</v>
      </c>
      <c r="M139" s="10">
        <f t="shared" si="29"/>
        <v>1.0545563264044615</v>
      </c>
      <c r="N139" s="16">
        <f t="shared" si="30"/>
        <v>2.8805728042489006E-3</v>
      </c>
      <c r="O139" s="13">
        <f t="shared" si="31"/>
        <v>5626.1593999999996</v>
      </c>
      <c r="P139" s="13">
        <f t="shared" ca="1" si="25"/>
        <v>5626</v>
      </c>
      <c r="Q139" s="13" t="str">
        <f t="shared" ca="1" si="32"/>
        <v>0001010111111010</v>
      </c>
      <c r="R139" s="13">
        <f t="shared" ca="1" si="33"/>
        <v>1.0548428077697753</v>
      </c>
      <c r="S139" s="13">
        <f t="shared" ca="1" si="34"/>
        <v>32.658113693237311</v>
      </c>
      <c r="T139" s="17">
        <f t="shared" ca="1" si="36"/>
        <v>3.0916507619070964E-2</v>
      </c>
      <c r="U139" s="13"/>
      <c r="V139" s="14">
        <f t="shared" ca="1" si="35"/>
        <v>1.0418860000000001</v>
      </c>
      <c r="W139" s="13"/>
      <c r="X139" s="2"/>
    </row>
    <row r="140" spans="8:24" x14ac:dyDescent="0.25">
      <c r="H140" s="13">
        <v>33.799999999999997</v>
      </c>
      <c r="I140" s="13">
        <v>1.0599980275310716</v>
      </c>
      <c r="J140" s="14">
        <f t="shared" si="26"/>
        <v>-1.46E-4</v>
      </c>
      <c r="K140" s="23">
        <f t="shared" si="27"/>
        <v>6.8999999999999997E-5</v>
      </c>
      <c r="L140" s="14">
        <f t="shared" si="28"/>
        <v>2.709E-3</v>
      </c>
      <c r="M140" s="10">
        <f t="shared" si="29"/>
        <v>1.063081758893915</v>
      </c>
      <c r="N140" s="16">
        <f t="shared" si="30"/>
        <v>2.9091859444549313E-3</v>
      </c>
      <c r="O140" s="13">
        <f t="shared" si="31"/>
        <v>5671.6433999999999</v>
      </c>
      <c r="P140" s="13">
        <f t="shared" ca="1" si="25"/>
        <v>5673</v>
      </c>
      <c r="Q140" s="13" t="str">
        <f t="shared" ca="1" si="32"/>
        <v>0001011000101001</v>
      </c>
      <c r="R140" s="13">
        <f t="shared" ca="1" si="33"/>
        <v>1.0636550388336181</v>
      </c>
      <c r="S140" s="13">
        <f t="shared" ca="1" si="34"/>
        <v>32.763860466003422</v>
      </c>
      <c r="T140" s="17">
        <f t="shared" ca="1" si="36"/>
        <v>3.0655015798715247E-2</v>
      </c>
      <c r="U140" s="13"/>
      <c r="V140" s="14">
        <f t="shared" ca="1" si="35"/>
        <v>1.0361400000000001</v>
      </c>
      <c r="W140" s="13"/>
      <c r="X140" s="2"/>
    </row>
    <row r="141" spans="8:24" x14ac:dyDescent="0.25">
      <c r="H141" s="13">
        <v>33.9</v>
      </c>
      <c r="I141" s="13">
        <v>1.0684942823315078</v>
      </c>
      <c r="J141" s="14">
        <f t="shared" si="26"/>
        <v>-1.45E-4</v>
      </c>
      <c r="K141" s="23">
        <f t="shared" si="27"/>
        <v>6.9999999999999994E-5</v>
      </c>
      <c r="L141" s="14">
        <f t="shared" si="28"/>
        <v>2.7399999999999998E-3</v>
      </c>
      <c r="M141" s="10">
        <f t="shared" si="29"/>
        <v>1.071633398924561</v>
      </c>
      <c r="N141" s="16">
        <f t="shared" si="30"/>
        <v>2.9378880588892867E-3</v>
      </c>
      <c r="O141" s="13">
        <f t="shared" si="31"/>
        <v>5717.2672000000002</v>
      </c>
      <c r="P141" s="13">
        <f t="shared" ca="1" si="25"/>
        <v>5722</v>
      </c>
      <c r="Q141" s="13" t="str">
        <f t="shared" ca="1" si="32"/>
        <v>0001011001011010</v>
      </c>
      <c r="R141" s="13">
        <f t="shared" ca="1" si="33"/>
        <v>1.0728422584533692</v>
      </c>
      <c r="S141" s="13">
        <f t="shared" ca="1" si="34"/>
        <v>32.874107101440437</v>
      </c>
      <c r="T141" s="17">
        <f t="shared" ca="1" si="36"/>
        <v>3.0262327391137513E-2</v>
      </c>
      <c r="U141" s="13"/>
      <c r="V141" s="14">
        <f t="shared" ca="1" si="35"/>
        <v>1.0258929999999999</v>
      </c>
      <c r="W141" s="13"/>
      <c r="X141" s="2"/>
    </row>
    <row r="142" spans="8:24" x14ac:dyDescent="0.25">
      <c r="H142" s="13">
        <v>34</v>
      </c>
      <c r="I142" s="13">
        <v>1.0761698076267106</v>
      </c>
      <c r="J142" s="14">
        <f t="shared" si="26"/>
        <v>-1.45E-4</v>
      </c>
      <c r="K142" s="23">
        <f t="shared" si="27"/>
        <v>6.9999999999999994E-5</v>
      </c>
      <c r="L142" s="14">
        <f t="shared" si="28"/>
        <v>2.7699999999999999E-3</v>
      </c>
      <c r="M142" s="10">
        <f t="shared" si="29"/>
        <v>1.0793624810391891</v>
      </c>
      <c r="N142" s="16">
        <f t="shared" si="30"/>
        <v>2.966700412753048E-3</v>
      </c>
      <c r="O142" s="13">
        <f t="shared" si="31"/>
        <v>5758.5025999999998</v>
      </c>
      <c r="P142" s="13">
        <f t="shared" ca="1" si="25"/>
        <v>5763</v>
      </c>
      <c r="Q142" s="13" t="str">
        <f t="shared" ca="1" si="32"/>
        <v>0001011010000011</v>
      </c>
      <c r="R142" s="13">
        <f t="shared" ca="1" si="33"/>
        <v>1.0805295238494874</v>
      </c>
      <c r="S142" s="13">
        <f t="shared" ca="1" si="34"/>
        <v>32.966354286193855</v>
      </c>
      <c r="T142" s="17">
        <f t="shared" ca="1" si="36"/>
        <v>3.0401344523710142E-2</v>
      </c>
      <c r="U142" s="13"/>
      <c r="V142" s="14">
        <f t="shared" ca="1" si="35"/>
        <v>1.0336460000000001</v>
      </c>
      <c r="W142" s="13"/>
      <c r="X142" s="2"/>
    </row>
    <row r="143" spans="8:24" x14ac:dyDescent="0.25">
      <c r="H143" s="13">
        <v>34.1</v>
      </c>
      <c r="I143" s="13">
        <v>1.0847179867066346</v>
      </c>
      <c r="J143" s="14">
        <f t="shared" si="26"/>
        <v>-1.44E-4</v>
      </c>
      <c r="K143" s="23">
        <f t="shared" si="27"/>
        <v>7.1000000000000005E-5</v>
      </c>
      <c r="L143" s="14">
        <f t="shared" si="28"/>
        <v>2.8010000000000001E-3</v>
      </c>
      <c r="M143" s="10">
        <f t="shared" si="29"/>
        <v>1.0879672204330675</v>
      </c>
      <c r="N143" s="16">
        <f t="shared" si="30"/>
        <v>2.9954640434220968E-3</v>
      </c>
      <c r="O143" s="13">
        <f t="shared" si="31"/>
        <v>5804.4097000000002</v>
      </c>
      <c r="P143" s="13">
        <f t="shared" ref="P143:P206" ca="1" si="37">ROUND(O143+$C$47+$C$49+RANDBETWEEN($B$45,$D$45) + 1,0)</f>
        <v>5807</v>
      </c>
      <c r="Q143" s="13" t="str">
        <f t="shared" ca="1" si="32"/>
        <v>0001011010101111</v>
      </c>
      <c r="R143" s="13">
        <f t="shared" ca="1" si="33"/>
        <v>1.0887792720794678</v>
      </c>
      <c r="S143" s="13">
        <f t="shared" ca="1" si="34"/>
        <v>33.06535126495362</v>
      </c>
      <c r="T143" s="17">
        <f t="shared" ca="1" si="36"/>
        <v>3.0341605133324977E-2</v>
      </c>
      <c r="U143" s="13"/>
      <c r="V143" s="14">
        <f t="shared" ca="1" si="35"/>
        <v>1.0346489999999999</v>
      </c>
      <c r="W143" s="13"/>
      <c r="X143" s="2"/>
    </row>
    <row r="144" spans="8:24" x14ac:dyDescent="0.25">
      <c r="H144" s="13">
        <v>34.200000000000003</v>
      </c>
      <c r="I144" s="13">
        <v>1.093291522031212</v>
      </c>
      <c r="J144" s="14">
        <f t="shared" si="26"/>
        <v>-1.4300000000000001E-4</v>
      </c>
      <c r="K144" s="23">
        <f t="shared" si="27"/>
        <v>7.1000000000000005E-5</v>
      </c>
      <c r="L144" s="14">
        <f t="shared" si="28"/>
        <v>2.8310000000000002E-3</v>
      </c>
      <c r="M144" s="10">
        <f t="shared" si="29"/>
        <v>1.0965968234403716</v>
      </c>
      <c r="N144" s="16">
        <f t="shared" si="30"/>
        <v>3.0232571483026285E-3</v>
      </c>
      <c r="O144" s="13">
        <f t="shared" si="31"/>
        <v>5850.4494999999997</v>
      </c>
      <c r="P144" s="13">
        <f t="shared" ca="1" si="37"/>
        <v>5851</v>
      </c>
      <c r="Q144" s="13" t="str">
        <f t="shared" ca="1" si="32"/>
        <v>0001011011011011</v>
      </c>
      <c r="R144" s="13">
        <f t="shared" ca="1" si="33"/>
        <v>1.0970290203094482</v>
      </c>
      <c r="S144" s="13">
        <f t="shared" ca="1" si="34"/>
        <v>33.164348243713384</v>
      </c>
      <c r="T144" s="17">
        <f t="shared" ca="1" si="36"/>
        <v>3.0282215096099963E-2</v>
      </c>
      <c r="U144" s="13"/>
      <c r="V144" s="14">
        <f t="shared" ca="1" si="35"/>
        <v>1.035652</v>
      </c>
      <c r="W144" s="13"/>
      <c r="X144" s="2"/>
    </row>
    <row r="145" spans="8:24" x14ac:dyDescent="0.25">
      <c r="H145" s="13">
        <v>34.299999999999997</v>
      </c>
      <c r="I145" s="13">
        <v>1.1018903467887486</v>
      </c>
      <c r="J145" s="14">
        <f t="shared" si="26"/>
        <v>-1.4300000000000001E-4</v>
      </c>
      <c r="K145" s="23">
        <f t="shared" si="27"/>
        <v>7.2000000000000002E-5</v>
      </c>
      <c r="L145" s="14">
        <f t="shared" si="28"/>
        <v>2.862E-3</v>
      </c>
      <c r="M145" s="10">
        <f t="shared" si="29"/>
        <v>1.1052544189397542</v>
      </c>
      <c r="N145" s="16">
        <f t="shared" si="30"/>
        <v>3.0530008369793692E-3</v>
      </c>
      <c r="O145" s="13">
        <f t="shared" si="31"/>
        <v>5896.6386000000002</v>
      </c>
      <c r="P145" s="13">
        <f t="shared" ca="1" si="37"/>
        <v>5897</v>
      </c>
      <c r="Q145" s="13" t="str">
        <f t="shared" ca="1" si="32"/>
        <v>0001011100001001</v>
      </c>
      <c r="R145" s="13">
        <f t="shared" ca="1" si="33"/>
        <v>1.1056537570953369</v>
      </c>
      <c r="S145" s="13">
        <f t="shared" ca="1" si="34"/>
        <v>33.267845085144046</v>
      </c>
      <c r="T145" s="17">
        <f t="shared" ca="1" si="36"/>
        <v>3.0091980024954848E-2</v>
      </c>
      <c r="U145" s="13"/>
      <c r="V145" s="14">
        <f t="shared" ca="1" si="35"/>
        <v>1.0321549999999999</v>
      </c>
      <c r="W145" s="13"/>
      <c r="X145" s="2"/>
    </row>
    <row r="146" spans="8:24" x14ac:dyDescent="0.25">
      <c r="H146" s="13">
        <v>34.4</v>
      </c>
      <c r="I146" s="13">
        <v>1.1105143936996251</v>
      </c>
      <c r="J146" s="14">
        <f t="shared" si="26"/>
        <v>-1.4200000000000001E-4</v>
      </c>
      <c r="K146" s="23">
        <f t="shared" si="27"/>
        <v>7.2000000000000002E-5</v>
      </c>
      <c r="L146" s="14">
        <f t="shared" si="28"/>
        <v>2.892E-3</v>
      </c>
      <c r="M146" s="10">
        <f t="shared" si="29"/>
        <v>1.1139357280892592</v>
      </c>
      <c r="N146" s="16">
        <f t="shared" si="30"/>
        <v>3.0808555107836922E-3</v>
      </c>
      <c r="O146" s="13">
        <f t="shared" si="31"/>
        <v>5942.9542000000001</v>
      </c>
      <c r="P146" s="13">
        <f t="shared" ca="1" si="37"/>
        <v>5944</v>
      </c>
      <c r="Q146" s="13" t="str">
        <f t="shared" ca="1" si="32"/>
        <v>0001011100111000</v>
      </c>
      <c r="R146" s="13">
        <f t="shared" ca="1" si="33"/>
        <v>1.1144659881591796</v>
      </c>
      <c r="S146" s="13">
        <f t="shared" ca="1" si="34"/>
        <v>33.373591857910156</v>
      </c>
      <c r="T146" s="17">
        <f t="shared" ca="1" si="36"/>
        <v>2.9837445990983782E-2</v>
      </c>
      <c r="U146" s="13"/>
      <c r="V146" s="14">
        <f t="shared" ca="1" si="35"/>
        <v>1.026408</v>
      </c>
      <c r="W146" s="13"/>
      <c r="X146" s="2"/>
    </row>
    <row r="147" spans="8:24" x14ac:dyDescent="0.25">
      <c r="H147" s="13">
        <v>34.5</v>
      </c>
      <c r="I147" s="13">
        <v>1.1191635951030445</v>
      </c>
      <c r="J147" s="14">
        <f t="shared" si="26"/>
        <v>-1.4200000000000001E-4</v>
      </c>
      <c r="K147" s="23">
        <f t="shared" si="27"/>
        <v>7.2999999999999999E-5</v>
      </c>
      <c r="L147" s="14">
        <f t="shared" si="28"/>
        <v>2.9229999999999998E-3</v>
      </c>
      <c r="M147" s="10">
        <f t="shared" si="29"/>
        <v>1.1226449166604431</v>
      </c>
      <c r="N147" s="16">
        <f t="shared" si="30"/>
        <v>3.1106458185659784E-3</v>
      </c>
      <c r="O147" s="13">
        <f t="shared" si="31"/>
        <v>5989.4186</v>
      </c>
      <c r="P147" s="13">
        <f t="shared" ca="1" si="37"/>
        <v>5990</v>
      </c>
      <c r="Q147" s="13" t="str">
        <f t="shared" ca="1" si="32"/>
        <v>0001011101100110</v>
      </c>
      <c r="R147" s="13">
        <f t="shared" ca="1" si="33"/>
        <v>1.1230907249450683</v>
      </c>
      <c r="S147" s="13">
        <f t="shared" ca="1" si="34"/>
        <v>33.477088699340818</v>
      </c>
      <c r="T147" s="17">
        <f t="shared" ca="1" si="36"/>
        <v>2.964960291765744E-2</v>
      </c>
      <c r="U147" s="13"/>
      <c r="V147" s="14">
        <f t="shared" ca="1" si="35"/>
        <v>1.0229109999999999</v>
      </c>
      <c r="W147" s="13"/>
      <c r="X147" s="2"/>
    </row>
    <row r="148" spans="8:24" x14ac:dyDescent="0.25">
      <c r="H148" s="13">
        <v>34.6</v>
      </c>
      <c r="I148" s="13">
        <v>1.1269977732878522</v>
      </c>
      <c r="J148" s="14">
        <f t="shared" si="26"/>
        <v>-1.4100000000000001E-4</v>
      </c>
      <c r="K148" s="23">
        <f t="shared" si="27"/>
        <v>7.2999999999999999E-5</v>
      </c>
      <c r="L148" s="14">
        <f t="shared" si="28"/>
        <v>2.9529999999999999E-3</v>
      </c>
      <c r="M148" s="10">
        <f t="shared" si="29"/>
        <v>1.1305350720817093</v>
      </c>
      <c r="N148" s="16">
        <f t="shared" si="30"/>
        <v>3.1386919102222872E-3</v>
      </c>
      <c r="O148" s="13">
        <f t="shared" si="31"/>
        <v>6031.5132999999996</v>
      </c>
      <c r="P148" s="13">
        <f t="shared" ca="1" si="37"/>
        <v>6033</v>
      </c>
      <c r="Q148" s="13" t="str">
        <f t="shared" ca="1" si="32"/>
        <v>0001011110010001</v>
      </c>
      <c r="R148" s="13">
        <f t="shared" ca="1" si="33"/>
        <v>1.1311529788970947</v>
      </c>
      <c r="S148" s="13">
        <f t="shared" ca="1" si="34"/>
        <v>33.573835746765134</v>
      </c>
      <c r="T148" s="17">
        <f t="shared" ca="1" si="36"/>
        <v>2.9657926394071311E-2</v>
      </c>
      <c r="U148" s="13"/>
      <c r="V148" s="14">
        <f t="shared" ca="1" si="35"/>
        <v>1.0261640000000001</v>
      </c>
      <c r="W148" s="13"/>
      <c r="X148" s="2"/>
    </row>
    <row r="149" spans="8:24" x14ac:dyDescent="0.25">
      <c r="H149" s="13">
        <v>34.700000000000003</v>
      </c>
      <c r="I149" s="13">
        <v>1.1356980994981132</v>
      </c>
      <c r="J149" s="14">
        <f t="shared" si="26"/>
        <v>-1.3999999999999999E-4</v>
      </c>
      <c r="K149" s="23">
        <f t="shared" si="27"/>
        <v>7.3999999999999996E-5</v>
      </c>
      <c r="L149" s="14">
        <f t="shared" si="28"/>
        <v>2.9840000000000001E-3</v>
      </c>
      <c r="M149" s="10">
        <f t="shared" si="29"/>
        <v>1.1392955844501123</v>
      </c>
      <c r="N149" s="16">
        <f t="shared" si="30"/>
        <v>3.1676419583592441E-3</v>
      </c>
      <c r="O149" s="13">
        <f t="shared" si="31"/>
        <v>6078.2515000000003</v>
      </c>
      <c r="P149" s="13">
        <f t="shared" ca="1" si="37"/>
        <v>6083</v>
      </c>
      <c r="Q149" s="13" t="str">
        <f t="shared" ca="1" si="32"/>
        <v>0001011111000011</v>
      </c>
      <c r="R149" s="13">
        <f t="shared" ca="1" si="33"/>
        <v>1.1405276927947998</v>
      </c>
      <c r="S149" s="13">
        <f t="shared" ca="1" si="34"/>
        <v>33.686332313537605</v>
      </c>
      <c r="T149" s="17">
        <f t="shared" ca="1" si="36"/>
        <v>2.9212325258282358E-2</v>
      </c>
      <c r="U149" s="13"/>
      <c r="V149" s="14">
        <f t="shared" ca="1" si="35"/>
        <v>1.013668</v>
      </c>
      <c r="W149" s="13"/>
      <c r="X149" s="2"/>
    </row>
    <row r="150" spans="8:24" x14ac:dyDescent="0.25">
      <c r="H150" s="13">
        <v>34.799999999999997</v>
      </c>
      <c r="I150" s="13">
        <v>1.1444233745526953</v>
      </c>
      <c r="J150" s="14">
        <f t="shared" si="26"/>
        <v>-1.3999999999999999E-4</v>
      </c>
      <c r="K150" s="23">
        <f t="shared" si="27"/>
        <v>7.3999999999999996E-5</v>
      </c>
      <c r="L150" s="14">
        <f t="shared" si="28"/>
        <v>3.0140000000000002E-3</v>
      </c>
      <c r="M150" s="10">
        <f t="shared" si="29"/>
        <v>1.148081517434242</v>
      </c>
      <c r="N150" s="16">
        <f t="shared" si="30"/>
        <v>3.1964943768966292E-3</v>
      </c>
      <c r="O150" s="13">
        <f t="shared" si="31"/>
        <v>6125.1252999999997</v>
      </c>
      <c r="P150" s="13">
        <f t="shared" ca="1" si="37"/>
        <v>6126</v>
      </c>
      <c r="Q150" s="13" t="str">
        <f t="shared" ca="1" si="32"/>
        <v>0001011111101110</v>
      </c>
      <c r="R150" s="13">
        <f t="shared" ca="1" si="33"/>
        <v>1.1485899467468261</v>
      </c>
      <c r="S150" s="13">
        <f t="shared" ca="1" si="34"/>
        <v>33.783079360961921</v>
      </c>
      <c r="T150" s="17">
        <f t="shared" ca="1" si="36"/>
        <v>2.9221857443622889E-2</v>
      </c>
      <c r="U150" s="13"/>
      <c r="V150" s="14">
        <f t="shared" ca="1" si="35"/>
        <v>1.016921</v>
      </c>
      <c r="W150" s="13"/>
      <c r="X150" s="2"/>
    </row>
    <row r="151" spans="8:24" x14ac:dyDescent="0.25">
      <c r="H151" s="13">
        <v>34.9</v>
      </c>
      <c r="I151" s="13">
        <v>1.1523364911054492</v>
      </c>
      <c r="J151" s="14">
        <f t="shared" si="26"/>
        <v>-1.3899999999999999E-4</v>
      </c>
      <c r="K151" s="23">
        <f t="shared" si="27"/>
        <v>7.4999999999999993E-5</v>
      </c>
      <c r="L151" s="14">
        <f t="shared" si="28"/>
        <v>3.045E-3</v>
      </c>
      <c r="M151" s="10">
        <f t="shared" si="29"/>
        <v>1.1560534973950167</v>
      </c>
      <c r="N151" s="16">
        <f t="shared" si="30"/>
        <v>3.225625777069455E-3</v>
      </c>
      <c r="O151" s="13">
        <f t="shared" si="31"/>
        <v>6167.6566000000003</v>
      </c>
      <c r="P151" s="13">
        <f t="shared" ca="1" si="37"/>
        <v>6171</v>
      </c>
      <c r="Q151" s="13" t="str">
        <f t="shared" ca="1" si="32"/>
        <v>0001100000011011</v>
      </c>
      <c r="R151" s="13">
        <f t="shared" ca="1" si="33"/>
        <v>1.1570271892547608</v>
      </c>
      <c r="S151" s="13">
        <f t="shared" ca="1" si="34"/>
        <v>33.884326271057134</v>
      </c>
      <c r="T151" s="17">
        <f t="shared" ca="1" si="36"/>
        <v>2.9102399110110741E-2</v>
      </c>
      <c r="U151" s="13"/>
      <c r="V151" s="14">
        <f t="shared" ca="1" si="35"/>
        <v>1.015674</v>
      </c>
      <c r="W151" s="13"/>
      <c r="X151" s="2"/>
    </row>
    <row r="152" spans="8:24" x14ac:dyDescent="0.25">
      <c r="H152" s="13">
        <v>35</v>
      </c>
      <c r="I152" s="13">
        <v>1.1611124797924759</v>
      </c>
      <c r="J152" s="14">
        <f t="shared" si="26"/>
        <v>-1.3899999999999999E-4</v>
      </c>
      <c r="K152" s="23">
        <f t="shared" si="27"/>
        <v>7.4999999999999993E-5</v>
      </c>
      <c r="L152" s="14">
        <f t="shared" si="28"/>
        <v>3.075E-3</v>
      </c>
      <c r="M152" s="10">
        <f t="shared" si="29"/>
        <v>1.1648913423201102</v>
      </c>
      <c r="N152" s="16">
        <f t="shared" si="30"/>
        <v>3.2545189147477381E-3</v>
      </c>
      <c r="O152" s="13">
        <f t="shared" si="31"/>
        <v>6214.8073000000004</v>
      </c>
      <c r="P152" s="13">
        <f t="shared" ca="1" si="37"/>
        <v>6216</v>
      </c>
      <c r="Q152" s="13" t="str">
        <f t="shared" ca="1" si="32"/>
        <v>0001100001001000</v>
      </c>
      <c r="R152" s="13">
        <f t="shared" ca="1" si="33"/>
        <v>1.1654644317626954</v>
      </c>
      <c r="S152" s="13">
        <f t="shared" ca="1" si="34"/>
        <v>33.985573181152347</v>
      </c>
      <c r="T152" s="17">
        <f t="shared" ca="1" si="36"/>
        <v>2.898362339564723E-2</v>
      </c>
      <c r="U152" s="13"/>
      <c r="V152" s="14">
        <f t="shared" ca="1" si="35"/>
        <v>1.014427</v>
      </c>
      <c r="W152" s="13"/>
      <c r="X152" s="2"/>
    </row>
    <row r="153" spans="8:24" x14ac:dyDescent="0.25">
      <c r="H153" s="13">
        <v>35.1</v>
      </c>
      <c r="I153" s="13">
        <v>1.1690782242113369</v>
      </c>
      <c r="J153" s="14">
        <f t="shared" si="26"/>
        <v>-1.3799999999999999E-4</v>
      </c>
      <c r="K153" s="23">
        <f t="shared" si="27"/>
        <v>7.6000000000000004E-5</v>
      </c>
      <c r="L153" s="14">
        <f t="shared" si="28"/>
        <v>3.1059999999999998E-3</v>
      </c>
      <c r="M153" s="10">
        <f t="shared" si="29"/>
        <v>1.1729171246525074</v>
      </c>
      <c r="N153" s="16">
        <f t="shared" si="30"/>
        <v>3.2836985256142759E-3</v>
      </c>
      <c r="O153" s="13">
        <f t="shared" si="31"/>
        <v>6257.6256000000003</v>
      </c>
      <c r="P153" s="13">
        <f t="shared" ca="1" si="37"/>
        <v>6259</v>
      </c>
      <c r="Q153" s="13" t="str">
        <f t="shared" ca="1" si="32"/>
        <v>0001100001110011</v>
      </c>
      <c r="R153" s="13">
        <f t="shared" ca="1" si="33"/>
        <v>1.1735266857147217</v>
      </c>
      <c r="S153" s="13">
        <f t="shared" ca="1" si="34"/>
        <v>34.082320228576663</v>
      </c>
      <c r="T153" s="17">
        <f t="shared" ca="1" si="36"/>
        <v>2.8993725681576602E-2</v>
      </c>
      <c r="U153" s="13"/>
      <c r="V153" s="14">
        <f t="shared" ca="1" si="35"/>
        <v>1.0176799999999999</v>
      </c>
      <c r="W153" s="13"/>
      <c r="X153" s="2"/>
    </row>
    <row r="154" spans="8:24" x14ac:dyDescent="0.25">
      <c r="H154" s="13">
        <v>35.200000000000003</v>
      </c>
      <c r="I154" s="13">
        <v>1.177070844519533</v>
      </c>
      <c r="J154" s="14">
        <f t="shared" si="26"/>
        <v>-1.3799999999999999E-4</v>
      </c>
      <c r="K154" s="23">
        <f t="shared" si="27"/>
        <v>7.6000000000000004E-5</v>
      </c>
      <c r="L154" s="14">
        <f t="shared" si="28"/>
        <v>3.1359999999999999E-3</v>
      </c>
      <c r="M154" s="10">
        <f t="shared" si="29"/>
        <v>1.1809701851321073</v>
      </c>
      <c r="N154" s="16">
        <f t="shared" si="30"/>
        <v>3.3127492968920737E-3</v>
      </c>
      <c r="O154" s="13">
        <f t="shared" si="31"/>
        <v>6300.5895</v>
      </c>
      <c r="P154" s="13">
        <f t="shared" ca="1" si="37"/>
        <v>6303</v>
      </c>
      <c r="Q154" s="13" t="str">
        <f t="shared" ca="1" si="32"/>
        <v>0001100010011111</v>
      </c>
      <c r="R154" s="13">
        <f t="shared" ca="1" si="33"/>
        <v>1.1817764339447021</v>
      </c>
      <c r="S154" s="13">
        <f t="shared" ca="1" si="34"/>
        <v>34.181317207336427</v>
      </c>
      <c r="T154" s="17">
        <f t="shared" ca="1" si="36"/>
        <v>2.8939852064306128E-2</v>
      </c>
      <c r="U154" s="13"/>
      <c r="V154" s="14">
        <f t="shared" ca="1" si="35"/>
        <v>1.018683</v>
      </c>
      <c r="W154" s="13"/>
      <c r="X154" s="2"/>
    </row>
    <row r="155" spans="8:24" x14ac:dyDescent="0.25">
      <c r="H155" s="13">
        <v>35.299999999999997</v>
      </c>
      <c r="I155" s="13">
        <v>1.1859227458336492</v>
      </c>
      <c r="J155" s="14">
        <f t="shared" si="26"/>
        <v>-1.37E-4</v>
      </c>
      <c r="K155" s="23">
        <f t="shared" si="27"/>
        <v>7.7000000000000001E-5</v>
      </c>
      <c r="L155" s="14">
        <f t="shared" si="28"/>
        <v>3.1670000000000001E-3</v>
      </c>
      <c r="M155" s="10">
        <f t="shared" si="29"/>
        <v>1.1898859308907803</v>
      </c>
      <c r="N155" s="16">
        <f t="shared" si="30"/>
        <v>3.3418576977753945E-3</v>
      </c>
      <c r="O155" s="13">
        <f t="shared" si="31"/>
        <v>6348.1558000000005</v>
      </c>
      <c r="P155" s="13">
        <f t="shared" ca="1" si="37"/>
        <v>6352</v>
      </c>
      <c r="Q155" s="13" t="str">
        <f t="shared" ca="1" si="32"/>
        <v>0001100011010000</v>
      </c>
      <c r="R155" s="13">
        <f t="shared" ca="1" si="33"/>
        <v>1.1909636535644532</v>
      </c>
      <c r="S155" s="13">
        <f t="shared" ca="1" si="34"/>
        <v>34.291563842773442</v>
      </c>
      <c r="T155" s="17">
        <f t="shared" ca="1" si="36"/>
        <v>2.8567596521998726E-2</v>
      </c>
      <c r="U155" s="13"/>
      <c r="V155" s="14">
        <f t="shared" ca="1" si="35"/>
        <v>1.0084360000000001</v>
      </c>
      <c r="W155" s="13"/>
      <c r="X155" s="2"/>
    </row>
    <row r="156" spans="8:24" x14ac:dyDescent="0.25">
      <c r="H156" s="13">
        <v>35.4</v>
      </c>
      <c r="I156" s="13">
        <v>1.1947993237208343</v>
      </c>
      <c r="J156" s="14">
        <f t="shared" si="26"/>
        <v>-1.36E-4</v>
      </c>
      <c r="K156" s="23">
        <f t="shared" si="27"/>
        <v>7.7000000000000001E-5</v>
      </c>
      <c r="L156" s="14">
        <f t="shared" si="28"/>
        <v>3.1970000000000002E-3</v>
      </c>
      <c r="M156" s="10">
        <f t="shared" si="29"/>
        <v>1.1988257843273287</v>
      </c>
      <c r="N156" s="16">
        <f t="shared" si="30"/>
        <v>3.3699890237259204E-3</v>
      </c>
      <c r="O156" s="13">
        <f t="shared" si="31"/>
        <v>6395.8508000000002</v>
      </c>
      <c r="P156" s="13">
        <f t="shared" ca="1" si="37"/>
        <v>6399</v>
      </c>
      <c r="Q156" s="13" t="str">
        <f t="shared" ca="1" si="32"/>
        <v>0001100011111111</v>
      </c>
      <c r="R156" s="13">
        <f t="shared" ca="1" si="33"/>
        <v>1.199775884628296</v>
      </c>
      <c r="S156" s="13">
        <f t="shared" ca="1" si="34"/>
        <v>34.397310615539553</v>
      </c>
      <c r="T156" s="17">
        <f t="shared" ca="1" si="36"/>
        <v>2.8324558883063445E-2</v>
      </c>
      <c r="U156" s="13"/>
      <c r="V156" s="14">
        <f t="shared" ca="1" si="35"/>
        <v>1.0026889999999999</v>
      </c>
      <c r="W156" s="13"/>
      <c r="X156" s="2"/>
    </row>
    <row r="157" spans="8:24" x14ac:dyDescent="0.25">
      <c r="H157" s="13">
        <v>35.5</v>
      </c>
      <c r="I157" s="13">
        <v>1.2028694927067178</v>
      </c>
      <c r="J157" s="14">
        <f t="shared" si="26"/>
        <v>-1.36E-4</v>
      </c>
      <c r="K157" s="23">
        <f t="shared" si="27"/>
        <v>7.7999999999999999E-5</v>
      </c>
      <c r="L157" s="14">
        <f t="shared" si="28"/>
        <v>3.228E-3</v>
      </c>
      <c r="M157" s="10">
        <f t="shared" si="29"/>
        <v>1.2069593703301433</v>
      </c>
      <c r="N157" s="16">
        <f t="shared" si="30"/>
        <v>3.4001008822847306E-3</v>
      </c>
      <c r="O157" s="13">
        <f t="shared" si="31"/>
        <v>6439.2443000000003</v>
      </c>
      <c r="P157" s="13">
        <f t="shared" ca="1" si="37"/>
        <v>6442</v>
      </c>
      <c r="Q157" s="13" t="str">
        <f t="shared" ca="1" si="32"/>
        <v>0001100100101010</v>
      </c>
      <c r="R157" s="13">
        <f t="shared" ca="1" si="33"/>
        <v>1.2078381385803223</v>
      </c>
      <c r="S157" s="13">
        <f t="shared" ca="1" si="34"/>
        <v>34.494057662963868</v>
      </c>
      <c r="T157" s="17">
        <f t="shared" ca="1" si="36"/>
        <v>2.8336403860172721E-2</v>
      </c>
      <c r="U157" s="13"/>
      <c r="V157" s="14">
        <f t="shared" ca="1" si="35"/>
        <v>1.0059419999999999</v>
      </c>
      <c r="W157" s="13"/>
      <c r="X157" s="2"/>
    </row>
    <row r="158" spans="8:24" x14ac:dyDescent="0.25">
      <c r="H158" s="13">
        <v>35.6</v>
      </c>
      <c r="I158" s="13">
        <v>1.2117959388248591</v>
      </c>
      <c r="J158" s="14">
        <f t="shared" si="26"/>
        <v>-1.35E-4</v>
      </c>
      <c r="K158" s="23">
        <f t="shared" si="27"/>
        <v>7.7999999999999999E-5</v>
      </c>
      <c r="L158" s="14">
        <f t="shared" si="28"/>
        <v>3.258E-3</v>
      </c>
      <c r="M158" s="10">
        <f t="shared" si="29"/>
        <v>1.2159503159903555</v>
      </c>
      <c r="N158" s="16">
        <f t="shared" si="30"/>
        <v>3.4282811423886222E-3</v>
      </c>
      <c r="O158" s="13">
        <f t="shared" si="31"/>
        <v>6487.2118</v>
      </c>
      <c r="P158" s="13">
        <f t="shared" ca="1" si="37"/>
        <v>6489</v>
      </c>
      <c r="Q158" s="13" t="str">
        <f t="shared" ca="1" si="32"/>
        <v>0001100101011001</v>
      </c>
      <c r="R158" s="13">
        <f t="shared" ca="1" si="33"/>
        <v>1.2166503696441651</v>
      </c>
      <c r="S158" s="13">
        <f t="shared" ca="1" si="34"/>
        <v>34.599804435729979</v>
      </c>
      <c r="T158" s="17">
        <f t="shared" ca="1" si="36"/>
        <v>2.8095381018820854E-2</v>
      </c>
      <c r="U158" s="13"/>
      <c r="V158" s="14">
        <f t="shared" ca="1" si="35"/>
        <v>1.0001960000000001</v>
      </c>
      <c r="W158" s="13"/>
      <c r="X158" s="2"/>
    </row>
    <row r="159" spans="8:24" x14ac:dyDescent="0.25">
      <c r="H159" s="13">
        <v>35.700000000000003</v>
      </c>
      <c r="I159" s="13">
        <v>1.2199178973539102</v>
      </c>
      <c r="J159" s="14">
        <f t="shared" si="26"/>
        <v>-1.35E-4</v>
      </c>
      <c r="K159" s="23">
        <f t="shared" si="27"/>
        <v>7.8999999999999996E-5</v>
      </c>
      <c r="L159" s="14">
        <f t="shared" si="28"/>
        <v>3.2889999999999998E-3</v>
      </c>
      <c r="M159" s="10">
        <f t="shared" si="29"/>
        <v>1.2241368928324359</v>
      </c>
      <c r="N159" s="16">
        <f t="shared" si="30"/>
        <v>3.4584257577308865E-3</v>
      </c>
      <c r="O159" s="13">
        <f t="shared" si="31"/>
        <v>6530.8879999999999</v>
      </c>
      <c r="P159" s="13">
        <f t="shared" ca="1" si="37"/>
        <v>6530</v>
      </c>
      <c r="Q159" s="13" t="str">
        <f t="shared" ca="1" si="32"/>
        <v>0001100110000010</v>
      </c>
      <c r="R159" s="13">
        <f t="shared" ca="1" si="33"/>
        <v>1.2243376350402833</v>
      </c>
      <c r="S159" s="13">
        <f t="shared" ca="1" si="34"/>
        <v>34.692051620483397</v>
      </c>
      <c r="T159" s="17">
        <f t="shared" ca="1" si="36"/>
        <v>2.8233848165731247E-2</v>
      </c>
      <c r="U159" s="13"/>
      <c r="V159" s="14">
        <f t="shared" ca="1" si="35"/>
        <v>1.0079480000000001</v>
      </c>
      <c r="W159" s="13"/>
      <c r="X159" s="2"/>
    </row>
    <row r="160" spans="8:24" x14ac:dyDescent="0.25">
      <c r="H160" s="13">
        <v>35.799999999999997</v>
      </c>
      <c r="I160" s="13">
        <v>1.2288939224347317</v>
      </c>
      <c r="J160" s="14">
        <f t="shared" si="26"/>
        <v>-1.34E-4</v>
      </c>
      <c r="K160" s="23">
        <f t="shared" si="27"/>
        <v>7.8999999999999996E-5</v>
      </c>
      <c r="L160" s="14">
        <f t="shared" si="28"/>
        <v>3.3189999999999999E-3</v>
      </c>
      <c r="M160" s="10">
        <f t="shared" si="29"/>
        <v>1.2331786498716557</v>
      </c>
      <c r="N160" s="16">
        <f t="shared" si="30"/>
        <v>3.4866536148497823E-3</v>
      </c>
      <c r="O160" s="13">
        <f t="shared" si="31"/>
        <v>6579.1266999999998</v>
      </c>
      <c r="P160" s="13">
        <f t="shared" ca="1" si="37"/>
        <v>6581</v>
      </c>
      <c r="Q160" s="13" t="str">
        <f t="shared" ca="1" si="32"/>
        <v>0001100110110101</v>
      </c>
      <c r="R160" s="13">
        <f t="shared" ca="1" si="33"/>
        <v>1.2338998432159425</v>
      </c>
      <c r="S160" s="13">
        <f t="shared" ca="1" si="34"/>
        <v>34.806798118591317</v>
      </c>
      <c r="T160" s="17">
        <f t="shared" ca="1" si="36"/>
        <v>2.7743069313091631E-2</v>
      </c>
      <c r="U160" s="13"/>
      <c r="V160" s="14">
        <f t="shared" ca="1" si="35"/>
        <v>0.99320200000000003</v>
      </c>
      <c r="W160" s="13"/>
      <c r="X160" s="2"/>
    </row>
    <row r="161" spans="8:24" x14ac:dyDescent="0.25">
      <c r="H161" s="13">
        <v>35.9</v>
      </c>
      <c r="I161" s="13">
        <v>1.2370673836998776</v>
      </c>
      <c r="J161" s="14">
        <f t="shared" si="26"/>
        <v>-1.34E-4</v>
      </c>
      <c r="K161" s="23">
        <f t="shared" si="27"/>
        <v>8.0000000000000007E-5</v>
      </c>
      <c r="L161" s="14">
        <f t="shared" si="28"/>
        <v>3.3500000000000001E-3</v>
      </c>
      <c r="M161" s="10">
        <f t="shared" si="29"/>
        <v>1.2414179394971931</v>
      </c>
      <c r="N161" s="16">
        <f t="shared" si="30"/>
        <v>3.5168300891611414E-3</v>
      </c>
      <c r="O161" s="13">
        <f t="shared" si="31"/>
        <v>6623.0841</v>
      </c>
      <c r="P161" s="13">
        <f t="shared" ca="1" si="37"/>
        <v>6628</v>
      </c>
      <c r="Q161" s="13" t="str">
        <f t="shared" ca="1" si="32"/>
        <v>0001100111100100</v>
      </c>
      <c r="R161" s="13">
        <f t="shared" ca="1" si="33"/>
        <v>1.2427120742797853</v>
      </c>
      <c r="S161" s="13">
        <f t="shared" ca="1" si="34"/>
        <v>34.912544891357427</v>
      </c>
      <c r="T161" s="17">
        <f t="shared" ca="1" si="36"/>
        <v>2.7505713332662149E-2</v>
      </c>
      <c r="U161" s="13"/>
      <c r="V161" s="14">
        <f t="shared" ca="1" si="35"/>
        <v>0.98745499999999997</v>
      </c>
      <c r="W161" s="13"/>
      <c r="X161" s="2"/>
    </row>
    <row r="162" spans="8:24" x14ac:dyDescent="0.25">
      <c r="H162" s="13">
        <v>36</v>
      </c>
      <c r="I162" s="13">
        <v>1.2460926948151463</v>
      </c>
      <c r="J162" s="14">
        <f t="shared" si="26"/>
        <v>-1.3300000000000001E-4</v>
      </c>
      <c r="K162" s="23">
        <f t="shared" si="27"/>
        <v>8.0000000000000007E-5</v>
      </c>
      <c r="L162" s="14">
        <f t="shared" si="28"/>
        <v>3.3800000000000002E-3</v>
      </c>
      <c r="M162" s="10">
        <f t="shared" si="29"/>
        <v>1.2505102233300016</v>
      </c>
      <c r="N162" s="16">
        <f t="shared" si="30"/>
        <v>3.5451042552742474E-3</v>
      </c>
      <c r="O162" s="13">
        <f t="shared" si="31"/>
        <v>6671.5923000000003</v>
      </c>
      <c r="P162" s="13">
        <f t="shared" ca="1" si="37"/>
        <v>6675</v>
      </c>
      <c r="Q162" s="13" t="str">
        <f t="shared" ca="1" si="32"/>
        <v>0001101000010011</v>
      </c>
      <c r="R162" s="13">
        <f t="shared" ca="1" si="33"/>
        <v>1.251524305343628</v>
      </c>
      <c r="S162" s="13">
        <f t="shared" ca="1" si="34"/>
        <v>35.018291664123538</v>
      </c>
      <c r="T162" s="17">
        <f t="shared" ca="1" si="36"/>
        <v>2.726967599656839E-2</v>
      </c>
      <c r="U162" s="13"/>
      <c r="V162" s="14">
        <f t="shared" ca="1" si="35"/>
        <v>0.98170800000000003</v>
      </c>
      <c r="W162" s="13"/>
      <c r="X162" s="2"/>
    </row>
    <row r="163" spans="8:24" x14ac:dyDescent="0.25">
      <c r="H163" s="13">
        <v>36.1</v>
      </c>
      <c r="I163" s="13">
        <v>1.2543173683184827</v>
      </c>
      <c r="J163" s="14">
        <f t="shared" si="26"/>
        <v>-1.3200000000000001E-4</v>
      </c>
      <c r="K163" s="23">
        <f t="shared" si="27"/>
        <v>8.1000000000000004E-5</v>
      </c>
      <c r="L163" s="14">
        <f t="shared" si="28"/>
        <v>3.411E-3</v>
      </c>
      <c r="M163" s="10">
        <f t="shared" si="29"/>
        <v>1.258800940488489</v>
      </c>
      <c r="N163" s="16">
        <f t="shared" si="30"/>
        <v>3.5745117489817441E-3</v>
      </c>
      <c r="O163" s="13">
        <f t="shared" si="31"/>
        <v>6715.8239999999996</v>
      </c>
      <c r="P163" s="13">
        <f t="shared" ca="1" si="37"/>
        <v>6717</v>
      </c>
      <c r="Q163" s="13" t="str">
        <f t="shared" ca="1" si="32"/>
        <v>0001101000111101</v>
      </c>
      <c r="R163" s="13">
        <f t="shared" ca="1" si="33"/>
        <v>1.2593990650177003</v>
      </c>
      <c r="S163" s="13">
        <f t="shared" ca="1" si="34"/>
        <v>35.112788780212405</v>
      </c>
      <c r="T163" s="17">
        <f t="shared" ca="1" si="36"/>
        <v>2.7346571185251977E-2</v>
      </c>
      <c r="U163" s="13"/>
      <c r="V163" s="14">
        <f t="shared" ca="1" si="35"/>
        <v>0.98721099999999995</v>
      </c>
      <c r="W163" s="13"/>
      <c r="X163" s="2"/>
    </row>
    <row r="164" spans="8:24" x14ac:dyDescent="0.25">
      <c r="H164" s="13">
        <v>36.200000000000003</v>
      </c>
      <c r="I164" s="13">
        <v>1.2633916690139544</v>
      </c>
      <c r="J164" s="14">
        <f t="shared" si="26"/>
        <v>-1.3200000000000001E-4</v>
      </c>
      <c r="K164" s="23">
        <f t="shared" si="27"/>
        <v>8.1000000000000004E-5</v>
      </c>
      <c r="L164" s="14">
        <f t="shared" si="28"/>
        <v>3.441E-3</v>
      </c>
      <c r="M164" s="10">
        <f t="shared" si="29"/>
        <v>1.2679444663446462</v>
      </c>
      <c r="N164" s="16">
        <f t="shared" si="30"/>
        <v>3.603630958121759E-3</v>
      </c>
      <c r="O164" s="13">
        <f t="shared" si="31"/>
        <v>6764.6055999999999</v>
      </c>
      <c r="P164" s="13">
        <f t="shared" ca="1" si="37"/>
        <v>6768</v>
      </c>
      <c r="Q164" s="13" t="str">
        <f t="shared" ca="1" si="32"/>
        <v>0001101001110000</v>
      </c>
      <c r="R164" s="13">
        <f t="shared" ca="1" si="33"/>
        <v>1.2689612731933595</v>
      </c>
      <c r="S164" s="13">
        <f t="shared" ca="1" si="34"/>
        <v>35.227535278320318</v>
      </c>
      <c r="T164" s="17">
        <f t="shared" ca="1" si="36"/>
        <v>2.6863666344742687E-2</v>
      </c>
      <c r="U164" s="13"/>
      <c r="V164" s="14">
        <f t="shared" ca="1" si="35"/>
        <v>0.97246500000000002</v>
      </c>
      <c r="W164" s="13"/>
      <c r="X164" s="2"/>
    </row>
    <row r="165" spans="8:24" x14ac:dyDescent="0.25">
      <c r="H165" s="13">
        <v>36.299999999999997</v>
      </c>
      <c r="I165" s="13">
        <v>1.2716672606091119</v>
      </c>
      <c r="J165" s="14">
        <f t="shared" si="26"/>
        <v>-1.3100000000000001E-4</v>
      </c>
      <c r="K165" s="23">
        <f t="shared" si="27"/>
        <v>8.2000000000000001E-5</v>
      </c>
      <c r="L165" s="14">
        <f t="shared" si="28"/>
        <v>3.4719999999999998E-3</v>
      </c>
      <c r="M165" s="10">
        <f t="shared" si="29"/>
        <v>1.2762873288388403</v>
      </c>
      <c r="N165" s="16">
        <f t="shared" si="30"/>
        <v>3.6330794798597145E-3</v>
      </c>
      <c r="O165" s="13">
        <f t="shared" si="31"/>
        <v>6809.1156000000001</v>
      </c>
      <c r="P165" s="13">
        <f t="shared" ca="1" si="37"/>
        <v>6813</v>
      </c>
      <c r="Q165" s="13" t="str">
        <f t="shared" ca="1" si="32"/>
        <v>0001101010011101</v>
      </c>
      <c r="R165" s="13">
        <f t="shared" ca="1" si="33"/>
        <v>1.2773985157012939</v>
      </c>
      <c r="S165" s="13">
        <f t="shared" ca="1" si="34"/>
        <v>35.328782188415531</v>
      </c>
      <c r="T165" s="17">
        <f t="shared" ca="1" si="36"/>
        <v>2.6755311613897152E-2</v>
      </c>
      <c r="U165" s="13"/>
      <c r="V165" s="14">
        <f t="shared" ca="1" si="35"/>
        <v>0.97121800000000003</v>
      </c>
      <c r="W165" s="13"/>
      <c r="X165" s="2"/>
    </row>
    <row r="166" spans="8:24" x14ac:dyDescent="0.25">
      <c r="H166" s="13">
        <v>36.400000000000006</v>
      </c>
      <c r="I166" s="13">
        <v>1.2807902506516557</v>
      </c>
      <c r="J166" s="14">
        <f t="shared" si="26"/>
        <v>-1.3100000000000001E-4</v>
      </c>
      <c r="K166" s="23">
        <f t="shared" si="27"/>
        <v>8.2000000000000001E-5</v>
      </c>
      <c r="L166" s="14">
        <f t="shared" si="28"/>
        <v>3.5019999999999999E-3</v>
      </c>
      <c r="M166" s="10">
        <f t="shared" si="29"/>
        <v>1.2854808013018146</v>
      </c>
      <c r="N166" s="16">
        <f t="shared" si="30"/>
        <v>3.6622316946684848E-3</v>
      </c>
      <c r="O166" s="13">
        <f t="shared" si="31"/>
        <v>6858.1637000000001</v>
      </c>
      <c r="P166" s="13">
        <f t="shared" ca="1" si="37"/>
        <v>6863</v>
      </c>
      <c r="Q166" s="13" t="str">
        <f t="shared" ca="1" si="32"/>
        <v>0001101011001111</v>
      </c>
      <c r="R166" s="13">
        <f t="shared" ca="1" si="33"/>
        <v>1.2867732295989991</v>
      </c>
      <c r="S166" s="13">
        <f t="shared" ca="1" si="34"/>
        <v>35.441278755187987</v>
      </c>
      <c r="T166" s="17">
        <f t="shared" ca="1" si="36"/>
        <v>2.6338495736593907E-2</v>
      </c>
      <c r="U166" s="13"/>
      <c r="V166" s="14">
        <f t="shared" ca="1" si="35"/>
        <v>0.95872100000000005</v>
      </c>
      <c r="W166" s="13"/>
      <c r="X166" s="2"/>
    </row>
    <row r="167" spans="8:24" x14ac:dyDescent="0.25">
      <c r="H167" s="13">
        <v>36.5</v>
      </c>
      <c r="I167" s="13">
        <v>1.2891164628449463</v>
      </c>
      <c r="J167" s="14">
        <f t="shared" si="26"/>
        <v>-1.2999999999999999E-4</v>
      </c>
      <c r="K167" s="23">
        <f t="shared" si="27"/>
        <v>8.2999999999999998E-5</v>
      </c>
      <c r="L167" s="14">
        <f t="shared" si="28"/>
        <v>3.5330000000000001E-3</v>
      </c>
      <c r="M167" s="10">
        <f t="shared" si="29"/>
        <v>1.2938755201436136</v>
      </c>
      <c r="N167" s="16">
        <f t="shared" si="30"/>
        <v>3.6917202097974749E-3</v>
      </c>
      <c r="O167" s="13">
        <f t="shared" si="31"/>
        <v>6902.9503000000004</v>
      </c>
      <c r="P167" s="13">
        <f t="shared" ca="1" si="37"/>
        <v>6902</v>
      </c>
      <c r="Q167" s="13" t="str">
        <f t="shared" ca="1" si="32"/>
        <v>0001101011110110</v>
      </c>
      <c r="R167" s="13">
        <f t="shared" ca="1" si="33"/>
        <v>1.2940855064392089</v>
      </c>
      <c r="S167" s="13">
        <f t="shared" ca="1" si="34"/>
        <v>35.529026077270508</v>
      </c>
      <c r="T167" s="17">
        <f t="shared" ca="1" si="36"/>
        <v>2.6602025280260049E-2</v>
      </c>
      <c r="U167" s="13"/>
      <c r="V167" s="14">
        <f t="shared" ca="1" si="35"/>
        <v>0.970974</v>
      </c>
      <c r="W167" s="13"/>
      <c r="X167" s="2"/>
    </row>
    <row r="168" spans="8:24" x14ac:dyDescent="0.25">
      <c r="H168" s="13">
        <v>36.6</v>
      </c>
      <c r="I168" s="13">
        <v>1.2974683944769771</v>
      </c>
      <c r="J168" s="14">
        <f t="shared" si="26"/>
        <v>-1.2999999999999999E-4</v>
      </c>
      <c r="K168" s="23">
        <f t="shared" si="27"/>
        <v>8.2999999999999998E-5</v>
      </c>
      <c r="L168" s="14">
        <f t="shared" si="28"/>
        <v>3.5630000000000002E-3</v>
      </c>
      <c r="M168" s="10">
        <f t="shared" si="29"/>
        <v>1.3022962694309594</v>
      </c>
      <c r="N168" s="16">
        <f t="shared" si="30"/>
        <v>3.7209961911468816E-3</v>
      </c>
      <c r="O168" s="13">
        <f t="shared" si="31"/>
        <v>6947.8757999999998</v>
      </c>
      <c r="P168" s="13">
        <f t="shared" ca="1" si="37"/>
        <v>6946</v>
      </c>
      <c r="Q168" s="13" t="str">
        <f t="shared" ca="1" si="32"/>
        <v>0001101100100010</v>
      </c>
      <c r="R168" s="13">
        <f t="shared" ca="1" si="33"/>
        <v>1.3023352546691895</v>
      </c>
      <c r="S168" s="13">
        <f t="shared" ca="1" si="34"/>
        <v>35.628023056030273</v>
      </c>
      <c r="T168" s="17">
        <f t="shared" ca="1" si="36"/>
        <v>2.6556747102998053E-2</v>
      </c>
      <c r="U168" s="13"/>
      <c r="V168" s="14">
        <f t="shared" ca="1" si="35"/>
        <v>0.97197699999999998</v>
      </c>
      <c r="W168" s="13"/>
      <c r="X168" s="2"/>
    </row>
    <row r="169" spans="8:24" x14ac:dyDescent="0.25">
      <c r="H169" s="13">
        <v>36.700000000000003</v>
      </c>
      <c r="I169" s="13">
        <v>1.3066643697019833</v>
      </c>
      <c r="J169" s="14">
        <f t="shared" si="26"/>
        <v>-1.2899999999999999E-4</v>
      </c>
      <c r="K169" s="23">
        <f t="shared" si="27"/>
        <v>8.3999999999999995E-5</v>
      </c>
      <c r="L169" s="14">
        <f t="shared" si="28"/>
        <v>3.594E-3</v>
      </c>
      <c r="M169" s="10">
        <f t="shared" si="29"/>
        <v>1.311564925592563</v>
      </c>
      <c r="N169" s="16">
        <f t="shared" si="30"/>
        <v>3.7504320192777475E-3</v>
      </c>
      <c r="O169" s="13">
        <f t="shared" si="31"/>
        <v>6997.3249999999998</v>
      </c>
      <c r="P169" s="13">
        <f t="shared" ca="1" si="37"/>
        <v>6999</v>
      </c>
      <c r="Q169" s="13" t="str">
        <f t="shared" ca="1" si="32"/>
        <v>0001101101010111</v>
      </c>
      <c r="R169" s="13">
        <f t="shared" ca="1" si="33"/>
        <v>1.3122724514007569</v>
      </c>
      <c r="S169" s="13">
        <f t="shared" ca="1" si="34"/>
        <v>35.74726941680909</v>
      </c>
      <c r="T169" s="17">
        <f t="shared" ca="1" si="36"/>
        <v>2.5959961394847769E-2</v>
      </c>
      <c r="U169" s="13"/>
      <c r="V169" s="14">
        <f t="shared" ca="1" si="35"/>
        <v>0.95273099999999999</v>
      </c>
      <c r="W169" s="13"/>
      <c r="X169" s="2"/>
    </row>
    <row r="170" spans="8:24" x14ac:dyDescent="0.25">
      <c r="H170" s="13">
        <v>36.799999999999997</v>
      </c>
      <c r="I170" s="13">
        <v>1.3150664694267538</v>
      </c>
      <c r="J170" s="14">
        <f t="shared" si="26"/>
        <v>-1.2799999999999999E-4</v>
      </c>
      <c r="K170" s="23">
        <f t="shared" si="27"/>
        <v>8.3999999999999995E-5</v>
      </c>
      <c r="L170" s="14">
        <f t="shared" si="28"/>
        <v>3.6240000000000001E-3</v>
      </c>
      <c r="M170" s="10">
        <f t="shared" si="29"/>
        <v>1.3200360699522604</v>
      </c>
      <c r="N170" s="16">
        <f t="shared" si="30"/>
        <v>3.7789728816315562E-3</v>
      </c>
      <c r="O170" s="13">
        <f t="shared" si="31"/>
        <v>7042.5194000000001</v>
      </c>
      <c r="P170" s="13">
        <f t="shared" ca="1" si="37"/>
        <v>7044</v>
      </c>
      <c r="Q170" s="13" t="str">
        <f t="shared" ca="1" si="32"/>
        <v>0001101110000100</v>
      </c>
      <c r="R170" s="13">
        <f t="shared" ca="1" si="33"/>
        <v>1.3207096939086915</v>
      </c>
      <c r="S170" s="13">
        <f t="shared" ca="1" si="34"/>
        <v>35.848516326904303</v>
      </c>
      <c r="T170" s="17">
        <f t="shared" ca="1" si="36"/>
        <v>2.5855534594991698E-2</v>
      </c>
      <c r="U170" s="13"/>
      <c r="V170" s="14">
        <f t="shared" ca="1" si="35"/>
        <v>0.951484</v>
      </c>
      <c r="W170" s="13"/>
      <c r="X170" s="2"/>
    </row>
    <row r="171" spans="8:24" x14ac:dyDescent="0.25">
      <c r="H171" s="13">
        <v>36.900000000000006</v>
      </c>
      <c r="I171" s="13">
        <v>1.3234940619596736</v>
      </c>
      <c r="J171" s="14">
        <f t="shared" si="26"/>
        <v>-1.2799999999999999E-4</v>
      </c>
      <c r="K171" s="23">
        <f t="shared" si="27"/>
        <v>8.5000000000000006E-5</v>
      </c>
      <c r="L171" s="14">
        <f t="shared" si="28"/>
        <v>3.6549999999999998E-3</v>
      </c>
      <c r="M171" s="10">
        <f t="shared" si="29"/>
        <v>1.3285356477622443</v>
      </c>
      <c r="N171" s="16">
        <f t="shared" si="30"/>
        <v>3.8092999035490667E-3</v>
      </c>
      <c r="O171" s="13">
        <f t="shared" si="31"/>
        <v>7087.8653999999997</v>
      </c>
      <c r="P171" s="13">
        <f t="shared" ca="1" si="37"/>
        <v>7086</v>
      </c>
      <c r="Q171" s="13" t="str">
        <f t="shared" ca="1" si="32"/>
        <v>0001101110101110</v>
      </c>
      <c r="R171" s="13">
        <f t="shared" ca="1" si="33"/>
        <v>1.3285844535827638</v>
      </c>
      <c r="S171" s="13">
        <f t="shared" ca="1" si="34"/>
        <v>35.94301344299317</v>
      </c>
      <c r="T171" s="17">
        <f t="shared" ca="1" si="36"/>
        <v>2.5934595040835656E-2</v>
      </c>
      <c r="U171" s="13"/>
      <c r="V171" s="14">
        <f t="shared" ca="1" si="35"/>
        <v>0.95698700000000003</v>
      </c>
      <c r="W171" s="13"/>
      <c r="X171" s="2"/>
    </row>
    <row r="172" spans="8:24" x14ac:dyDescent="0.25">
      <c r="H172" s="13">
        <v>37</v>
      </c>
      <c r="I172" s="13">
        <v>1.3327623305581238</v>
      </c>
      <c r="J172" s="14">
        <f t="shared" si="26"/>
        <v>-1.27E-4</v>
      </c>
      <c r="K172" s="23">
        <f t="shared" si="27"/>
        <v>8.5000000000000006E-5</v>
      </c>
      <c r="L172" s="14">
        <f t="shared" si="28"/>
        <v>3.6849999999999999E-3</v>
      </c>
      <c r="M172" s="10">
        <f t="shared" si="29"/>
        <v>1.337877194289079</v>
      </c>
      <c r="N172" s="16">
        <f t="shared" si="30"/>
        <v>3.837791340345959E-3</v>
      </c>
      <c r="O172" s="13">
        <f t="shared" si="31"/>
        <v>7137.7034999999996</v>
      </c>
      <c r="P172" s="13">
        <f t="shared" ca="1" si="37"/>
        <v>7138</v>
      </c>
      <c r="Q172" s="13" t="str">
        <f t="shared" ca="1" si="32"/>
        <v>0001101111100010</v>
      </c>
      <c r="R172" s="13">
        <f t="shared" ca="1" si="33"/>
        <v>1.3383341560363771</v>
      </c>
      <c r="S172" s="13">
        <f t="shared" ca="1" si="34"/>
        <v>36.060009872436531</v>
      </c>
      <c r="T172" s="17">
        <f t="shared" ca="1" si="36"/>
        <v>2.5405138582796461E-2</v>
      </c>
      <c r="U172" s="13"/>
      <c r="V172" s="14">
        <f t="shared" ca="1" si="35"/>
        <v>0.93998999999999999</v>
      </c>
      <c r="W172" s="13"/>
      <c r="X172" s="2"/>
    </row>
    <row r="173" spans="8:24" x14ac:dyDescent="0.25">
      <c r="H173" s="13">
        <v>37.1</v>
      </c>
      <c r="I173" s="13">
        <v>1.3412396305742418</v>
      </c>
      <c r="J173" s="14">
        <f t="shared" si="26"/>
        <v>-1.27E-4</v>
      </c>
      <c r="K173" s="23">
        <f t="shared" si="27"/>
        <v>8.6000000000000003E-5</v>
      </c>
      <c r="L173" s="14">
        <f t="shared" si="28"/>
        <v>3.7160000000000001E-3</v>
      </c>
      <c r="M173" s="10">
        <f t="shared" si="29"/>
        <v>1.3464277405300513</v>
      </c>
      <c r="N173" s="16">
        <f t="shared" si="30"/>
        <v>3.8681454361651157E-3</v>
      </c>
      <c r="O173" s="13">
        <f t="shared" si="31"/>
        <v>7183.3215</v>
      </c>
      <c r="P173" s="13">
        <f t="shared" ca="1" si="37"/>
        <v>7185</v>
      </c>
      <c r="Q173" s="13" t="str">
        <f t="shared" ca="1" si="32"/>
        <v>0001110000010001</v>
      </c>
      <c r="R173" s="13">
        <f t="shared" ca="1" si="33"/>
        <v>1.3471463871002198</v>
      </c>
      <c r="S173" s="13">
        <f t="shared" ca="1" si="34"/>
        <v>36.165756645202642</v>
      </c>
      <c r="T173" s="17">
        <f t="shared" ca="1" si="36"/>
        <v>2.5181761584834497E-2</v>
      </c>
      <c r="U173" s="13"/>
      <c r="V173" s="14">
        <f t="shared" ca="1" si="35"/>
        <v>0.93424300000000005</v>
      </c>
      <c r="W173" s="13"/>
      <c r="X173" s="2"/>
    </row>
    <row r="174" spans="8:24" x14ac:dyDescent="0.25">
      <c r="H174" s="13">
        <v>37.200000000000003</v>
      </c>
      <c r="I174" s="13">
        <v>1.3497421924039836</v>
      </c>
      <c r="J174" s="14">
        <f t="shared" si="26"/>
        <v>-1.26E-4</v>
      </c>
      <c r="K174" s="23">
        <f t="shared" si="27"/>
        <v>8.6000000000000003E-5</v>
      </c>
      <c r="L174" s="14">
        <f t="shared" si="28"/>
        <v>3.7460000000000002E-3</v>
      </c>
      <c r="M174" s="10">
        <f t="shared" si="29"/>
        <v>1.3550018119234488</v>
      </c>
      <c r="N174" s="16">
        <f t="shared" si="30"/>
        <v>3.8967586173604325E-3</v>
      </c>
      <c r="O174" s="13">
        <f t="shared" si="31"/>
        <v>7229.0649000000003</v>
      </c>
      <c r="P174" s="13">
        <f t="shared" ca="1" si="37"/>
        <v>7228</v>
      </c>
      <c r="Q174" s="13" t="str">
        <f t="shared" ca="1" si="32"/>
        <v>0001110000111100</v>
      </c>
      <c r="R174" s="13">
        <f t="shared" ca="1" si="33"/>
        <v>1.3552086410522461</v>
      </c>
      <c r="S174" s="13">
        <f t="shared" ca="1" si="34"/>
        <v>36.262503692626957</v>
      </c>
      <c r="T174" s="17">
        <f t="shared" ca="1" si="36"/>
        <v>2.5201513639060362E-2</v>
      </c>
      <c r="U174" s="13"/>
      <c r="V174" s="14">
        <f t="shared" ca="1" si="35"/>
        <v>0.937496</v>
      </c>
      <c r="W174" s="13"/>
      <c r="X174" s="2"/>
    </row>
    <row r="175" spans="8:24" x14ac:dyDescent="0.25">
      <c r="H175" s="13">
        <v>37.299999999999997</v>
      </c>
      <c r="I175" s="13">
        <v>1.3574578294722663</v>
      </c>
      <c r="J175" s="14">
        <f t="shared" si="26"/>
        <v>-1.26E-4</v>
      </c>
      <c r="K175" s="23">
        <f t="shared" si="27"/>
        <v>8.7000000000000001E-5</v>
      </c>
      <c r="L175" s="14">
        <f t="shared" si="28"/>
        <v>3.777E-3</v>
      </c>
      <c r="M175" s="10">
        <f t="shared" si="29"/>
        <v>1.362788863945388</v>
      </c>
      <c r="N175" s="16">
        <f t="shared" si="30"/>
        <v>3.9272192162272852E-3</v>
      </c>
      <c r="O175" s="13">
        <f t="shared" si="31"/>
        <v>7270.6095999999998</v>
      </c>
      <c r="P175" s="13">
        <f t="shared" ca="1" si="37"/>
        <v>7273</v>
      </c>
      <c r="Q175" s="13" t="str">
        <f t="shared" ca="1" si="32"/>
        <v>0001110001101001</v>
      </c>
      <c r="R175" s="13">
        <f t="shared" ca="1" si="33"/>
        <v>1.3636458835601808</v>
      </c>
      <c r="S175" s="13">
        <f t="shared" ca="1" si="34"/>
        <v>36.36375060272217</v>
      </c>
      <c r="T175" s="17">
        <f t="shared" ca="1" si="36"/>
        <v>2.5100520034258091E-2</v>
      </c>
      <c r="U175" s="13"/>
      <c r="V175" s="14">
        <f t="shared" ca="1" si="35"/>
        <v>0.936249</v>
      </c>
      <c r="W175" s="13"/>
      <c r="X175" s="2"/>
    </row>
    <row r="176" spans="8:24" x14ac:dyDescent="0.25">
      <c r="H176" s="13">
        <v>37.400000000000006</v>
      </c>
      <c r="I176" s="13">
        <v>1.3668227922278935</v>
      </c>
      <c r="J176" s="14">
        <f t="shared" si="26"/>
        <v>-1.25E-4</v>
      </c>
      <c r="K176" s="23">
        <f t="shared" si="27"/>
        <v>8.7000000000000001E-5</v>
      </c>
      <c r="L176" s="14">
        <f t="shared" si="28"/>
        <v>3.8070000000000001E-3</v>
      </c>
      <c r="M176" s="10">
        <f t="shared" si="29"/>
        <v>1.3722296496982946</v>
      </c>
      <c r="N176" s="16">
        <f t="shared" si="30"/>
        <v>3.9557852716137999E-3</v>
      </c>
      <c r="O176" s="13">
        <f t="shared" si="31"/>
        <v>7320.9771000000001</v>
      </c>
      <c r="P176" s="13">
        <f t="shared" ca="1" si="37"/>
        <v>7321</v>
      </c>
      <c r="Q176" s="13" t="str">
        <f t="shared" ca="1" si="32"/>
        <v>0001110010011001</v>
      </c>
      <c r="R176" s="13">
        <f t="shared" ca="1" si="33"/>
        <v>1.3726456089019776</v>
      </c>
      <c r="S176" s="13">
        <f t="shared" ca="1" si="34"/>
        <v>36.47174730682373</v>
      </c>
      <c r="T176" s="17">
        <f t="shared" ca="1" si="36"/>
        <v>2.4819590726638391E-2</v>
      </c>
      <c r="U176" s="13"/>
      <c r="V176" s="14">
        <f t="shared" ca="1" si="35"/>
        <v>0.92825299999999999</v>
      </c>
      <c r="W176" s="13"/>
      <c r="X176" s="2"/>
    </row>
    <row r="177" spans="8:24" x14ac:dyDescent="0.25">
      <c r="H177" s="13">
        <v>37.5</v>
      </c>
      <c r="I177" s="13">
        <v>1.3754006737039388</v>
      </c>
      <c r="J177" s="14">
        <f t="shared" si="26"/>
        <v>-1.2400000000000001E-4</v>
      </c>
      <c r="K177" s="23">
        <f t="shared" si="27"/>
        <v>8.7999999999999998E-5</v>
      </c>
      <c r="L177" s="14">
        <f t="shared" si="28"/>
        <v>3.8379999999999998E-3</v>
      </c>
      <c r="M177" s="10">
        <f t="shared" si="29"/>
        <v>1.3808822772801399</v>
      </c>
      <c r="N177" s="16">
        <f t="shared" si="30"/>
        <v>3.9854594235723259E-3</v>
      </c>
      <c r="O177" s="13">
        <f t="shared" si="31"/>
        <v>7367.1396999999997</v>
      </c>
      <c r="P177" s="13">
        <f t="shared" ca="1" si="37"/>
        <v>7369</v>
      </c>
      <c r="Q177" s="13" t="str">
        <f t="shared" ca="1" si="32"/>
        <v>0001110011001001</v>
      </c>
      <c r="R177" s="13">
        <f t="shared" ca="1" si="33"/>
        <v>1.3816453342437744</v>
      </c>
      <c r="S177" s="13">
        <f t="shared" ca="1" si="34"/>
        <v>36.579744010925296</v>
      </c>
      <c r="T177" s="17">
        <f t="shared" ca="1" si="36"/>
        <v>2.4540159708658773E-2</v>
      </c>
      <c r="U177" s="13"/>
      <c r="V177" s="14">
        <f t="shared" ca="1" si="35"/>
        <v>0.92025599999999996</v>
      </c>
      <c r="W177" s="13"/>
      <c r="X177" s="2"/>
    </row>
    <row r="178" spans="8:24" x14ac:dyDescent="0.25">
      <c r="H178" s="13">
        <v>37.6</v>
      </c>
      <c r="I178" s="13">
        <v>1.3840035046067634</v>
      </c>
      <c r="J178" s="14">
        <f t="shared" si="26"/>
        <v>-1.2400000000000001E-4</v>
      </c>
      <c r="K178" s="23">
        <f t="shared" si="27"/>
        <v>8.7999999999999998E-5</v>
      </c>
      <c r="L178" s="14">
        <f t="shared" si="28"/>
        <v>3.8679999999999999E-3</v>
      </c>
      <c r="M178" s="10">
        <f t="shared" si="29"/>
        <v>1.3895600987246302</v>
      </c>
      <c r="N178" s="16">
        <f t="shared" si="30"/>
        <v>4.0148699763918527E-3</v>
      </c>
      <c r="O178" s="13">
        <f t="shared" si="31"/>
        <v>7413.4367000000002</v>
      </c>
      <c r="P178" s="13">
        <f t="shared" ca="1" si="37"/>
        <v>7418</v>
      </c>
      <c r="Q178" s="13" t="str">
        <f t="shared" ca="1" si="32"/>
        <v>0001110011111010</v>
      </c>
      <c r="R178" s="13">
        <f t="shared" ca="1" si="33"/>
        <v>1.3908325538635253</v>
      </c>
      <c r="S178" s="13">
        <f t="shared" ca="1" si="34"/>
        <v>36.689990646362311</v>
      </c>
      <c r="T178" s="17">
        <f t="shared" ca="1" si="36"/>
        <v>2.4202376426534316E-2</v>
      </c>
      <c r="U178" s="13"/>
      <c r="V178" s="14">
        <f t="shared" ca="1" si="35"/>
        <v>0.91000899999999996</v>
      </c>
      <c r="W178" s="13"/>
      <c r="X178" s="2"/>
    </row>
    <row r="179" spans="8:24" x14ac:dyDescent="0.25">
      <c r="H179" s="13">
        <v>37.700000000000003</v>
      </c>
      <c r="I179" s="13">
        <v>1.3926312060421753</v>
      </c>
      <c r="J179" s="14">
        <f t="shared" si="26"/>
        <v>-1.2300000000000001E-4</v>
      </c>
      <c r="K179" s="23">
        <f t="shared" si="27"/>
        <v>8.8999999999999995E-5</v>
      </c>
      <c r="L179" s="14">
        <f t="shared" si="28"/>
        <v>3.8990000000000001E-3</v>
      </c>
      <c r="M179" s="10">
        <f t="shared" si="29"/>
        <v>1.3982638104973042</v>
      </c>
      <c r="N179" s="16">
        <f t="shared" si="30"/>
        <v>4.0445772223765171E-3</v>
      </c>
      <c r="O179" s="13">
        <f t="shared" si="31"/>
        <v>7459.8719000000001</v>
      </c>
      <c r="P179" s="13">
        <f t="shared" ca="1" si="37"/>
        <v>7462</v>
      </c>
      <c r="Q179" s="13" t="str">
        <f t="shared" ca="1" si="32"/>
        <v>0001110100100110</v>
      </c>
      <c r="R179" s="13">
        <f t="shared" ca="1" si="33"/>
        <v>1.3990823020935059</v>
      </c>
      <c r="S179" s="13">
        <f t="shared" ca="1" si="34"/>
        <v>36.788987625122076</v>
      </c>
      <c r="T179" s="17">
        <f t="shared" ca="1" si="36"/>
        <v>2.4164784479520616E-2</v>
      </c>
      <c r="U179" s="13"/>
      <c r="V179" s="14">
        <f t="shared" ca="1" si="35"/>
        <v>0.91101200000000004</v>
      </c>
      <c r="W179" s="13"/>
      <c r="X179" s="2"/>
    </row>
    <row r="180" spans="8:24" x14ac:dyDescent="0.25">
      <c r="H180" s="13">
        <v>37.799999999999997</v>
      </c>
      <c r="I180" s="13">
        <v>1.402090540641761</v>
      </c>
      <c r="J180" s="14">
        <f t="shared" si="26"/>
        <v>-1.2300000000000001E-4</v>
      </c>
      <c r="K180" s="23">
        <f t="shared" si="27"/>
        <v>8.8999999999999995E-5</v>
      </c>
      <c r="L180" s="14">
        <f t="shared" si="28"/>
        <v>3.9290000000000002E-3</v>
      </c>
      <c r="M180" s="10">
        <f t="shared" si="29"/>
        <v>1.4078025690535725</v>
      </c>
      <c r="N180" s="16">
        <f t="shared" si="30"/>
        <v>4.0739369150846819E-3</v>
      </c>
      <c r="O180" s="13">
        <f t="shared" si="31"/>
        <v>7510.7620999999999</v>
      </c>
      <c r="P180" s="13">
        <f t="shared" ca="1" si="37"/>
        <v>7511</v>
      </c>
      <c r="Q180" s="13" t="str">
        <f t="shared" ca="1" si="32"/>
        <v>0001110101010111</v>
      </c>
      <c r="R180" s="13">
        <f t="shared" ca="1" si="33"/>
        <v>1.4082695217132568</v>
      </c>
      <c r="S180" s="13">
        <f t="shared" ca="1" si="34"/>
        <v>36.899234260559084</v>
      </c>
      <c r="T180" s="17">
        <f t="shared" ca="1" si="36"/>
        <v>2.382978146669084E-2</v>
      </c>
      <c r="U180" s="13"/>
      <c r="V180" s="14">
        <f t="shared" ca="1" si="35"/>
        <v>0.90076599999999996</v>
      </c>
      <c r="W180" s="13"/>
      <c r="X180" s="2"/>
    </row>
    <row r="181" spans="8:24" x14ac:dyDescent="0.25">
      <c r="H181" s="13">
        <v>37.900000000000006</v>
      </c>
      <c r="I181" s="13">
        <v>1.4107666865717223</v>
      </c>
      <c r="J181" s="14">
        <f t="shared" si="26"/>
        <v>-1.22E-4</v>
      </c>
      <c r="K181" s="23">
        <f t="shared" si="27"/>
        <v>9.0000000000000006E-5</v>
      </c>
      <c r="L181" s="14">
        <f t="shared" si="28"/>
        <v>3.96E-3</v>
      </c>
      <c r="M181" s="10">
        <f t="shared" si="29"/>
        <v>1.4165560187258766</v>
      </c>
      <c r="N181" s="16">
        <f t="shared" si="30"/>
        <v>4.1036779569999437E-3</v>
      </c>
      <c r="O181" s="13">
        <f t="shared" si="31"/>
        <v>7557.4625999999998</v>
      </c>
      <c r="P181" s="13">
        <f t="shared" ca="1" si="37"/>
        <v>7559</v>
      </c>
      <c r="Q181" s="13" t="str">
        <f t="shared" ca="1" si="32"/>
        <v>0001110110000111</v>
      </c>
      <c r="R181" s="13">
        <f t="shared" ca="1" si="33"/>
        <v>1.4172692470550536</v>
      </c>
      <c r="S181" s="13">
        <f t="shared" ca="1" si="34"/>
        <v>37.00723096466065</v>
      </c>
      <c r="T181" s="17">
        <f t="shared" ca="1" si="36"/>
        <v>2.3555911222674291E-2</v>
      </c>
      <c r="U181" s="13"/>
      <c r="V181" s="14">
        <f t="shared" ca="1" si="35"/>
        <v>0.89276900000000003</v>
      </c>
      <c r="W181" s="13"/>
      <c r="X181" s="2"/>
    </row>
    <row r="182" spans="8:24" x14ac:dyDescent="0.25">
      <c r="H182" s="13">
        <v>38</v>
      </c>
      <c r="I182" s="13">
        <v>1.4194674614693832</v>
      </c>
      <c r="J182" s="14">
        <f t="shared" si="26"/>
        <v>-1.22E-4</v>
      </c>
      <c r="K182" s="23">
        <f t="shared" si="27"/>
        <v>9.0000000000000006E-5</v>
      </c>
      <c r="L182" s="14">
        <f t="shared" si="28"/>
        <v>3.9899999999999996E-3</v>
      </c>
      <c r="M182" s="10">
        <f t="shared" si="29"/>
        <v>1.4253343139620918</v>
      </c>
      <c r="N182" s="16">
        <f t="shared" si="30"/>
        <v>4.1331363007331024E-3</v>
      </c>
      <c r="O182" s="13">
        <f t="shared" si="31"/>
        <v>7604.2956000000004</v>
      </c>
      <c r="P182" s="13">
        <f t="shared" ca="1" si="37"/>
        <v>7603</v>
      </c>
      <c r="Q182" s="13" t="str">
        <f t="shared" ca="1" si="32"/>
        <v>0001110110110011</v>
      </c>
      <c r="R182" s="13">
        <f t="shared" ca="1" si="33"/>
        <v>1.4255189952850342</v>
      </c>
      <c r="S182" s="13">
        <f t="shared" ca="1" si="34"/>
        <v>37.106227943420414</v>
      </c>
      <c r="T182" s="17">
        <f t="shared" ca="1" si="36"/>
        <v>2.3520317278410151E-2</v>
      </c>
      <c r="U182" s="13"/>
      <c r="V182" s="14">
        <f t="shared" ca="1" si="35"/>
        <v>0.89377200000000001</v>
      </c>
      <c r="W182" s="13"/>
      <c r="X182" s="2"/>
    </row>
    <row r="183" spans="8:24" x14ac:dyDescent="0.25">
      <c r="H183" s="13">
        <v>38.1</v>
      </c>
      <c r="I183" s="13">
        <v>1.4289964576890311</v>
      </c>
      <c r="J183" s="14">
        <f t="shared" si="26"/>
        <v>-1.21E-4</v>
      </c>
      <c r="K183" s="23">
        <f t="shared" si="27"/>
        <v>9.1000000000000003E-5</v>
      </c>
      <c r="L183" s="14">
        <f t="shared" si="28"/>
        <v>4.0210000000000003E-3</v>
      </c>
      <c r="M183" s="10">
        <f t="shared" si="29"/>
        <v>1.4349451388744452</v>
      </c>
      <c r="N183" s="16">
        <f t="shared" si="30"/>
        <v>4.1628383005471751E-3</v>
      </c>
      <c r="O183" s="13">
        <f t="shared" si="31"/>
        <v>7655.5703000000003</v>
      </c>
      <c r="P183" s="13">
        <f t="shared" ca="1" si="37"/>
        <v>7660</v>
      </c>
      <c r="Q183" s="13" t="str">
        <f t="shared" ca="1" si="32"/>
        <v>0001110111101100</v>
      </c>
      <c r="R183" s="13">
        <f t="shared" ca="1" si="33"/>
        <v>1.436206169128418</v>
      </c>
      <c r="S183" s="13">
        <f t="shared" ca="1" si="34"/>
        <v>37.234474029541019</v>
      </c>
      <c r="T183" s="17">
        <f t="shared" ca="1" si="36"/>
        <v>2.2717217072414236E-2</v>
      </c>
      <c r="U183" s="13"/>
      <c r="V183" s="14">
        <f t="shared" ca="1" si="35"/>
        <v>0.86552600000000002</v>
      </c>
      <c r="W183" s="13"/>
      <c r="X183" s="2"/>
    </row>
    <row r="184" spans="8:24" x14ac:dyDescent="0.25">
      <c r="H184" s="13">
        <v>38.200000000000003</v>
      </c>
      <c r="I184" s="13">
        <v>1.4377451884434658</v>
      </c>
      <c r="J184" s="14">
        <f t="shared" si="26"/>
        <v>-1.2E-4</v>
      </c>
      <c r="K184" s="23">
        <f t="shared" si="27"/>
        <v>9.1000000000000003E-5</v>
      </c>
      <c r="L184" s="14">
        <f t="shared" si="28"/>
        <v>4.0509999999999999E-3</v>
      </c>
      <c r="M184" s="10">
        <f t="shared" si="29"/>
        <v>1.4437716725308882</v>
      </c>
      <c r="N184" s="16">
        <f t="shared" si="30"/>
        <v>4.1916218088316887E-3</v>
      </c>
      <c r="O184" s="13">
        <f t="shared" si="31"/>
        <v>7702.6607000000004</v>
      </c>
      <c r="P184" s="13">
        <f t="shared" ca="1" si="37"/>
        <v>7704</v>
      </c>
      <c r="Q184" s="13" t="str">
        <f t="shared" ca="1" si="32"/>
        <v>0001111000011000</v>
      </c>
      <c r="R184" s="13">
        <f t="shared" ca="1" si="33"/>
        <v>1.4444559173583984</v>
      </c>
      <c r="S184" s="13">
        <f t="shared" ca="1" si="34"/>
        <v>37.333471008300783</v>
      </c>
      <c r="T184" s="17">
        <f t="shared" ca="1" si="36"/>
        <v>2.2684005018304171E-2</v>
      </c>
      <c r="U184" s="13"/>
      <c r="V184" s="14">
        <f t="shared" ca="1" si="35"/>
        <v>0.86652899999999999</v>
      </c>
      <c r="W184" s="13"/>
      <c r="X184" s="2"/>
    </row>
    <row r="185" spans="8:24" x14ac:dyDescent="0.25">
      <c r="H185" s="13">
        <v>38.299999999999997</v>
      </c>
      <c r="I185" s="13">
        <v>1.4465183035740214</v>
      </c>
      <c r="J185" s="14">
        <f t="shared" si="26"/>
        <v>-1.2E-4</v>
      </c>
      <c r="K185" s="23">
        <f t="shared" si="27"/>
        <v>9.2E-5</v>
      </c>
      <c r="L185" s="14">
        <f t="shared" si="28"/>
        <v>4.0819999999999997E-3</v>
      </c>
      <c r="M185" s="10">
        <f t="shared" si="29"/>
        <v>1.4526256848636347</v>
      </c>
      <c r="N185" s="16">
        <f t="shared" si="30"/>
        <v>4.2221251362829868E-3</v>
      </c>
      <c r="O185" s="13">
        <f t="shared" si="31"/>
        <v>7749.8977000000004</v>
      </c>
      <c r="P185" s="13">
        <f t="shared" ca="1" si="37"/>
        <v>7754</v>
      </c>
      <c r="Q185" s="13" t="str">
        <f t="shared" ca="1" si="32"/>
        <v>0001111001001010</v>
      </c>
      <c r="R185" s="13">
        <f t="shared" ca="1" si="33"/>
        <v>1.4538306312561036</v>
      </c>
      <c r="S185" s="13">
        <f t="shared" ca="1" si="34"/>
        <v>37.445967575073247</v>
      </c>
      <c r="T185" s="17">
        <f t="shared" ca="1" si="36"/>
        <v>2.2298496734379895E-2</v>
      </c>
      <c r="U185" s="13"/>
      <c r="V185" s="14">
        <f t="shared" ca="1" si="35"/>
        <v>0.85403200000000001</v>
      </c>
      <c r="W185" s="13"/>
      <c r="X185" s="2"/>
    </row>
    <row r="186" spans="8:24" x14ac:dyDescent="0.25">
      <c r="H186" s="13">
        <v>38.400000000000006</v>
      </c>
      <c r="I186" s="13">
        <v>1.4553157207160867</v>
      </c>
      <c r="J186" s="14">
        <f t="shared" si="26"/>
        <v>-1.1900000000000001E-4</v>
      </c>
      <c r="K186" s="23">
        <f t="shared" si="27"/>
        <v>9.2E-5</v>
      </c>
      <c r="L186" s="14">
        <f t="shared" si="28"/>
        <v>4.1120000000000002E-3</v>
      </c>
      <c r="M186" s="10">
        <f t="shared" si="29"/>
        <v>1.4615021791808784</v>
      </c>
      <c r="N186" s="16">
        <f t="shared" si="30"/>
        <v>4.2509390757818994E-3</v>
      </c>
      <c r="O186" s="13">
        <f t="shared" si="31"/>
        <v>7797.2546000000002</v>
      </c>
      <c r="P186" s="13">
        <f t="shared" ca="1" si="37"/>
        <v>7799</v>
      </c>
      <c r="Q186" s="13" t="str">
        <f t="shared" ca="1" si="32"/>
        <v>0001111001110111</v>
      </c>
      <c r="R186" s="13">
        <f t="shared" ca="1" si="33"/>
        <v>1.4622678737640382</v>
      </c>
      <c r="S186" s="13">
        <f t="shared" ca="1" si="34"/>
        <v>37.54721448516846</v>
      </c>
      <c r="T186" s="17">
        <f t="shared" ca="1" si="36"/>
        <v>2.2207956115404822E-2</v>
      </c>
      <c r="U186" s="13"/>
      <c r="V186" s="14">
        <f t="shared" ca="1" si="35"/>
        <v>0.85278600000000004</v>
      </c>
      <c r="W186" s="13"/>
      <c r="X186" s="2"/>
    </row>
    <row r="187" spans="8:24" x14ac:dyDescent="0.25">
      <c r="H187" s="13">
        <v>38.5</v>
      </c>
      <c r="I187" s="13">
        <v>1.4641373573873331</v>
      </c>
      <c r="J187" s="14">
        <f t="shared" si="26"/>
        <v>-1.1900000000000001E-4</v>
      </c>
      <c r="K187" s="23">
        <f t="shared" si="27"/>
        <v>9.2999999999999997E-5</v>
      </c>
      <c r="L187" s="14">
        <f t="shared" si="28"/>
        <v>4.143E-3</v>
      </c>
      <c r="M187" s="10">
        <f t="shared" si="29"/>
        <v>1.4704060091894047</v>
      </c>
      <c r="N187" s="16">
        <f t="shared" si="30"/>
        <v>4.2814642836909991E-3</v>
      </c>
      <c r="O187" s="13">
        <f t="shared" si="31"/>
        <v>7844.7574000000004</v>
      </c>
      <c r="P187" s="13">
        <f t="shared" ca="1" si="37"/>
        <v>7843</v>
      </c>
      <c r="Q187" s="13" t="str">
        <f t="shared" ca="1" si="32"/>
        <v>0001111010100011</v>
      </c>
      <c r="R187" s="13">
        <f t="shared" ca="1" si="33"/>
        <v>1.4705176219940186</v>
      </c>
      <c r="S187" s="13">
        <f t="shared" ca="1" si="34"/>
        <v>37.646211463928225</v>
      </c>
      <c r="T187" s="17">
        <f t="shared" ca="1" si="36"/>
        <v>2.2176325612253901E-2</v>
      </c>
      <c r="U187" s="13"/>
      <c r="V187" s="14">
        <f t="shared" ca="1" si="35"/>
        <v>0.85378900000000002</v>
      </c>
      <c r="W187" s="13"/>
      <c r="X187" s="2"/>
    </row>
    <row r="188" spans="8:24" x14ac:dyDescent="0.25">
      <c r="H188" s="13">
        <v>38.6</v>
      </c>
      <c r="I188" s="13">
        <v>1.4729831302266043</v>
      </c>
      <c r="J188" s="14">
        <f t="shared" si="26"/>
        <v>-1.18E-4</v>
      </c>
      <c r="K188" s="23">
        <f t="shared" si="27"/>
        <v>9.2999999999999997E-5</v>
      </c>
      <c r="L188" s="14">
        <f t="shared" si="28"/>
        <v>4.1729999999999996E-3</v>
      </c>
      <c r="M188" s="10">
        <f t="shared" si="29"/>
        <v>1.4793321412179066</v>
      </c>
      <c r="N188" s="16">
        <f t="shared" si="30"/>
        <v>4.3103080144071418E-3</v>
      </c>
      <c r="O188" s="13">
        <f t="shared" si="31"/>
        <v>7892.3792000000003</v>
      </c>
      <c r="P188" s="13">
        <f t="shared" ca="1" si="37"/>
        <v>7891</v>
      </c>
      <c r="Q188" s="13" t="str">
        <f t="shared" ca="1" si="32"/>
        <v>0001111011010011</v>
      </c>
      <c r="R188" s="13">
        <f t="shared" ca="1" si="33"/>
        <v>1.4795173473358154</v>
      </c>
      <c r="S188" s="13">
        <f t="shared" ca="1" si="34"/>
        <v>37.754208168029791</v>
      </c>
      <c r="T188" s="17">
        <f t="shared" ca="1" si="36"/>
        <v>2.1911705491456223E-2</v>
      </c>
      <c r="U188" s="13"/>
      <c r="V188" s="14">
        <f t="shared" ca="1" si="35"/>
        <v>0.84579199999999999</v>
      </c>
      <c r="W188" s="13"/>
      <c r="X188" s="2"/>
    </row>
    <row r="189" spans="8:24" x14ac:dyDescent="0.25">
      <c r="H189" s="13">
        <v>38.700000000000003</v>
      </c>
      <c r="I189" s="13">
        <v>1.4810556511997301</v>
      </c>
      <c r="J189" s="14">
        <f t="shared" si="26"/>
        <v>-1.17E-4</v>
      </c>
      <c r="K189" s="23">
        <f t="shared" si="27"/>
        <v>9.3999999999999994E-5</v>
      </c>
      <c r="L189" s="14">
        <f t="shared" si="28"/>
        <v>4.2040000000000003E-3</v>
      </c>
      <c r="M189" s="10">
        <f t="shared" si="29"/>
        <v>1.4874837892176007</v>
      </c>
      <c r="N189" s="16">
        <f t="shared" si="30"/>
        <v>4.3402407010590376E-3</v>
      </c>
      <c r="O189" s="13">
        <f t="shared" si="31"/>
        <v>7935.8689999999997</v>
      </c>
      <c r="P189" s="13">
        <f t="shared" ca="1" si="37"/>
        <v>7938</v>
      </c>
      <c r="Q189" s="13" t="str">
        <f t="shared" ca="1" si="32"/>
        <v>0001111100000010</v>
      </c>
      <c r="R189" s="13">
        <f t="shared" ca="1" si="33"/>
        <v>1.4883295783996582</v>
      </c>
      <c r="S189" s="13">
        <f t="shared" ca="1" si="34"/>
        <v>37.859954940795902</v>
      </c>
      <c r="T189" s="17">
        <f t="shared" ca="1" si="36"/>
        <v>2.1706590677108555E-2</v>
      </c>
      <c r="U189" s="13"/>
      <c r="V189" s="14">
        <f t="shared" ca="1" si="35"/>
        <v>0.84004500000000004</v>
      </c>
      <c r="W189" s="13"/>
      <c r="X189" s="2"/>
    </row>
    <row r="190" spans="8:24" x14ac:dyDescent="0.25">
      <c r="H190" s="13">
        <v>38.799999999999997</v>
      </c>
      <c r="I190" s="13">
        <v>1.4899505105613242</v>
      </c>
      <c r="J190" s="14">
        <f t="shared" si="26"/>
        <v>-1.17E-4</v>
      </c>
      <c r="K190" s="23">
        <f t="shared" si="27"/>
        <v>9.3999999999999994E-5</v>
      </c>
      <c r="L190" s="14">
        <f t="shared" si="28"/>
        <v>4.2339999999999999E-3</v>
      </c>
      <c r="M190" s="10">
        <f t="shared" si="29"/>
        <v>1.4964612820575556</v>
      </c>
      <c r="N190" s="16">
        <f t="shared" si="30"/>
        <v>4.3697904394008969E-3</v>
      </c>
      <c r="O190" s="13">
        <f t="shared" si="31"/>
        <v>7983.7647999999999</v>
      </c>
      <c r="P190" s="13">
        <f t="shared" ca="1" si="37"/>
        <v>7984</v>
      </c>
      <c r="Q190" s="13" t="str">
        <f t="shared" ca="1" si="32"/>
        <v>0001111100110000</v>
      </c>
      <c r="R190" s="13">
        <f t="shared" ca="1" si="33"/>
        <v>1.4969543151855469</v>
      </c>
      <c r="S190" s="13">
        <f t="shared" ca="1" si="34"/>
        <v>37.963451782226564</v>
      </c>
      <c r="T190" s="17">
        <f t="shared" ca="1" si="36"/>
        <v>2.1560521076634889E-2</v>
      </c>
      <c r="U190" s="13"/>
      <c r="V190" s="14">
        <f t="shared" ca="1" si="35"/>
        <v>0.83654799999999996</v>
      </c>
      <c r="W190" s="13"/>
      <c r="X190" s="2"/>
    </row>
    <row r="191" spans="8:24" x14ac:dyDescent="0.25">
      <c r="H191" s="13">
        <v>38.900000000000006</v>
      </c>
      <c r="I191" s="13">
        <v>1.498869255596974</v>
      </c>
      <c r="J191" s="14">
        <f t="shared" si="26"/>
        <v>-1.16E-4</v>
      </c>
      <c r="K191" s="23">
        <f t="shared" si="27"/>
        <v>9.5000000000000005E-5</v>
      </c>
      <c r="L191" s="14">
        <f t="shared" si="28"/>
        <v>4.2649999999999997E-3</v>
      </c>
      <c r="M191" s="10">
        <f t="shared" si="29"/>
        <v>1.5054638113825203</v>
      </c>
      <c r="N191" s="16">
        <f t="shared" si="30"/>
        <v>4.3996871381018097E-3</v>
      </c>
      <c r="O191" s="13">
        <f t="shared" si="31"/>
        <v>8031.7942000000003</v>
      </c>
      <c r="P191" s="13">
        <f t="shared" ca="1" si="37"/>
        <v>8033</v>
      </c>
      <c r="Q191" s="13" t="str">
        <f t="shared" ca="1" si="32"/>
        <v>0001111101100001</v>
      </c>
      <c r="R191" s="13">
        <f t="shared" ca="1" si="33"/>
        <v>1.5061415348052978</v>
      </c>
      <c r="S191" s="13">
        <f t="shared" ca="1" si="34"/>
        <v>38.073698417663572</v>
      </c>
      <c r="T191" s="17">
        <f t="shared" ca="1" si="36"/>
        <v>2.124168592124509E-2</v>
      </c>
      <c r="U191" s="13"/>
      <c r="V191" s="14">
        <f t="shared" ca="1" si="35"/>
        <v>0.82630199999999998</v>
      </c>
      <c r="W191" s="13"/>
      <c r="X191" s="2"/>
    </row>
    <row r="192" spans="8:24" x14ac:dyDescent="0.25">
      <c r="H192" s="13">
        <v>39</v>
      </c>
      <c r="I192" s="13">
        <v>1.5078118017304409</v>
      </c>
      <c r="J192" s="14">
        <f t="shared" si="26"/>
        <v>-1.16E-4</v>
      </c>
      <c r="K192" s="23">
        <f t="shared" si="27"/>
        <v>9.5000000000000005E-5</v>
      </c>
      <c r="L192" s="14">
        <f t="shared" si="28"/>
        <v>4.2950000000000002E-3</v>
      </c>
      <c r="M192" s="10">
        <f t="shared" si="29"/>
        <v>1.5144902884091582</v>
      </c>
      <c r="N192" s="16">
        <f t="shared" si="30"/>
        <v>4.4292574650581194E-3</v>
      </c>
      <c r="O192" s="13">
        <f t="shared" si="31"/>
        <v>8079.9512999999997</v>
      </c>
      <c r="P192" s="13">
        <f t="shared" ca="1" si="37"/>
        <v>8080</v>
      </c>
      <c r="Q192" s="13" t="str">
        <f t="shared" ca="1" si="32"/>
        <v>0001111110010000</v>
      </c>
      <c r="R192" s="13">
        <f t="shared" ca="1" si="33"/>
        <v>1.5149537658691405</v>
      </c>
      <c r="S192" s="13">
        <f t="shared" ca="1" si="34"/>
        <v>38.179445190429689</v>
      </c>
      <c r="T192" s="17">
        <f t="shared" ca="1" si="36"/>
        <v>2.1039866912059252E-2</v>
      </c>
      <c r="U192" s="13"/>
      <c r="V192" s="14">
        <f t="shared" ca="1" si="35"/>
        <v>0.82055500000000003</v>
      </c>
      <c r="W192" s="13"/>
      <c r="X192" s="2"/>
    </row>
    <row r="193" spans="8:24" x14ac:dyDescent="0.25">
      <c r="H193" s="13">
        <v>39.1</v>
      </c>
      <c r="I193" s="13">
        <v>1.5167780639390052</v>
      </c>
      <c r="J193" s="14">
        <f t="shared" si="26"/>
        <v>-1.15E-4</v>
      </c>
      <c r="K193" s="23">
        <f t="shared" si="27"/>
        <v>9.6000000000000002E-5</v>
      </c>
      <c r="L193" s="14">
        <f t="shared" si="28"/>
        <v>4.326E-3</v>
      </c>
      <c r="M193" s="10">
        <f t="shared" si="29"/>
        <v>1.523541654227192</v>
      </c>
      <c r="N193" s="16">
        <f t="shared" si="30"/>
        <v>4.4591825587338109E-3</v>
      </c>
      <c r="O193" s="13">
        <f t="shared" si="31"/>
        <v>8128.2412000000004</v>
      </c>
      <c r="P193" s="13">
        <f t="shared" ca="1" si="37"/>
        <v>8131</v>
      </c>
      <c r="Q193" s="13" t="str">
        <f t="shared" ca="1" si="32"/>
        <v>0001111111000011</v>
      </c>
      <c r="R193" s="13">
        <f t="shared" ca="1" si="33"/>
        <v>1.5245159740447998</v>
      </c>
      <c r="S193" s="13">
        <f t="shared" ca="1" si="34"/>
        <v>38.294191688537602</v>
      </c>
      <c r="T193" s="17">
        <f t="shared" ca="1" si="36"/>
        <v>2.060890822154475E-2</v>
      </c>
      <c r="U193" s="13"/>
      <c r="V193" s="14">
        <f t="shared" ca="1" si="35"/>
        <v>0.80580799999999997</v>
      </c>
      <c r="W193" s="13"/>
      <c r="X193" s="2"/>
    </row>
    <row r="194" spans="8:24" x14ac:dyDescent="0.25">
      <c r="H194" s="13">
        <v>39.200000000000003</v>
      </c>
      <c r="I194" s="13">
        <v>1.5257679568176776</v>
      </c>
      <c r="J194" s="14">
        <f t="shared" si="26"/>
        <v>-1.15E-4</v>
      </c>
      <c r="K194" s="23">
        <f t="shared" si="27"/>
        <v>9.6000000000000002E-5</v>
      </c>
      <c r="L194" s="14">
        <f t="shared" si="28"/>
        <v>4.3559999999999996E-3</v>
      </c>
      <c r="M194" s="10">
        <f t="shared" si="29"/>
        <v>1.532616782875885</v>
      </c>
      <c r="N194" s="16">
        <f t="shared" si="30"/>
        <v>4.4887730323633747E-3</v>
      </c>
      <c r="O194" s="13">
        <f t="shared" si="31"/>
        <v>8176.6579000000002</v>
      </c>
      <c r="P194" s="13">
        <f t="shared" ca="1" si="37"/>
        <v>8178</v>
      </c>
      <c r="Q194" s="13" t="str">
        <f t="shared" ca="1" si="32"/>
        <v>0001111111110010</v>
      </c>
      <c r="R194" s="13">
        <f t="shared" ca="1" si="33"/>
        <v>1.5333282051086425</v>
      </c>
      <c r="S194" s="13">
        <f t="shared" ca="1" si="34"/>
        <v>38.399938461303712</v>
      </c>
      <c r="T194" s="17">
        <f t="shared" ca="1" si="36"/>
        <v>2.040973313000741E-2</v>
      </c>
      <c r="U194" s="13"/>
      <c r="V194" s="14">
        <f t="shared" ca="1" si="35"/>
        <v>0.80006200000000005</v>
      </c>
      <c r="W194" s="13"/>
      <c r="X194" s="2"/>
    </row>
    <row r="195" spans="8:24" x14ac:dyDescent="0.25">
      <c r="H195" s="13">
        <v>39.299999999999997</v>
      </c>
      <c r="I195" s="13">
        <v>1.5339904894221954</v>
      </c>
      <c r="J195" s="14">
        <f t="shared" ref="J195:J258" si="38">ROUND(H195*0.00000575 -0.00034,6)</f>
        <v>-1.1400000000000001E-4</v>
      </c>
      <c r="K195" s="23">
        <f t="shared" ref="K195:K258" si="39">ROUND(H195*0.000005-0.0001,6)</f>
        <v>9.7E-5</v>
      </c>
      <c r="L195" s="14">
        <f t="shared" ref="L195:L258" si="40">ROUND(K195+($C$24*(H195-25)),6)</f>
        <v>4.3870000000000003E-3</v>
      </c>
      <c r="M195" s="10">
        <f t="shared" ref="M195:M258" si="41">(I195-J195)/(1-L195)+$C$26+$D$27</f>
        <v>1.5409222609349167</v>
      </c>
      <c r="N195" s="16">
        <f t="shared" ref="N195:N258" si="42">ABS(I195-M195)/I195</f>
        <v>4.5187838911128191E-3</v>
      </c>
      <c r="O195" s="13">
        <f t="shared" ref="O195:O258" si="43">ROUND((M195*(2^($C$12-1)))/$C$44,4)</f>
        <v>8220.9683999999997</v>
      </c>
      <c r="P195" s="13">
        <f t="shared" ca="1" si="37"/>
        <v>8226</v>
      </c>
      <c r="Q195" s="13" t="str">
        <f t="shared" ref="Q195:Q258" ca="1" si="44">_xlfn.BASE(IF(P195&lt;0, P195+2^($C$12)-1, P195), 2, 16)</f>
        <v>0010000000100010</v>
      </c>
      <c r="R195" s="13">
        <f t="shared" ref="R195:R258" ca="1" si="45">($C$16/2^($C$12-1)) * P195</f>
        <v>1.5423279304504396</v>
      </c>
      <c r="S195" s="13">
        <f t="shared" ref="S195:S258" ca="1" si="46">(R195+5/3)/(1/12)</f>
        <v>38.507935165405279</v>
      </c>
      <c r="T195" s="17">
        <f t="shared" ca="1" si="36"/>
        <v>2.0154321490959762E-2</v>
      </c>
      <c r="U195" s="13"/>
      <c r="V195" s="14">
        <f t="shared" ref="V195:V258" ca="1" si="47">ROUND(ABS(H195-S195),6)</f>
        <v>0.79206500000000002</v>
      </c>
      <c r="W195" s="13"/>
      <c r="X195" s="2"/>
    </row>
    <row r="196" spans="8:24" x14ac:dyDescent="0.25">
      <c r="H196" s="13">
        <v>39.400000000000006</v>
      </c>
      <c r="I196" s="13">
        <v>1.5422386208871723</v>
      </c>
      <c r="J196" s="14">
        <f t="shared" si="38"/>
        <v>-1.13E-4</v>
      </c>
      <c r="K196" s="23">
        <f t="shared" si="39"/>
        <v>9.7E-5</v>
      </c>
      <c r="L196" s="14">
        <f t="shared" si="40"/>
        <v>4.4169999999999999E-3</v>
      </c>
      <c r="M196" s="10">
        <f t="shared" si="41"/>
        <v>1.5492524126076603</v>
      </c>
      <c r="N196" s="16">
        <f t="shared" si="42"/>
        <v>4.5477992999898497E-3</v>
      </c>
      <c r="O196" s="13">
        <f t="shared" si="43"/>
        <v>8265.4105999999992</v>
      </c>
      <c r="P196" s="13">
        <f t="shared" ca="1" si="37"/>
        <v>8270</v>
      </c>
      <c r="Q196" s="13" t="str">
        <f t="shared" ca="1" si="44"/>
        <v>0010000001001110</v>
      </c>
      <c r="R196" s="13">
        <f t="shared" ca="1" si="45"/>
        <v>1.55057767868042</v>
      </c>
      <c r="S196" s="13">
        <f t="shared" ca="1" si="46"/>
        <v>38.606932144165043</v>
      </c>
      <c r="T196" s="17">
        <f t="shared" ref="T196:T259" ca="1" si="48">ABS(H196-S196)/H196</f>
        <v>2.0128625782613263E-2</v>
      </c>
      <c r="U196" s="13"/>
      <c r="V196" s="14">
        <f t="shared" ca="1" si="47"/>
        <v>0.793068</v>
      </c>
      <c r="W196" s="13"/>
      <c r="X196" s="2"/>
    </row>
    <row r="197" spans="8:24" x14ac:dyDescent="0.25">
      <c r="H197" s="13">
        <v>39.5</v>
      </c>
      <c r="I197" s="13">
        <v>1.551301105292815</v>
      </c>
      <c r="J197" s="14">
        <f t="shared" si="38"/>
        <v>-1.13E-4</v>
      </c>
      <c r="K197" s="23">
        <f t="shared" si="39"/>
        <v>9.7999999999999997E-5</v>
      </c>
      <c r="L197" s="14">
        <f t="shared" si="40"/>
        <v>4.4479999999999997E-3</v>
      </c>
      <c r="M197" s="10">
        <f t="shared" si="41"/>
        <v>1.55840362664011</v>
      </c>
      <c r="N197" s="16">
        <f t="shared" si="42"/>
        <v>4.5784285997491261E-3</v>
      </c>
      <c r="O197" s="13">
        <f t="shared" si="43"/>
        <v>8314.2332000000006</v>
      </c>
      <c r="P197" s="13">
        <f t="shared" ca="1" si="37"/>
        <v>8314</v>
      </c>
      <c r="Q197" s="13" t="str">
        <f t="shared" ca="1" si="44"/>
        <v>0010000001111010</v>
      </c>
      <c r="R197" s="13">
        <f t="shared" ca="1" si="45"/>
        <v>1.5588274269104003</v>
      </c>
      <c r="S197" s="13">
        <f t="shared" ca="1" si="46"/>
        <v>38.705929122924807</v>
      </c>
      <c r="T197" s="17">
        <f t="shared" ca="1" si="48"/>
        <v>2.0103060179118799E-2</v>
      </c>
      <c r="U197" s="13"/>
      <c r="V197" s="14">
        <f t="shared" ca="1" si="47"/>
        <v>0.79407099999999997</v>
      </c>
      <c r="W197" s="13"/>
      <c r="X197" s="2"/>
    </row>
    <row r="198" spans="8:24" x14ac:dyDescent="0.25">
      <c r="H198" s="13">
        <v>39.6</v>
      </c>
      <c r="I198" s="13">
        <v>1.5603867231799717</v>
      </c>
      <c r="J198" s="14">
        <f t="shared" si="38"/>
        <v>-1.12E-4</v>
      </c>
      <c r="K198" s="23">
        <f t="shared" si="39"/>
        <v>9.7999999999999997E-5</v>
      </c>
      <c r="L198" s="14">
        <f t="shared" si="40"/>
        <v>4.4780000000000002E-3</v>
      </c>
      <c r="M198" s="10">
        <f t="shared" si="41"/>
        <v>1.5675760690933715</v>
      </c>
      <c r="N198" s="16">
        <f t="shared" si="42"/>
        <v>4.607412897456838E-3</v>
      </c>
      <c r="O198" s="13">
        <f t="shared" si="43"/>
        <v>8363.1689999999999</v>
      </c>
      <c r="P198" s="13">
        <f t="shared" ca="1" si="37"/>
        <v>8362</v>
      </c>
      <c r="Q198" s="13" t="str">
        <f t="shared" ca="1" si="44"/>
        <v>0010000010101010</v>
      </c>
      <c r="R198" s="13">
        <f t="shared" ca="1" si="45"/>
        <v>1.5678271522521974</v>
      </c>
      <c r="S198" s="13">
        <f t="shared" ca="1" si="46"/>
        <v>38.813925827026367</v>
      </c>
      <c r="T198" s="17">
        <f t="shared" ca="1" si="48"/>
        <v>1.9850357903374614E-2</v>
      </c>
      <c r="U198" s="13"/>
      <c r="V198" s="14">
        <f t="shared" ca="1" si="47"/>
        <v>0.78607400000000005</v>
      </c>
      <c r="W198" s="13"/>
      <c r="X198" s="2"/>
    </row>
    <row r="199" spans="8:24" x14ac:dyDescent="0.25">
      <c r="H199" s="13">
        <v>39.700000000000003</v>
      </c>
      <c r="I199" s="13">
        <v>1.5694956165091778</v>
      </c>
      <c r="J199" s="14">
        <f t="shared" si="38"/>
        <v>-1.12E-4</v>
      </c>
      <c r="K199" s="23">
        <f t="shared" si="39"/>
        <v>9.8999999999999994E-5</v>
      </c>
      <c r="L199" s="14">
        <f t="shared" si="40"/>
        <v>4.509E-3</v>
      </c>
      <c r="M199" s="10">
        <f t="shared" si="41"/>
        <v>1.5767750336137418</v>
      </c>
      <c r="N199" s="16">
        <f t="shared" si="42"/>
        <v>4.6380614434302671E-3</v>
      </c>
      <c r="O199" s="13">
        <f t="shared" si="43"/>
        <v>8412.2464</v>
      </c>
      <c r="P199" s="13">
        <f t="shared" ca="1" si="37"/>
        <v>8411</v>
      </c>
      <c r="Q199" s="13" t="str">
        <f t="shared" ca="1" si="44"/>
        <v>0010000011011011</v>
      </c>
      <c r="R199" s="13">
        <f t="shared" ca="1" si="45"/>
        <v>1.5770143718719483</v>
      </c>
      <c r="S199" s="13">
        <f t="shared" ca="1" si="46"/>
        <v>38.924172462463382</v>
      </c>
      <c r="T199" s="17">
        <f t="shared" ca="1" si="48"/>
        <v>1.9542255353567278E-2</v>
      </c>
      <c r="U199" s="13"/>
      <c r="V199" s="14">
        <f t="shared" ca="1" si="47"/>
        <v>0.77582799999999996</v>
      </c>
      <c r="W199" s="13"/>
      <c r="X199" s="2"/>
    </row>
    <row r="200" spans="8:24" x14ac:dyDescent="0.25">
      <c r="H200" s="13">
        <v>39.799999999999997</v>
      </c>
      <c r="I200" s="13">
        <v>1.5778420732474803</v>
      </c>
      <c r="J200" s="14">
        <f t="shared" si="38"/>
        <v>-1.11E-4</v>
      </c>
      <c r="K200" s="23">
        <f t="shared" si="39"/>
        <v>9.8999999999999994E-5</v>
      </c>
      <c r="L200" s="14">
        <f t="shared" si="40"/>
        <v>4.5389999999999996E-3</v>
      </c>
      <c r="M200" s="10">
        <f t="shared" si="41"/>
        <v>1.5852060602931506</v>
      </c>
      <c r="N200" s="16">
        <f t="shared" si="42"/>
        <v>4.6671255447726266E-3</v>
      </c>
      <c r="O200" s="13">
        <f t="shared" si="43"/>
        <v>8457.2266999999993</v>
      </c>
      <c r="P200" s="13">
        <f t="shared" ca="1" si="37"/>
        <v>8460</v>
      </c>
      <c r="Q200" s="13" t="str">
        <f t="shared" ca="1" si="44"/>
        <v>0010000100001100</v>
      </c>
      <c r="R200" s="13">
        <f t="shared" ca="1" si="45"/>
        <v>1.5862015914916991</v>
      </c>
      <c r="S200" s="13">
        <f t="shared" ca="1" si="46"/>
        <v>39.034419097900397</v>
      </c>
      <c r="T200" s="17">
        <f t="shared" ca="1" si="48"/>
        <v>1.9235701057778904E-2</v>
      </c>
      <c r="U200" s="13"/>
      <c r="V200" s="14">
        <f t="shared" ca="1" si="47"/>
        <v>0.76558099999999996</v>
      </c>
      <c r="W200" s="13"/>
      <c r="X200" s="2"/>
    </row>
    <row r="201" spans="8:24" x14ac:dyDescent="0.25">
      <c r="H201" s="13">
        <v>39.900000000000006</v>
      </c>
      <c r="I201" s="13">
        <v>1.586998173695003</v>
      </c>
      <c r="J201" s="14">
        <f t="shared" si="38"/>
        <v>-1.11E-4</v>
      </c>
      <c r="K201" s="23">
        <f t="shared" si="39"/>
        <v>1E-4</v>
      </c>
      <c r="L201" s="14">
        <f t="shared" si="40"/>
        <v>4.5700000000000003E-3</v>
      </c>
      <c r="M201" s="10">
        <f t="shared" si="41"/>
        <v>1.5944535614106494</v>
      </c>
      <c r="N201" s="16">
        <f t="shared" si="42"/>
        <v>4.6977922465330319E-3</v>
      </c>
      <c r="O201" s="13">
        <f t="shared" si="43"/>
        <v>8506.5630999999994</v>
      </c>
      <c r="P201" s="13">
        <f t="shared" ca="1" si="37"/>
        <v>8510</v>
      </c>
      <c r="Q201" s="13" t="str">
        <f t="shared" ca="1" si="44"/>
        <v>0010000100111110</v>
      </c>
      <c r="R201" s="13">
        <f t="shared" ca="1" si="45"/>
        <v>1.5955763053894043</v>
      </c>
      <c r="S201" s="13">
        <f t="shared" ca="1" si="46"/>
        <v>39.146915664672854</v>
      </c>
      <c r="T201" s="17">
        <f t="shared" ca="1" si="48"/>
        <v>1.8874294118474987E-2</v>
      </c>
      <c r="U201" s="13"/>
      <c r="V201" s="14">
        <f t="shared" ca="1" si="47"/>
        <v>0.75308399999999998</v>
      </c>
      <c r="W201" s="13"/>
      <c r="X201" s="2"/>
    </row>
    <row r="202" spans="8:24" x14ac:dyDescent="0.25">
      <c r="H202" s="13">
        <v>40</v>
      </c>
      <c r="I202" s="13">
        <v>1.5961772096224736</v>
      </c>
      <c r="J202" s="14">
        <f t="shared" si="38"/>
        <v>-1.1E-4</v>
      </c>
      <c r="K202" s="23">
        <f t="shared" si="39"/>
        <v>1E-4</v>
      </c>
      <c r="L202" s="14">
        <f t="shared" si="40"/>
        <v>4.5999999999999999E-3</v>
      </c>
      <c r="M202" s="10">
        <f t="shared" si="41"/>
        <v>1.6037220643183379</v>
      </c>
      <c r="N202" s="16">
        <f t="shared" si="42"/>
        <v>4.7268277296408732E-3</v>
      </c>
      <c r="O202" s="13">
        <f t="shared" si="43"/>
        <v>8556.0113999999994</v>
      </c>
      <c r="P202" s="13">
        <f t="shared" ca="1" si="37"/>
        <v>8556</v>
      </c>
      <c r="Q202" s="13" t="str">
        <f t="shared" ca="1" si="44"/>
        <v>0010000101101100</v>
      </c>
      <c r="R202" s="13">
        <f t="shared" ca="1" si="45"/>
        <v>1.604201042175293</v>
      </c>
      <c r="S202" s="13">
        <f t="shared" ca="1" si="46"/>
        <v>39.250412506103523</v>
      </c>
      <c r="T202" s="17">
        <f t="shared" ca="1" si="48"/>
        <v>1.8739687347411937E-2</v>
      </c>
      <c r="U202" s="13"/>
      <c r="V202" s="14">
        <f t="shared" ca="1" si="47"/>
        <v>0.749587</v>
      </c>
      <c r="W202" s="13"/>
      <c r="X202" s="2"/>
    </row>
    <row r="203" spans="8:24" x14ac:dyDescent="0.25">
      <c r="H203" s="13">
        <v>40.1</v>
      </c>
      <c r="I203" s="13">
        <v>1.6045967666914711</v>
      </c>
      <c r="J203" s="14">
        <f t="shared" si="38"/>
        <v>-1.0900000000000001E-4</v>
      </c>
      <c r="K203" s="23">
        <f t="shared" si="39"/>
        <v>1.01E-4</v>
      </c>
      <c r="L203" s="14">
        <f t="shared" si="40"/>
        <v>4.6309999999999997E-3</v>
      </c>
      <c r="M203" s="10">
        <f t="shared" si="41"/>
        <v>1.6122297339915861</v>
      </c>
      <c r="N203" s="16">
        <f t="shared" si="42"/>
        <v>4.7569379787879328E-3</v>
      </c>
      <c r="O203" s="13">
        <f t="shared" si="43"/>
        <v>8601.4006000000008</v>
      </c>
      <c r="P203" s="13">
        <f t="shared" ca="1" si="37"/>
        <v>8601</v>
      </c>
      <c r="Q203" s="13" t="str">
        <f t="shared" ca="1" si="44"/>
        <v>0010000110011001</v>
      </c>
      <c r="R203" s="13">
        <f t="shared" ca="1" si="45"/>
        <v>1.6126382846832277</v>
      </c>
      <c r="S203" s="13">
        <f t="shared" ca="1" si="46"/>
        <v>39.351659416198736</v>
      </c>
      <c r="T203" s="17">
        <f t="shared" ca="1" si="48"/>
        <v>1.866185994516872E-2</v>
      </c>
      <c r="U203" s="13"/>
      <c r="V203" s="14">
        <f t="shared" ca="1" si="47"/>
        <v>0.74834100000000003</v>
      </c>
      <c r="W203" s="13"/>
      <c r="X203" s="2"/>
    </row>
    <row r="204" spans="8:24" x14ac:dyDescent="0.25">
      <c r="H204" s="13">
        <v>40.200000000000003</v>
      </c>
      <c r="I204" s="13">
        <v>1.6138224811052206</v>
      </c>
      <c r="J204" s="14">
        <f t="shared" si="38"/>
        <v>-1.0900000000000001E-4</v>
      </c>
      <c r="K204" s="23">
        <f t="shared" si="39"/>
        <v>1.01E-4</v>
      </c>
      <c r="L204" s="14">
        <f t="shared" si="40"/>
        <v>4.6610000000000002E-3</v>
      </c>
      <c r="M204" s="10">
        <f t="shared" si="41"/>
        <v>1.6215472424643469</v>
      </c>
      <c r="N204" s="16">
        <f t="shared" si="42"/>
        <v>4.7866239624050708E-3</v>
      </c>
      <c r="O204" s="13">
        <f t="shared" si="43"/>
        <v>8651.1103999999996</v>
      </c>
      <c r="P204" s="13">
        <f t="shared" ca="1" si="37"/>
        <v>8653</v>
      </c>
      <c r="Q204" s="13" t="str">
        <f t="shared" ca="1" si="44"/>
        <v>0010000111001101</v>
      </c>
      <c r="R204" s="13">
        <f t="shared" ca="1" si="45"/>
        <v>1.622387987136841</v>
      </c>
      <c r="S204" s="13">
        <f t="shared" ca="1" si="46"/>
        <v>39.46865584564209</v>
      </c>
      <c r="T204" s="17">
        <f t="shared" ca="1" si="48"/>
        <v>1.819264065566948E-2</v>
      </c>
      <c r="U204" s="13"/>
      <c r="V204" s="14">
        <f t="shared" ca="1" si="47"/>
        <v>0.73134399999999999</v>
      </c>
      <c r="W204" s="13"/>
      <c r="X204" s="2"/>
    </row>
    <row r="205" spans="8:24" x14ac:dyDescent="0.25">
      <c r="H205" s="13">
        <v>40.299999999999997</v>
      </c>
      <c r="I205" s="13">
        <v>1.6230708637804672</v>
      </c>
      <c r="J205" s="14">
        <f t="shared" si="38"/>
        <v>-1.08E-4</v>
      </c>
      <c r="K205" s="23">
        <f t="shared" si="39"/>
        <v>1.02E-4</v>
      </c>
      <c r="L205" s="14">
        <f t="shared" si="40"/>
        <v>4.692E-3</v>
      </c>
      <c r="M205" s="10">
        <f t="shared" si="41"/>
        <v>1.6308887215258665</v>
      </c>
      <c r="N205" s="16">
        <f t="shared" si="42"/>
        <v>4.8167075879792035E-3</v>
      </c>
      <c r="O205" s="13">
        <f t="shared" si="43"/>
        <v>8700.9480999999996</v>
      </c>
      <c r="P205" s="13">
        <f t="shared" ca="1" si="37"/>
        <v>8704</v>
      </c>
      <c r="Q205" s="13" t="str">
        <f t="shared" ca="1" si="44"/>
        <v>0010001000000000</v>
      </c>
      <c r="R205" s="13">
        <f t="shared" ca="1" si="45"/>
        <v>1.6319501953125</v>
      </c>
      <c r="S205" s="13">
        <f t="shared" ca="1" si="46"/>
        <v>39.583402343750002</v>
      </c>
      <c r="T205" s="17">
        <f t="shared" ca="1" si="48"/>
        <v>1.7781579559553225E-2</v>
      </c>
      <c r="U205" s="13"/>
      <c r="V205" s="14">
        <f t="shared" ca="1" si="47"/>
        <v>0.71659799999999996</v>
      </c>
      <c r="W205" s="13"/>
      <c r="X205" s="2"/>
    </row>
    <row r="206" spans="8:24" x14ac:dyDescent="0.25">
      <c r="H206" s="13">
        <v>40.400000000000006</v>
      </c>
      <c r="I206" s="13">
        <v>1.631562728412314</v>
      </c>
      <c r="J206" s="14">
        <f t="shared" si="38"/>
        <v>-1.08E-4</v>
      </c>
      <c r="K206" s="23">
        <f t="shared" si="39"/>
        <v>1.02E-4</v>
      </c>
      <c r="L206" s="14">
        <f t="shared" si="40"/>
        <v>4.7219999999999996E-3</v>
      </c>
      <c r="M206" s="10">
        <f t="shared" si="41"/>
        <v>1.6394700320275479</v>
      </c>
      <c r="N206" s="16">
        <f t="shared" si="42"/>
        <v>4.8464600701737092E-3</v>
      </c>
      <c r="O206" s="13">
        <f t="shared" si="43"/>
        <v>8746.7302999999993</v>
      </c>
      <c r="P206" s="13">
        <f t="shared" ca="1" si="37"/>
        <v>8751</v>
      </c>
      <c r="Q206" s="13" t="str">
        <f t="shared" ca="1" si="44"/>
        <v>0010001000101111</v>
      </c>
      <c r="R206" s="13">
        <f t="shared" ca="1" si="45"/>
        <v>1.6407624263763427</v>
      </c>
      <c r="S206" s="13">
        <f t="shared" ca="1" si="46"/>
        <v>39.68914911651612</v>
      </c>
      <c r="T206" s="17">
        <f t="shared" ca="1" si="48"/>
        <v>1.7595318898115983E-2</v>
      </c>
      <c r="U206" s="13"/>
      <c r="V206" s="14">
        <f t="shared" ca="1" si="47"/>
        <v>0.71085100000000001</v>
      </c>
      <c r="W206" s="13"/>
      <c r="X206" s="2"/>
    </row>
    <row r="207" spans="8:24" x14ac:dyDescent="0.25">
      <c r="H207" s="13">
        <v>40.5</v>
      </c>
      <c r="I207" s="13">
        <v>1.6408572540876665</v>
      </c>
      <c r="J207" s="14">
        <f t="shared" si="38"/>
        <v>-1.07E-4</v>
      </c>
      <c r="K207" s="23">
        <f t="shared" si="39"/>
        <v>1.03E-4</v>
      </c>
      <c r="L207" s="14">
        <f t="shared" si="40"/>
        <v>4.7530000000000003E-3</v>
      </c>
      <c r="M207" s="10">
        <f t="shared" si="41"/>
        <v>1.6488590052656944</v>
      </c>
      <c r="N207" s="16">
        <f t="shared" si="42"/>
        <v>4.8765675125573204E-3</v>
      </c>
      <c r="O207" s="13">
        <f t="shared" si="43"/>
        <v>8796.8212999999996</v>
      </c>
      <c r="P207" s="13">
        <f t="shared" ref="P207:P270" ca="1" si="49">ROUND(O207+$C$47+$C$49+RANDBETWEEN($B$45,$D$45) + 1,0)</f>
        <v>8798</v>
      </c>
      <c r="Q207" s="13" t="str">
        <f t="shared" ca="1" si="44"/>
        <v>0010001001011110</v>
      </c>
      <c r="R207" s="13">
        <f t="shared" ca="1" si="45"/>
        <v>1.6495746574401855</v>
      </c>
      <c r="S207" s="13">
        <f t="shared" ca="1" si="46"/>
        <v>39.79489588928223</v>
      </c>
      <c r="T207" s="17">
        <f t="shared" ca="1" si="48"/>
        <v>1.7409978042414065E-2</v>
      </c>
      <c r="U207" s="13"/>
      <c r="V207" s="14">
        <f t="shared" ca="1" si="47"/>
        <v>0.70510399999999995</v>
      </c>
      <c r="W207" s="13"/>
      <c r="X207" s="2"/>
    </row>
    <row r="208" spans="8:24" x14ac:dyDescent="0.25">
      <c r="H208" s="13">
        <v>40.6</v>
      </c>
      <c r="I208" s="13">
        <v>1.6493972384986209</v>
      </c>
      <c r="J208" s="14">
        <f t="shared" si="38"/>
        <v>-1.07E-4</v>
      </c>
      <c r="K208" s="23">
        <f t="shared" si="39"/>
        <v>1.03E-4</v>
      </c>
      <c r="L208" s="14">
        <f t="shared" si="40"/>
        <v>4.7829999999999999E-3</v>
      </c>
      <c r="M208" s="10">
        <f t="shared" si="41"/>
        <v>1.6574897344846609</v>
      </c>
      <c r="N208" s="16">
        <f t="shared" si="42"/>
        <v>4.9063353552151415E-3</v>
      </c>
      <c r="O208" s="13">
        <f t="shared" si="43"/>
        <v>8842.8670999999995</v>
      </c>
      <c r="P208" s="13">
        <f t="shared" ca="1" si="49"/>
        <v>8843</v>
      </c>
      <c r="Q208" s="13" t="str">
        <f t="shared" ca="1" si="44"/>
        <v>0010001010001011</v>
      </c>
      <c r="R208" s="13">
        <f t="shared" ca="1" si="45"/>
        <v>1.6580118999481201</v>
      </c>
      <c r="S208" s="13">
        <f t="shared" ca="1" si="46"/>
        <v>39.896142799377444</v>
      </c>
      <c r="T208" s="17">
        <f t="shared" ca="1" si="48"/>
        <v>1.733638425178714E-2</v>
      </c>
      <c r="U208" s="13"/>
      <c r="V208" s="14">
        <f t="shared" ca="1" si="47"/>
        <v>0.70385699999999995</v>
      </c>
      <c r="W208" s="13"/>
      <c r="X208" s="2"/>
    </row>
    <row r="209" spans="8:24" x14ac:dyDescent="0.25">
      <c r="H209" s="13">
        <v>40.700000000000003</v>
      </c>
      <c r="I209" s="13">
        <v>1.6587375468186403</v>
      </c>
      <c r="J209" s="14">
        <f t="shared" si="38"/>
        <v>-1.06E-4</v>
      </c>
      <c r="K209" s="23">
        <f t="shared" si="39"/>
        <v>1.0399999999999999E-4</v>
      </c>
      <c r="L209" s="14">
        <f t="shared" si="40"/>
        <v>4.8139999999999997E-3</v>
      </c>
      <c r="M209" s="10">
        <f t="shared" si="41"/>
        <v>1.6669258486420027</v>
      </c>
      <c r="N209" s="16">
        <f t="shared" si="42"/>
        <v>4.9364661932606892E-3</v>
      </c>
      <c r="O209" s="13">
        <f t="shared" si="43"/>
        <v>8893.2096999999994</v>
      </c>
      <c r="P209" s="13">
        <f t="shared" ca="1" si="49"/>
        <v>8898</v>
      </c>
      <c r="Q209" s="13" t="str">
        <f t="shared" ca="1" si="44"/>
        <v>0010001011000010</v>
      </c>
      <c r="R209" s="13">
        <f t="shared" ca="1" si="45"/>
        <v>1.6683240852355958</v>
      </c>
      <c r="S209" s="13">
        <f t="shared" ca="1" si="46"/>
        <v>40.019889022827151</v>
      </c>
      <c r="T209" s="17">
        <f t="shared" ca="1" si="48"/>
        <v>1.671034341948039E-2</v>
      </c>
      <c r="U209" s="13"/>
      <c r="V209" s="14">
        <f t="shared" ca="1" si="47"/>
        <v>0.68011100000000002</v>
      </c>
      <c r="W209" s="13"/>
      <c r="X209" s="2"/>
    </row>
    <row r="210" spans="8:24" x14ac:dyDescent="0.25">
      <c r="H210" s="13">
        <v>40.799999999999997</v>
      </c>
      <c r="I210" s="13">
        <v>1.6673252917292736</v>
      </c>
      <c r="J210" s="14">
        <f t="shared" si="38"/>
        <v>-1.05E-4</v>
      </c>
      <c r="K210" s="23">
        <f t="shared" si="39"/>
        <v>1.0399999999999999E-4</v>
      </c>
      <c r="L210" s="14">
        <f t="shared" si="40"/>
        <v>4.8440000000000002E-3</v>
      </c>
      <c r="M210" s="10">
        <f t="shared" si="41"/>
        <v>1.6756046396517466</v>
      </c>
      <c r="N210" s="16">
        <f t="shared" si="42"/>
        <v>4.965646453959814E-3</v>
      </c>
      <c r="O210" s="13">
        <f t="shared" si="43"/>
        <v>8939.5118999999995</v>
      </c>
      <c r="P210" s="13">
        <f t="shared" ca="1" si="49"/>
        <v>8939</v>
      </c>
      <c r="Q210" s="13" t="str">
        <f t="shared" ca="1" si="44"/>
        <v>0010001011101011</v>
      </c>
      <c r="R210" s="13">
        <f t="shared" ca="1" si="45"/>
        <v>1.6760113506317138</v>
      </c>
      <c r="S210" s="13">
        <f t="shared" ca="1" si="46"/>
        <v>40.112136207580569</v>
      </c>
      <c r="T210" s="17">
        <f t="shared" ca="1" si="48"/>
        <v>1.6859406676946766E-2</v>
      </c>
      <c r="U210" s="13"/>
      <c r="V210" s="14">
        <f t="shared" ca="1" si="47"/>
        <v>0.68786400000000003</v>
      </c>
      <c r="W210" s="13"/>
      <c r="X210" s="2"/>
    </row>
    <row r="211" spans="8:24" x14ac:dyDescent="0.25">
      <c r="H211" s="13">
        <v>40.900000000000006</v>
      </c>
      <c r="I211" s="13">
        <v>1.6767110196200159</v>
      </c>
      <c r="J211" s="14">
        <f t="shared" si="38"/>
        <v>-1.05E-4</v>
      </c>
      <c r="K211" s="23">
        <f t="shared" si="39"/>
        <v>1.05E-4</v>
      </c>
      <c r="L211" s="14">
        <f t="shared" si="40"/>
        <v>4.875E-3</v>
      </c>
      <c r="M211" s="10">
        <f t="shared" si="41"/>
        <v>1.6850885435196741</v>
      </c>
      <c r="N211" s="16">
        <f t="shared" si="42"/>
        <v>4.9964029589050669E-3</v>
      </c>
      <c r="O211" s="13">
        <f t="shared" si="43"/>
        <v>8990.1093999999994</v>
      </c>
      <c r="P211" s="13">
        <f t="shared" ca="1" si="49"/>
        <v>8989</v>
      </c>
      <c r="Q211" s="13" t="str">
        <f t="shared" ca="1" si="44"/>
        <v>0010001100011101</v>
      </c>
      <c r="R211" s="13">
        <f t="shared" ca="1" si="45"/>
        <v>1.685386064529419</v>
      </c>
      <c r="S211" s="13">
        <f t="shared" ca="1" si="46"/>
        <v>40.224632774353026</v>
      </c>
      <c r="T211" s="17">
        <f t="shared" ca="1" si="48"/>
        <v>1.6512646103838135E-2</v>
      </c>
      <c r="U211" s="13"/>
      <c r="V211" s="14">
        <f t="shared" ca="1" si="47"/>
        <v>0.67536700000000005</v>
      </c>
      <c r="W211" s="13"/>
      <c r="X211" s="2"/>
    </row>
    <row r="212" spans="8:24" x14ac:dyDescent="0.25">
      <c r="H212" s="13">
        <v>41</v>
      </c>
      <c r="I212" s="13">
        <v>1.6853461631797444</v>
      </c>
      <c r="J212" s="14">
        <f t="shared" si="38"/>
        <v>-1.0399999999999999E-4</v>
      </c>
      <c r="K212" s="23">
        <f t="shared" si="39"/>
        <v>1.05E-4</v>
      </c>
      <c r="L212" s="14">
        <f t="shared" si="40"/>
        <v>4.9049999999999996E-3</v>
      </c>
      <c r="M212" s="10">
        <f t="shared" si="41"/>
        <v>1.6938160463973233</v>
      </c>
      <c r="N212" s="16">
        <f t="shared" si="42"/>
        <v>5.0256044738006657E-3</v>
      </c>
      <c r="O212" s="13">
        <f t="shared" si="43"/>
        <v>9036.6715000000004</v>
      </c>
      <c r="P212" s="13">
        <f t="shared" ca="1" si="49"/>
        <v>9037</v>
      </c>
      <c r="Q212" s="13" t="str">
        <f t="shared" ca="1" si="44"/>
        <v>0010001101001101</v>
      </c>
      <c r="R212" s="13">
        <f t="shared" ca="1" si="45"/>
        <v>1.6943857898712158</v>
      </c>
      <c r="S212" s="13">
        <f t="shared" ca="1" si="46"/>
        <v>40.332629478454592</v>
      </c>
      <c r="T212" s="17">
        <f t="shared" ca="1" si="48"/>
        <v>1.6277329793790433E-2</v>
      </c>
      <c r="U212" s="13"/>
      <c r="V212" s="14">
        <f t="shared" ca="1" si="47"/>
        <v>0.66737100000000005</v>
      </c>
      <c r="W212" s="13"/>
      <c r="X212" s="2"/>
    </row>
    <row r="213" spans="8:24" x14ac:dyDescent="0.25">
      <c r="H213" s="13">
        <v>41.1</v>
      </c>
      <c r="I213" s="13">
        <v>1.6947769447108629</v>
      </c>
      <c r="J213" s="14">
        <f t="shared" si="38"/>
        <v>-1.0399999999999999E-4</v>
      </c>
      <c r="K213" s="23">
        <f t="shared" si="39"/>
        <v>1.06E-4</v>
      </c>
      <c r="L213" s="14">
        <f t="shared" si="40"/>
        <v>4.9360000000000003E-3</v>
      </c>
      <c r="M213" s="10">
        <f t="shared" si="41"/>
        <v>1.7033463761354677</v>
      </c>
      <c r="N213" s="16">
        <f t="shared" si="42"/>
        <v>5.0563771541432805E-3</v>
      </c>
      <c r="O213" s="13">
        <f t="shared" si="43"/>
        <v>9087.5167000000001</v>
      </c>
      <c r="P213" s="13">
        <f t="shared" ca="1" si="49"/>
        <v>9086</v>
      </c>
      <c r="Q213" s="13" t="str">
        <f t="shared" ca="1" si="44"/>
        <v>0010001101111110</v>
      </c>
      <c r="R213" s="13">
        <f t="shared" ca="1" si="45"/>
        <v>1.7035730094909669</v>
      </c>
      <c r="S213" s="13">
        <f t="shared" ca="1" si="46"/>
        <v>40.442876113891607</v>
      </c>
      <c r="T213" s="17">
        <f t="shared" ca="1" si="48"/>
        <v>1.5988415720398882E-2</v>
      </c>
      <c r="U213" s="13"/>
      <c r="V213" s="14">
        <f t="shared" ca="1" si="47"/>
        <v>0.65712400000000004</v>
      </c>
      <c r="W213" s="13"/>
      <c r="X213" s="2"/>
    </row>
    <row r="214" spans="8:24" x14ac:dyDescent="0.25">
      <c r="H214" s="13">
        <v>41.2</v>
      </c>
      <c r="I214" s="13">
        <v>1.702688671507258</v>
      </c>
      <c r="J214" s="14">
        <f t="shared" si="38"/>
        <v>-1.03E-4</v>
      </c>
      <c r="K214" s="23">
        <f t="shared" si="39"/>
        <v>1.06E-4</v>
      </c>
      <c r="L214" s="14">
        <f t="shared" si="40"/>
        <v>4.9659999999999999E-3</v>
      </c>
      <c r="M214" s="10">
        <f t="shared" si="41"/>
        <v>1.7113479373360687</v>
      </c>
      <c r="N214" s="16">
        <f t="shared" si="42"/>
        <v>5.0856424745842344E-3</v>
      </c>
      <c r="O214" s="13">
        <f t="shared" si="43"/>
        <v>9130.2057999999997</v>
      </c>
      <c r="P214" s="13">
        <f t="shared" ca="1" si="49"/>
        <v>9133</v>
      </c>
      <c r="Q214" s="13" t="str">
        <f t="shared" ca="1" si="44"/>
        <v>0010001110101101</v>
      </c>
      <c r="R214" s="13">
        <f t="shared" ca="1" si="45"/>
        <v>1.7123852405548097</v>
      </c>
      <c r="S214" s="13">
        <f t="shared" ca="1" si="46"/>
        <v>40.548622886657718</v>
      </c>
      <c r="T214" s="17">
        <f t="shared" ca="1" si="48"/>
        <v>1.5810124110249634E-2</v>
      </c>
      <c r="U214" s="13"/>
      <c r="V214" s="14">
        <f t="shared" ca="1" si="47"/>
        <v>0.65137699999999998</v>
      </c>
      <c r="W214" s="13"/>
      <c r="X214" s="2"/>
    </row>
    <row r="215" spans="8:24" x14ac:dyDescent="0.25">
      <c r="H215" s="13">
        <v>41.3</v>
      </c>
      <c r="I215" s="13">
        <v>1.71139585427484</v>
      </c>
      <c r="J215" s="14">
        <f t="shared" si="38"/>
        <v>-1.03E-4</v>
      </c>
      <c r="K215" s="23">
        <f t="shared" si="39"/>
        <v>1.07E-4</v>
      </c>
      <c r="L215" s="14">
        <f t="shared" si="40"/>
        <v>4.9969999999999997E-3</v>
      </c>
      <c r="M215" s="10">
        <f t="shared" si="41"/>
        <v>1.7201521648164275</v>
      </c>
      <c r="N215" s="16">
        <f t="shared" si="42"/>
        <v>5.1164729187086894E-3</v>
      </c>
      <c r="O215" s="13">
        <f t="shared" si="43"/>
        <v>9177.1772000000001</v>
      </c>
      <c r="P215" s="13">
        <f t="shared" ca="1" si="49"/>
        <v>9181</v>
      </c>
      <c r="Q215" s="13" t="str">
        <f t="shared" ca="1" si="44"/>
        <v>0010001111011101</v>
      </c>
      <c r="R215" s="13">
        <f t="shared" ca="1" si="45"/>
        <v>1.7213849658966065</v>
      </c>
      <c r="S215" s="13">
        <f t="shared" ca="1" si="46"/>
        <v>40.656619590759284</v>
      </c>
      <c r="T215" s="17">
        <f t="shared" ca="1" si="48"/>
        <v>1.5578218141421622E-2</v>
      </c>
      <c r="U215" s="13"/>
      <c r="V215" s="14">
        <f t="shared" ca="1" si="47"/>
        <v>0.64337999999999995</v>
      </c>
      <c r="W215" s="13"/>
      <c r="X215" s="2"/>
    </row>
    <row r="216" spans="8:24" x14ac:dyDescent="0.25">
      <c r="H216" s="13">
        <v>41.400000000000006</v>
      </c>
      <c r="I216" s="13">
        <v>1.7208951477748329</v>
      </c>
      <c r="J216" s="14">
        <f t="shared" si="38"/>
        <v>-1.02E-4</v>
      </c>
      <c r="K216" s="23">
        <f t="shared" si="39"/>
        <v>1.07E-4</v>
      </c>
      <c r="L216" s="14">
        <f t="shared" si="40"/>
        <v>5.0270000000000002E-3</v>
      </c>
      <c r="M216" s="10">
        <f t="shared" si="41"/>
        <v>1.7297503110223422</v>
      </c>
      <c r="N216" s="16">
        <f t="shared" si="42"/>
        <v>5.1456727383764941E-3</v>
      </c>
      <c r="O216" s="13">
        <f t="shared" si="43"/>
        <v>9228.3842000000004</v>
      </c>
      <c r="P216" s="13">
        <f t="shared" ca="1" si="49"/>
        <v>9231</v>
      </c>
      <c r="Q216" s="13" t="str">
        <f t="shared" ca="1" si="44"/>
        <v>0010010000001111</v>
      </c>
      <c r="R216" s="13">
        <f t="shared" ca="1" si="45"/>
        <v>1.7307596797943117</v>
      </c>
      <c r="S216" s="13">
        <f t="shared" ca="1" si="46"/>
        <v>40.769116157531741</v>
      </c>
      <c r="T216" s="17">
        <f t="shared" ca="1" si="48"/>
        <v>1.5238740156238278E-2</v>
      </c>
      <c r="U216" s="13"/>
      <c r="V216" s="14">
        <f t="shared" ca="1" si="47"/>
        <v>0.630884</v>
      </c>
      <c r="W216" s="13"/>
      <c r="X216" s="2"/>
    </row>
    <row r="217" spans="8:24" x14ac:dyDescent="0.25">
      <c r="H217" s="13">
        <v>41.5</v>
      </c>
      <c r="I217" s="13">
        <v>1.7296488132767387</v>
      </c>
      <c r="J217" s="14">
        <f t="shared" si="38"/>
        <v>-1.01E-4</v>
      </c>
      <c r="K217" s="23">
        <f t="shared" si="39"/>
        <v>1.08E-4</v>
      </c>
      <c r="L217" s="14">
        <f t="shared" si="40"/>
        <v>5.058E-3</v>
      </c>
      <c r="M217" s="10">
        <f t="shared" si="41"/>
        <v>1.7386013656200447</v>
      </c>
      <c r="N217" s="16">
        <f t="shared" si="42"/>
        <v>5.1759364528721069E-3</v>
      </c>
      <c r="O217" s="13">
        <f t="shared" si="43"/>
        <v>9275.6054000000004</v>
      </c>
      <c r="P217" s="13">
        <f t="shared" ca="1" si="49"/>
        <v>9277</v>
      </c>
      <c r="Q217" s="13" t="str">
        <f t="shared" ca="1" si="44"/>
        <v>0010010000111101</v>
      </c>
      <c r="R217" s="13">
        <f t="shared" ca="1" si="45"/>
        <v>1.7393844165802002</v>
      </c>
      <c r="S217" s="13">
        <f t="shared" ca="1" si="46"/>
        <v>40.872612998962403</v>
      </c>
      <c r="T217" s="17">
        <f t="shared" ca="1" si="48"/>
        <v>1.5117759061146922E-2</v>
      </c>
      <c r="U217" s="13"/>
      <c r="V217" s="14">
        <f t="shared" ca="1" si="47"/>
        <v>0.62738700000000003</v>
      </c>
      <c r="W217" s="13"/>
      <c r="X217" s="2"/>
    </row>
    <row r="218" spans="8:24" x14ac:dyDescent="0.25">
      <c r="H218" s="13">
        <v>41.6</v>
      </c>
      <c r="I218" s="13">
        <v>1.7384261237993424</v>
      </c>
      <c r="J218" s="14">
        <f t="shared" si="38"/>
        <v>-1.01E-4</v>
      </c>
      <c r="K218" s="23">
        <f t="shared" si="39"/>
        <v>1.08E-4</v>
      </c>
      <c r="L218" s="14">
        <f t="shared" si="40"/>
        <v>5.0879999999999996E-3</v>
      </c>
      <c r="M218" s="10">
        <f t="shared" si="41"/>
        <v>1.7474759865147291</v>
      </c>
      <c r="N218" s="16">
        <f t="shared" si="42"/>
        <v>5.2057792916780565E-3</v>
      </c>
      <c r="O218" s="13">
        <f t="shared" si="43"/>
        <v>9322.9524000000001</v>
      </c>
      <c r="P218" s="13">
        <f t="shared" ca="1" si="49"/>
        <v>9328</v>
      </c>
      <c r="Q218" s="13" t="str">
        <f t="shared" ca="1" si="44"/>
        <v>0010010001110000</v>
      </c>
      <c r="R218" s="13">
        <f t="shared" ca="1" si="45"/>
        <v>1.7489466247558594</v>
      </c>
      <c r="S218" s="13">
        <f t="shared" ca="1" si="46"/>
        <v>40.987359497070315</v>
      </c>
      <c r="T218" s="17">
        <f t="shared" ca="1" si="48"/>
        <v>1.4726935166578994E-2</v>
      </c>
      <c r="U218" s="13"/>
      <c r="V218" s="14">
        <f t="shared" ca="1" si="47"/>
        <v>0.61264099999999999</v>
      </c>
      <c r="W218" s="13"/>
      <c r="X218" s="2"/>
    </row>
    <row r="219" spans="8:24" x14ac:dyDescent="0.25">
      <c r="H219" s="13">
        <v>41.7</v>
      </c>
      <c r="I219" s="13">
        <v>1.7479920107391114</v>
      </c>
      <c r="J219" s="14">
        <f t="shared" si="38"/>
        <v>-1E-4</v>
      </c>
      <c r="K219" s="23">
        <f t="shared" si="39"/>
        <v>1.0900000000000001E-4</v>
      </c>
      <c r="L219" s="14">
        <f t="shared" si="40"/>
        <v>5.1190000000000003E-3</v>
      </c>
      <c r="M219" s="10">
        <f t="shared" si="41"/>
        <v>1.7571445367205838</v>
      </c>
      <c r="N219" s="16">
        <f t="shared" si="42"/>
        <v>5.2360227765585847E-3</v>
      </c>
      <c r="O219" s="13">
        <f t="shared" si="43"/>
        <v>9374.5349999999999</v>
      </c>
      <c r="P219" s="13">
        <f t="shared" ca="1" si="49"/>
        <v>9373</v>
      </c>
      <c r="Q219" s="13" t="str">
        <f t="shared" ca="1" si="44"/>
        <v>0010010010011101</v>
      </c>
      <c r="R219" s="13">
        <f t="shared" ca="1" si="45"/>
        <v>1.757383867263794</v>
      </c>
      <c r="S219" s="13">
        <f t="shared" ca="1" si="46"/>
        <v>41.088606407165535</v>
      </c>
      <c r="T219" s="17">
        <f t="shared" ca="1" si="48"/>
        <v>1.4661716854543582E-2</v>
      </c>
      <c r="U219" s="13"/>
      <c r="V219" s="14">
        <f t="shared" ca="1" si="47"/>
        <v>0.61139399999999999</v>
      </c>
      <c r="W219" s="13"/>
      <c r="X219" s="2"/>
    </row>
    <row r="220" spans="8:24" x14ac:dyDescent="0.25">
      <c r="H220" s="13">
        <v>41.8</v>
      </c>
      <c r="I220" s="13">
        <v>1.7568152453390915</v>
      </c>
      <c r="J220" s="14">
        <f t="shared" si="38"/>
        <v>-1E-4</v>
      </c>
      <c r="K220" s="23">
        <f t="shared" si="39"/>
        <v>1.0900000000000001E-4</v>
      </c>
      <c r="L220" s="14">
        <f t="shared" si="40"/>
        <v>5.1489999999999999E-3</v>
      </c>
      <c r="M220" s="10">
        <f t="shared" si="41"/>
        <v>1.7660664227076128</v>
      </c>
      <c r="N220" s="16">
        <f t="shared" si="42"/>
        <v>5.2658794902111115E-3</v>
      </c>
      <c r="O220" s="13">
        <f t="shared" si="43"/>
        <v>9422.1342000000004</v>
      </c>
      <c r="P220" s="13">
        <f t="shared" ca="1" si="49"/>
        <v>9421</v>
      </c>
      <c r="Q220" s="13" t="str">
        <f t="shared" ca="1" si="44"/>
        <v>0010010011001101</v>
      </c>
      <c r="R220" s="13">
        <f t="shared" ca="1" si="45"/>
        <v>1.7663835926055909</v>
      </c>
      <c r="S220" s="13">
        <f t="shared" ca="1" si="46"/>
        <v>41.196603111267095</v>
      </c>
      <c r="T220" s="17">
        <f t="shared" ca="1" si="48"/>
        <v>1.443533226633738E-2</v>
      </c>
      <c r="U220" s="13"/>
      <c r="V220" s="14">
        <f t="shared" ca="1" si="47"/>
        <v>0.60339699999999996</v>
      </c>
      <c r="W220" s="13"/>
      <c r="X220" s="2"/>
    </row>
    <row r="221" spans="8:24" x14ac:dyDescent="0.25">
      <c r="H221" s="13">
        <v>41.900000000000006</v>
      </c>
      <c r="I221" s="13">
        <v>1.7664246959866734</v>
      </c>
      <c r="J221" s="14">
        <f t="shared" si="38"/>
        <v>-9.8999999999999994E-5</v>
      </c>
      <c r="K221" s="23">
        <f t="shared" si="39"/>
        <v>1.1E-4</v>
      </c>
      <c r="L221" s="14">
        <f t="shared" si="40"/>
        <v>5.1799999999999997E-3</v>
      </c>
      <c r="M221" s="10">
        <f t="shared" si="41"/>
        <v>1.7757799356131494</v>
      </c>
      <c r="N221" s="16">
        <f t="shared" si="42"/>
        <v>5.2961440404061116E-3</v>
      </c>
      <c r="O221" s="13">
        <f t="shared" si="43"/>
        <v>9473.9567000000006</v>
      </c>
      <c r="P221" s="13">
        <f t="shared" ca="1" si="49"/>
        <v>9473</v>
      </c>
      <c r="Q221" s="13" t="str">
        <f t="shared" ca="1" si="44"/>
        <v>0010010100000001</v>
      </c>
      <c r="R221" s="13">
        <f t="shared" ca="1" si="45"/>
        <v>1.7761332950592041</v>
      </c>
      <c r="S221" s="13">
        <f t="shared" ca="1" si="46"/>
        <v>41.313599540710456</v>
      </c>
      <c r="T221" s="17">
        <f t="shared" ca="1" si="48"/>
        <v>1.3995237691874694E-2</v>
      </c>
      <c r="U221" s="13"/>
      <c r="V221" s="14">
        <f t="shared" ca="1" si="47"/>
        <v>0.58640000000000003</v>
      </c>
      <c r="W221" s="13"/>
      <c r="X221" s="2"/>
    </row>
    <row r="222" spans="8:24" x14ac:dyDescent="0.25">
      <c r="H222" s="13">
        <v>42</v>
      </c>
      <c r="I222" s="13">
        <v>1.7752934784543284</v>
      </c>
      <c r="J222" s="14">
        <f t="shared" si="38"/>
        <v>-9.8999999999999994E-5</v>
      </c>
      <c r="K222" s="23">
        <f t="shared" si="39"/>
        <v>1.1E-4</v>
      </c>
      <c r="L222" s="14">
        <f t="shared" si="40"/>
        <v>5.2100000000000002E-3</v>
      </c>
      <c r="M222" s="10">
        <f t="shared" si="41"/>
        <v>1.7847487170903693</v>
      </c>
      <c r="N222" s="16">
        <f t="shared" si="42"/>
        <v>5.3260144031358628E-3</v>
      </c>
      <c r="O222" s="13">
        <f t="shared" si="43"/>
        <v>9521.8060000000005</v>
      </c>
      <c r="P222" s="13">
        <f t="shared" ca="1" si="49"/>
        <v>9524</v>
      </c>
      <c r="Q222" s="13" t="str">
        <f t="shared" ca="1" si="44"/>
        <v>0010010100110100</v>
      </c>
      <c r="R222" s="13">
        <f t="shared" ca="1" si="45"/>
        <v>1.7856955032348634</v>
      </c>
      <c r="S222" s="13">
        <f t="shared" ca="1" si="46"/>
        <v>41.428346038818361</v>
      </c>
      <c r="T222" s="17">
        <f t="shared" ca="1" si="48"/>
        <v>1.3610808599562827E-2</v>
      </c>
      <c r="U222" s="13"/>
      <c r="V222" s="14">
        <f t="shared" ca="1" si="47"/>
        <v>0.571654</v>
      </c>
      <c r="W222" s="13"/>
      <c r="X222" s="2"/>
    </row>
    <row r="223" spans="8:24" x14ac:dyDescent="0.25">
      <c r="H223" s="13">
        <v>42.1</v>
      </c>
      <c r="I223" s="13">
        <v>1.7841854374325505</v>
      </c>
      <c r="J223" s="14">
        <f t="shared" si="38"/>
        <v>-9.7999999999999997E-5</v>
      </c>
      <c r="K223" s="23">
        <f t="shared" si="39"/>
        <v>1.11E-4</v>
      </c>
      <c r="L223" s="14">
        <f t="shared" si="40"/>
        <v>5.241E-3</v>
      </c>
      <c r="M223" s="10">
        <f t="shared" si="41"/>
        <v>1.7937421359892702</v>
      </c>
      <c r="N223" s="16">
        <f t="shared" si="42"/>
        <v>5.3563370467095755E-3</v>
      </c>
      <c r="O223" s="13">
        <f t="shared" si="43"/>
        <v>9569.7867999999999</v>
      </c>
      <c r="P223" s="13">
        <f t="shared" ca="1" si="49"/>
        <v>9573</v>
      </c>
      <c r="Q223" s="13" t="str">
        <f t="shared" ca="1" si="44"/>
        <v>0010010101100101</v>
      </c>
      <c r="R223" s="13">
        <f t="shared" ca="1" si="45"/>
        <v>1.7948827228546143</v>
      </c>
      <c r="S223" s="13">
        <f t="shared" ca="1" si="46"/>
        <v>41.538592674255369</v>
      </c>
      <c r="T223" s="17">
        <f t="shared" ca="1" si="48"/>
        <v>1.3335090872794112E-2</v>
      </c>
      <c r="U223" s="13"/>
      <c r="V223" s="14">
        <f t="shared" ca="1" si="47"/>
        <v>0.56140699999999999</v>
      </c>
      <c r="W223" s="13"/>
      <c r="X223" s="2"/>
    </row>
    <row r="224" spans="8:24" x14ac:dyDescent="0.25">
      <c r="H224" s="13">
        <v>42.2</v>
      </c>
      <c r="I224" s="13">
        <v>1.793860064300151</v>
      </c>
      <c r="J224" s="14">
        <f t="shared" si="38"/>
        <v>-9.7E-5</v>
      </c>
      <c r="K224" s="23">
        <f t="shared" si="39"/>
        <v>1.11E-4</v>
      </c>
      <c r="L224" s="14">
        <f t="shared" si="40"/>
        <v>5.2709999999999996E-3</v>
      </c>
      <c r="M224" s="10">
        <f t="shared" si="41"/>
        <v>1.8035211183972226</v>
      </c>
      <c r="N224" s="16">
        <f t="shared" si="42"/>
        <v>5.3856230423640957E-3</v>
      </c>
      <c r="O224" s="13">
        <f t="shared" si="43"/>
        <v>9621.9585999999999</v>
      </c>
      <c r="P224" s="13">
        <f t="shared" ca="1" si="49"/>
        <v>9625</v>
      </c>
      <c r="Q224" s="13" t="str">
        <f t="shared" ca="1" si="44"/>
        <v>0010010110011001</v>
      </c>
      <c r="R224" s="13">
        <f t="shared" ca="1" si="45"/>
        <v>1.8046324253082275</v>
      </c>
      <c r="S224" s="13">
        <f t="shared" ca="1" si="46"/>
        <v>41.655589103698738</v>
      </c>
      <c r="T224" s="17">
        <f t="shared" ca="1" si="48"/>
        <v>1.2900732139840408E-2</v>
      </c>
      <c r="U224" s="13"/>
      <c r="V224" s="14">
        <f t="shared" ca="1" si="47"/>
        <v>0.54441099999999998</v>
      </c>
      <c r="W224" s="13"/>
      <c r="X224" s="2"/>
    </row>
    <row r="225" spans="8:24" x14ac:dyDescent="0.25">
      <c r="H225" s="13">
        <v>42.3</v>
      </c>
      <c r="I225" s="13">
        <v>1.8027970025403914</v>
      </c>
      <c r="J225" s="14">
        <f t="shared" si="38"/>
        <v>-9.7E-5</v>
      </c>
      <c r="K225" s="23">
        <f t="shared" si="39"/>
        <v>1.12E-4</v>
      </c>
      <c r="L225" s="14">
        <f t="shared" si="40"/>
        <v>5.3020000000000003E-3</v>
      </c>
      <c r="M225" s="10">
        <f t="shared" si="41"/>
        <v>1.812561898208694</v>
      </c>
      <c r="N225" s="16">
        <f t="shared" si="42"/>
        <v>5.4165253517408926E-3</v>
      </c>
      <c r="O225" s="13">
        <f t="shared" si="43"/>
        <v>9670.1919999999991</v>
      </c>
      <c r="P225" s="13">
        <f t="shared" ca="1" si="49"/>
        <v>9670</v>
      </c>
      <c r="Q225" s="13" t="str">
        <f t="shared" ca="1" si="44"/>
        <v>0010010111000110</v>
      </c>
      <c r="R225" s="13">
        <f t="shared" ca="1" si="45"/>
        <v>1.8130696678161622</v>
      </c>
      <c r="S225" s="13">
        <f t="shared" ca="1" si="46"/>
        <v>41.756836013793951</v>
      </c>
      <c r="T225" s="17">
        <f t="shared" ca="1" si="48"/>
        <v>1.2840756175083842E-2</v>
      </c>
      <c r="U225" s="13"/>
      <c r="V225" s="14">
        <f t="shared" ca="1" si="47"/>
        <v>0.54316399999999998</v>
      </c>
      <c r="W225" s="13"/>
      <c r="X225" s="2"/>
    </row>
    <row r="226" spans="8:24" x14ac:dyDescent="0.25">
      <c r="H226" s="13">
        <v>42.400000000000006</v>
      </c>
      <c r="I226" s="13">
        <v>1.8117568321179296</v>
      </c>
      <c r="J226" s="14">
        <f t="shared" si="38"/>
        <v>-9.6000000000000002E-5</v>
      </c>
      <c r="K226" s="23">
        <f t="shared" si="39"/>
        <v>1.12E-4</v>
      </c>
      <c r="L226" s="14">
        <f t="shared" si="40"/>
        <v>5.3319999999999999E-3</v>
      </c>
      <c r="M226" s="10">
        <f t="shared" si="41"/>
        <v>1.8216234189316733</v>
      </c>
      <c r="N226" s="16">
        <f t="shared" si="42"/>
        <v>5.445867038464421E-3</v>
      </c>
      <c r="O226" s="13">
        <f t="shared" si="43"/>
        <v>9718.5360999999994</v>
      </c>
      <c r="P226" s="13">
        <f t="shared" ca="1" si="49"/>
        <v>9720</v>
      </c>
      <c r="Q226" s="13" t="str">
        <f t="shared" ca="1" si="44"/>
        <v>0010010111111000</v>
      </c>
      <c r="R226" s="13">
        <f t="shared" ca="1" si="45"/>
        <v>1.8224443817138671</v>
      </c>
      <c r="S226" s="13">
        <f t="shared" ca="1" si="46"/>
        <v>41.869332580566407</v>
      </c>
      <c r="T226" s="17">
        <f t="shared" ca="1" si="48"/>
        <v>1.2515741024377317E-2</v>
      </c>
      <c r="U226" s="13"/>
      <c r="V226" s="14">
        <f t="shared" ca="1" si="47"/>
        <v>0.530667</v>
      </c>
      <c r="W226" s="13"/>
      <c r="X226" s="2"/>
    </row>
    <row r="227" spans="8:24" x14ac:dyDescent="0.25">
      <c r="H227" s="13">
        <v>42.5</v>
      </c>
      <c r="I227" s="13">
        <v>1.8207394576722586</v>
      </c>
      <c r="J227" s="14">
        <f t="shared" si="38"/>
        <v>-9.6000000000000002E-5</v>
      </c>
      <c r="K227" s="23">
        <f t="shared" si="39"/>
        <v>1.13E-4</v>
      </c>
      <c r="L227" s="14">
        <f t="shared" si="40"/>
        <v>5.3629999999999997E-3</v>
      </c>
      <c r="M227" s="10">
        <f t="shared" si="41"/>
        <v>1.8307112510576811</v>
      </c>
      <c r="N227" s="16">
        <f t="shared" si="42"/>
        <v>5.4767821630948531E-3</v>
      </c>
      <c r="O227" s="13">
        <f t="shared" si="43"/>
        <v>9767.0205000000005</v>
      </c>
      <c r="P227" s="13">
        <f t="shared" ca="1" si="49"/>
        <v>9770</v>
      </c>
      <c r="Q227" s="13" t="str">
        <f t="shared" ca="1" si="44"/>
        <v>0010011000101010</v>
      </c>
      <c r="R227" s="13">
        <f t="shared" ca="1" si="45"/>
        <v>1.8318190956115723</v>
      </c>
      <c r="S227" s="13">
        <f t="shared" ca="1" si="46"/>
        <v>41.981829147338871</v>
      </c>
      <c r="T227" s="17">
        <f t="shared" ca="1" si="48"/>
        <v>1.2192255356732443E-2</v>
      </c>
      <c r="U227" s="13"/>
      <c r="V227" s="14">
        <f t="shared" ca="1" si="47"/>
        <v>0.51817100000000005</v>
      </c>
      <c r="W227" s="13"/>
      <c r="X227" s="2"/>
    </row>
    <row r="228" spans="8:24" x14ac:dyDescent="0.25">
      <c r="H228" s="13">
        <v>42.6</v>
      </c>
      <c r="I228" s="13">
        <v>1.8297447833023359</v>
      </c>
      <c r="J228" s="14">
        <f t="shared" si="38"/>
        <v>-9.5000000000000005E-5</v>
      </c>
      <c r="K228" s="23">
        <f t="shared" si="39"/>
        <v>1.13E-4</v>
      </c>
      <c r="L228" s="14">
        <f t="shared" si="40"/>
        <v>5.3930000000000002E-3</v>
      </c>
      <c r="M228" s="10">
        <f t="shared" si="41"/>
        <v>1.8398196177066275</v>
      </c>
      <c r="N228" s="16">
        <f t="shared" si="42"/>
        <v>5.5061418927007119E-3</v>
      </c>
      <c r="O228" s="13">
        <f t="shared" si="43"/>
        <v>9815.6146000000008</v>
      </c>
      <c r="P228" s="13">
        <f t="shared" ca="1" si="49"/>
        <v>9820</v>
      </c>
      <c r="Q228" s="13" t="str">
        <f t="shared" ca="1" si="44"/>
        <v>0010011001011100</v>
      </c>
      <c r="R228" s="13">
        <f t="shared" ca="1" si="45"/>
        <v>1.8411938095092775</v>
      </c>
      <c r="S228" s="13">
        <f t="shared" ca="1" si="46"/>
        <v>42.094325714111328</v>
      </c>
      <c r="T228" s="17">
        <f t="shared" ca="1" si="48"/>
        <v>1.1870288401142572E-2</v>
      </c>
      <c r="U228" s="13"/>
      <c r="V228" s="14">
        <f t="shared" ca="1" si="47"/>
        <v>0.50567399999999996</v>
      </c>
      <c r="W228" s="13"/>
      <c r="X228" s="2"/>
    </row>
    <row r="229" spans="8:24" x14ac:dyDescent="0.25">
      <c r="H229" s="13">
        <v>42.7</v>
      </c>
      <c r="I229" s="13">
        <v>1.8387727129508382</v>
      </c>
      <c r="J229" s="14">
        <f t="shared" si="38"/>
        <v>-9.3999999999999994E-5</v>
      </c>
      <c r="K229" s="23">
        <f t="shared" si="39"/>
        <v>1.1400000000000001E-4</v>
      </c>
      <c r="L229" s="14">
        <f t="shared" si="40"/>
        <v>5.424E-3</v>
      </c>
      <c r="M229" s="10">
        <f t="shared" si="41"/>
        <v>1.8489531200821638</v>
      </c>
      <c r="N229" s="16">
        <f t="shared" si="42"/>
        <v>5.5365228446251176E-3</v>
      </c>
      <c r="O229" s="13">
        <f t="shared" si="43"/>
        <v>9864.3426999999992</v>
      </c>
      <c r="P229" s="13">
        <f t="shared" ca="1" si="49"/>
        <v>9865</v>
      </c>
      <c r="Q229" s="13" t="str">
        <f t="shared" ca="1" si="44"/>
        <v>0010011010001001</v>
      </c>
      <c r="R229" s="13">
        <f t="shared" ca="1" si="45"/>
        <v>1.8496310520172119</v>
      </c>
      <c r="S229" s="13">
        <f t="shared" ca="1" si="46"/>
        <v>42.195572624206541</v>
      </c>
      <c r="T229" s="17">
        <f t="shared" ca="1" si="48"/>
        <v>1.181328748930824E-2</v>
      </c>
      <c r="U229" s="13"/>
      <c r="V229" s="14">
        <f t="shared" ca="1" si="47"/>
        <v>0.50442699999999996</v>
      </c>
      <c r="W229" s="13"/>
      <c r="X229" s="2"/>
    </row>
    <row r="230" spans="8:24" x14ac:dyDescent="0.25">
      <c r="H230" s="13">
        <v>42.8</v>
      </c>
      <c r="I230" s="13">
        <v>1.8478231500329148</v>
      </c>
      <c r="J230" s="14">
        <f t="shared" si="38"/>
        <v>-9.3999999999999994E-5</v>
      </c>
      <c r="K230" s="23">
        <f t="shared" si="39"/>
        <v>1.1400000000000001E-4</v>
      </c>
      <c r="L230" s="14">
        <f t="shared" si="40"/>
        <v>5.4539999999999996E-3</v>
      </c>
      <c r="M230" s="10">
        <f t="shared" si="41"/>
        <v>1.8581089599685832</v>
      </c>
      <c r="N230" s="16">
        <f t="shared" si="42"/>
        <v>5.5664471654038932E-3</v>
      </c>
      <c r="O230" s="13">
        <f t="shared" si="43"/>
        <v>9913.19</v>
      </c>
      <c r="P230" s="13">
        <f t="shared" ca="1" si="49"/>
        <v>9915</v>
      </c>
      <c r="Q230" s="13" t="str">
        <f t="shared" ca="1" si="44"/>
        <v>0010011010111011</v>
      </c>
      <c r="R230" s="13">
        <f t="shared" ca="1" si="45"/>
        <v>1.8590057659149171</v>
      </c>
      <c r="S230" s="13">
        <f t="shared" ca="1" si="46"/>
        <v>42.308069190979012</v>
      </c>
      <c r="T230" s="17">
        <f t="shared" ca="1" si="48"/>
        <v>1.1493710491144516E-2</v>
      </c>
      <c r="U230" s="13"/>
      <c r="V230" s="14">
        <f t="shared" ca="1" si="47"/>
        <v>0.49193100000000001</v>
      </c>
      <c r="W230" s="13"/>
      <c r="X230" s="2"/>
    </row>
    <row r="231" spans="8:24" x14ac:dyDescent="0.25">
      <c r="H231" s="13">
        <v>42.900000000000006</v>
      </c>
      <c r="I231" s="13">
        <v>1.8568959975095343</v>
      </c>
      <c r="J231" s="14">
        <f t="shared" si="38"/>
        <v>-9.2999999999999997E-5</v>
      </c>
      <c r="K231" s="23">
        <f t="shared" si="39"/>
        <v>1.15E-4</v>
      </c>
      <c r="L231" s="14">
        <f t="shared" si="40"/>
        <v>5.4850000000000003E-3</v>
      </c>
      <c r="M231" s="10">
        <f t="shared" si="41"/>
        <v>1.8672887582183617</v>
      </c>
      <c r="N231" s="16">
        <f t="shared" si="42"/>
        <v>5.5968458776184532E-3</v>
      </c>
      <c r="O231" s="13">
        <f t="shared" si="43"/>
        <v>9962.1651000000002</v>
      </c>
      <c r="P231" s="13">
        <f t="shared" ca="1" si="49"/>
        <v>9965</v>
      </c>
      <c r="Q231" s="13" t="str">
        <f t="shared" ca="1" si="44"/>
        <v>0010011011101101</v>
      </c>
      <c r="R231" s="13">
        <f t="shared" ca="1" si="45"/>
        <v>1.868380479812622</v>
      </c>
      <c r="S231" s="13">
        <f t="shared" ca="1" si="46"/>
        <v>42.420565757751469</v>
      </c>
      <c r="T231" s="17">
        <f t="shared" ca="1" si="48"/>
        <v>1.1175623362436762E-2</v>
      </c>
      <c r="U231" s="13"/>
      <c r="V231" s="14">
        <f t="shared" ca="1" si="47"/>
        <v>0.47943400000000003</v>
      </c>
      <c r="W231" s="13"/>
      <c r="X231" s="2"/>
    </row>
    <row r="232" spans="8:24" x14ac:dyDescent="0.25">
      <c r="H232" s="13">
        <v>43</v>
      </c>
      <c r="I232" s="13">
        <v>1.8652403086920988</v>
      </c>
      <c r="J232" s="14">
        <f t="shared" si="38"/>
        <v>-9.2999999999999997E-5</v>
      </c>
      <c r="K232" s="23">
        <f t="shared" si="39"/>
        <v>1.15E-4</v>
      </c>
      <c r="L232" s="14">
        <f t="shared" si="40"/>
        <v>5.5149999999999999E-3</v>
      </c>
      <c r="M232" s="10">
        <f t="shared" si="41"/>
        <v>1.875735671047928</v>
      </c>
      <c r="N232" s="16">
        <f t="shared" si="42"/>
        <v>5.6268151116617149E-3</v>
      </c>
      <c r="O232" s="13">
        <f t="shared" si="43"/>
        <v>10007.2302</v>
      </c>
      <c r="P232" s="13">
        <f t="shared" ca="1" si="49"/>
        <v>10008</v>
      </c>
      <c r="Q232" s="13" t="str">
        <f t="shared" ca="1" si="44"/>
        <v>0010011100011000</v>
      </c>
      <c r="R232" s="13">
        <f t="shared" ca="1" si="45"/>
        <v>1.8764427337646485</v>
      </c>
      <c r="S232" s="13">
        <f t="shared" ca="1" si="46"/>
        <v>42.517312805175784</v>
      </c>
      <c r="T232" s="17">
        <f t="shared" ca="1" si="48"/>
        <v>1.1225283600563157E-2</v>
      </c>
      <c r="U232" s="13"/>
      <c r="V232" s="14">
        <f t="shared" ca="1" si="47"/>
        <v>0.48268699999999998</v>
      </c>
      <c r="W232" s="13"/>
      <c r="X232" s="2"/>
    </row>
    <row r="233" spans="8:24" x14ac:dyDescent="0.25">
      <c r="H233" s="13">
        <v>43.1</v>
      </c>
      <c r="I233" s="13">
        <v>1.8743587799022945</v>
      </c>
      <c r="J233" s="14">
        <f t="shared" si="38"/>
        <v>-9.2E-5</v>
      </c>
      <c r="K233" s="23">
        <f t="shared" si="39"/>
        <v>1.16E-4</v>
      </c>
      <c r="L233" s="14">
        <f t="shared" si="40"/>
        <v>5.5459999999999997E-3</v>
      </c>
      <c r="M233" s="10">
        <f t="shared" si="41"/>
        <v>1.8849624600376633</v>
      </c>
      <c r="N233" s="16">
        <f t="shared" si="42"/>
        <v>5.6572307548939877E-3</v>
      </c>
      <c r="O233" s="13">
        <f t="shared" si="43"/>
        <v>10056.456</v>
      </c>
      <c r="P233" s="13">
        <f t="shared" ca="1" si="49"/>
        <v>10061</v>
      </c>
      <c r="Q233" s="13" t="str">
        <f t="shared" ca="1" si="44"/>
        <v>0010011101001101</v>
      </c>
      <c r="R233" s="13">
        <f t="shared" ca="1" si="45"/>
        <v>1.8863799304962159</v>
      </c>
      <c r="S233" s="13">
        <f t="shared" ca="1" si="46"/>
        <v>42.636559165954594</v>
      </c>
      <c r="T233" s="17">
        <f t="shared" ca="1" si="48"/>
        <v>1.0752687564858636E-2</v>
      </c>
      <c r="U233" s="13"/>
      <c r="V233" s="14">
        <f t="shared" ca="1" si="47"/>
        <v>0.46344099999999999</v>
      </c>
      <c r="W233" s="13"/>
      <c r="X233" s="2"/>
    </row>
    <row r="234" spans="8:24" x14ac:dyDescent="0.25">
      <c r="H234" s="13">
        <v>43.2</v>
      </c>
      <c r="I234" s="13">
        <v>1.8834993699233527</v>
      </c>
      <c r="J234" s="14">
        <f t="shared" si="38"/>
        <v>-9.2E-5</v>
      </c>
      <c r="K234" s="23">
        <f t="shared" si="39"/>
        <v>1.16E-4</v>
      </c>
      <c r="L234" s="14">
        <f t="shared" si="40"/>
        <v>5.5760000000000002E-3</v>
      </c>
      <c r="M234" s="10">
        <f t="shared" si="41"/>
        <v>1.894211167988054</v>
      </c>
      <c r="N234" s="16">
        <f t="shared" si="42"/>
        <v>5.6871790008282599E-3</v>
      </c>
      <c r="O234" s="13">
        <f t="shared" si="43"/>
        <v>10105.798699999999</v>
      </c>
      <c r="P234" s="13">
        <f t="shared" ca="1" si="49"/>
        <v>10107</v>
      </c>
      <c r="Q234" s="13" t="str">
        <f t="shared" ca="1" si="44"/>
        <v>0010011101111011</v>
      </c>
      <c r="R234" s="13">
        <f t="shared" ca="1" si="45"/>
        <v>1.8950046672821046</v>
      </c>
      <c r="S234" s="13">
        <f t="shared" ca="1" si="46"/>
        <v>42.740056007385256</v>
      </c>
      <c r="T234" s="17">
        <f t="shared" ca="1" si="48"/>
        <v>1.0646851680896918E-2</v>
      </c>
      <c r="U234" s="13"/>
      <c r="V234" s="14">
        <f t="shared" ca="1" si="47"/>
        <v>0.45994400000000002</v>
      </c>
      <c r="W234" s="13"/>
      <c r="X234" s="2"/>
    </row>
    <row r="235" spans="8:24" x14ac:dyDescent="0.25">
      <c r="H235" s="13">
        <v>43.3</v>
      </c>
      <c r="I235" s="13">
        <v>1.8926619805773628</v>
      </c>
      <c r="J235" s="14">
        <f t="shared" si="38"/>
        <v>-9.1000000000000003E-5</v>
      </c>
      <c r="K235" s="23">
        <f t="shared" si="39"/>
        <v>1.17E-4</v>
      </c>
      <c r="L235" s="14">
        <f t="shared" si="40"/>
        <v>5.607E-3</v>
      </c>
      <c r="M235" s="10">
        <f t="shared" si="41"/>
        <v>1.9034834872845674</v>
      </c>
      <c r="N235" s="16">
        <f t="shared" si="42"/>
        <v>5.7176119234473516E-3</v>
      </c>
      <c r="O235" s="13">
        <f t="shared" si="43"/>
        <v>10155.267400000001</v>
      </c>
      <c r="P235" s="13">
        <f t="shared" ca="1" si="49"/>
        <v>10154</v>
      </c>
      <c r="Q235" s="13" t="str">
        <f t="shared" ca="1" si="44"/>
        <v>0010011110101010</v>
      </c>
      <c r="R235" s="13">
        <f t="shared" ca="1" si="45"/>
        <v>1.9038168983459474</v>
      </c>
      <c r="S235" s="13">
        <f t="shared" ca="1" si="46"/>
        <v>42.845802780151367</v>
      </c>
      <c r="T235" s="17">
        <f t="shared" ca="1" si="48"/>
        <v>1.0489543183571147E-2</v>
      </c>
      <c r="U235" s="13"/>
      <c r="V235" s="14">
        <f t="shared" ca="1" si="47"/>
        <v>0.45419700000000002</v>
      </c>
      <c r="W235" s="13"/>
      <c r="X235" s="2"/>
    </row>
    <row r="236" spans="8:24" x14ac:dyDescent="0.25">
      <c r="H236" s="13">
        <v>43.400000000000006</v>
      </c>
      <c r="I236" s="13">
        <v>1.9018465132050912</v>
      </c>
      <c r="J236" s="14">
        <f t="shared" si="38"/>
        <v>-9.0000000000000006E-5</v>
      </c>
      <c r="K236" s="23">
        <f t="shared" si="39"/>
        <v>1.17E-4</v>
      </c>
      <c r="L236" s="14">
        <f t="shared" si="40"/>
        <v>5.6369999999999996E-3</v>
      </c>
      <c r="M236" s="10">
        <f t="shared" si="41"/>
        <v>1.9127765074314824</v>
      </c>
      <c r="N236" s="16">
        <f t="shared" si="42"/>
        <v>5.7470432816218086E-3</v>
      </c>
      <c r="O236" s="13">
        <f t="shared" si="43"/>
        <v>10204.846600000001</v>
      </c>
      <c r="P236" s="13">
        <f t="shared" ca="1" si="49"/>
        <v>10209</v>
      </c>
      <c r="Q236" s="13" t="str">
        <f t="shared" ca="1" si="44"/>
        <v>0010011111100001</v>
      </c>
      <c r="R236" s="13">
        <f t="shared" ca="1" si="45"/>
        <v>1.9141290836334228</v>
      </c>
      <c r="S236" s="13">
        <f t="shared" ca="1" si="46"/>
        <v>42.969549003601081</v>
      </c>
      <c r="T236" s="17">
        <f t="shared" ca="1" si="48"/>
        <v>9.9182257234775272E-3</v>
      </c>
      <c r="U236" s="13"/>
      <c r="V236" s="14">
        <f t="shared" ca="1" si="47"/>
        <v>0.43045099999999997</v>
      </c>
      <c r="W236" s="13"/>
      <c r="X236" s="2"/>
    </row>
    <row r="237" spans="8:24" x14ac:dyDescent="0.25">
      <c r="H237" s="13">
        <v>43.5</v>
      </c>
      <c r="I237" s="13">
        <v>1.9110528697545444</v>
      </c>
      <c r="J237" s="14">
        <f t="shared" si="38"/>
        <v>-9.0000000000000006E-5</v>
      </c>
      <c r="K237" s="23">
        <f t="shared" si="39"/>
        <v>1.18E-4</v>
      </c>
      <c r="L237" s="14">
        <f t="shared" si="40"/>
        <v>5.6680000000000003E-3</v>
      </c>
      <c r="M237" s="10">
        <f t="shared" si="41"/>
        <v>1.9220949753307186</v>
      </c>
      <c r="N237" s="16">
        <f t="shared" si="42"/>
        <v>5.7780220269847858E-3</v>
      </c>
      <c r="O237" s="13">
        <f t="shared" si="43"/>
        <v>10254.5615</v>
      </c>
      <c r="P237" s="13">
        <f t="shared" ca="1" si="49"/>
        <v>10258</v>
      </c>
      <c r="Q237" s="13" t="str">
        <f t="shared" ca="1" si="44"/>
        <v>0010100000010010</v>
      </c>
      <c r="R237" s="13">
        <f t="shared" ca="1" si="45"/>
        <v>1.9233163032531739</v>
      </c>
      <c r="S237" s="13">
        <f t="shared" ca="1" si="46"/>
        <v>43.079795639038089</v>
      </c>
      <c r="T237" s="17">
        <f t="shared" ca="1" si="48"/>
        <v>9.6598703669404842E-3</v>
      </c>
      <c r="U237" s="13"/>
      <c r="V237" s="14">
        <f t="shared" ca="1" si="47"/>
        <v>0.42020400000000002</v>
      </c>
      <c r="W237" s="13"/>
      <c r="X237" s="2"/>
    </row>
    <row r="238" spans="8:24" x14ac:dyDescent="0.25">
      <c r="H238" s="13">
        <v>43.6</v>
      </c>
      <c r="I238" s="13">
        <v>1.9195366740402477</v>
      </c>
      <c r="J238" s="14">
        <f t="shared" si="38"/>
        <v>-8.8999999999999995E-5</v>
      </c>
      <c r="K238" s="23">
        <f t="shared" si="39"/>
        <v>1.18E-4</v>
      </c>
      <c r="L238" s="14">
        <f t="shared" si="40"/>
        <v>5.6979999999999999E-3</v>
      </c>
      <c r="M238" s="10">
        <f t="shared" si="41"/>
        <v>1.9306843831715592</v>
      </c>
      <c r="N238" s="16">
        <f t="shared" si="42"/>
        <v>5.8074999462488664E-3</v>
      </c>
      <c r="O238" s="13">
        <f t="shared" si="43"/>
        <v>10300.3868</v>
      </c>
      <c r="P238" s="13">
        <f t="shared" ca="1" si="49"/>
        <v>10305</v>
      </c>
      <c r="Q238" s="13" t="str">
        <f t="shared" ca="1" si="44"/>
        <v>0010100001000001</v>
      </c>
      <c r="R238" s="13">
        <f t="shared" ca="1" si="45"/>
        <v>1.9321285343170167</v>
      </c>
      <c r="S238" s="13">
        <f t="shared" ca="1" si="46"/>
        <v>43.185542411804207</v>
      </c>
      <c r="T238" s="17">
        <f t="shared" ca="1" si="48"/>
        <v>9.5059079861420821E-3</v>
      </c>
      <c r="U238" s="13"/>
      <c r="V238" s="14">
        <f t="shared" ca="1" si="47"/>
        <v>0.41445799999999999</v>
      </c>
      <c r="W238" s="13"/>
      <c r="X238" s="2"/>
    </row>
    <row r="239" spans="8:24" x14ac:dyDescent="0.25">
      <c r="H239" s="13">
        <v>43.7</v>
      </c>
      <c r="I239" s="13">
        <v>1.9287874768985735</v>
      </c>
      <c r="J239" s="14">
        <f t="shared" si="38"/>
        <v>-8.8999999999999995E-5</v>
      </c>
      <c r="K239" s="23">
        <f t="shared" si="39"/>
        <v>1.1900000000000001E-4</v>
      </c>
      <c r="L239" s="14">
        <f t="shared" si="40"/>
        <v>5.7289999999999997E-3</v>
      </c>
      <c r="M239" s="10">
        <f t="shared" si="41"/>
        <v>1.9400486835244852</v>
      </c>
      <c r="N239" s="16">
        <f t="shared" si="42"/>
        <v>5.8384901192013788E-3</v>
      </c>
      <c r="O239" s="13">
        <f t="shared" si="43"/>
        <v>10350.346299999999</v>
      </c>
      <c r="P239" s="13">
        <f t="shared" ca="1" si="49"/>
        <v>10352</v>
      </c>
      <c r="Q239" s="13" t="str">
        <f t="shared" ca="1" si="44"/>
        <v>0010100001110000</v>
      </c>
      <c r="R239" s="13">
        <f t="shared" ca="1" si="45"/>
        <v>1.9409407653808595</v>
      </c>
      <c r="S239" s="13">
        <f t="shared" ca="1" si="46"/>
        <v>43.291289184570317</v>
      </c>
      <c r="T239" s="17">
        <f t="shared" ca="1" si="48"/>
        <v>9.3526502386655757E-3</v>
      </c>
      <c r="U239" s="13"/>
      <c r="V239" s="14">
        <f t="shared" ca="1" si="47"/>
        <v>0.40871099999999999</v>
      </c>
      <c r="W239" s="13"/>
      <c r="X239" s="2"/>
    </row>
    <row r="240" spans="8:24" x14ac:dyDescent="0.25">
      <c r="H240" s="13">
        <v>43.8</v>
      </c>
      <c r="I240" s="13">
        <v>1.9380598058728626</v>
      </c>
      <c r="J240" s="14">
        <f t="shared" si="38"/>
        <v>-8.7999999999999998E-5</v>
      </c>
      <c r="K240" s="23">
        <f t="shared" si="39"/>
        <v>1.1900000000000001E-4</v>
      </c>
      <c r="L240" s="14">
        <f t="shared" si="40"/>
        <v>5.7590000000000002E-3</v>
      </c>
      <c r="M240" s="10">
        <f t="shared" si="41"/>
        <v>1.949432252191232</v>
      </c>
      <c r="N240" s="16">
        <f t="shared" si="42"/>
        <v>5.8679542725707549E-3</v>
      </c>
      <c r="O240" s="13">
        <f t="shared" si="43"/>
        <v>10400.4085</v>
      </c>
      <c r="P240" s="13">
        <f t="shared" ca="1" si="49"/>
        <v>10404</v>
      </c>
      <c r="Q240" s="13" t="str">
        <f t="shared" ca="1" si="44"/>
        <v>0010100010100100</v>
      </c>
      <c r="R240" s="13">
        <f t="shared" ca="1" si="45"/>
        <v>1.9506904678344728</v>
      </c>
      <c r="S240" s="13">
        <f t="shared" ca="1" si="46"/>
        <v>43.408285614013671</v>
      </c>
      <c r="T240" s="17">
        <f t="shared" ca="1" si="48"/>
        <v>8.943250821605615E-3</v>
      </c>
      <c r="U240" s="13"/>
      <c r="V240" s="14">
        <f t="shared" ca="1" si="47"/>
        <v>0.39171400000000001</v>
      </c>
      <c r="W240" s="13"/>
      <c r="X240" s="2"/>
    </row>
    <row r="241" spans="8:24" x14ac:dyDescent="0.25">
      <c r="H241" s="13">
        <v>43.900000000000006</v>
      </c>
      <c r="I241" s="13">
        <v>1.9473535608844574</v>
      </c>
      <c r="J241" s="14">
        <f t="shared" si="38"/>
        <v>-8.7999999999999998E-5</v>
      </c>
      <c r="K241" s="23">
        <f t="shared" si="39"/>
        <v>1.2E-4</v>
      </c>
      <c r="L241" s="14">
        <f t="shared" si="40"/>
        <v>5.79E-3</v>
      </c>
      <c r="M241" s="10">
        <f t="shared" si="41"/>
        <v>1.9588409139562641</v>
      </c>
      <c r="N241" s="16">
        <f t="shared" si="42"/>
        <v>5.8989560512007532E-3</v>
      </c>
      <c r="O241" s="13">
        <f t="shared" si="43"/>
        <v>10450.604600000001</v>
      </c>
      <c r="P241" s="13">
        <f t="shared" ca="1" si="49"/>
        <v>10451</v>
      </c>
      <c r="Q241" s="13" t="str">
        <f t="shared" ca="1" si="44"/>
        <v>0010100011010011</v>
      </c>
      <c r="R241" s="13">
        <f t="shared" ca="1" si="45"/>
        <v>1.9595026988983155</v>
      </c>
      <c r="S241" s="13">
        <f t="shared" ca="1" si="46"/>
        <v>43.514032386779789</v>
      </c>
      <c r="T241" s="17">
        <f t="shared" ca="1" si="48"/>
        <v>8.791972966291953E-3</v>
      </c>
      <c r="U241" s="13"/>
      <c r="V241" s="14">
        <f t="shared" ca="1" si="47"/>
        <v>0.38596799999999998</v>
      </c>
      <c r="W241" s="13"/>
      <c r="X241" s="2"/>
    </row>
    <row r="242" spans="8:24" x14ac:dyDescent="0.25">
      <c r="H242" s="13">
        <v>44</v>
      </c>
      <c r="I242" s="13">
        <v>1.9559287571651618</v>
      </c>
      <c r="J242" s="14">
        <f t="shared" si="38"/>
        <v>-8.7000000000000001E-5</v>
      </c>
      <c r="K242" s="23">
        <f t="shared" si="39"/>
        <v>1.2E-4</v>
      </c>
      <c r="L242" s="14">
        <f t="shared" si="40"/>
        <v>5.8199999999999997E-3</v>
      </c>
      <c r="M242" s="10">
        <f t="shared" si="41"/>
        <v>1.9675244116811459</v>
      </c>
      <c r="N242" s="16">
        <f t="shared" si="42"/>
        <v>5.9284646608449773E-3</v>
      </c>
      <c r="O242" s="13">
        <f t="shared" si="43"/>
        <v>10496.9319</v>
      </c>
      <c r="P242" s="13">
        <f t="shared" ca="1" si="49"/>
        <v>10496</v>
      </c>
      <c r="Q242" s="13" t="str">
        <f t="shared" ca="1" si="44"/>
        <v>0010100100000000</v>
      </c>
      <c r="R242" s="13">
        <f t="shared" ca="1" si="45"/>
        <v>1.9679399414062499</v>
      </c>
      <c r="S242" s="13">
        <f t="shared" ca="1" si="46"/>
        <v>43.615279296875002</v>
      </c>
      <c r="T242" s="17">
        <f t="shared" ca="1" si="48"/>
        <v>8.7436523437499532E-3</v>
      </c>
      <c r="U242" s="13"/>
      <c r="V242" s="14">
        <f t="shared" ca="1" si="47"/>
        <v>0.38472099999999998</v>
      </c>
      <c r="W242" s="13"/>
      <c r="X242" s="2"/>
    </row>
    <row r="243" spans="8:24" x14ac:dyDescent="0.25">
      <c r="H243" s="13">
        <v>44.1</v>
      </c>
      <c r="I243" s="13">
        <v>1.9652661620827039</v>
      </c>
      <c r="J243" s="14">
        <f t="shared" si="38"/>
        <v>-8.6000000000000003E-5</v>
      </c>
      <c r="K243" s="23">
        <f t="shared" si="39"/>
        <v>1.21E-4</v>
      </c>
      <c r="L243" s="14">
        <f t="shared" si="40"/>
        <v>5.8510000000000003E-3</v>
      </c>
      <c r="M243" s="10">
        <f t="shared" si="41"/>
        <v>1.9769771158294218</v>
      </c>
      <c r="N243" s="16">
        <f t="shared" si="42"/>
        <v>5.9589657485921259E-3</v>
      </c>
      <c r="O243" s="13">
        <f t="shared" si="43"/>
        <v>10547.362999999999</v>
      </c>
      <c r="P243" s="13">
        <f t="shared" ca="1" si="49"/>
        <v>10548</v>
      </c>
      <c r="Q243" s="13" t="str">
        <f t="shared" ca="1" si="44"/>
        <v>0010100100110100</v>
      </c>
      <c r="R243" s="13">
        <f t="shared" ca="1" si="45"/>
        <v>1.9776896438598632</v>
      </c>
      <c r="S243" s="13">
        <f t="shared" ca="1" si="46"/>
        <v>43.732275726318363</v>
      </c>
      <c r="T243" s="17">
        <f t="shared" ca="1" si="48"/>
        <v>8.3384189043455362E-3</v>
      </c>
      <c r="U243" s="13"/>
      <c r="V243" s="14">
        <f t="shared" ca="1" si="47"/>
        <v>0.367724</v>
      </c>
      <c r="W243" s="13"/>
      <c r="X243" s="2"/>
    </row>
    <row r="244" spans="8:24" x14ac:dyDescent="0.25">
      <c r="H244" s="13">
        <v>44.2</v>
      </c>
      <c r="I244" s="13">
        <v>1.9746246922531758</v>
      </c>
      <c r="J244" s="14">
        <f t="shared" si="38"/>
        <v>-8.6000000000000003E-5</v>
      </c>
      <c r="K244" s="23">
        <f t="shared" si="39"/>
        <v>1.21E-4</v>
      </c>
      <c r="L244" s="14">
        <f t="shared" si="40"/>
        <v>5.8809999999999999E-3</v>
      </c>
      <c r="M244" s="10">
        <f t="shared" si="41"/>
        <v>1.9864506675309253</v>
      </c>
      <c r="N244" s="16">
        <f t="shared" si="42"/>
        <v>5.9889736637777037E-3</v>
      </c>
      <c r="O244" s="13">
        <f t="shared" si="43"/>
        <v>10597.9053</v>
      </c>
      <c r="P244" s="13">
        <f t="shared" ca="1" si="49"/>
        <v>10602</v>
      </c>
      <c r="Q244" s="13" t="str">
        <f t="shared" ca="1" si="44"/>
        <v>0010100101101010</v>
      </c>
      <c r="R244" s="13">
        <f t="shared" ca="1" si="45"/>
        <v>1.9878143348693849</v>
      </c>
      <c r="S244" s="13">
        <f t="shared" ca="1" si="46"/>
        <v>43.853772018432622</v>
      </c>
      <c r="T244" s="17">
        <f t="shared" ca="1" si="48"/>
        <v>7.8332122526556785E-3</v>
      </c>
      <c r="U244" s="13"/>
      <c r="V244" s="14">
        <f t="shared" ca="1" si="47"/>
        <v>0.34622799999999998</v>
      </c>
      <c r="W244" s="13"/>
      <c r="X244" s="2"/>
    </row>
    <row r="245" spans="8:24" x14ac:dyDescent="0.25">
      <c r="H245" s="13">
        <v>44.3</v>
      </c>
      <c r="I245" s="13">
        <v>1.9832676601532646</v>
      </c>
      <c r="J245" s="14">
        <f t="shared" si="38"/>
        <v>-8.5000000000000006E-5</v>
      </c>
      <c r="K245" s="23">
        <f t="shared" si="39"/>
        <v>1.22E-4</v>
      </c>
      <c r="L245" s="14">
        <f t="shared" si="40"/>
        <v>5.9119999999999997E-3</v>
      </c>
      <c r="M245" s="10">
        <f t="shared" si="41"/>
        <v>1.9952059749813542</v>
      </c>
      <c r="N245" s="16">
        <f t="shared" si="42"/>
        <v>6.0195177221651578E-3</v>
      </c>
      <c r="O245" s="13">
        <f t="shared" si="43"/>
        <v>10644.6157</v>
      </c>
      <c r="P245" s="13">
        <f t="shared" ca="1" si="49"/>
        <v>10648</v>
      </c>
      <c r="Q245" s="13" t="str">
        <f t="shared" ca="1" si="44"/>
        <v>0010100110011000</v>
      </c>
      <c r="R245" s="13">
        <f t="shared" ca="1" si="45"/>
        <v>1.9964390716552736</v>
      </c>
      <c r="S245" s="13">
        <f t="shared" ca="1" si="46"/>
        <v>43.957268859863284</v>
      </c>
      <c r="T245" s="17">
        <f t="shared" ca="1" si="48"/>
        <v>7.7365945854788601E-3</v>
      </c>
      <c r="U245" s="13"/>
      <c r="V245" s="14">
        <f t="shared" ca="1" si="47"/>
        <v>0.34273100000000001</v>
      </c>
      <c r="W245" s="13"/>
      <c r="X245" s="2"/>
    </row>
    <row r="246" spans="8:24" x14ac:dyDescent="0.25">
      <c r="H246" s="13">
        <v>44.400000000000006</v>
      </c>
      <c r="I246" s="13">
        <v>1.9926692367719632</v>
      </c>
      <c r="J246" s="14">
        <f t="shared" si="38"/>
        <v>-8.5000000000000006E-5</v>
      </c>
      <c r="K246" s="23">
        <f t="shared" si="39"/>
        <v>1.22E-4</v>
      </c>
      <c r="L246" s="14">
        <f t="shared" si="40"/>
        <v>5.9420000000000002E-3</v>
      </c>
      <c r="M246" s="10">
        <f t="shared" si="41"/>
        <v>2.0047239619176782</v>
      </c>
      <c r="N246" s="16">
        <f t="shared" si="42"/>
        <v>6.0495364324704313E-3</v>
      </c>
      <c r="O246" s="13">
        <f t="shared" si="43"/>
        <v>10695.3951</v>
      </c>
      <c r="P246" s="13">
        <f t="shared" ca="1" si="49"/>
        <v>10698</v>
      </c>
      <c r="Q246" s="13" t="str">
        <f t="shared" ca="1" si="44"/>
        <v>0010100111001010</v>
      </c>
      <c r="R246" s="13">
        <f t="shared" ca="1" si="45"/>
        <v>2.0058137855529785</v>
      </c>
      <c r="S246" s="13">
        <f t="shared" ca="1" si="46"/>
        <v>44.06976542663574</v>
      </c>
      <c r="T246" s="17">
        <f t="shared" ca="1" si="48"/>
        <v>7.4377156163122808E-3</v>
      </c>
      <c r="U246" s="13"/>
      <c r="V246" s="14">
        <f t="shared" ca="1" si="47"/>
        <v>0.330235</v>
      </c>
      <c r="W246" s="13"/>
      <c r="X246" s="2"/>
    </row>
    <row r="247" spans="8:24" x14ac:dyDescent="0.25">
      <c r="H247" s="13">
        <v>44.5</v>
      </c>
      <c r="I247" s="13">
        <v>2.0020916352490934</v>
      </c>
      <c r="J247" s="14">
        <f t="shared" si="38"/>
        <v>-8.3999999999999995E-5</v>
      </c>
      <c r="K247" s="23">
        <f t="shared" si="39"/>
        <v>1.2300000000000001E-4</v>
      </c>
      <c r="L247" s="14">
        <f t="shared" si="40"/>
        <v>5.973E-3</v>
      </c>
      <c r="M247" s="10">
        <f t="shared" si="41"/>
        <v>2.0142644906175522</v>
      </c>
      <c r="N247" s="16">
        <f t="shared" si="42"/>
        <v>6.0800690408680004E-3</v>
      </c>
      <c r="O247" s="13">
        <f t="shared" si="43"/>
        <v>10746.2947</v>
      </c>
      <c r="P247" s="13">
        <f t="shared" ca="1" si="49"/>
        <v>10750</v>
      </c>
      <c r="Q247" s="13" t="str">
        <f t="shared" ca="1" si="44"/>
        <v>0010100111111110</v>
      </c>
      <c r="R247" s="13">
        <f t="shared" ca="1" si="45"/>
        <v>2.0155634880065918</v>
      </c>
      <c r="S247" s="13">
        <f t="shared" ca="1" si="46"/>
        <v>44.186761856079109</v>
      </c>
      <c r="T247" s="17">
        <f t="shared" ca="1" si="48"/>
        <v>7.0390594139526138E-3</v>
      </c>
      <c r="U247" s="13"/>
      <c r="V247" s="14">
        <f t="shared" ca="1" si="47"/>
        <v>0.31323800000000002</v>
      </c>
      <c r="W247" s="13"/>
      <c r="X247" s="2"/>
    </row>
    <row r="248" spans="8:24" x14ac:dyDescent="0.25">
      <c r="H248" s="13">
        <v>44.6</v>
      </c>
      <c r="I248" s="13">
        <v>2.0108014683144426</v>
      </c>
      <c r="J248" s="14">
        <f t="shared" si="38"/>
        <v>-8.3999999999999995E-5</v>
      </c>
      <c r="K248" s="23">
        <f t="shared" si="39"/>
        <v>1.2300000000000001E-4</v>
      </c>
      <c r="L248" s="14">
        <f t="shared" si="40"/>
        <v>6.0029999999999997E-3</v>
      </c>
      <c r="M248" s="10">
        <f t="shared" si="41"/>
        <v>2.0230877156977765</v>
      </c>
      <c r="N248" s="16">
        <f t="shared" si="42"/>
        <v>6.1101245333945384E-3</v>
      </c>
      <c r="O248" s="13">
        <f t="shared" si="43"/>
        <v>10793.3675</v>
      </c>
      <c r="P248" s="13">
        <f t="shared" ca="1" si="49"/>
        <v>10794</v>
      </c>
      <c r="Q248" s="13" t="str">
        <f t="shared" ca="1" si="44"/>
        <v>0010101000101010</v>
      </c>
      <c r="R248" s="13">
        <f t="shared" ca="1" si="45"/>
        <v>2.0238132362365722</v>
      </c>
      <c r="S248" s="13">
        <f t="shared" ca="1" si="46"/>
        <v>44.285758834838873</v>
      </c>
      <c r="T248" s="17">
        <f t="shared" ca="1" si="48"/>
        <v>7.0457660350028766E-3</v>
      </c>
      <c r="U248" s="13"/>
      <c r="V248" s="14">
        <f t="shared" ca="1" si="47"/>
        <v>0.31424099999999999</v>
      </c>
      <c r="W248" s="13"/>
      <c r="X248" s="2"/>
    </row>
    <row r="249" spans="8:24" x14ac:dyDescent="0.25">
      <c r="H249" s="13">
        <v>44.7</v>
      </c>
      <c r="I249" s="13">
        <v>2.0202663047742946</v>
      </c>
      <c r="J249" s="14">
        <f t="shared" si="38"/>
        <v>-8.2999999999999998E-5</v>
      </c>
      <c r="K249" s="23">
        <f t="shared" si="39"/>
        <v>1.2400000000000001E-4</v>
      </c>
      <c r="L249" s="14">
        <f t="shared" si="40"/>
        <v>6.0340000000000003E-3</v>
      </c>
      <c r="M249" s="10">
        <f t="shared" si="41"/>
        <v>2.0326720982430935</v>
      </c>
      <c r="N249" s="16">
        <f t="shared" si="42"/>
        <v>6.140672365559683E-3</v>
      </c>
      <c r="O249" s="13">
        <f t="shared" si="43"/>
        <v>10844.501099999999</v>
      </c>
      <c r="P249" s="13">
        <f t="shared" ca="1" si="49"/>
        <v>10844</v>
      </c>
      <c r="Q249" s="13" t="str">
        <f t="shared" ca="1" si="44"/>
        <v>0010101001011100</v>
      </c>
      <c r="R249" s="13">
        <f t="shared" ca="1" si="45"/>
        <v>2.0331879501342773</v>
      </c>
      <c r="S249" s="13">
        <f t="shared" ca="1" si="46"/>
        <v>44.39825540161133</v>
      </c>
      <c r="T249" s="17">
        <f t="shared" ca="1" si="48"/>
        <v>6.750438442699621E-3</v>
      </c>
      <c r="U249" s="13"/>
      <c r="V249" s="14">
        <f t="shared" ca="1" si="47"/>
        <v>0.30174499999999999</v>
      </c>
      <c r="W249" s="13"/>
      <c r="X249" s="2"/>
    </row>
    <row r="250" spans="8:24" x14ac:dyDescent="0.25">
      <c r="H250" s="13">
        <v>44.8</v>
      </c>
      <c r="I250" s="13">
        <v>2.0282894958671669</v>
      </c>
      <c r="J250" s="14">
        <f t="shared" si="38"/>
        <v>-8.2000000000000001E-5</v>
      </c>
      <c r="K250" s="23">
        <f t="shared" si="39"/>
        <v>1.2400000000000001E-4</v>
      </c>
      <c r="L250" s="14">
        <f t="shared" si="40"/>
        <v>6.0639999999999999E-3</v>
      </c>
      <c r="M250" s="10">
        <f t="shared" si="41"/>
        <v>2.0408045831473727</v>
      </c>
      <c r="N250" s="16">
        <f t="shared" si="42"/>
        <v>6.1702667719309625E-3</v>
      </c>
      <c r="O250" s="13">
        <f t="shared" si="43"/>
        <v>10887.8887</v>
      </c>
      <c r="P250" s="13">
        <f t="shared" ca="1" si="49"/>
        <v>10888</v>
      </c>
      <c r="Q250" s="13" t="str">
        <f t="shared" ca="1" si="44"/>
        <v>0010101010001000</v>
      </c>
      <c r="R250" s="13">
        <f t="shared" ca="1" si="45"/>
        <v>2.0414376983642577</v>
      </c>
      <c r="S250" s="13">
        <f t="shared" ca="1" si="46"/>
        <v>44.497252380371094</v>
      </c>
      <c r="T250" s="17">
        <f t="shared" ca="1" si="48"/>
        <v>6.7577593667165845E-3</v>
      </c>
      <c r="U250" s="13"/>
      <c r="V250" s="14">
        <f t="shared" ca="1" si="47"/>
        <v>0.30274800000000002</v>
      </c>
      <c r="W250" s="13"/>
      <c r="X250" s="2"/>
    </row>
    <row r="251" spans="8:24" x14ac:dyDescent="0.25">
      <c r="H251" s="13">
        <v>44.900000000000006</v>
      </c>
      <c r="I251" s="13">
        <v>2.0377974630444324</v>
      </c>
      <c r="J251" s="14">
        <f t="shared" si="38"/>
        <v>-8.2000000000000001E-5</v>
      </c>
      <c r="K251" s="23">
        <f t="shared" si="39"/>
        <v>1.25E-4</v>
      </c>
      <c r="L251" s="14">
        <f t="shared" si="40"/>
        <v>6.0949999999999997E-3</v>
      </c>
      <c r="M251" s="10">
        <f t="shared" si="41"/>
        <v>2.0504345078598383</v>
      </c>
      <c r="N251" s="16">
        <f t="shared" si="42"/>
        <v>6.2013252271530088E-3</v>
      </c>
      <c r="O251" s="13">
        <f t="shared" si="43"/>
        <v>10939.2652</v>
      </c>
      <c r="P251" s="13">
        <f t="shared" ca="1" si="49"/>
        <v>10943</v>
      </c>
      <c r="Q251" s="13" t="str">
        <f t="shared" ca="1" si="44"/>
        <v>0010101010111111</v>
      </c>
      <c r="R251" s="13">
        <f t="shared" ca="1" si="45"/>
        <v>2.0517498836517336</v>
      </c>
      <c r="S251" s="13">
        <f t="shared" ca="1" si="46"/>
        <v>44.620998603820802</v>
      </c>
      <c r="T251" s="17">
        <f t="shared" ca="1" si="48"/>
        <v>6.2138395585568844E-3</v>
      </c>
      <c r="U251" s="13"/>
      <c r="V251" s="14">
        <f t="shared" ca="1" si="47"/>
        <v>0.279001</v>
      </c>
      <c r="W251" s="13"/>
      <c r="X251" s="2"/>
    </row>
    <row r="252" spans="8:24" x14ac:dyDescent="0.25">
      <c r="H252" s="13">
        <v>45</v>
      </c>
      <c r="I252" s="13">
        <v>2.0465968666180943</v>
      </c>
      <c r="J252" s="14">
        <f t="shared" si="38"/>
        <v>-8.1000000000000004E-5</v>
      </c>
      <c r="K252" s="23">
        <f t="shared" si="39"/>
        <v>1.25E-4</v>
      </c>
      <c r="L252" s="14">
        <f t="shared" si="40"/>
        <v>6.1250000000000002E-3</v>
      </c>
      <c r="M252" s="10">
        <f t="shared" si="41"/>
        <v>2.0593490241409582</v>
      </c>
      <c r="N252" s="16">
        <f t="shared" si="42"/>
        <v>6.2309083585847099E-3</v>
      </c>
      <c r="O252" s="13">
        <f t="shared" si="43"/>
        <v>10986.825000000001</v>
      </c>
      <c r="P252" s="13">
        <f t="shared" ca="1" si="49"/>
        <v>10986</v>
      </c>
      <c r="Q252" s="13" t="str">
        <f t="shared" ca="1" si="44"/>
        <v>0010101011101010</v>
      </c>
      <c r="R252" s="13">
        <f t="shared" ca="1" si="45"/>
        <v>2.0598121376037599</v>
      </c>
      <c r="S252" s="13">
        <f t="shared" ca="1" si="46"/>
        <v>44.717745651245117</v>
      </c>
      <c r="T252" s="17">
        <f t="shared" ca="1" si="48"/>
        <v>6.2723188612196171E-3</v>
      </c>
      <c r="U252" s="13"/>
      <c r="V252" s="14">
        <f t="shared" ca="1" si="47"/>
        <v>0.282254</v>
      </c>
      <c r="W252" s="13"/>
      <c r="X252" s="2"/>
    </row>
    <row r="253" spans="8:24" x14ac:dyDescent="0.25">
      <c r="H253" s="13">
        <v>45.1</v>
      </c>
      <c r="I253" s="13">
        <v>2.0568742269047693</v>
      </c>
      <c r="J253" s="14">
        <f t="shared" si="38"/>
        <v>-8.1000000000000004E-5</v>
      </c>
      <c r="K253" s="23">
        <f t="shared" si="39"/>
        <v>1.26E-4</v>
      </c>
      <c r="L253" s="14">
        <f t="shared" si="40"/>
        <v>6.156E-3</v>
      </c>
      <c r="M253" s="10">
        <f t="shared" si="41"/>
        <v>2.0697542771871338</v>
      </c>
      <c r="N253" s="16">
        <f t="shared" si="42"/>
        <v>6.2619532657311218E-3</v>
      </c>
      <c r="O253" s="13">
        <f t="shared" si="43"/>
        <v>11042.338100000001</v>
      </c>
      <c r="P253" s="13">
        <f t="shared" ca="1" si="49"/>
        <v>11042</v>
      </c>
      <c r="Q253" s="13" t="str">
        <f t="shared" ca="1" si="44"/>
        <v>0010101100100010</v>
      </c>
      <c r="R253" s="13">
        <f t="shared" ca="1" si="45"/>
        <v>2.0703118171691894</v>
      </c>
      <c r="S253" s="13">
        <f t="shared" ca="1" si="46"/>
        <v>44.84374180603028</v>
      </c>
      <c r="T253" s="17">
        <f t="shared" ca="1" si="48"/>
        <v>5.6819998662909323E-3</v>
      </c>
      <c r="U253" s="13"/>
      <c r="V253" s="14">
        <f t="shared" ca="1" si="47"/>
        <v>0.25625799999999999</v>
      </c>
      <c r="W253" s="13"/>
      <c r="X253" s="2"/>
    </row>
    <row r="254" spans="8:24" x14ac:dyDescent="0.25">
      <c r="H254" s="13">
        <v>45.2</v>
      </c>
      <c r="I254" s="13">
        <v>2.0657161457808941</v>
      </c>
      <c r="J254" s="14">
        <f t="shared" si="38"/>
        <v>-8.0000000000000007E-5</v>
      </c>
      <c r="K254" s="23">
        <f t="shared" si="39"/>
        <v>1.26E-4</v>
      </c>
      <c r="L254" s="14">
        <f t="shared" si="40"/>
        <v>6.1859999999999997E-3</v>
      </c>
      <c r="M254" s="10">
        <f t="shared" si="41"/>
        <v>2.0787127037784678</v>
      </c>
      <c r="N254" s="16">
        <f t="shared" si="42"/>
        <v>6.2915507651515575E-3</v>
      </c>
      <c r="O254" s="13">
        <f t="shared" si="43"/>
        <v>11090.132100000001</v>
      </c>
      <c r="P254" s="13">
        <f t="shared" ca="1" si="49"/>
        <v>11090</v>
      </c>
      <c r="Q254" s="13" t="str">
        <f t="shared" ca="1" si="44"/>
        <v>0010101101010010</v>
      </c>
      <c r="R254" s="13">
        <f t="shared" ca="1" si="45"/>
        <v>2.0793115425109865</v>
      </c>
      <c r="S254" s="13">
        <f t="shared" ca="1" si="46"/>
        <v>44.95173851013184</v>
      </c>
      <c r="T254" s="17">
        <f t="shared" ca="1" si="48"/>
        <v>5.4925108377912209E-3</v>
      </c>
      <c r="U254" s="13"/>
      <c r="V254" s="14">
        <f t="shared" ca="1" si="47"/>
        <v>0.24826100000000001</v>
      </c>
      <c r="W254" s="13"/>
      <c r="X254" s="2"/>
    </row>
    <row r="255" spans="8:24" x14ac:dyDescent="0.25">
      <c r="H255" s="13">
        <v>45.3</v>
      </c>
      <c r="I255" s="13">
        <v>2.0753058388711292</v>
      </c>
      <c r="J255" s="14">
        <f t="shared" si="38"/>
        <v>-8.0000000000000007E-5</v>
      </c>
      <c r="K255" s="23">
        <f t="shared" si="39"/>
        <v>1.27E-4</v>
      </c>
      <c r="L255" s="14">
        <f t="shared" si="40"/>
        <v>6.2170000000000003E-3</v>
      </c>
      <c r="M255" s="10">
        <f t="shared" si="41"/>
        <v>2.0884272303763796</v>
      </c>
      <c r="N255" s="16">
        <f t="shared" si="42"/>
        <v>6.3226302646494804E-3</v>
      </c>
      <c r="O255" s="13">
        <f t="shared" si="43"/>
        <v>11141.9601</v>
      </c>
      <c r="P255" s="13">
        <f t="shared" ca="1" si="49"/>
        <v>11143</v>
      </c>
      <c r="Q255" s="13" t="str">
        <f t="shared" ca="1" si="44"/>
        <v>0010101110000111</v>
      </c>
      <c r="R255" s="13">
        <f t="shared" ca="1" si="45"/>
        <v>2.0892487392425538</v>
      </c>
      <c r="S255" s="13">
        <f t="shared" ca="1" si="46"/>
        <v>45.07098487091065</v>
      </c>
      <c r="T255" s="17">
        <f t="shared" ca="1" si="48"/>
        <v>5.0555216134513829E-3</v>
      </c>
      <c r="U255" s="13"/>
      <c r="V255" s="14">
        <f t="shared" ca="1" si="47"/>
        <v>0.229015</v>
      </c>
      <c r="W255" s="13"/>
      <c r="X255" s="2"/>
    </row>
    <row r="256" spans="8:24" x14ac:dyDescent="0.25">
      <c r="H256" s="13">
        <v>45.400000000000006</v>
      </c>
      <c r="I256" s="13">
        <v>2.084190964637624</v>
      </c>
      <c r="J256" s="14">
        <f t="shared" si="38"/>
        <v>-7.8999999999999996E-5</v>
      </c>
      <c r="K256" s="23">
        <f t="shared" si="39"/>
        <v>1.27E-4</v>
      </c>
      <c r="L256" s="14">
        <f t="shared" si="40"/>
        <v>6.2469999999999999E-3</v>
      </c>
      <c r="M256" s="10">
        <f t="shared" si="41"/>
        <v>2.097430249077612</v>
      </c>
      <c r="N256" s="16">
        <f t="shared" si="42"/>
        <v>6.3522415482162439E-3</v>
      </c>
      <c r="O256" s="13">
        <f t="shared" si="43"/>
        <v>11189.992</v>
      </c>
      <c r="P256" s="13">
        <f t="shared" ca="1" si="49"/>
        <v>11189</v>
      </c>
      <c r="Q256" s="13" t="str">
        <f t="shared" ca="1" si="44"/>
        <v>0010101110110101</v>
      </c>
      <c r="R256" s="13">
        <f t="shared" ca="1" si="45"/>
        <v>2.0978734760284423</v>
      </c>
      <c r="S256" s="13">
        <f t="shared" ca="1" si="46"/>
        <v>45.174481712341311</v>
      </c>
      <c r="T256" s="17">
        <f t="shared" ca="1" si="48"/>
        <v>4.9673631642884204E-3</v>
      </c>
      <c r="U256" s="13"/>
      <c r="V256" s="14">
        <f t="shared" ca="1" si="47"/>
        <v>0.225518</v>
      </c>
      <c r="W256" s="13"/>
      <c r="X256" s="2"/>
    </row>
    <row r="257" spans="8:24" x14ac:dyDescent="0.25">
      <c r="H257" s="13">
        <v>45.5</v>
      </c>
      <c r="I257" s="13">
        <v>2.0930980912151447</v>
      </c>
      <c r="J257" s="14">
        <f t="shared" si="38"/>
        <v>-7.7999999999999999E-5</v>
      </c>
      <c r="K257" s="23">
        <f t="shared" si="39"/>
        <v>1.2799999999999999E-4</v>
      </c>
      <c r="L257" s="14">
        <f t="shared" si="40"/>
        <v>6.2779999999999997E-3</v>
      </c>
      <c r="M257" s="10">
        <f t="shared" si="41"/>
        <v>2.1064580708600036</v>
      </c>
      <c r="N257" s="16">
        <f t="shared" si="42"/>
        <v>6.3828731682148716E-3</v>
      </c>
      <c r="O257" s="13">
        <f t="shared" si="43"/>
        <v>11238.156300000001</v>
      </c>
      <c r="P257" s="13">
        <f t="shared" ca="1" si="49"/>
        <v>11239</v>
      </c>
      <c r="Q257" s="13" t="str">
        <f t="shared" ca="1" si="44"/>
        <v>0010101111100111</v>
      </c>
      <c r="R257" s="13">
        <f t="shared" ca="1" si="45"/>
        <v>2.1072481899261475</v>
      </c>
      <c r="S257" s="13">
        <f t="shared" ca="1" si="46"/>
        <v>45.286978279113768</v>
      </c>
      <c r="T257" s="17">
        <f t="shared" ca="1" si="48"/>
        <v>4.6817960634336691E-3</v>
      </c>
      <c r="U257" s="13"/>
      <c r="V257" s="14">
        <f t="shared" ca="1" si="47"/>
        <v>0.21302199999999999</v>
      </c>
      <c r="W257" s="13"/>
      <c r="X257" s="2"/>
    </row>
    <row r="258" spans="8:24" x14ac:dyDescent="0.25">
      <c r="H258" s="13">
        <v>45.6</v>
      </c>
      <c r="I258" s="13">
        <v>2.1027493686895005</v>
      </c>
      <c r="J258" s="14">
        <f t="shared" si="38"/>
        <v>-7.7999999999999999E-5</v>
      </c>
      <c r="K258" s="23">
        <f t="shared" si="39"/>
        <v>1.2799999999999999E-4</v>
      </c>
      <c r="L258" s="14">
        <f t="shared" si="40"/>
        <v>6.3080000000000002E-3</v>
      </c>
      <c r="M258" s="10">
        <f t="shared" si="41"/>
        <v>2.1162342082108947</v>
      </c>
      <c r="N258" s="16">
        <f t="shared" si="42"/>
        <v>6.4129561621499419E-3</v>
      </c>
      <c r="O258" s="13">
        <f t="shared" si="43"/>
        <v>11290.313</v>
      </c>
      <c r="P258" s="13">
        <f t="shared" ca="1" si="49"/>
        <v>11295</v>
      </c>
      <c r="Q258" s="13" t="str">
        <f t="shared" ca="1" si="44"/>
        <v>0010110000011111</v>
      </c>
      <c r="R258" s="13">
        <f t="shared" ca="1" si="45"/>
        <v>2.117747869491577</v>
      </c>
      <c r="S258" s="13">
        <f t="shared" ca="1" si="46"/>
        <v>45.412974433898931</v>
      </c>
      <c r="T258" s="17">
        <f t="shared" ca="1" si="48"/>
        <v>4.1014378530936455E-3</v>
      </c>
      <c r="U258" s="13"/>
      <c r="V258" s="14">
        <f t="shared" ca="1" si="47"/>
        <v>0.187026</v>
      </c>
      <c r="W258" s="13"/>
      <c r="X258" s="2"/>
    </row>
    <row r="259" spans="8:24" x14ac:dyDescent="0.25">
      <c r="H259" s="13">
        <v>45.7</v>
      </c>
      <c r="I259" s="13">
        <v>2.1116990800655024</v>
      </c>
      <c r="J259" s="14">
        <f t="shared" ref="J259:J322" si="50">ROUND(H259*0.00000575 -0.00034,6)</f>
        <v>-7.7000000000000001E-5</v>
      </c>
      <c r="K259" s="23">
        <f t="shared" ref="K259:K322" si="51">ROUND(H259*0.000005-0.0001,6)</f>
        <v>1.2899999999999999E-4</v>
      </c>
      <c r="L259" s="14">
        <f t="shared" ref="L259:L322" si="52">ROUND(K259+($C$24*(H259-25)),6)</f>
        <v>6.339E-3</v>
      </c>
      <c r="M259" s="10">
        <f t="shared" ref="M259:M322" si="53">(I259-J259)/(1-L259)+$C$26+$D$27</f>
        <v>2.1253060273106246</v>
      </c>
      <c r="N259" s="16">
        <f t="shared" ref="N259:N322" si="54">ABS(I259-M259)/I259</f>
        <v>6.4436014456662324E-3</v>
      </c>
      <c r="O259" s="13">
        <f t="shared" ref="O259:O322" si="55">ROUND((M259*(2^($C$12-1)))/$C$44,4)</f>
        <v>11338.712</v>
      </c>
      <c r="P259" s="13">
        <f t="shared" ca="1" si="49"/>
        <v>11340</v>
      </c>
      <c r="Q259" s="13" t="str">
        <f t="shared" ref="Q259:Q322" ca="1" si="56">_xlfn.BASE(IF(P259&lt;0, P259+2^($C$12)-1, P259), 2, 16)</f>
        <v>0010110001001100</v>
      </c>
      <c r="R259" s="13">
        <f t="shared" ref="R259:R322" ca="1" si="57">($C$16/2^($C$12-1)) * P259</f>
        <v>2.1261851119995119</v>
      </c>
      <c r="S259" s="13">
        <f t="shared" ref="S259:S322" ca="1" si="58">(R259+5/3)/(1/12)</f>
        <v>45.514221343994144</v>
      </c>
      <c r="T259" s="17">
        <f t="shared" ca="1" si="48"/>
        <v>4.0651784683995301E-3</v>
      </c>
      <c r="U259" s="13"/>
      <c r="V259" s="14">
        <f t="shared" ref="V259:V322" ca="1" si="59">ROUND(ABS(H259-S259),6)</f>
        <v>0.185779</v>
      </c>
      <c r="W259" s="13"/>
      <c r="X259" s="2"/>
    </row>
    <row r="260" spans="8:24" x14ac:dyDescent="0.25">
      <c r="H260" s="13">
        <v>45.8</v>
      </c>
      <c r="I260" s="13">
        <v>2.120670480226539</v>
      </c>
      <c r="J260" s="14">
        <f t="shared" si="50"/>
        <v>-7.7000000000000001E-5</v>
      </c>
      <c r="K260" s="23">
        <f t="shared" si="51"/>
        <v>1.2899999999999999E-4</v>
      </c>
      <c r="L260" s="14">
        <f t="shared" si="52"/>
        <v>6.3689999999999997E-3</v>
      </c>
      <c r="M260" s="10">
        <f t="shared" si="53"/>
        <v>2.134399098684058</v>
      </c>
      <c r="N260" s="16">
        <f t="shared" si="54"/>
        <v>6.4737160183662235E-3</v>
      </c>
      <c r="O260" s="13">
        <f t="shared" si="55"/>
        <v>11387.224399999999</v>
      </c>
      <c r="P260" s="13">
        <f t="shared" ca="1" si="49"/>
        <v>11391</v>
      </c>
      <c r="Q260" s="13" t="str">
        <f t="shared" ca="1" si="56"/>
        <v>0010110001111111</v>
      </c>
      <c r="R260" s="13">
        <f t="shared" ca="1" si="57"/>
        <v>2.1357473201751711</v>
      </c>
      <c r="S260" s="13">
        <f t="shared" ca="1" si="58"/>
        <v>45.628967842102057</v>
      </c>
      <c r="T260" s="17">
        <f t="shared" ref="T260:T323" ca="1" si="60">ABS(H260-S260)/H260</f>
        <v>3.7343265916580863E-3</v>
      </c>
      <c r="U260" s="13"/>
      <c r="V260" s="14">
        <f t="shared" ca="1" si="59"/>
        <v>0.17103199999999999</v>
      </c>
      <c r="W260" s="13"/>
      <c r="X260" s="2"/>
    </row>
    <row r="261" spans="8:24" x14ac:dyDescent="0.25">
      <c r="H261" s="13">
        <v>45.900000000000006</v>
      </c>
      <c r="I261" s="13">
        <v>2.1303824042747199</v>
      </c>
      <c r="J261" s="14">
        <f t="shared" si="50"/>
        <v>-7.6000000000000004E-5</v>
      </c>
      <c r="K261" s="23">
        <f t="shared" si="51"/>
        <v>1.2999999999999999E-4</v>
      </c>
      <c r="L261" s="14">
        <f t="shared" si="52"/>
        <v>6.4000000000000003E-3</v>
      </c>
      <c r="M261" s="10">
        <f t="shared" si="53"/>
        <v>2.1442391637225442</v>
      </c>
      <c r="N261" s="16">
        <f t="shared" si="54"/>
        <v>6.5043531245939628E-3</v>
      </c>
      <c r="O261" s="13">
        <f t="shared" si="55"/>
        <v>11439.722100000001</v>
      </c>
      <c r="P261" s="13">
        <f t="shared" ca="1" si="49"/>
        <v>11444</v>
      </c>
      <c r="Q261" s="13" t="str">
        <f t="shared" ca="1" si="56"/>
        <v>0010110010110100</v>
      </c>
      <c r="R261" s="13">
        <f t="shared" ca="1" si="57"/>
        <v>2.1456845169067384</v>
      </c>
      <c r="S261" s="13">
        <f t="shared" ca="1" si="58"/>
        <v>45.74821420288086</v>
      </c>
      <c r="T261" s="17">
        <f t="shared" ca="1" si="60"/>
        <v>3.3068801115282366E-3</v>
      </c>
      <c r="U261" s="13"/>
      <c r="V261" s="14">
        <f t="shared" ca="1" si="59"/>
        <v>0.151786</v>
      </c>
      <c r="W261" s="13"/>
      <c r="X261" s="2"/>
    </row>
    <row r="262" spans="8:24" x14ac:dyDescent="0.25">
      <c r="H262" s="13">
        <v>46</v>
      </c>
      <c r="I262" s="13">
        <v>2.1393957626777933</v>
      </c>
      <c r="J262" s="14">
        <f t="shared" si="50"/>
        <v>-7.6000000000000004E-5</v>
      </c>
      <c r="K262" s="23">
        <f t="shared" si="51"/>
        <v>1.2999999999999999E-4</v>
      </c>
      <c r="L262" s="14">
        <f t="shared" si="52"/>
        <v>6.43E-3</v>
      </c>
      <c r="M262" s="10">
        <f t="shared" si="53"/>
        <v>2.1533755948124376</v>
      </c>
      <c r="N262" s="16">
        <f t="shared" si="54"/>
        <v>6.5344768735758766E-3</v>
      </c>
      <c r="O262" s="13">
        <f t="shared" si="55"/>
        <v>11488.4658</v>
      </c>
      <c r="P262" s="13">
        <f t="shared" ca="1" si="49"/>
        <v>11488</v>
      </c>
      <c r="Q262" s="13" t="str">
        <f t="shared" ca="1" si="56"/>
        <v>0010110011100000</v>
      </c>
      <c r="R262" s="13">
        <f t="shared" ca="1" si="57"/>
        <v>2.1539342651367188</v>
      </c>
      <c r="S262" s="13">
        <f t="shared" ca="1" si="58"/>
        <v>45.847211181640624</v>
      </c>
      <c r="T262" s="17">
        <f t="shared" ca="1" si="60"/>
        <v>3.3214960512907817E-3</v>
      </c>
      <c r="U262" s="13"/>
      <c r="V262" s="14">
        <f t="shared" ca="1" si="59"/>
        <v>0.15278900000000001</v>
      </c>
      <c r="W262" s="13"/>
      <c r="X262" s="2"/>
    </row>
    <row r="263" spans="8:24" x14ac:dyDescent="0.25">
      <c r="H263" s="13">
        <v>46.1</v>
      </c>
      <c r="I263" s="13">
        <v>2.1484304959236646</v>
      </c>
      <c r="J263" s="14">
        <f t="shared" si="50"/>
        <v>-7.4999999999999993E-5</v>
      </c>
      <c r="K263" s="23">
        <f t="shared" si="51"/>
        <v>1.3100000000000001E-4</v>
      </c>
      <c r="L263" s="14">
        <f t="shared" si="52"/>
        <v>6.4609999999999997E-3</v>
      </c>
      <c r="M263" s="10">
        <f t="shared" si="53"/>
        <v>2.1625352615102824</v>
      </c>
      <c r="N263" s="16">
        <f t="shared" si="54"/>
        <v>6.5651486577664583E-3</v>
      </c>
      <c r="O263" s="13">
        <f t="shared" si="55"/>
        <v>11537.333500000001</v>
      </c>
      <c r="P263" s="13">
        <f t="shared" ca="1" si="49"/>
        <v>11537</v>
      </c>
      <c r="Q263" s="13" t="str">
        <f t="shared" ca="1" si="56"/>
        <v>0010110100010001</v>
      </c>
      <c r="R263" s="13">
        <f t="shared" ca="1" si="57"/>
        <v>2.1631214847564699</v>
      </c>
      <c r="S263" s="13">
        <f t="shared" ca="1" si="58"/>
        <v>45.957457817077646</v>
      </c>
      <c r="T263" s="17">
        <f t="shared" ca="1" si="60"/>
        <v>3.0920213215261433E-3</v>
      </c>
      <c r="U263" s="13"/>
      <c r="V263" s="14">
        <f t="shared" ca="1" si="59"/>
        <v>0.142542</v>
      </c>
      <c r="W263" s="13"/>
      <c r="X263" s="2"/>
    </row>
    <row r="264" spans="8:24" x14ac:dyDescent="0.25">
      <c r="H264" s="13">
        <v>46.2</v>
      </c>
      <c r="I264" s="13">
        <v>2.1574864989950502</v>
      </c>
      <c r="J264" s="14">
        <f t="shared" si="50"/>
        <v>-7.3999999999999996E-5</v>
      </c>
      <c r="K264" s="23">
        <f t="shared" si="51"/>
        <v>1.3100000000000001E-4</v>
      </c>
      <c r="L264" s="14">
        <f t="shared" si="52"/>
        <v>6.4910000000000002E-3</v>
      </c>
      <c r="M264" s="10">
        <f t="shared" si="53"/>
        <v>2.1717147227826326</v>
      </c>
      <c r="N264" s="16">
        <f t="shared" si="54"/>
        <v>6.5948147505024155E-3</v>
      </c>
      <c r="O264" s="13">
        <f t="shared" si="55"/>
        <v>11586.3069</v>
      </c>
      <c r="P264" s="13">
        <f t="shared" ca="1" si="49"/>
        <v>11589</v>
      </c>
      <c r="Q264" s="13" t="str">
        <f t="shared" ca="1" si="56"/>
        <v>0010110101000101</v>
      </c>
      <c r="R264" s="13">
        <f t="shared" ca="1" si="57"/>
        <v>2.1728711872100832</v>
      </c>
      <c r="S264" s="13">
        <f t="shared" ca="1" si="58"/>
        <v>46.074454246521</v>
      </c>
      <c r="T264" s="17">
        <f t="shared" ca="1" si="60"/>
        <v>2.7174405514935615E-3</v>
      </c>
      <c r="U264" s="13"/>
      <c r="V264" s="14">
        <f t="shared" ca="1" si="59"/>
        <v>0.12554599999999999</v>
      </c>
      <c r="W264" s="13"/>
      <c r="X264" s="2"/>
    </row>
    <row r="265" spans="8:24" x14ac:dyDescent="0.25">
      <c r="H265" s="13">
        <v>46.3</v>
      </c>
      <c r="I265" s="13">
        <v>2.1665636663663412</v>
      </c>
      <c r="J265" s="14">
        <f t="shared" si="50"/>
        <v>-7.3999999999999996E-5</v>
      </c>
      <c r="K265" s="23">
        <f t="shared" si="51"/>
        <v>1.3200000000000001E-4</v>
      </c>
      <c r="L265" s="14">
        <f t="shared" si="52"/>
        <v>6.522E-3</v>
      </c>
      <c r="M265" s="10">
        <f t="shared" si="53"/>
        <v>2.1809192433957687</v>
      </c>
      <c r="N265" s="16">
        <f t="shared" si="54"/>
        <v>6.6259659258035876E-3</v>
      </c>
      <c r="O265" s="13">
        <f t="shared" si="55"/>
        <v>11635.4139</v>
      </c>
      <c r="P265" s="13">
        <f t="shared" ca="1" si="49"/>
        <v>11639</v>
      </c>
      <c r="Q265" s="13" t="str">
        <f t="shared" ca="1" si="56"/>
        <v>0010110101110111</v>
      </c>
      <c r="R265" s="13">
        <f t="shared" ca="1" si="57"/>
        <v>2.1822459011077879</v>
      </c>
      <c r="S265" s="13">
        <f t="shared" ca="1" si="58"/>
        <v>46.186950813293457</v>
      </c>
      <c r="T265" s="17">
        <f t="shared" ca="1" si="60"/>
        <v>2.4416670994933088E-3</v>
      </c>
      <c r="U265" s="13"/>
      <c r="V265" s="14">
        <f t="shared" ca="1" si="59"/>
        <v>0.113049</v>
      </c>
      <c r="W265" s="13"/>
      <c r="X265" s="2"/>
    </row>
    <row r="266" spans="8:24" x14ac:dyDescent="0.25">
      <c r="H266" s="13">
        <v>46.400000000000006</v>
      </c>
      <c r="I266" s="13">
        <v>2.1763753010747502</v>
      </c>
      <c r="J266" s="14">
        <f t="shared" si="50"/>
        <v>-7.2999999999999999E-5</v>
      </c>
      <c r="K266" s="23">
        <f t="shared" si="51"/>
        <v>1.3200000000000001E-4</v>
      </c>
      <c r="L266" s="14">
        <f t="shared" si="52"/>
        <v>6.5519999999999997E-3</v>
      </c>
      <c r="M266" s="10">
        <f t="shared" si="53"/>
        <v>2.1908604386528037</v>
      </c>
      <c r="N266" s="16">
        <f t="shared" si="54"/>
        <v>6.6556248689738119E-3</v>
      </c>
      <c r="O266" s="13">
        <f t="shared" si="55"/>
        <v>11688.4511</v>
      </c>
      <c r="P266" s="13">
        <f t="shared" ca="1" si="49"/>
        <v>11690</v>
      </c>
      <c r="Q266" s="13" t="str">
        <f t="shared" ca="1" si="56"/>
        <v>0010110110101010</v>
      </c>
      <c r="R266" s="13">
        <f t="shared" ca="1" si="57"/>
        <v>2.1918081092834472</v>
      </c>
      <c r="S266" s="13">
        <f t="shared" ca="1" si="58"/>
        <v>46.301697311401369</v>
      </c>
      <c r="T266" s="17">
        <f t="shared" ca="1" si="60"/>
        <v>2.1185924266947458E-3</v>
      </c>
      <c r="U266" s="13"/>
      <c r="V266" s="14">
        <f t="shared" ca="1" si="59"/>
        <v>9.8303000000000001E-2</v>
      </c>
      <c r="W266" s="13"/>
      <c r="X266" s="2"/>
    </row>
    <row r="267" spans="8:24" x14ac:dyDescent="0.25">
      <c r="H267" s="13">
        <v>46.5</v>
      </c>
      <c r="I267" s="13">
        <v>2.1847810716002094</v>
      </c>
      <c r="J267" s="14">
        <f t="shared" si="50"/>
        <v>-7.2999999999999999E-5</v>
      </c>
      <c r="K267" s="23">
        <f t="shared" si="51"/>
        <v>1.3300000000000001E-4</v>
      </c>
      <c r="L267" s="14">
        <f t="shared" si="52"/>
        <v>6.5830000000000003E-3</v>
      </c>
      <c r="M267" s="10">
        <f t="shared" si="53"/>
        <v>2.1993902759729393</v>
      </c>
      <c r="N267" s="16">
        <f t="shared" si="54"/>
        <v>6.6868047158746471E-3</v>
      </c>
      <c r="O267" s="13">
        <f t="shared" si="55"/>
        <v>11733.9586</v>
      </c>
      <c r="P267" s="13">
        <f t="shared" ca="1" si="49"/>
        <v>11736</v>
      </c>
      <c r="Q267" s="13" t="str">
        <f t="shared" ca="1" si="56"/>
        <v>0010110111011000</v>
      </c>
      <c r="R267" s="13">
        <f t="shared" ca="1" si="57"/>
        <v>2.2004328460693361</v>
      </c>
      <c r="S267" s="13">
        <f t="shared" ca="1" si="58"/>
        <v>46.405194152832031</v>
      </c>
      <c r="T267" s="17">
        <f t="shared" ca="1" si="60"/>
        <v>2.0388354229670686E-3</v>
      </c>
      <c r="U267" s="13"/>
      <c r="V267" s="14">
        <f t="shared" ca="1" si="59"/>
        <v>9.4806000000000001E-2</v>
      </c>
      <c r="W267" s="13"/>
      <c r="X267" s="2"/>
    </row>
    <row r="268" spans="8:24" x14ac:dyDescent="0.25">
      <c r="H268" s="13">
        <v>46.6</v>
      </c>
      <c r="I268" s="13">
        <v>2.1939210978085928</v>
      </c>
      <c r="J268" s="14">
        <f t="shared" si="50"/>
        <v>-7.2000000000000002E-5</v>
      </c>
      <c r="K268" s="23">
        <f t="shared" si="51"/>
        <v>1.3300000000000001E-4</v>
      </c>
      <c r="L268" s="14">
        <f t="shared" si="52"/>
        <v>6.613E-3</v>
      </c>
      <c r="M268" s="10">
        <f t="shared" si="53"/>
        <v>2.2086565600864443</v>
      </c>
      <c r="N268" s="16">
        <f t="shared" si="54"/>
        <v>6.7164960000476196E-3</v>
      </c>
      <c r="O268" s="13">
        <f t="shared" si="55"/>
        <v>11783.3951</v>
      </c>
      <c r="P268" s="13">
        <f t="shared" ca="1" si="49"/>
        <v>11787</v>
      </c>
      <c r="Q268" s="13" t="str">
        <f t="shared" ca="1" si="56"/>
        <v>0010111000001011</v>
      </c>
      <c r="R268" s="13">
        <f t="shared" ca="1" si="57"/>
        <v>2.2099950542449953</v>
      </c>
      <c r="S268" s="13">
        <f t="shared" ca="1" si="58"/>
        <v>46.519940650939951</v>
      </c>
      <c r="T268" s="17">
        <f t="shared" ca="1" si="60"/>
        <v>1.7180117824045177E-3</v>
      </c>
      <c r="U268" s="13"/>
      <c r="V268" s="14">
        <f t="shared" ca="1" si="59"/>
        <v>8.0059000000000005E-2</v>
      </c>
      <c r="W268" s="13"/>
      <c r="X268" s="2"/>
    </row>
    <row r="269" spans="8:24" x14ac:dyDescent="0.25">
      <c r="H269" s="13">
        <v>46.7</v>
      </c>
      <c r="I269" s="13">
        <v>2.2030818644144041</v>
      </c>
      <c r="J269" s="14">
        <f t="shared" si="50"/>
        <v>-7.1000000000000005E-5</v>
      </c>
      <c r="K269" s="23">
        <f t="shared" si="51"/>
        <v>1.34E-4</v>
      </c>
      <c r="L269" s="14">
        <f t="shared" si="52"/>
        <v>6.6439999999999997E-3</v>
      </c>
      <c r="M269" s="10">
        <f t="shared" si="53"/>
        <v>2.2179465157128</v>
      </c>
      <c r="N269" s="16">
        <f t="shared" si="54"/>
        <v>6.7472078720719744E-3</v>
      </c>
      <c r="O269" s="13">
        <f t="shared" si="55"/>
        <v>11832.957899999999</v>
      </c>
      <c r="P269" s="13">
        <f t="shared" ca="1" si="49"/>
        <v>11835</v>
      </c>
      <c r="Q269" s="13" t="str">
        <f t="shared" ca="1" si="56"/>
        <v>0010111000111011</v>
      </c>
      <c r="R269" s="13">
        <f t="shared" ca="1" si="57"/>
        <v>2.2189947795867919</v>
      </c>
      <c r="S269" s="13">
        <f t="shared" ca="1" si="58"/>
        <v>46.62793735504151</v>
      </c>
      <c r="T269" s="17">
        <f t="shared" ca="1" si="60"/>
        <v>1.5430973224516635E-3</v>
      </c>
      <c r="U269" s="13"/>
      <c r="V269" s="14">
        <f t="shared" ca="1" si="59"/>
        <v>7.2063000000000002E-2</v>
      </c>
      <c r="W269" s="13"/>
      <c r="X269" s="2"/>
    </row>
    <row r="270" spans="8:24" x14ac:dyDescent="0.25">
      <c r="H270" s="13">
        <v>46.8</v>
      </c>
      <c r="I270" s="13">
        <v>2.2122632651161434</v>
      </c>
      <c r="J270" s="14">
        <f t="shared" si="50"/>
        <v>-7.1000000000000005E-5</v>
      </c>
      <c r="K270" s="23">
        <f t="shared" si="51"/>
        <v>1.34E-4</v>
      </c>
      <c r="L270" s="14">
        <f t="shared" si="52"/>
        <v>6.6740000000000002E-3</v>
      </c>
      <c r="M270" s="10">
        <f t="shared" si="53"/>
        <v>2.2272565884957642</v>
      </c>
      <c r="N270" s="16">
        <f t="shared" si="54"/>
        <v>6.7773685058381819E-3</v>
      </c>
      <c r="O270" s="13">
        <f t="shared" si="55"/>
        <v>11882.628000000001</v>
      </c>
      <c r="P270" s="13">
        <f t="shared" ca="1" si="49"/>
        <v>11882</v>
      </c>
      <c r="Q270" s="13" t="str">
        <f t="shared" ca="1" si="56"/>
        <v>0010111001101010</v>
      </c>
      <c r="R270" s="13">
        <f t="shared" ca="1" si="57"/>
        <v>2.2278070106506349</v>
      </c>
      <c r="S270" s="13">
        <f t="shared" ca="1" si="58"/>
        <v>46.733684127807621</v>
      </c>
      <c r="T270" s="17">
        <f t="shared" ca="1" si="60"/>
        <v>1.4170058160764198E-3</v>
      </c>
      <c r="U270" s="13"/>
      <c r="V270" s="14">
        <f t="shared" ca="1" si="59"/>
        <v>6.6316E-2</v>
      </c>
      <c r="W270" s="13"/>
      <c r="X270" s="2"/>
    </row>
    <row r="271" spans="8:24" x14ac:dyDescent="0.25">
      <c r="H271" s="13">
        <v>46.900000000000006</v>
      </c>
      <c r="I271" s="13">
        <v>2.2214651931791507</v>
      </c>
      <c r="J271" s="14">
        <f t="shared" si="50"/>
        <v>-6.9999999999999994E-5</v>
      </c>
      <c r="K271" s="23">
        <f t="shared" si="51"/>
        <v>1.35E-4</v>
      </c>
      <c r="L271" s="14">
        <f t="shared" si="52"/>
        <v>6.705E-3</v>
      </c>
      <c r="M271" s="10">
        <f t="shared" si="53"/>
        <v>2.2365891344355409</v>
      </c>
      <c r="N271" s="16">
        <f t="shared" si="54"/>
        <v>6.8080928311760793E-3</v>
      </c>
      <c r="O271" s="13">
        <f t="shared" si="55"/>
        <v>11932.418100000001</v>
      </c>
      <c r="P271" s="13">
        <f t="shared" ref="P271:P334" ca="1" si="61">ROUND(O271+$C$47+$C$49+RANDBETWEEN($B$45,$D$45) + 1,0)</f>
        <v>11934</v>
      </c>
      <c r="Q271" s="13" t="str">
        <f t="shared" ca="1" si="56"/>
        <v>0010111010011110</v>
      </c>
      <c r="R271" s="13">
        <f t="shared" ca="1" si="57"/>
        <v>2.2375567131042482</v>
      </c>
      <c r="S271" s="13">
        <f t="shared" ca="1" si="58"/>
        <v>46.850680557250982</v>
      </c>
      <c r="T271" s="17">
        <f t="shared" ca="1" si="60"/>
        <v>1.0515872654376071E-3</v>
      </c>
      <c r="U271" s="13"/>
      <c r="V271" s="14">
        <f t="shared" ca="1" si="59"/>
        <v>4.9319000000000002E-2</v>
      </c>
      <c r="W271" s="13"/>
      <c r="X271" s="2"/>
    </row>
    <row r="272" spans="8:24" x14ac:dyDescent="0.25">
      <c r="H272" s="13">
        <v>47</v>
      </c>
      <c r="I272" s="13">
        <v>2.2306875418159442</v>
      </c>
      <c r="J272" s="14">
        <f t="shared" si="50"/>
        <v>-6.9999999999999994E-5</v>
      </c>
      <c r="K272" s="23">
        <f t="shared" si="51"/>
        <v>1.35E-4</v>
      </c>
      <c r="L272" s="14">
        <f t="shared" si="52"/>
        <v>6.7349999999999997E-3</v>
      </c>
      <c r="M272" s="10">
        <f t="shared" si="53"/>
        <v>2.2459415676440271</v>
      </c>
      <c r="N272" s="16">
        <f t="shared" si="54"/>
        <v>6.8382619896935372E-3</v>
      </c>
      <c r="O272" s="13">
        <f t="shared" si="55"/>
        <v>11982.314200000001</v>
      </c>
      <c r="P272" s="13">
        <f t="shared" ca="1" si="61"/>
        <v>11987</v>
      </c>
      <c r="Q272" s="13" t="str">
        <f t="shared" ca="1" si="56"/>
        <v>0010111011010011</v>
      </c>
      <c r="R272" s="13">
        <f t="shared" ca="1" si="57"/>
        <v>2.2474939098358155</v>
      </c>
      <c r="S272" s="13">
        <f t="shared" ca="1" si="58"/>
        <v>46.969926918029785</v>
      </c>
      <c r="T272" s="17">
        <f t="shared" ca="1" si="60"/>
        <v>6.3985280787692128E-4</v>
      </c>
      <c r="U272" s="13"/>
      <c r="V272" s="14">
        <f t="shared" ca="1" si="59"/>
        <v>3.0072999999999999E-2</v>
      </c>
      <c r="W272" s="13"/>
      <c r="X272" s="2"/>
    </row>
    <row r="273" spans="8:24" x14ac:dyDescent="0.25">
      <c r="H273" s="13">
        <v>47.1</v>
      </c>
      <c r="I273" s="13">
        <v>2.2399302036318742</v>
      </c>
      <c r="J273" s="14">
        <f t="shared" si="50"/>
        <v>-6.8999999999999997E-5</v>
      </c>
      <c r="K273" s="23">
        <f t="shared" si="51"/>
        <v>1.36E-4</v>
      </c>
      <c r="L273" s="14">
        <f t="shared" si="52"/>
        <v>6.7660000000000003E-3</v>
      </c>
      <c r="M273" s="10">
        <f t="shared" si="53"/>
        <v>2.2553162811622181</v>
      </c>
      <c r="N273" s="16">
        <f t="shared" si="54"/>
        <v>6.86899864352759E-3</v>
      </c>
      <c r="O273" s="13">
        <f t="shared" si="55"/>
        <v>12032.3292</v>
      </c>
      <c r="P273" s="13">
        <f t="shared" ca="1" si="61"/>
        <v>12031</v>
      </c>
      <c r="Q273" s="13" t="str">
        <f t="shared" ca="1" si="56"/>
        <v>0010111011111111</v>
      </c>
      <c r="R273" s="13">
        <f t="shared" ca="1" si="57"/>
        <v>2.2557436580657959</v>
      </c>
      <c r="S273" s="13">
        <f t="shared" ca="1" si="58"/>
        <v>47.068923896789549</v>
      </c>
      <c r="T273" s="17">
        <f t="shared" ca="1" si="60"/>
        <v>6.5978987707966642E-4</v>
      </c>
      <c r="U273" s="13"/>
      <c r="V273" s="14">
        <f t="shared" ca="1" si="59"/>
        <v>3.1075999999999999E-2</v>
      </c>
      <c r="W273" s="13"/>
      <c r="X273" s="2"/>
    </row>
    <row r="274" spans="8:24" x14ac:dyDescent="0.25">
      <c r="H274" s="13">
        <v>47.2</v>
      </c>
      <c r="I274" s="13">
        <v>2.2491930714401867</v>
      </c>
      <c r="J274" s="14">
        <f t="shared" si="50"/>
        <v>-6.8999999999999997E-5</v>
      </c>
      <c r="K274" s="23">
        <f t="shared" si="51"/>
        <v>1.36E-4</v>
      </c>
      <c r="L274" s="14">
        <f t="shared" si="52"/>
        <v>6.796E-3</v>
      </c>
      <c r="M274" s="10">
        <f t="shared" si="53"/>
        <v>2.2647106508553998</v>
      </c>
      <c r="N274" s="16">
        <f t="shared" si="54"/>
        <v>6.899176247807416E-3</v>
      </c>
      <c r="O274" s="13">
        <f t="shared" si="55"/>
        <v>12082.4491</v>
      </c>
      <c r="P274" s="13">
        <f t="shared" ca="1" si="61"/>
        <v>12085</v>
      </c>
      <c r="Q274" s="13" t="str">
        <f t="shared" ca="1" si="56"/>
        <v>0010111100110101</v>
      </c>
      <c r="R274" s="13">
        <f t="shared" ca="1" si="57"/>
        <v>2.2658683490753173</v>
      </c>
      <c r="S274" s="13">
        <f t="shared" ca="1" si="58"/>
        <v>47.190420188903815</v>
      </c>
      <c r="T274" s="17">
        <f t="shared" ca="1" si="60"/>
        <v>2.0296209949550838E-4</v>
      </c>
      <c r="U274" s="13"/>
      <c r="V274" s="14">
        <f t="shared" ca="1" si="59"/>
        <v>9.58E-3</v>
      </c>
      <c r="W274" s="13"/>
      <c r="X274" s="2"/>
    </row>
    <row r="275" spans="8:24" x14ac:dyDescent="0.25">
      <c r="H275" s="13">
        <v>47.3</v>
      </c>
      <c r="I275" s="13">
        <v>2.2577725999780975</v>
      </c>
      <c r="J275" s="14">
        <f t="shared" si="50"/>
        <v>-6.7999999999999999E-5</v>
      </c>
      <c r="K275" s="23">
        <f t="shared" si="51"/>
        <v>1.37E-4</v>
      </c>
      <c r="L275" s="14">
        <f t="shared" si="52"/>
        <v>6.8269999999999997E-3</v>
      </c>
      <c r="M275" s="10">
        <f t="shared" si="53"/>
        <v>2.2734188343945094</v>
      </c>
      <c r="N275" s="16">
        <f t="shared" si="54"/>
        <v>6.9299425533659448E-3</v>
      </c>
      <c r="O275" s="13">
        <f t="shared" si="55"/>
        <v>12128.908100000001</v>
      </c>
      <c r="P275" s="13">
        <f t="shared" ca="1" si="61"/>
        <v>12133</v>
      </c>
      <c r="Q275" s="13" t="str">
        <f t="shared" ca="1" si="56"/>
        <v>0010111101100101</v>
      </c>
      <c r="R275" s="13">
        <f t="shared" ca="1" si="57"/>
        <v>2.2748680744171144</v>
      </c>
      <c r="S275" s="13">
        <f t="shared" ca="1" si="58"/>
        <v>47.298416893005374</v>
      </c>
      <c r="T275" s="17">
        <f t="shared" ca="1" si="60"/>
        <v>3.3469492486745274E-5</v>
      </c>
      <c r="U275" s="13"/>
      <c r="V275" s="14">
        <f t="shared" ca="1" si="59"/>
        <v>1.583E-3</v>
      </c>
      <c r="W275" s="13"/>
      <c r="X275" s="2"/>
    </row>
    <row r="276" spans="8:24" x14ac:dyDescent="0.25">
      <c r="H276" s="13">
        <v>47.400000000000006</v>
      </c>
      <c r="I276" s="13">
        <v>2.2670766648299465</v>
      </c>
      <c r="J276" s="14">
        <f t="shared" si="50"/>
        <v>-6.7000000000000002E-5</v>
      </c>
      <c r="K276" s="23">
        <f t="shared" si="51"/>
        <v>1.37E-4</v>
      </c>
      <c r="L276" s="14">
        <f t="shared" si="52"/>
        <v>6.8570000000000002E-3</v>
      </c>
      <c r="M276" s="10">
        <f t="shared" si="53"/>
        <v>2.2828548025047217</v>
      </c>
      <c r="N276" s="16">
        <f t="shared" si="54"/>
        <v>6.9596842133958997E-3</v>
      </c>
      <c r="O276" s="13">
        <f t="shared" si="55"/>
        <v>12179.249900000001</v>
      </c>
      <c r="P276" s="13">
        <f t="shared" ca="1" si="61"/>
        <v>12181</v>
      </c>
      <c r="Q276" s="13" t="str">
        <f t="shared" ca="1" si="56"/>
        <v>0010111110010101</v>
      </c>
      <c r="R276" s="13">
        <f t="shared" ca="1" si="57"/>
        <v>2.283867799758911</v>
      </c>
      <c r="S276" s="13">
        <f t="shared" ca="1" si="58"/>
        <v>47.406413597106933</v>
      </c>
      <c r="T276" s="17">
        <f t="shared" ca="1" si="60"/>
        <v>1.3530795584235615E-4</v>
      </c>
      <c r="U276" s="13"/>
      <c r="V276" s="14">
        <f t="shared" ca="1" si="59"/>
        <v>6.4140000000000004E-3</v>
      </c>
      <c r="W276" s="13"/>
      <c r="X276" s="2"/>
    </row>
    <row r="277" spans="8:24" x14ac:dyDescent="0.25">
      <c r="H277" s="13">
        <v>47.5</v>
      </c>
      <c r="I277" s="13">
        <v>2.2764006124153497</v>
      </c>
      <c r="J277" s="14">
        <f t="shared" si="50"/>
        <v>-6.7000000000000002E-5</v>
      </c>
      <c r="K277" s="23">
        <f t="shared" si="51"/>
        <v>1.3799999999999999E-4</v>
      </c>
      <c r="L277" s="14">
        <f t="shared" si="52"/>
        <v>6.888E-3</v>
      </c>
      <c r="M277" s="10">
        <f t="shared" si="53"/>
        <v>2.2923146764024098</v>
      </c>
      <c r="N277" s="16">
        <f t="shared" si="54"/>
        <v>6.9908889939080789E-3</v>
      </c>
      <c r="O277" s="13">
        <f t="shared" si="55"/>
        <v>12229.7192</v>
      </c>
      <c r="P277" s="13">
        <f t="shared" ca="1" si="61"/>
        <v>12233</v>
      </c>
      <c r="Q277" s="13" t="str">
        <f t="shared" ca="1" si="56"/>
        <v>0010111111001001</v>
      </c>
      <c r="R277" s="13">
        <f t="shared" ca="1" si="57"/>
        <v>2.2936175022125243</v>
      </c>
      <c r="S277" s="13">
        <f t="shared" ca="1" si="58"/>
        <v>47.523410026550295</v>
      </c>
      <c r="T277" s="17">
        <f t="shared" ca="1" si="60"/>
        <v>4.9284266421672758E-4</v>
      </c>
      <c r="U277" s="13"/>
      <c r="V277" s="14">
        <f t="shared" ca="1" si="59"/>
        <v>2.341E-2</v>
      </c>
      <c r="W277" s="13"/>
      <c r="X277" s="2"/>
    </row>
    <row r="278" spans="8:24" x14ac:dyDescent="0.25">
      <c r="H278" s="13">
        <v>47.6</v>
      </c>
      <c r="I278" s="13">
        <v>2.2857443344729758</v>
      </c>
      <c r="J278" s="14">
        <f t="shared" si="50"/>
        <v>-6.6000000000000005E-5</v>
      </c>
      <c r="K278" s="23">
        <f t="shared" si="51"/>
        <v>1.3799999999999999E-4</v>
      </c>
      <c r="L278" s="14">
        <f t="shared" si="52"/>
        <v>6.9179999999999997E-3</v>
      </c>
      <c r="M278" s="10">
        <f t="shared" si="53"/>
        <v>2.3017917284060889</v>
      </c>
      <c r="N278" s="16">
        <f t="shared" si="54"/>
        <v>7.0206425500397062E-3</v>
      </c>
      <c r="O278" s="13">
        <f t="shared" si="55"/>
        <v>12280.280199999999</v>
      </c>
      <c r="P278" s="13">
        <f t="shared" ca="1" si="61"/>
        <v>12285</v>
      </c>
      <c r="Q278" s="13" t="str">
        <f t="shared" ca="1" si="56"/>
        <v>0010111111111101</v>
      </c>
      <c r="R278" s="13">
        <f t="shared" ca="1" si="57"/>
        <v>2.3033672046661375</v>
      </c>
      <c r="S278" s="13">
        <f t="shared" ca="1" si="58"/>
        <v>47.640406455993649</v>
      </c>
      <c r="T278" s="17">
        <f t="shared" ca="1" si="60"/>
        <v>8.4887512591695852E-4</v>
      </c>
      <c r="U278" s="13"/>
      <c r="V278" s="14">
        <f t="shared" ca="1" si="59"/>
        <v>4.0405999999999997E-2</v>
      </c>
      <c r="W278" s="13"/>
      <c r="X278" s="2"/>
    </row>
    <row r="279" spans="8:24" x14ac:dyDescent="0.25">
      <c r="H279" s="13">
        <v>47.7</v>
      </c>
      <c r="I279" s="13">
        <v>2.2958067265686504</v>
      </c>
      <c r="J279" s="14">
        <f t="shared" si="50"/>
        <v>-6.6000000000000005E-5</v>
      </c>
      <c r="K279" s="23">
        <f t="shared" si="51"/>
        <v>1.3899999999999999E-4</v>
      </c>
      <c r="L279" s="14">
        <f t="shared" si="52"/>
        <v>6.9490000000000003E-3</v>
      </c>
      <c r="M279" s="10">
        <f t="shared" si="53"/>
        <v>2.3119963864158541</v>
      </c>
      <c r="N279" s="16">
        <f t="shared" si="54"/>
        <v>7.0518391900528579E-3</v>
      </c>
      <c r="O279" s="13">
        <f t="shared" si="55"/>
        <v>12334.723</v>
      </c>
      <c r="P279" s="13">
        <f t="shared" ca="1" si="61"/>
        <v>12337</v>
      </c>
      <c r="Q279" s="13" t="str">
        <f t="shared" ca="1" si="56"/>
        <v>0011000000110001</v>
      </c>
      <c r="R279" s="13">
        <f t="shared" ca="1" si="57"/>
        <v>2.3131169071197508</v>
      </c>
      <c r="S279" s="13">
        <f t="shared" ca="1" si="58"/>
        <v>47.757402885437017</v>
      </c>
      <c r="T279" s="17">
        <f t="shared" ca="1" si="60"/>
        <v>1.203414789035935E-3</v>
      </c>
      <c r="U279" s="13"/>
      <c r="V279" s="14">
        <f t="shared" ca="1" si="59"/>
        <v>5.7403000000000003E-2</v>
      </c>
      <c r="W279" s="13"/>
      <c r="X279" s="2"/>
    </row>
    <row r="280" spans="8:24" x14ac:dyDescent="0.25">
      <c r="H280" s="13">
        <v>47.8</v>
      </c>
      <c r="I280" s="13">
        <v>2.3044906680091337</v>
      </c>
      <c r="J280" s="14">
        <f t="shared" si="50"/>
        <v>-6.4999999999999994E-5</v>
      </c>
      <c r="K280" s="23">
        <f t="shared" si="51"/>
        <v>1.3899999999999999E-4</v>
      </c>
      <c r="L280" s="14">
        <f t="shared" si="52"/>
        <v>6.979E-3</v>
      </c>
      <c r="M280" s="10">
        <f t="shared" si="53"/>
        <v>2.3208101975961575</v>
      </c>
      <c r="N280" s="16">
        <f t="shared" si="54"/>
        <v>7.0816210339104228E-3</v>
      </c>
      <c r="O280" s="13">
        <f t="shared" si="55"/>
        <v>12381.745500000001</v>
      </c>
      <c r="P280" s="13">
        <f t="shared" ca="1" si="61"/>
        <v>12382</v>
      </c>
      <c r="Q280" s="13" t="str">
        <f t="shared" ca="1" si="56"/>
        <v>0011000001011110</v>
      </c>
      <c r="R280" s="13">
        <f t="shared" ca="1" si="57"/>
        <v>2.3215541496276857</v>
      </c>
      <c r="S280" s="13">
        <f t="shared" ca="1" si="58"/>
        <v>47.85864979553223</v>
      </c>
      <c r="T280" s="17">
        <f t="shared" ca="1" si="60"/>
        <v>1.2269831701303962E-3</v>
      </c>
      <c r="U280" s="13"/>
      <c r="V280" s="14">
        <f t="shared" ca="1" si="59"/>
        <v>5.8650000000000001E-2</v>
      </c>
      <c r="W280" s="13"/>
      <c r="X280" s="2"/>
    </row>
    <row r="281" spans="8:24" x14ac:dyDescent="0.25">
      <c r="H281" s="13">
        <v>47.900000000000006</v>
      </c>
      <c r="I281" s="13">
        <v>2.3138930622637561</v>
      </c>
      <c r="J281" s="14">
        <f t="shared" si="50"/>
        <v>-6.4999999999999994E-5</v>
      </c>
      <c r="K281" s="23">
        <f t="shared" si="51"/>
        <v>1.3999999999999999E-4</v>
      </c>
      <c r="L281" s="14">
        <f t="shared" si="52"/>
        <v>7.0099999999999997E-3</v>
      </c>
      <c r="M281" s="10">
        <f t="shared" si="53"/>
        <v>2.3303514191318708</v>
      </c>
      <c r="N281" s="16">
        <f t="shared" si="54"/>
        <v>7.1128424802885913E-3</v>
      </c>
      <c r="O281" s="13">
        <f t="shared" si="55"/>
        <v>12432.6489</v>
      </c>
      <c r="P281" s="13">
        <f t="shared" ca="1" si="61"/>
        <v>12436</v>
      </c>
      <c r="Q281" s="13" t="str">
        <f t="shared" ca="1" si="56"/>
        <v>0011000010010100</v>
      </c>
      <c r="R281" s="13">
        <f t="shared" ca="1" si="57"/>
        <v>2.3316788406372071</v>
      </c>
      <c r="S281" s="13">
        <f t="shared" ca="1" si="58"/>
        <v>47.980146087646489</v>
      </c>
      <c r="T281" s="17">
        <f t="shared" ca="1" si="60"/>
        <v>1.6731959842689562E-3</v>
      </c>
      <c r="U281" s="13"/>
      <c r="V281" s="14">
        <f t="shared" ca="1" si="59"/>
        <v>8.0145999999999995E-2</v>
      </c>
      <c r="W281" s="13"/>
      <c r="X281" s="2"/>
    </row>
    <row r="282" spans="8:24" x14ac:dyDescent="0.25">
      <c r="H282" s="13">
        <v>48</v>
      </c>
      <c r="I282" s="13">
        <v>2.3233147964050662</v>
      </c>
      <c r="J282" s="14">
        <f t="shared" si="50"/>
        <v>-6.3999999999999997E-5</v>
      </c>
      <c r="K282" s="23">
        <f t="shared" si="51"/>
        <v>1.3999999999999999E-4</v>
      </c>
      <c r="L282" s="14">
        <f t="shared" si="52"/>
        <v>7.0400000000000003E-3</v>
      </c>
      <c r="M282" s="10">
        <f t="shared" si="53"/>
        <v>2.3399093499084218</v>
      </c>
      <c r="N282" s="16">
        <f t="shared" si="54"/>
        <v>7.1426194715553983E-3</v>
      </c>
      <c r="O282" s="13">
        <f t="shared" si="55"/>
        <v>12483.6414</v>
      </c>
      <c r="P282" s="13">
        <f t="shared" ca="1" si="61"/>
        <v>12483</v>
      </c>
      <c r="Q282" s="13" t="str">
        <f t="shared" ca="1" si="56"/>
        <v>0011000011000011</v>
      </c>
      <c r="R282" s="13">
        <f t="shared" ca="1" si="57"/>
        <v>2.3404910717010496</v>
      </c>
      <c r="S282" s="13">
        <f t="shared" ca="1" si="58"/>
        <v>48.085892860412599</v>
      </c>
      <c r="T282" s="17">
        <f t="shared" ca="1" si="60"/>
        <v>1.789434591929151E-3</v>
      </c>
      <c r="U282" s="13"/>
      <c r="V282" s="14">
        <f t="shared" ca="1" si="59"/>
        <v>8.5892999999999997E-2</v>
      </c>
      <c r="W282" s="13"/>
      <c r="X282" s="2"/>
    </row>
    <row r="283" spans="8:24" x14ac:dyDescent="0.25">
      <c r="H283" s="13">
        <v>48.1</v>
      </c>
      <c r="I283" s="13">
        <v>2.3320611940345315</v>
      </c>
      <c r="J283" s="14">
        <f t="shared" si="50"/>
        <v>-6.3E-5</v>
      </c>
      <c r="K283" s="23">
        <f t="shared" si="51"/>
        <v>1.4100000000000001E-4</v>
      </c>
      <c r="L283" s="14">
        <f t="shared" si="52"/>
        <v>7.071E-3</v>
      </c>
      <c r="M283" s="10">
        <f t="shared" si="53"/>
        <v>2.3487900785620437</v>
      </c>
      <c r="N283" s="16">
        <f t="shared" si="54"/>
        <v>7.1734329143270719E-3</v>
      </c>
      <c r="O283" s="13">
        <f t="shared" si="55"/>
        <v>12531.0209</v>
      </c>
      <c r="P283" s="13">
        <f t="shared" ca="1" si="61"/>
        <v>12535</v>
      </c>
      <c r="Q283" s="13" t="str">
        <f t="shared" ca="1" si="56"/>
        <v>0011000011110111</v>
      </c>
      <c r="R283" s="13">
        <f t="shared" ca="1" si="57"/>
        <v>2.3502407741546629</v>
      </c>
      <c r="S283" s="13">
        <f t="shared" ca="1" si="58"/>
        <v>48.202889289855953</v>
      </c>
      <c r="T283" s="17">
        <f t="shared" ca="1" si="60"/>
        <v>2.1390704751757155E-3</v>
      </c>
      <c r="U283" s="13"/>
      <c r="V283" s="14">
        <f t="shared" ca="1" si="59"/>
        <v>0.10288899999999999</v>
      </c>
      <c r="W283" s="13"/>
      <c r="X283" s="2"/>
    </row>
    <row r="284" spans="8:24" x14ac:dyDescent="0.25">
      <c r="H284" s="13">
        <v>48.2</v>
      </c>
      <c r="I284" s="13">
        <v>2.3408289323147016</v>
      </c>
      <c r="J284" s="14">
        <f t="shared" si="50"/>
        <v>-6.3E-5</v>
      </c>
      <c r="K284" s="23">
        <f t="shared" si="51"/>
        <v>1.4100000000000001E-4</v>
      </c>
      <c r="L284" s="14">
        <f t="shared" si="52"/>
        <v>7.1009999999999997E-3</v>
      </c>
      <c r="M284" s="10">
        <f t="shared" si="53"/>
        <v>2.357691487710937</v>
      </c>
      <c r="N284" s="16">
        <f t="shared" si="54"/>
        <v>7.2036683943243291E-3</v>
      </c>
      <c r="O284" s="13">
        <f t="shared" si="55"/>
        <v>12578.5108</v>
      </c>
      <c r="P284" s="13">
        <f t="shared" ca="1" si="61"/>
        <v>12583</v>
      </c>
      <c r="Q284" s="13" t="str">
        <f t="shared" ca="1" si="56"/>
        <v>0011000100100111</v>
      </c>
      <c r="R284" s="13">
        <f t="shared" ca="1" si="57"/>
        <v>2.35924049949646</v>
      </c>
      <c r="S284" s="13">
        <f t="shared" ca="1" si="58"/>
        <v>48.310885993957527</v>
      </c>
      <c r="T284" s="17">
        <f t="shared" ca="1" si="60"/>
        <v>2.3005392937245637E-3</v>
      </c>
      <c r="U284" s="13"/>
      <c r="V284" s="14">
        <f t="shared" ca="1" si="59"/>
        <v>0.110886</v>
      </c>
      <c r="W284" s="13"/>
      <c r="X284" s="2"/>
    </row>
    <row r="285" spans="8:24" x14ac:dyDescent="0.25">
      <c r="H285" s="13">
        <v>48.3</v>
      </c>
      <c r="I285" s="13">
        <v>2.3503102479169802</v>
      </c>
      <c r="J285" s="14">
        <f t="shared" si="50"/>
        <v>-6.2000000000000003E-5</v>
      </c>
      <c r="K285" s="23">
        <f t="shared" si="51"/>
        <v>1.4200000000000001E-4</v>
      </c>
      <c r="L285" s="14">
        <f t="shared" si="52"/>
        <v>7.1320000000000003E-3</v>
      </c>
      <c r="M285" s="10">
        <f t="shared" si="53"/>
        <v>2.3673135142445725</v>
      </c>
      <c r="N285" s="16">
        <f t="shared" si="54"/>
        <v>7.2344773812997084E-3</v>
      </c>
      <c r="O285" s="13">
        <f t="shared" si="55"/>
        <v>12629.8452</v>
      </c>
      <c r="P285" s="13">
        <f t="shared" ca="1" si="61"/>
        <v>12630</v>
      </c>
      <c r="Q285" s="13" t="str">
        <f t="shared" ca="1" si="56"/>
        <v>0011000101010110</v>
      </c>
      <c r="R285" s="13">
        <f t="shared" ca="1" si="57"/>
        <v>2.368052730560303</v>
      </c>
      <c r="S285" s="13">
        <f t="shared" ca="1" si="58"/>
        <v>48.416632766723637</v>
      </c>
      <c r="T285" s="17">
        <f t="shared" ca="1" si="60"/>
        <v>2.4147570750236067E-3</v>
      </c>
      <c r="U285" s="13"/>
      <c r="V285" s="14">
        <f t="shared" ca="1" si="59"/>
        <v>0.116633</v>
      </c>
      <c r="W285" s="13"/>
      <c r="X285" s="2"/>
    </row>
    <row r="286" spans="8:24" x14ac:dyDescent="0.25">
      <c r="H286" s="13">
        <v>48.400000000000006</v>
      </c>
      <c r="I286" s="13">
        <v>2.3591192289319904</v>
      </c>
      <c r="J286" s="14">
        <f t="shared" si="50"/>
        <v>-6.2000000000000003E-5</v>
      </c>
      <c r="K286" s="23">
        <f t="shared" si="51"/>
        <v>1.4200000000000001E-4</v>
      </c>
      <c r="L286" s="14">
        <f t="shared" si="52"/>
        <v>7.162E-3</v>
      </c>
      <c r="M286" s="10">
        <f t="shared" si="53"/>
        <v>2.3762575702541504</v>
      </c>
      <c r="N286" s="16">
        <f t="shared" si="54"/>
        <v>7.2647202871212058E-3</v>
      </c>
      <c r="O286" s="13">
        <f t="shared" si="55"/>
        <v>12677.562599999999</v>
      </c>
      <c r="P286" s="13">
        <f t="shared" ca="1" si="61"/>
        <v>12678</v>
      </c>
      <c r="Q286" s="13" t="str">
        <f t="shared" ca="1" si="56"/>
        <v>0011000110000110</v>
      </c>
      <c r="R286" s="13">
        <f t="shared" ca="1" si="57"/>
        <v>2.3770524559020996</v>
      </c>
      <c r="S286" s="13">
        <f t="shared" ca="1" si="58"/>
        <v>48.524629470825197</v>
      </c>
      <c r="T286" s="17">
        <f t="shared" ca="1" si="60"/>
        <v>2.5749890666361759E-3</v>
      </c>
      <c r="U286" s="13"/>
      <c r="V286" s="14">
        <f t="shared" ca="1" si="59"/>
        <v>0.124629</v>
      </c>
      <c r="W286" s="13"/>
      <c r="X286" s="2"/>
    </row>
    <row r="287" spans="8:24" x14ac:dyDescent="0.25">
      <c r="H287" s="13">
        <v>48.5</v>
      </c>
      <c r="I287" s="13">
        <v>2.368639348027322</v>
      </c>
      <c r="J287" s="14">
        <f t="shared" si="50"/>
        <v>-6.0999999999999999E-5</v>
      </c>
      <c r="K287" s="23">
        <f t="shared" si="51"/>
        <v>1.4300000000000001E-4</v>
      </c>
      <c r="L287" s="14">
        <f t="shared" si="52"/>
        <v>7.1929999999999997E-3</v>
      </c>
      <c r="M287" s="10">
        <f t="shared" si="53"/>
        <v>2.3859198523311402</v>
      </c>
      <c r="N287" s="16">
        <f t="shared" si="54"/>
        <v>7.2955405043870335E-3</v>
      </c>
      <c r="O287" s="13">
        <f t="shared" si="55"/>
        <v>12729.111800000001</v>
      </c>
      <c r="P287" s="13">
        <f t="shared" ca="1" si="61"/>
        <v>12728</v>
      </c>
      <c r="Q287" s="13" t="str">
        <f t="shared" ca="1" si="56"/>
        <v>0011000110111000</v>
      </c>
      <c r="R287" s="13">
        <f t="shared" ca="1" si="57"/>
        <v>2.3864271697998047</v>
      </c>
      <c r="S287" s="13">
        <f t="shared" ca="1" si="58"/>
        <v>48.63712603759766</v>
      </c>
      <c r="T287" s="17">
        <f t="shared" ca="1" si="60"/>
        <v>2.8273409813950596E-3</v>
      </c>
      <c r="U287" s="13"/>
      <c r="V287" s="14">
        <f t="shared" ca="1" si="59"/>
        <v>0.137126</v>
      </c>
      <c r="W287" s="13"/>
      <c r="X287" s="2"/>
    </row>
    <row r="288" spans="8:24" x14ac:dyDescent="0.25">
      <c r="H288" s="13">
        <v>48.6</v>
      </c>
      <c r="I288" s="13">
        <v>2.3774891323669958</v>
      </c>
      <c r="J288" s="14">
        <f t="shared" si="50"/>
        <v>-6.0999999999999999E-5</v>
      </c>
      <c r="K288" s="23">
        <f t="shared" si="51"/>
        <v>1.4300000000000001E-4</v>
      </c>
      <c r="L288" s="14">
        <f t="shared" si="52"/>
        <v>7.2230000000000003E-3</v>
      </c>
      <c r="M288" s="10">
        <f t="shared" si="53"/>
        <v>2.3949061203402131</v>
      </c>
      <c r="N288" s="16">
        <f t="shared" si="54"/>
        <v>7.325790783269415E-3</v>
      </c>
      <c r="O288" s="13">
        <f t="shared" si="55"/>
        <v>12777.054400000001</v>
      </c>
      <c r="P288" s="13">
        <f t="shared" ca="1" si="61"/>
        <v>12781</v>
      </c>
      <c r="Q288" s="13" t="str">
        <f t="shared" ca="1" si="56"/>
        <v>0011000111101101</v>
      </c>
      <c r="R288" s="13">
        <f t="shared" ca="1" si="57"/>
        <v>2.3963643665313721</v>
      </c>
      <c r="S288" s="13">
        <f t="shared" ca="1" si="58"/>
        <v>48.756372398376463</v>
      </c>
      <c r="T288" s="17">
        <f t="shared" ca="1" si="60"/>
        <v>3.2175390612440694E-3</v>
      </c>
      <c r="U288" s="13"/>
      <c r="V288" s="14">
        <f t="shared" ca="1" si="59"/>
        <v>0.15637200000000001</v>
      </c>
      <c r="W288" s="13"/>
      <c r="X288" s="2"/>
    </row>
    <row r="289" spans="8:24" x14ac:dyDescent="0.25">
      <c r="H289" s="13">
        <v>48.7</v>
      </c>
      <c r="I289" s="13">
        <v>2.3870476151189286</v>
      </c>
      <c r="J289" s="14">
        <f t="shared" si="50"/>
        <v>-6.0000000000000002E-5</v>
      </c>
      <c r="K289" s="23">
        <f t="shared" si="51"/>
        <v>1.44E-4</v>
      </c>
      <c r="L289" s="14">
        <f t="shared" si="52"/>
        <v>7.254E-3</v>
      </c>
      <c r="M289" s="10">
        <f t="shared" si="53"/>
        <v>2.4046082224324534</v>
      </c>
      <c r="N289" s="16">
        <f t="shared" si="54"/>
        <v>7.3566221311634414E-3</v>
      </c>
      <c r="O289" s="13">
        <f t="shared" si="55"/>
        <v>12828.8161</v>
      </c>
      <c r="P289" s="13">
        <f t="shared" ca="1" si="61"/>
        <v>12830</v>
      </c>
      <c r="Q289" s="13" t="str">
        <f t="shared" ca="1" si="56"/>
        <v>0011001000011110</v>
      </c>
      <c r="R289" s="13">
        <f t="shared" ca="1" si="57"/>
        <v>2.4055515861511232</v>
      </c>
      <c r="S289" s="13">
        <f t="shared" ca="1" si="58"/>
        <v>48.866619033813485</v>
      </c>
      <c r="T289" s="17">
        <f t="shared" ca="1" si="60"/>
        <v>3.4213353965807498E-3</v>
      </c>
      <c r="U289" s="13"/>
      <c r="V289" s="14">
        <f t="shared" ca="1" si="59"/>
        <v>0.16661899999999999</v>
      </c>
      <c r="W289" s="13"/>
      <c r="X289" s="2"/>
    </row>
    <row r="290" spans="8:24" x14ac:dyDescent="0.25">
      <c r="H290" s="13">
        <v>48.8</v>
      </c>
      <c r="I290" s="13">
        <v>2.3959377620900995</v>
      </c>
      <c r="J290" s="14">
        <f t="shared" si="50"/>
        <v>-5.8999999999999998E-5</v>
      </c>
      <c r="K290" s="23">
        <f t="shared" si="51"/>
        <v>1.44E-4</v>
      </c>
      <c r="L290" s="14">
        <f t="shared" si="52"/>
        <v>7.2839999999999997E-3</v>
      </c>
      <c r="M290" s="10">
        <f t="shared" si="53"/>
        <v>2.4136352588435153</v>
      </c>
      <c r="N290" s="16">
        <f t="shared" si="54"/>
        <v>7.3864592951602276E-3</v>
      </c>
      <c r="O290" s="13">
        <f t="shared" si="55"/>
        <v>12876.976199999999</v>
      </c>
      <c r="P290" s="13">
        <f t="shared" ca="1" si="61"/>
        <v>12876</v>
      </c>
      <c r="Q290" s="13" t="str">
        <f t="shared" ca="1" si="56"/>
        <v>0011001001001100</v>
      </c>
      <c r="R290" s="13">
        <f t="shared" ca="1" si="57"/>
        <v>2.4141763229370117</v>
      </c>
      <c r="S290" s="13">
        <f t="shared" ca="1" si="58"/>
        <v>48.970115875244147</v>
      </c>
      <c r="T290" s="17">
        <f t="shared" ca="1" si="60"/>
        <v>3.4859810500850424E-3</v>
      </c>
      <c r="U290" s="13"/>
      <c r="V290" s="14">
        <f t="shared" ca="1" si="59"/>
        <v>0.17011599999999999</v>
      </c>
      <c r="W290" s="13"/>
      <c r="X290" s="2"/>
    </row>
    <row r="291" spans="8:24" x14ac:dyDescent="0.25">
      <c r="H291" s="13">
        <v>48.900000000000006</v>
      </c>
      <c r="I291" s="13">
        <v>2.4055341670873034</v>
      </c>
      <c r="J291" s="14">
        <f t="shared" si="50"/>
        <v>-5.8999999999999998E-5</v>
      </c>
      <c r="K291" s="23">
        <f t="shared" si="51"/>
        <v>1.45E-4</v>
      </c>
      <c r="L291" s="14">
        <f t="shared" si="52"/>
        <v>7.3150000000000003E-3</v>
      </c>
      <c r="M291" s="10">
        <f t="shared" si="53"/>
        <v>2.4233777510663534</v>
      </c>
      <c r="N291" s="16">
        <f t="shared" si="54"/>
        <v>7.4177221106177986E-3</v>
      </c>
      <c r="O291" s="13">
        <f t="shared" si="55"/>
        <v>12928.953299999999</v>
      </c>
      <c r="P291" s="13">
        <f t="shared" ca="1" si="61"/>
        <v>12933</v>
      </c>
      <c r="Q291" s="13" t="str">
        <f t="shared" ca="1" si="56"/>
        <v>0011001010000101</v>
      </c>
      <c r="R291" s="13">
        <f t="shared" ca="1" si="57"/>
        <v>2.4248634967803957</v>
      </c>
      <c r="S291" s="13">
        <f t="shared" ca="1" si="58"/>
        <v>49.098361961364752</v>
      </c>
      <c r="T291" s="17">
        <f t="shared" ca="1" si="60"/>
        <v>4.0564818274999234E-3</v>
      </c>
      <c r="U291" s="13"/>
      <c r="V291" s="14">
        <f t="shared" ca="1" si="59"/>
        <v>0.19836200000000001</v>
      </c>
      <c r="W291" s="13"/>
      <c r="X291" s="2"/>
    </row>
    <row r="292" spans="8:24" x14ac:dyDescent="0.25">
      <c r="H292" s="13">
        <v>49</v>
      </c>
      <c r="I292" s="13">
        <v>2.4144642347199978</v>
      </c>
      <c r="J292" s="14">
        <f t="shared" si="50"/>
        <v>-5.8E-5</v>
      </c>
      <c r="K292" s="23">
        <f t="shared" si="51"/>
        <v>1.45E-4</v>
      </c>
      <c r="L292" s="14">
        <f t="shared" si="52"/>
        <v>7.345E-3</v>
      </c>
      <c r="M292" s="10">
        <f t="shared" si="53"/>
        <v>2.4324461255018091</v>
      </c>
      <c r="N292" s="16">
        <f t="shared" si="54"/>
        <v>7.4475697437268364E-3</v>
      </c>
      <c r="O292" s="13">
        <f t="shared" si="55"/>
        <v>12977.334000000001</v>
      </c>
      <c r="P292" s="13">
        <f t="shared" ca="1" si="61"/>
        <v>12976</v>
      </c>
      <c r="Q292" s="13" t="str">
        <f t="shared" ca="1" si="56"/>
        <v>0011001010110000</v>
      </c>
      <c r="R292" s="13">
        <f t="shared" ca="1" si="57"/>
        <v>2.432925750732422</v>
      </c>
      <c r="S292" s="13">
        <f t="shared" ca="1" si="58"/>
        <v>49.195109008789068</v>
      </c>
      <c r="T292" s="17">
        <f t="shared" ca="1" si="60"/>
        <v>3.9818165058993406E-3</v>
      </c>
      <c r="U292" s="13"/>
      <c r="V292" s="14">
        <f t="shared" ca="1" si="59"/>
        <v>0.195109</v>
      </c>
      <c r="W292" s="13"/>
      <c r="X292" s="2"/>
    </row>
    <row r="293" spans="8:24" x14ac:dyDescent="0.25">
      <c r="H293" s="13">
        <v>49.1</v>
      </c>
      <c r="I293" s="13">
        <v>2.4240981194133613</v>
      </c>
      <c r="J293" s="14">
        <f t="shared" si="50"/>
        <v>-5.8E-5</v>
      </c>
      <c r="K293" s="23">
        <f t="shared" si="51"/>
        <v>1.46E-4</v>
      </c>
      <c r="L293" s="14">
        <f t="shared" si="52"/>
        <v>7.3759999999999997E-3</v>
      </c>
      <c r="M293" s="10">
        <f t="shared" si="53"/>
        <v>2.4422275621034366</v>
      </c>
      <c r="N293" s="16">
        <f t="shared" si="54"/>
        <v>7.4788402931737366E-3</v>
      </c>
      <c r="O293" s="13">
        <f t="shared" si="55"/>
        <v>13029.518899999999</v>
      </c>
      <c r="P293" s="13">
        <f t="shared" ca="1" si="61"/>
        <v>13033</v>
      </c>
      <c r="Q293" s="13" t="str">
        <f t="shared" ca="1" si="56"/>
        <v>0011001011101001</v>
      </c>
      <c r="R293" s="13">
        <f t="shared" ca="1" si="57"/>
        <v>2.4436129245758056</v>
      </c>
      <c r="S293" s="13">
        <f t="shared" ca="1" si="58"/>
        <v>49.323355094909665</v>
      </c>
      <c r="T293" s="17">
        <f t="shared" ca="1" si="60"/>
        <v>4.5489836030481439E-3</v>
      </c>
      <c r="U293" s="13"/>
      <c r="V293" s="14">
        <f t="shared" ca="1" si="59"/>
        <v>0.223355</v>
      </c>
      <c r="W293" s="13"/>
      <c r="X293" s="2"/>
    </row>
    <row r="294" spans="8:24" x14ac:dyDescent="0.25">
      <c r="H294" s="13">
        <v>49.2</v>
      </c>
      <c r="I294" s="13">
        <v>2.4330676642806659</v>
      </c>
      <c r="J294" s="14">
        <f t="shared" si="50"/>
        <v>-5.7000000000000003E-5</v>
      </c>
      <c r="K294" s="23">
        <f t="shared" si="51"/>
        <v>1.46E-4</v>
      </c>
      <c r="L294" s="14">
        <f t="shared" si="52"/>
        <v>7.4060000000000003E-3</v>
      </c>
      <c r="M294" s="10">
        <f t="shared" si="53"/>
        <v>2.4513368353351583</v>
      </c>
      <c r="N294" s="16">
        <f t="shared" si="54"/>
        <v>7.5086983081885236E-3</v>
      </c>
      <c r="O294" s="13">
        <f t="shared" si="55"/>
        <v>13078.117700000001</v>
      </c>
      <c r="P294" s="13">
        <f t="shared" ca="1" si="61"/>
        <v>13078</v>
      </c>
      <c r="Q294" s="13" t="str">
        <f t="shared" ca="1" si="56"/>
        <v>0011001100010110</v>
      </c>
      <c r="R294" s="13">
        <f t="shared" ca="1" si="57"/>
        <v>2.4520501670837405</v>
      </c>
      <c r="S294" s="13">
        <f t="shared" ca="1" si="58"/>
        <v>49.424602005004893</v>
      </c>
      <c r="T294" s="17">
        <f t="shared" ca="1" si="60"/>
        <v>4.5650814025384101E-3</v>
      </c>
      <c r="U294" s="13"/>
      <c r="V294" s="14">
        <f t="shared" ca="1" si="59"/>
        <v>0.224602</v>
      </c>
      <c r="W294" s="13"/>
      <c r="X294" s="2"/>
    </row>
    <row r="295" spans="8:24" x14ac:dyDescent="0.25">
      <c r="H295" s="13">
        <v>49.3</v>
      </c>
      <c r="I295" s="13">
        <v>2.4420573365275264</v>
      </c>
      <c r="J295" s="14">
        <f t="shared" si="50"/>
        <v>-5.7000000000000003E-5</v>
      </c>
      <c r="K295" s="23">
        <f t="shared" si="51"/>
        <v>1.47E-4</v>
      </c>
      <c r="L295" s="14">
        <f t="shared" si="52"/>
        <v>7.437E-3</v>
      </c>
      <c r="M295" s="10">
        <f t="shared" si="53"/>
        <v>2.4604704237227528</v>
      </c>
      <c r="N295" s="16">
        <f t="shared" si="54"/>
        <v>7.5399897126939702E-3</v>
      </c>
      <c r="O295" s="13">
        <f t="shared" si="55"/>
        <v>13126.846299999999</v>
      </c>
      <c r="P295" s="13">
        <f t="shared" ca="1" si="61"/>
        <v>13131</v>
      </c>
      <c r="Q295" s="13" t="str">
        <f t="shared" ca="1" si="56"/>
        <v>0011001101001011</v>
      </c>
      <c r="R295" s="13">
        <f t="shared" ca="1" si="57"/>
        <v>2.4619873638153078</v>
      </c>
      <c r="S295" s="13">
        <f t="shared" ca="1" si="58"/>
        <v>49.543848365783695</v>
      </c>
      <c r="T295" s="17">
        <f t="shared" ca="1" si="60"/>
        <v>4.9462143160993568E-3</v>
      </c>
      <c r="U295" s="13"/>
      <c r="V295" s="14">
        <f t="shared" ca="1" si="59"/>
        <v>0.24384800000000001</v>
      </c>
      <c r="W295" s="13"/>
      <c r="X295" s="2"/>
    </row>
    <row r="296" spans="8:24" x14ac:dyDescent="0.25">
      <c r="H296" s="13">
        <v>49.400000000000006</v>
      </c>
      <c r="I296" s="13">
        <v>2.4517471623007059</v>
      </c>
      <c r="J296" s="14">
        <f t="shared" si="50"/>
        <v>-5.5999999999999999E-5</v>
      </c>
      <c r="K296" s="23">
        <f t="shared" si="51"/>
        <v>1.47E-4</v>
      </c>
      <c r="L296" s="14">
        <f t="shared" si="52"/>
        <v>7.4669999999999997E-3</v>
      </c>
      <c r="M296" s="10">
        <f t="shared" si="53"/>
        <v>2.4703065079092643</v>
      </c>
      <c r="N296" s="16">
        <f t="shared" si="54"/>
        <v>7.569844841236583E-3</v>
      </c>
      <c r="O296" s="13">
        <f t="shared" si="55"/>
        <v>13179.322700000001</v>
      </c>
      <c r="P296" s="13">
        <f t="shared" ca="1" si="61"/>
        <v>13180</v>
      </c>
      <c r="Q296" s="13" t="str">
        <f t="shared" ca="1" si="56"/>
        <v>0011001101111100</v>
      </c>
      <c r="R296" s="13">
        <f t="shared" ca="1" si="57"/>
        <v>2.4711745834350585</v>
      </c>
      <c r="S296" s="13">
        <f t="shared" ca="1" si="58"/>
        <v>49.654095001220703</v>
      </c>
      <c r="T296" s="17">
        <f t="shared" ca="1" si="60"/>
        <v>5.1436235064918562E-3</v>
      </c>
      <c r="U296" s="13"/>
      <c r="V296" s="14">
        <f t="shared" ca="1" si="59"/>
        <v>0.25409500000000002</v>
      </c>
      <c r="W296" s="13"/>
      <c r="X296" s="2"/>
    </row>
    <row r="297" spans="8:24" x14ac:dyDescent="0.25">
      <c r="H297" s="13">
        <v>49.5</v>
      </c>
      <c r="I297" s="13">
        <v>2.4607756439655728</v>
      </c>
      <c r="J297" s="14">
        <f t="shared" si="50"/>
        <v>-5.5000000000000002E-5</v>
      </c>
      <c r="K297" s="23">
        <f t="shared" si="51"/>
        <v>1.4799999999999999E-4</v>
      </c>
      <c r="L297" s="14">
        <f t="shared" si="52"/>
        <v>7.4980000000000003E-3</v>
      </c>
      <c r="M297" s="10">
        <f t="shared" si="53"/>
        <v>2.4794793452119723</v>
      </c>
      <c r="N297" s="16">
        <f t="shared" si="54"/>
        <v>7.6007340580867685E-3</v>
      </c>
      <c r="O297" s="13">
        <f t="shared" si="55"/>
        <v>13228.260700000001</v>
      </c>
      <c r="P297" s="13">
        <f t="shared" ca="1" si="61"/>
        <v>13230</v>
      </c>
      <c r="Q297" s="13" t="str">
        <f t="shared" ca="1" si="56"/>
        <v>0011001110101110</v>
      </c>
      <c r="R297" s="13">
        <f t="shared" ca="1" si="57"/>
        <v>2.4805492973327636</v>
      </c>
      <c r="S297" s="13">
        <f t="shared" ca="1" si="58"/>
        <v>49.766591567993167</v>
      </c>
      <c r="T297" s="17">
        <f t="shared" ca="1" si="60"/>
        <v>5.3856882422862054E-3</v>
      </c>
      <c r="U297" s="13"/>
      <c r="V297" s="14">
        <f t="shared" ca="1" si="59"/>
        <v>0.266592</v>
      </c>
      <c r="W297" s="13"/>
      <c r="X297" s="2"/>
    </row>
    <row r="298" spans="8:24" x14ac:dyDescent="0.25">
      <c r="H298" s="13">
        <v>49.6</v>
      </c>
      <c r="I298" s="13">
        <v>2.4698239186700479</v>
      </c>
      <c r="J298" s="14">
        <f t="shared" si="50"/>
        <v>-5.5000000000000002E-5</v>
      </c>
      <c r="K298" s="23">
        <f t="shared" si="51"/>
        <v>1.4799999999999999E-4</v>
      </c>
      <c r="L298" s="14">
        <f t="shared" si="52"/>
        <v>7.528E-3</v>
      </c>
      <c r="M298" s="10">
        <f t="shared" si="53"/>
        <v>2.4886711988308465</v>
      </c>
      <c r="N298" s="16">
        <f t="shared" si="54"/>
        <v>7.6310217980832869E-3</v>
      </c>
      <c r="O298" s="13">
        <f t="shared" si="55"/>
        <v>13277.3001</v>
      </c>
      <c r="P298" s="13">
        <f t="shared" ca="1" si="61"/>
        <v>13277</v>
      </c>
      <c r="Q298" s="13" t="str">
        <f t="shared" ca="1" si="56"/>
        <v>0011001111011101</v>
      </c>
      <c r="R298" s="13">
        <f t="shared" ca="1" si="57"/>
        <v>2.4893615283966066</v>
      </c>
      <c r="S298" s="13">
        <f t="shared" ca="1" si="58"/>
        <v>49.872338340759278</v>
      </c>
      <c r="T298" s="17">
        <f t="shared" ca="1" si="60"/>
        <v>5.4906923540176678E-3</v>
      </c>
      <c r="U298" s="13"/>
      <c r="V298" s="14">
        <f t="shared" ca="1" si="59"/>
        <v>0.27233800000000002</v>
      </c>
      <c r="W298" s="13"/>
      <c r="X298" s="2"/>
    </row>
    <row r="299" spans="8:24" x14ac:dyDescent="0.25">
      <c r="H299" s="13">
        <v>49.7</v>
      </c>
      <c r="I299" s="13">
        <v>2.4782150674374903</v>
      </c>
      <c r="J299" s="14">
        <f t="shared" si="50"/>
        <v>-5.3999999999999998E-5</v>
      </c>
      <c r="K299" s="23">
        <f t="shared" si="51"/>
        <v>1.4899999999999999E-4</v>
      </c>
      <c r="L299" s="14">
        <f t="shared" si="52"/>
        <v>7.5589999999999997E-3</v>
      </c>
      <c r="M299" s="10">
        <f t="shared" si="53"/>
        <v>2.4972029863896092</v>
      </c>
      <c r="N299" s="16">
        <f t="shared" si="54"/>
        <v>7.6619334623579342E-3</v>
      </c>
      <c r="O299" s="13">
        <f t="shared" si="55"/>
        <v>13322.817999999999</v>
      </c>
      <c r="P299" s="13">
        <f t="shared" ca="1" si="61"/>
        <v>13325</v>
      </c>
      <c r="Q299" s="13" t="str">
        <f t="shared" ca="1" si="56"/>
        <v>0011010000001101</v>
      </c>
      <c r="R299" s="13">
        <f t="shared" ca="1" si="57"/>
        <v>2.4983612537384032</v>
      </c>
      <c r="S299" s="13">
        <f t="shared" ca="1" si="58"/>
        <v>49.980335044860837</v>
      </c>
      <c r="T299" s="17">
        <f t="shared" ca="1" si="60"/>
        <v>5.6405441621898214E-3</v>
      </c>
      <c r="U299" s="13"/>
      <c r="V299" s="14">
        <f t="shared" ca="1" si="59"/>
        <v>0.280335</v>
      </c>
      <c r="W299" s="13"/>
      <c r="X299" s="2"/>
    </row>
    <row r="300" spans="8:24" x14ac:dyDescent="0.25">
      <c r="H300" s="13">
        <v>49.8</v>
      </c>
      <c r="I300" s="13">
        <v>2.4879793980608027</v>
      </c>
      <c r="J300" s="14">
        <f t="shared" si="50"/>
        <v>-5.3999999999999998E-5</v>
      </c>
      <c r="K300" s="23">
        <f t="shared" si="51"/>
        <v>1.4899999999999999E-4</v>
      </c>
      <c r="L300" s="14">
        <f t="shared" si="52"/>
        <v>7.5890000000000003E-3</v>
      </c>
      <c r="M300" s="10">
        <f t="shared" si="53"/>
        <v>2.5071174723968221</v>
      </c>
      <c r="N300" s="16">
        <f t="shared" si="54"/>
        <v>7.6922157598797499E-3</v>
      </c>
      <c r="O300" s="13">
        <f t="shared" si="55"/>
        <v>13375.712799999999</v>
      </c>
      <c r="P300" s="13">
        <f t="shared" ca="1" si="61"/>
        <v>13375</v>
      </c>
      <c r="Q300" s="13" t="str">
        <f t="shared" ca="1" si="56"/>
        <v>0011010000111111</v>
      </c>
      <c r="R300" s="13">
        <f t="shared" ca="1" si="57"/>
        <v>2.5077359676361084</v>
      </c>
      <c r="S300" s="13">
        <f t="shared" ca="1" si="58"/>
        <v>50.092831611633308</v>
      </c>
      <c r="T300" s="17">
        <f t="shared" ca="1" si="60"/>
        <v>5.8801528440423842E-3</v>
      </c>
      <c r="U300" s="13"/>
      <c r="V300" s="14">
        <f t="shared" ca="1" si="59"/>
        <v>0.29283199999999998</v>
      </c>
      <c r="W300" s="13"/>
      <c r="X300" s="2"/>
    </row>
    <row r="301" spans="8:24" x14ac:dyDescent="0.25">
      <c r="H301" s="13">
        <v>49.900000000000006</v>
      </c>
      <c r="I301" s="13">
        <v>2.4977609670422543</v>
      </c>
      <c r="J301" s="14">
        <f t="shared" si="50"/>
        <v>-5.3000000000000001E-5</v>
      </c>
      <c r="K301" s="23">
        <f t="shared" si="51"/>
        <v>1.4999999999999999E-4</v>
      </c>
      <c r="L301" s="14">
        <f t="shared" si="52"/>
        <v>7.62E-3</v>
      </c>
      <c r="M301" s="10">
        <f t="shared" si="53"/>
        <v>2.5170514571860116</v>
      </c>
      <c r="N301" s="16">
        <f t="shared" si="54"/>
        <v>7.7231129793017758E-3</v>
      </c>
      <c r="O301" s="13">
        <f t="shared" si="55"/>
        <v>13428.711499999999</v>
      </c>
      <c r="P301" s="13">
        <f t="shared" ca="1" si="61"/>
        <v>13432</v>
      </c>
      <c r="Q301" s="13" t="str">
        <f t="shared" ca="1" si="56"/>
        <v>0011010001111000</v>
      </c>
      <c r="R301" s="13">
        <f t="shared" ca="1" si="57"/>
        <v>2.5184231414794924</v>
      </c>
      <c r="S301" s="13">
        <f t="shared" ca="1" si="58"/>
        <v>50.221077697753913</v>
      </c>
      <c r="T301" s="17">
        <f t="shared" ca="1" si="60"/>
        <v>6.4344228006794971E-3</v>
      </c>
      <c r="U301" s="13"/>
      <c r="V301" s="14">
        <f t="shared" ca="1" si="59"/>
        <v>0.32107799999999997</v>
      </c>
      <c r="W301" s="13"/>
      <c r="X301" s="2"/>
    </row>
    <row r="302" spans="8:24" x14ac:dyDescent="0.25">
      <c r="H302" s="13">
        <v>50</v>
      </c>
      <c r="I302" s="13">
        <v>2.506886182105883</v>
      </c>
      <c r="J302" s="14">
        <f t="shared" si="50"/>
        <v>-5.3000000000000001E-5</v>
      </c>
      <c r="K302" s="23">
        <f t="shared" si="51"/>
        <v>1.4999999999999999E-4</v>
      </c>
      <c r="L302" s="14">
        <f t="shared" si="52"/>
        <v>7.6499999999999997E-3</v>
      </c>
      <c r="M302" s="10">
        <f t="shared" si="53"/>
        <v>2.5263231101989048</v>
      </c>
      <c r="N302" s="16">
        <f t="shared" si="54"/>
        <v>7.7534146670727557E-3</v>
      </c>
      <c r="O302" s="13">
        <f t="shared" si="55"/>
        <v>13478.1767</v>
      </c>
      <c r="P302" s="13">
        <f t="shared" ca="1" si="61"/>
        <v>13482</v>
      </c>
      <c r="Q302" s="13" t="str">
        <f t="shared" ca="1" si="56"/>
        <v>0011010010101010</v>
      </c>
      <c r="R302" s="13">
        <f t="shared" ca="1" si="57"/>
        <v>2.5277978553771971</v>
      </c>
      <c r="S302" s="13">
        <f t="shared" ca="1" si="58"/>
        <v>50.333574264526369</v>
      </c>
      <c r="T302" s="17">
        <f t="shared" ca="1" si="60"/>
        <v>6.6714852905273856E-3</v>
      </c>
      <c r="U302" s="13"/>
      <c r="V302" s="14">
        <f t="shared" ca="1" si="59"/>
        <v>0.33357399999999998</v>
      </c>
      <c r="W302" s="13"/>
      <c r="X302" s="2"/>
    </row>
    <row r="303" spans="8:24" x14ac:dyDescent="0.25">
      <c r="H303" s="13">
        <v>50.1</v>
      </c>
      <c r="I303" s="13">
        <v>2.5160306291532928</v>
      </c>
      <c r="J303" s="14">
        <f t="shared" si="50"/>
        <v>-5.1999999999999997E-5</v>
      </c>
      <c r="K303" s="23">
        <f t="shared" si="51"/>
        <v>1.5100000000000001E-4</v>
      </c>
      <c r="L303" s="14">
        <f t="shared" si="52"/>
        <v>7.6810000000000003E-3</v>
      </c>
      <c r="M303" s="10">
        <f t="shared" si="53"/>
        <v>2.535616252087578</v>
      </c>
      <c r="N303" s="16">
        <f t="shared" si="54"/>
        <v>7.7843340646756281E-3</v>
      </c>
      <c r="O303" s="13">
        <f t="shared" si="55"/>
        <v>13527.7565</v>
      </c>
      <c r="P303" s="13">
        <f t="shared" ca="1" si="61"/>
        <v>13526</v>
      </c>
      <c r="Q303" s="13" t="str">
        <f t="shared" ca="1" si="56"/>
        <v>0011010011010110</v>
      </c>
      <c r="R303" s="13">
        <f t="shared" ca="1" si="57"/>
        <v>2.536047603607178</v>
      </c>
      <c r="S303" s="13">
        <f t="shared" ca="1" si="58"/>
        <v>50.432571243286134</v>
      </c>
      <c r="T303" s="17">
        <f t="shared" ca="1" si="60"/>
        <v>6.6381485685854747E-3</v>
      </c>
      <c r="U303" s="13"/>
      <c r="V303" s="14">
        <f t="shared" ca="1" si="59"/>
        <v>0.33257100000000001</v>
      </c>
      <c r="W303" s="13"/>
      <c r="X303" s="2"/>
    </row>
    <row r="304" spans="8:24" x14ac:dyDescent="0.25">
      <c r="H304" s="13">
        <v>50.2</v>
      </c>
      <c r="I304" s="13">
        <v>2.5251941954625394</v>
      </c>
      <c r="J304" s="14">
        <f t="shared" si="50"/>
        <v>-5.1E-5</v>
      </c>
      <c r="K304" s="23">
        <f t="shared" si="51"/>
        <v>1.5100000000000001E-4</v>
      </c>
      <c r="L304" s="14">
        <f t="shared" si="52"/>
        <v>7.711E-3</v>
      </c>
      <c r="M304" s="10">
        <f t="shared" si="53"/>
        <v>2.5449266778373434</v>
      </c>
      <c r="N304" s="16">
        <f t="shared" si="54"/>
        <v>7.8142435184829686E-3</v>
      </c>
      <c r="O304" s="13">
        <f t="shared" si="55"/>
        <v>13577.4285</v>
      </c>
      <c r="P304" s="13">
        <f t="shared" ca="1" si="61"/>
        <v>13580</v>
      </c>
      <c r="Q304" s="13" t="str">
        <f t="shared" ca="1" si="56"/>
        <v>0011010100001100</v>
      </c>
      <c r="R304" s="13">
        <f t="shared" ca="1" si="57"/>
        <v>2.5461722946166994</v>
      </c>
      <c r="S304" s="13">
        <f t="shared" ca="1" si="58"/>
        <v>50.554067535400399</v>
      </c>
      <c r="T304" s="17">
        <f t="shared" ca="1" si="60"/>
        <v>7.0531381553863856E-3</v>
      </c>
      <c r="U304" s="13"/>
      <c r="V304" s="14">
        <f t="shared" ca="1" si="59"/>
        <v>0.35406799999999999</v>
      </c>
      <c r="W304" s="13"/>
      <c r="X304" s="2"/>
    </row>
    <row r="305" spans="8:24" x14ac:dyDescent="0.25">
      <c r="H305" s="13">
        <v>50.3</v>
      </c>
      <c r="I305" s="13">
        <v>2.5343767687030359</v>
      </c>
      <c r="J305" s="14">
        <f t="shared" si="50"/>
        <v>-5.1E-5</v>
      </c>
      <c r="K305" s="23">
        <f t="shared" si="51"/>
        <v>1.5200000000000001E-4</v>
      </c>
      <c r="L305" s="14">
        <f t="shared" si="52"/>
        <v>7.7419999999999998E-3</v>
      </c>
      <c r="M305" s="10">
        <f t="shared" si="53"/>
        <v>2.5542604037125787</v>
      </c>
      <c r="N305" s="16">
        <f t="shared" si="54"/>
        <v>7.8455718404167058E-3</v>
      </c>
      <c r="O305" s="13">
        <f t="shared" si="55"/>
        <v>13627.2248</v>
      </c>
      <c r="P305" s="13">
        <f t="shared" ca="1" si="61"/>
        <v>13631</v>
      </c>
      <c r="Q305" s="13" t="str">
        <f t="shared" ca="1" si="56"/>
        <v>0011010100111111</v>
      </c>
      <c r="R305" s="13">
        <f t="shared" ca="1" si="57"/>
        <v>2.5557345027923586</v>
      </c>
      <c r="S305" s="13">
        <f t="shared" ca="1" si="58"/>
        <v>50.668814033508305</v>
      </c>
      <c r="T305" s="17">
        <f t="shared" ca="1" si="60"/>
        <v>7.3322869484753021E-3</v>
      </c>
      <c r="U305" s="13"/>
      <c r="V305" s="14">
        <f t="shared" ca="1" si="59"/>
        <v>0.36881399999999998</v>
      </c>
      <c r="W305" s="13"/>
      <c r="X305" s="2"/>
    </row>
    <row r="306" spans="8:24" x14ac:dyDescent="0.25">
      <c r="H306" s="13">
        <v>50.400000000000006</v>
      </c>
      <c r="I306" s="13">
        <v>2.5435782355597243</v>
      </c>
      <c r="J306" s="14">
        <f t="shared" si="50"/>
        <v>-5.0000000000000002E-5</v>
      </c>
      <c r="K306" s="23">
        <f t="shared" si="51"/>
        <v>1.5200000000000001E-4</v>
      </c>
      <c r="L306" s="14">
        <f t="shared" si="52"/>
        <v>7.7720000000000003E-3</v>
      </c>
      <c r="M306" s="10">
        <f t="shared" si="53"/>
        <v>2.5636101629703298</v>
      </c>
      <c r="N306" s="16">
        <f t="shared" si="54"/>
        <v>7.8754909640895918E-3</v>
      </c>
      <c r="O306" s="13">
        <f t="shared" si="55"/>
        <v>13677.1067</v>
      </c>
      <c r="P306" s="13">
        <f t="shared" ca="1" si="61"/>
        <v>13680</v>
      </c>
      <c r="Q306" s="13" t="str">
        <f t="shared" ca="1" si="56"/>
        <v>0011010101110000</v>
      </c>
      <c r="R306" s="13">
        <f t="shared" ca="1" si="57"/>
        <v>2.5649217224121093</v>
      </c>
      <c r="S306" s="13">
        <f t="shared" ca="1" si="58"/>
        <v>50.779060668945313</v>
      </c>
      <c r="T306" s="17">
        <f t="shared" ca="1" si="60"/>
        <v>7.5210450187560927E-3</v>
      </c>
      <c r="U306" s="13"/>
      <c r="V306" s="14">
        <f t="shared" ca="1" si="59"/>
        <v>0.37906099999999998</v>
      </c>
      <c r="W306" s="13"/>
      <c r="X306" s="2"/>
    </row>
    <row r="307" spans="8:24" x14ac:dyDescent="0.25">
      <c r="H307" s="13">
        <v>50.5</v>
      </c>
      <c r="I307" s="13">
        <v>2.5527984834988136</v>
      </c>
      <c r="J307" s="14">
        <f t="shared" si="50"/>
        <v>-5.0000000000000002E-5</v>
      </c>
      <c r="K307" s="23">
        <f t="shared" si="51"/>
        <v>1.5300000000000001E-4</v>
      </c>
      <c r="L307" s="14">
        <f t="shared" si="52"/>
        <v>7.803E-3</v>
      </c>
      <c r="M307" s="10">
        <f t="shared" si="53"/>
        <v>2.5729830174096611</v>
      </c>
      <c r="N307" s="16">
        <f t="shared" si="54"/>
        <v>7.9068261914598918E-3</v>
      </c>
      <c r="O307" s="13">
        <f t="shared" si="55"/>
        <v>13727.111800000001</v>
      </c>
      <c r="P307" s="13">
        <f t="shared" ca="1" si="61"/>
        <v>13730</v>
      </c>
      <c r="Q307" s="13" t="str">
        <f t="shared" ca="1" si="56"/>
        <v>0011010110100010</v>
      </c>
      <c r="R307" s="13">
        <f t="shared" ca="1" si="57"/>
        <v>2.5742964363098144</v>
      </c>
      <c r="S307" s="13">
        <f t="shared" ca="1" si="58"/>
        <v>50.891557235717777</v>
      </c>
      <c r="T307" s="17">
        <f t="shared" ca="1" si="60"/>
        <v>7.7536086280747835E-3</v>
      </c>
      <c r="U307" s="13"/>
      <c r="V307" s="14">
        <f t="shared" ca="1" si="59"/>
        <v>0.39155699999999999</v>
      </c>
      <c r="W307" s="13"/>
      <c r="X307" s="2"/>
    </row>
    <row r="308" spans="8:24" x14ac:dyDescent="0.25">
      <c r="H308" s="13">
        <v>50.6</v>
      </c>
      <c r="I308" s="13">
        <v>2.5620373988191334</v>
      </c>
      <c r="J308" s="14">
        <f t="shared" si="50"/>
        <v>-4.8999999999999998E-5</v>
      </c>
      <c r="K308" s="23">
        <f t="shared" si="51"/>
        <v>1.5300000000000001E-4</v>
      </c>
      <c r="L308" s="14">
        <f t="shared" si="52"/>
        <v>7.8329999999999997E-3</v>
      </c>
      <c r="M308" s="10">
        <f t="shared" si="53"/>
        <v>2.5823716617314765</v>
      </c>
      <c r="N308" s="16">
        <f t="shared" si="54"/>
        <v>7.9367549129904704E-3</v>
      </c>
      <c r="O308" s="13">
        <f t="shared" si="55"/>
        <v>13777.2011</v>
      </c>
      <c r="P308" s="13">
        <f t="shared" ca="1" si="61"/>
        <v>13779</v>
      </c>
      <c r="Q308" s="13" t="str">
        <f t="shared" ca="1" si="56"/>
        <v>0011010111010011</v>
      </c>
      <c r="R308" s="13">
        <f t="shared" ca="1" si="57"/>
        <v>2.5834836559295655</v>
      </c>
      <c r="S308" s="13">
        <f t="shared" ca="1" si="58"/>
        <v>51.001803871154785</v>
      </c>
      <c r="T308" s="17">
        <f t="shared" ca="1" si="60"/>
        <v>7.9407879674858323E-3</v>
      </c>
      <c r="U308" s="13"/>
      <c r="V308" s="14">
        <f t="shared" ca="1" si="59"/>
        <v>0.40180399999999999</v>
      </c>
      <c r="W308" s="13"/>
      <c r="X308" s="2"/>
    </row>
    <row r="309" spans="8:24" x14ac:dyDescent="0.25">
      <c r="H309" s="13">
        <v>50.7</v>
      </c>
      <c r="I309" s="13">
        <v>2.571294868858681</v>
      </c>
      <c r="J309" s="14">
        <f t="shared" si="50"/>
        <v>-4.8000000000000001E-5</v>
      </c>
      <c r="K309" s="23">
        <f t="shared" si="51"/>
        <v>1.54E-4</v>
      </c>
      <c r="L309" s="14">
        <f t="shared" si="52"/>
        <v>7.8639999999999995E-3</v>
      </c>
      <c r="M309" s="10">
        <f t="shared" si="53"/>
        <v>2.5917821878721075</v>
      </c>
      <c r="N309" s="16">
        <f t="shared" si="54"/>
        <v>7.9677050118021585E-3</v>
      </c>
      <c r="O309" s="13">
        <f t="shared" si="55"/>
        <v>13827.4072</v>
      </c>
      <c r="P309" s="13">
        <f t="shared" ca="1" si="61"/>
        <v>13829</v>
      </c>
      <c r="Q309" s="13" t="str">
        <f t="shared" ca="1" si="56"/>
        <v>0011011000000101</v>
      </c>
      <c r="R309" s="13">
        <f t="shared" ca="1" si="57"/>
        <v>2.5928583698272707</v>
      </c>
      <c r="S309" s="13">
        <f t="shared" ca="1" si="58"/>
        <v>51.114300437927255</v>
      </c>
      <c r="T309" s="17">
        <f t="shared" ca="1" si="60"/>
        <v>8.1716062707544879E-3</v>
      </c>
      <c r="U309" s="13"/>
      <c r="V309" s="14">
        <f t="shared" ca="1" si="59"/>
        <v>0.4143</v>
      </c>
      <c r="W309" s="13"/>
      <c r="X309" s="2"/>
    </row>
    <row r="310" spans="8:24" x14ac:dyDescent="0.25">
      <c r="H310" s="13">
        <v>50.8</v>
      </c>
      <c r="I310" s="13">
        <v>2.580570780114555</v>
      </c>
      <c r="J310" s="14">
        <f t="shared" si="50"/>
        <v>-4.8000000000000001E-5</v>
      </c>
      <c r="K310" s="23">
        <f t="shared" si="51"/>
        <v>1.54E-4</v>
      </c>
      <c r="L310" s="14">
        <f t="shared" si="52"/>
        <v>7.894E-3</v>
      </c>
      <c r="M310" s="10">
        <f t="shared" si="53"/>
        <v>2.6012102761827416</v>
      </c>
      <c r="N310" s="16">
        <f t="shared" si="54"/>
        <v>7.998035251437819E-3</v>
      </c>
      <c r="O310" s="13">
        <f t="shared" si="55"/>
        <v>13877.706899999999</v>
      </c>
      <c r="P310" s="13">
        <f t="shared" ca="1" si="61"/>
        <v>13882</v>
      </c>
      <c r="Q310" s="13" t="str">
        <f t="shared" ca="1" si="56"/>
        <v>0011011000111010</v>
      </c>
      <c r="R310" s="13">
        <f t="shared" ca="1" si="57"/>
        <v>2.602795566558838</v>
      </c>
      <c r="S310" s="13">
        <f t="shared" ca="1" si="58"/>
        <v>51.233546798706058</v>
      </c>
      <c r="T310" s="17">
        <f t="shared" ca="1" si="60"/>
        <v>8.5343858013004151E-3</v>
      </c>
      <c r="U310" s="13"/>
      <c r="V310" s="14">
        <f t="shared" ca="1" si="59"/>
        <v>0.43354700000000002</v>
      </c>
      <c r="W310" s="13"/>
      <c r="X310" s="2"/>
    </row>
    <row r="311" spans="8:24" x14ac:dyDescent="0.25">
      <c r="H311" s="13">
        <v>50.900000000000006</v>
      </c>
      <c r="I311" s="13">
        <v>2.5898650192290176</v>
      </c>
      <c r="J311" s="14">
        <f t="shared" si="50"/>
        <v>-4.6999999999999997E-5</v>
      </c>
      <c r="K311" s="23">
        <f t="shared" si="51"/>
        <v>1.55E-4</v>
      </c>
      <c r="L311" s="14">
        <f t="shared" si="52"/>
        <v>7.9249999999999998E-3</v>
      </c>
      <c r="M311" s="10">
        <f t="shared" si="53"/>
        <v>2.6106590324108736</v>
      </c>
      <c r="N311" s="16">
        <f t="shared" si="54"/>
        <v>8.0289949582184189E-3</v>
      </c>
      <c r="O311" s="13">
        <f t="shared" si="55"/>
        <v>13928.116900000001</v>
      </c>
      <c r="P311" s="13">
        <f t="shared" ca="1" si="61"/>
        <v>13931</v>
      </c>
      <c r="Q311" s="13" t="str">
        <f t="shared" ca="1" si="56"/>
        <v>0011011001101011</v>
      </c>
      <c r="R311" s="13">
        <f t="shared" ca="1" si="57"/>
        <v>2.6119827861785887</v>
      </c>
      <c r="S311" s="13">
        <f t="shared" ca="1" si="58"/>
        <v>51.343793434143066</v>
      </c>
      <c r="T311" s="17">
        <f t="shared" ca="1" si="60"/>
        <v>8.7189279792349791E-3</v>
      </c>
      <c r="U311" s="13"/>
      <c r="V311" s="14">
        <f t="shared" ca="1" si="59"/>
        <v>0.44379299999999999</v>
      </c>
      <c r="W311" s="13"/>
      <c r="X311" s="2"/>
    </row>
    <row r="312" spans="8:24" x14ac:dyDescent="0.25">
      <c r="H312" s="13">
        <v>51</v>
      </c>
      <c r="I312" s="13">
        <v>2.5991774724025341</v>
      </c>
      <c r="J312" s="14">
        <f t="shared" si="50"/>
        <v>-4.6999999999999997E-5</v>
      </c>
      <c r="K312" s="23">
        <f t="shared" si="51"/>
        <v>1.55E-4</v>
      </c>
      <c r="L312" s="14">
        <f t="shared" si="52"/>
        <v>7.9550000000000003E-3</v>
      </c>
      <c r="M312" s="10">
        <f t="shared" si="53"/>
        <v>2.6201251062326145</v>
      </c>
      <c r="N312" s="16">
        <f t="shared" si="54"/>
        <v>8.0593318665222388E-3</v>
      </c>
      <c r="O312" s="13">
        <f t="shared" si="55"/>
        <v>13978.6194</v>
      </c>
      <c r="P312" s="13">
        <f t="shared" ca="1" si="61"/>
        <v>13982</v>
      </c>
      <c r="Q312" s="13" t="str">
        <f t="shared" ca="1" si="56"/>
        <v>0011011010011110</v>
      </c>
      <c r="R312" s="13">
        <f t="shared" ca="1" si="57"/>
        <v>2.6215449943542479</v>
      </c>
      <c r="S312" s="13">
        <f t="shared" ca="1" si="58"/>
        <v>51.458539932250979</v>
      </c>
      <c r="T312" s="17">
        <f t="shared" ca="1" si="60"/>
        <v>8.9909790637446793E-3</v>
      </c>
      <c r="U312" s="13"/>
      <c r="V312" s="14">
        <f t="shared" ca="1" si="59"/>
        <v>0.45854</v>
      </c>
      <c r="W312" s="13"/>
      <c r="X312" s="2"/>
    </row>
    <row r="313" spans="8:24" x14ac:dyDescent="0.25">
      <c r="H313" s="13">
        <v>51.1</v>
      </c>
      <c r="I313" s="13">
        <v>2.6085080262152966</v>
      </c>
      <c r="J313" s="14">
        <f t="shared" si="50"/>
        <v>-4.6E-5</v>
      </c>
      <c r="K313" s="23">
        <f t="shared" si="51"/>
        <v>1.56E-4</v>
      </c>
      <c r="L313" s="14">
        <f t="shared" si="52"/>
        <v>7.986E-3</v>
      </c>
      <c r="M313" s="10">
        <f t="shared" si="53"/>
        <v>2.6296116415970916</v>
      </c>
      <c r="N313" s="16">
        <f t="shared" si="54"/>
        <v>8.0903011107135974E-3</v>
      </c>
      <c r="O313" s="13">
        <f t="shared" si="55"/>
        <v>14029.2309</v>
      </c>
      <c r="P313" s="13">
        <f t="shared" ca="1" si="61"/>
        <v>14029</v>
      </c>
      <c r="Q313" s="13" t="str">
        <f t="shared" ca="1" si="56"/>
        <v>0011011011001101</v>
      </c>
      <c r="R313" s="13">
        <f t="shared" ca="1" si="57"/>
        <v>2.6303572254180909</v>
      </c>
      <c r="S313" s="13">
        <f t="shared" ca="1" si="58"/>
        <v>51.564286705017089</v>
      </c>
      <c r="T313" s="17">
        <f t="shared" ca="1" si="60"/>
        <v>9.085845499355925E-3</v>
      </c>
      <c r="U313" s="13"/>
      <c r="V313" s="14">
        <f t="shared" ca="1" si="59"/>
        <v>0.46428700000000001</v>
      </c>
      <c r="W313" s="13"/>
      <c r="X313" s="2"/>
    </row>
    <row r="314" spans="8:24" x14ac:dyDescent="0.25">
      <c r="H314" s="13">
        <v>51.2</v>
      </c>
      <c r="I314" s="13">
        <v>2.6171963949125878</v>
      </c>
      <c r="J314" s="14">
        <f t="shared" si="50"/>
        <v>-4.6E-5</v>
      </c>
      <c r="K314" s="23">
        <f t="shared" si="51"/>
        <v>1.56E-4</v>
      </c>
      <c r="L314" s="14">
        <f t="shared" si="52"/>
        <v>8.0160000000000006E-3</v>
      </c>
      <c r="M314" s="10">
        <f t="shared" si="53"/>
        <v>2.6384497431254821</v>
      </c>
      <c r="N314" s="16">
        <f t="shared" si="54"/>
        <v>8.1206547029513652E-3</v>
      </c>
      <c r="O314" s="13">
        <f t="shared" si="55"/>
        <v>14076.383099999999</v>
      </c>
      <c r="P314" s="13">
        <f t="shared" ca="1" si="61"/>
        <v>14081</v>
      </c>
      <c r="Q314" s="13" t="str">
        <f t="shared" ca="1" si="56"/>
        <v>0011011100000001</v>
      </c>
      <c r="R314" s="13">
        <f t="shared" ca="1" si="57"/>
        <v>2.6401069278717042</v>
      </c>
      <c r="S314" s="13">
        <f t="shared" ca="1" si="58"/>
        <v>51.681283134460458</v>
      </c>
      <c r="T314" s="17">
        <f t="shared" ca="1" si="60"/>
        <v>9.4000612199307554E-3</v>
      </c>
      <c r="U314" s="13"/>
      <c r="V314" s="14">
        <f t="shared" ca="1" si="59"/>
        <v>0.48128300000000002</v>
      </c>
      <c r="W314" s="13"/>
      <c r="X314" s="2"/>
    </row>
    <row r="315" spans="8:24" x14ac:dyDescent="0.25">
      <c r="H315" s="13">
        <v>51.3</v>
      </c>
      <c r="I315" s="13">
        <v>2.6259048538710785</v>
      </c>
      <c r="J315" s="14">
        <f t="shared" si="50"/>
        <v>-4.5000000000000003E-5</v>
      </c>
      <c r="K315" s="23">
        <f t="shared" si="51"/>
        <v>1.5699999999999999E-4</v>
      </c>
      <c r="L315" s="14">
        <f t="shared" si="52"/>
        <v>8.0470000000000003E-3</v>
      </c>
      <c r="M315" s="10">
        <f t="shared" si="53"/>
        <v>2.6473102930734407</v>
      </c>
      <c r="N315" s="16">
        <f t="shared" si="54"/>
        <v>8.1516431072536782E-3</v>
      </c>
      <c r="O315" s="13">
        <f t="shared" si="55"/>
        <v>14123.6549</v>
      </c>
      <c r="P315" s="13">
        <f t="shared" ca="1" si="61"/>
        <v>14125</v>
      </c>
      <c r="Q315" s="13" t="str">
        <f t="shared" ca="1" si="56"/>
        <v>0011011100101101</v>
      </c>
      <c r="R315" s="13">
        <f t="shared" ca="1" si="57"/>
        <v>2.6483566761016846</v>
      </c>
      <c r="S315" s="13">
        <f t="shared" ca="1" si="58"/>
        <v>51.780280113220222</v>
      </c>
      <c r="T315" s="17">
        <f t="shared" ca="1" si="60"/>
        <v>9.362185442889373E-3</v>
      </c>
      <c r="U315" s="13"/>
      <c r="V315" s="14">
        <f t="shared" ca="1" si="59"/>
        <v>0.48027999999999998</v>
      </c>
      <c r="W315" s="13"/>
      <c r="X315" s="2"/>
    </row>
    <row r="316" spans="8:24" x14ac:dyDescent="0.25">
      <c r="H316" s="13">
        <v>51.400000000000006</v>
      </c>
      <c r="I316" s="13">
        <v>2.6352912409731082</v>
      </c>
      <c r="J316" s="14">
        <f t="shared" si="50"/>
        <v>-4.3999999999999999E-5</v>
      </c>
      <c r="K316" s="23">
        <f t="shared" si="51"/>
        <v>1.5699999999999999E-4</v>
      </c>
      <c r="L316" s="14">
        <f t="shared" si="52"/>
        <v>8.0770000000000008E-3</v>
      </c>
      <c r="M316" s="10">
        <f t="shared" si="53"/>
        <v>2.6568521674637124</v>
      </c>
      <c r="N316" s="16">
        <f t="shared" si="54"/>
        <v>8.1816105011006928E-3</v>
      </c>
      <c r="O316" s="13">
        <f t="shared" si="55"/>
        <v>14174.561799999999</v>
      </c>
      <c r="P316" s="13">
        <f t="shared" ca="1" si="61"/>
        <v>14174</v>
      </c>
      <c r="Q316" s="13" t="str">
        <f t="shared" ca="1" si="56"/>
        <v>0011011101011110</v>
      </c>
      <c r="R316" s="13">
        <f t="shared" ca="1" si="57"/>
        <v>2.6575438957214357</v>
      </c>
      <c r="S316" s="13">
        <f t="shared" ca="1" si="58"/>
        <v>51.89052674865723</v>
      </c>
      <c r="T316" s="17">
        <f t="shared" ca="1" si="60"/>
        <v>9.543321958311755E-3</v>
      </c>
      <c r="U316" s="13"/>
      <c r="V316" s="14">
        <f t="shared" ca="1" si="59"/>
        <v>0.49052699999999999</v>
      </c>
      <c r="W316" s="13"/>
      <c r="X316" s="2"/>
    </row>
    <row r="317" spans="8:24" x14ac:dyDescent="0.25">
      <c r="H317" s="13">
        <v>51.5</v>
      </c>
      <c r="I317" s="13">
        <v>2.6446952726316728</v>
      </c>
      <c r="J317" s="14">
        <f t="shared" si="50"/>
        <v>-4.3999999999999999E-5</v>
      </c>
      <c r="K317" s="23">
        <f t="shared" si="51"/>
        <v>1.5799999999999999E-4</v>
      </c>
      <c r="L317" s="14">
        <f t="shared" si="52"/>
        <v>8.1080000000000006E-3</v>
      </c>
      <c r="M317" s="10">
        <f t="shared" si="53"/>
        <v>2.6664161041400405</v>
      </c>
      <c r="N317" s="16">
        <f t="shared" si="54"/>
        <v>8.2129808046859775E-3</v>
      </c>
      <c r="O317" s="13">
        <f t="shared" si="55"/>
        <v>14225.586300000001</v>
      </c>
      <c r="P317" s="13">
        <f t="shared" ca="1" si="61"/>
        <v>14224</v>
      </c>
      <c r="Q317" s="13" t="str">
        <f t="shared" ca="1" si="56"/>
        <v>0011011110010000</v>
      </c>
      <c r="R317" s="13">
        <f t="shared" ca="1" si="57"/>
        <v>2.6669186096191408</v>
      </c>
      <c r="S317" s="13">
        <f t="shared" ca="1" si="58"/>
        <v>52.003023315429694</v>
      </c>
      <c r="T317" s="17">
        <f t="shared" ca="1" si="60"/>
        <v>9.7674430180523051E-3</v>
      </c>
      <c r="U317" s="13"/>
      <c r="V317" s="14">
        <f t="shared" ca="1" si="59"/>
        <v>0.503023</v>
      </c>
      <c r="W317" s="13"/>
      <c r="X317" s="2"/>
    </row>
    <row r="318" spans="8:24" x14ac:dyDescent="0.25">
      <c r="H318" s="13">
        <v>51.6</v>
      </c>
      <c r="I318" s="13">
        <v>2.6534610958032485</v>
      </c>
      <c r="J318" s="14">
        <f t="shared" si="50"/>
        <v>-4.3000000000000002E-5</v>
      </c>
      <c r="K318" s="23">
        <f t="shared" si="51"/>
        <v>1.5799999999999999E-4</v>
      </c>
      <c r="L318" s="14">
        <f t="shared" si="52"/>
        <v>8.1379999999999994E-3</v>
      </c>
      <c r="M318" s="10">
        <f t="shared" si="53"/>
        <v>2.6753334877223329</v>
      </c>
      <c r="N318" s="16">
        <f t="shared" si="54"/>
        <v>8.2429668758581369E-3</v>
      </c>
      <c r="O318" s="13">
        <f t="shared" si="55"/>
        <v>14273.161400000001</v>
      </c>
      <c r="P318" s="13">
        <f t="shared" ca="1" si="61"/>
        <v>14278</v>
      </c>
      <c r="Q318" s="13" t="str">
        <f t="shared" ca="1" si="56"/>
        <v>0011011111000110</v>
      </c>
      <c r="R318" s="13">
        <f t="shared" ca="1" si="57"/>
        <v>2.6770433006286622</v>
      </c>
      <c r="S318" s="13">
        <f t="shared" ca="1" si="58"/>
        <v>52.124519607543945</v>
      </c>
      <c r="T318" s="17">
        <f t="shared" ca="1" si="60"/>
        <v>1.0165108673332243E-2</v>
      </c>
      <c r="U318" s="13"/>
      <c r="V318" s="14">
        <f t="shared" ca="1" si="59"/>
        <v>0.52451999999999999</v>
      </c>
      <c r="W318" s="13"/>
      <c r="X318" s="2"/>
    </row>
    <row r="319" spans="8:24" x14ac:dyDescent="0.25">
      <c r="H319" s="13">
        <v>51.7</v>
      </c>
      <c r="I319" s="13">
        <v>2.6629011801603948</v>
      </c>
      <c r="J319" s="14">
        <f t="shared" si="50"/>
        <v>-4.3000000000000002E-5</v>
      </c>
      <c r="K319" s="23">
        <f t="shared" si="51"/>
        <v>1.5899999999999999E-4</v>
      </c>
      <c r="L319" s="14">
        <f t="shared" si="52"/>
        <v>8.1689999999999992E-3</v>
      </c>
      <c r="M319" s="10">
        <f t="shared" si="53"/>
        <v>2.684934939882293</v>
      </c>
      <c r="N319" s="16">
        <f t="shared" si="54"/>
        <v>8.2743437443559536E-3</v>
      </c>
      <c r="O319" s="13">
        <f t="shared" si="55"/>
        <v>14324.3861</v>
      </c>
      <c r="P319" s="13">
        <f t="shared" ca="1" si="61"/>
        <v>14325</v>
      </c>
      <c r="Q319" s="13" t="str">
        <f t="shared" ca="1" si="56"/>
        <v>0011011111110101</v>
      </c>
      <c r="R319" s="13">
        <f t="shared" ca="1" si="57"/>
        <v>2.6858555316925048</v>
      </c>
      <c r="S319" s="13">
        <f t="shared" ca="1" si="58"/>
        <v>52.230266380310056</v>
      </c>
      <c r="T319" s="17">
        <f t="shared" ca="1" si="60"/>
        <v>1.0256603100774718E-2</v>
      </c>
      <c r="U319" s="13"/>
      <c r="V319" s="14">
        <f t="shared" ca="1" si="59"/>
        <v>0.53026600000000002</v>
      </c>
      <c r="W319" s="13"/>
      <c r="X319" s="2"/>
    </row>
    <row r="320" spans="8:24" x14ac:dyDescent="0.25">
      <c r="H320" s="13">
        <v>51.8</v>
      </c>
      <c r="I320" s="13">
        <v>2.6723585662721803</v>
      </c>
      <c r="J320" s="14">
        <f t="shared" si="50"/>
        <v>-4.1999999999999998E-5</v>
      </c>
      <c r="K320" s="23">
        <f t="shared" si="51"/>
        <v>1.5899999999999999E-4</v>
      </c>
      <c r="L320" s="14">
        <f t="shared" si="52"/>
        <v>8.1989999999999997E-3</v>
      </c>
      <c r="M320" s="10">
        <f t="shared" si="53"/>
        <v>2.6945507120180161</v>
      </c>
      <c r="N320" s="16">
        <f t="shared" si="54"/>
        <v>8.3043293762756088E-3</v>
      </c>
      <c r="O320" s="13">
        <f t="shared" si="55"/>
        <v>14375.687099999999</v>
      </c>
      <c r="P320" s="13">
        <f t="shared" ca="1" si="61"/>
        <v>14378</v>
      </c>
      <c r="Q320" s="13" t="str">
        <f t="shared" ca="1" si="56"/>
        <v>0011100000101010</v>
      </c>
      <c r="R320" s="13">
        <f t="shared" ca="1" si="57"/>
        <v>2.6957927284240721</v>
      </c>
      <c r="S320" s="13">
        <f t="shared" ca="1" si="58"/>
        <v>52.349512741088873</v>
      </c>
      <c r="T320" s="17">
        <f t="shared" ca="1" si="60"/>
        <v>1.0608354075074818E-2</v>
      </c>
      <c r="U320" s="13"/>
      <c r="V320" s="14">
        <f t="shared" ca="1" si="59"/>
        <v>0.54951300000000003</v>
      </c>
      <c r="W320" s="13"/>
      <c r="X320" s="2"/>
    </row>
    <row r="321" spans="8:24" x14ac:dyDescent="0.25">
      <c r="H321" s="13">
        <v>51.900000000000006</v>
      </c>
      <c r="I321" s="13">
        <v>2.6818331393817991</v>
      </c>
      <c r="J321" s="14">
        <f t="shared" si="50"/>
        <v>-4.1999999999999998E-5</v>
      </c>
      <c r="K321" s="23">
        <f t="shared" si="51"/>
        <v>1.6000000000000001E-4</v>
      </c>
      <c r="L321" s="14">
        <f t="shared" si="52"/>
        <v>8.2299999999999995E-3</v>
      </c>
      <c r="M321" s="10">
        <f t="shared" si="53"/>
        <v>2.7041881303546176</v>
      </c>
      <c r="N321" s="16">
        <f t="shared" si="54"/>
        <v>8.335712854220155E-3</v>
      </c>
      <c r="O321" s="13">
        <f t="shared" si="55"/>
        <v>14427.1037</v>
      </c>
      <c r="P321" s="13">
        <f t="shared" ca="1" si="61"/>
        <v>14431</v>
      </c>
      <c r="Q321" s="13" t="str">
        <f t="shared" ca="1" si="56"/>
        <v>0011100001011111</v>
      </c>
      <c r="R321" s="13">
        <f t="shared" ca="1" si="57"/>
        <v>2.7057299251556395</v>
      </c>
      <c r="S321" s="13">
        <f t="shared" ca="1" si="58"/>
        <v>52.468759101867676</v>
      </c>
      <c r="T321" s="17">
        <f t="shared" ca="1" si="60"/>
        <v>1.0958749554290362E-2</v>
      </c>
      <c r="U321" s="13"/>
      <c r="V321" s="14">
        <f t="shared" ca="1" si="59"/>
        <v>0.56875900000000001</v>
      </c>
      <c r="W321" s="13"/>
      <c r="X321" s="2"/>
    </row>
    <row r="322" spans="8:24" x14ac:dyDescent="0.25">
      <c r="H322" s="13">
        <v>52</v>
      </c>
      <c r="I322" s="13">
        <v>2.6913247849059116</v>
      </c>
      <c r="J322" s="14">
        <f t="shared" si="50"/>
        <v>-4.1E-5</v>
      </c>
      <c r="K322" s="23">
        <f t="shared" si="51"/>
        <v>1.6000000000000001E-4</v>
      </c>
      <c r="L322" s="14">
        <f t="shared" si="52"/>
        <v>8.26E-3</v>
      </c>
      <c r="M322" s="10">
        <f t="shared" si="53"/>
        <v>2.7138396210961662</v>
      </c>
      <c r="N322" s="16">
        <f t="shared" si="54"/>
        <v>8.3657075937201061E-3</v>
      </c>
      <c r="O322" s="13">
        <f t="shared" si="55"/>
        <v>14478.595300000001</v>
      </c>
      <c r="P322" s="13">
        <f t="shared" ca="1" si="61"/>
        <v>14482</v>
      </c>
      <c r="Q322" s="13" t="str">
        <f t="shared" ca="1" si="56"/>
        <v>0011100010010010</v>
      </c>
      <c r="R322" s="13">
        <f t="shared" ca="1" si="57"/>
        <v>2.7152921333312987</v>
      </c>
      <c r="S322" s="13">
        <f t="shared" ca="1" si="58"/>
        <v>52.583505599975588</v>
      </c>
      <c r="T322" s="17">
        <f t="shared" ca="1" si="60"/>
        <v>1.1221261537992078E-2</v>
      </c>
      <c r="U322" s="13"/>
      <c r="V322" s="14">
        <f t="shared" ca="1" si="59"/>
        <v>0.58350599999999997</v>
      </c>
      <c r="W322" s="13"/>
      <c r="X322" s="2"/>
    </row>
    <row r="323" spans="8:24" x14ac:dyDescent="0.25">
      <c r="H323" s="13">
        <v>52.1</v>
      </c>
      <c r="I323" s="13">
        <v>2.7001831820094075</v>
      </c>
      <c r="J323" s="14">
        <f t="shared" ref="J323:J386" si="62">ROUND(H323*0.00000575 -0.00034,6)</f>
        <v>-4.0000000000000003E-5</v>
      </c>
      <c r="K323" s="23">
        <f t="shared" ref="K323:K386" si="63">ROUND(H323*0.000005-0.0001,6)</f>
        <v>1.6100000000000001E-4</v>
      </c>
      <c r="L323" s="14">
        <f t="shared" ref="L323:L386" si="64">ROUND(K323+($C$24*(H323-25)),6)</f>
        <v>8.2909999999999998E-3</v>
      </c>
      <c r="M323" s="10">
        <f t="shared" ref="M323:M386" si="65">(I323-J323)/(1-L323)+$C$26+$D$27</f>
        <v>2.7228558993932772</v>
      </c>
      <c r="N323" s="16">
        <f t="shared" ref="N323:N386" si="66">ABS(I323-M323)/I323</f>
        <v>8.396733056828096E-3</v>
      </c>
      <c r="O323" s="13">
        <f t="shared" ref="O323:O386" si="67">ROUND((M323*(2^($C$12-1)))/$C$44,4)</f>
        <v>14526.698</v>
      </c>
      <c r="P323" s="13">
        <f t="shared" ca="1" si="61"/>
        <v>14525</v>
      </c>
      <c r="Q323" s="13" t="str">
        <f t="shared" ref="Q323:Q386" ca="1" si="68">_xlfn.BASE(IF(P323&lt;0, P323+2^($C$12)-1, P323), 2, 16)</f>
        <v>0011100010111101</v>
      </c>
      <c r="R323" s="13">
        <f t="shared" ref="R323:R386" ca="1" si="69">($C$16/2^($C$12-1)) * P323</f>
        <v>2.7233543872833255</v>
      </c>
      <c r="S323" s="13">
        <f t="shared" ref="S323:S386" ca="1" si="70">(R323+5/3)/(1/12)</f>
        <v>52.680252647399904</v>
      </c>
      <c r="T323" s="17">
        <f t="shared" ca="1" si="60"/>
        <v>1.1137286898270678E-2</v>
      </c>
      <c r="U323" s="13"/>
      <c r="V323" s="14">
        <f t="shared" ref="V323:V386" ca="1" si="71">ROUND(ABS(H323-S323),6)</f>
        <v>0.58025300000000002</v>
      </c>
      <c r="W323" s="13"/>
      <c r="X323" s="2"/>
    </row>
    <row r="324" spans="8:24" x14ac:dyDescent="0.25">
      <c r="H324" s="13">
        <v>52.2</v>
      </c>
      <c r="I324" s="13">
        <v>2.7097097345152452</v>
      </c>
      <c r="J324" s="14">
        <f t="shared" si="62"/>
        <v>-4.0000000000000003E-5</v>
      </c>
      <c r="K324" s="23">
        <f t="shared" si="63"/>
        <v>1.6100000000000001E-4</v>
      </c>
      <c r="L324" s="14">
        <f t="shared" si="64"/>
        <v>8.3210000000000003E-3</v>
      </c>
      <c r="M324" s="10">
        <f t="shared" si="65"/>
        <v>2.7325447568187338</v>
      </c>
      <c r="N324" s="16">
        <f t="shared" si="66"/>
        <v>8.4271101116938016E-3</v>
      </c>
      <c r="O324" s="13">
        <f t="shared" si="67"/>
        <v>14578.388999999999</v>
      </c>
      <c r="P324" s="13">
        <f t="shared" ca="1" si="61"/>
        <v>14581</v>
      </c>
      <c r="Q324" s="13" t="str">
        <f t="shared" ca="1" si="68"/>
        <v>0011100011110101</v>
      </c>
      <c r="R324" s="13">
        <f t="shared" ca="1" si="69"/>
        <v>2.733854066848755</v>
      </c>
      <c r="S324" s="13">
        <f t="shared" ca="1" si="70"/>
        <v>52.806248802185067</v>
      </c>
      <c r="T324" s="17">
        <f t="shared" ref="T324:T387" ca="1" si="72">ABS(H324-S324)/H324</f>
        <v>1.1613961727683218E-2</v>
      </c>
      <c r="U324" s="13"/>
      <c r="V324" s="14">
        <f t="shared" ca="1" si="71"/>
        <v>0.60624900000000004</v>
      </c>
      <c r="W324" s="13"/>
      <c r="X324" s="2"/>
    </row>
    <row r="325" spans="8:24" x14ac:dyDescent="0.25">
      <c r="H325" s="13">
        <v>52.300000000000004</v>
      </c>
      <c r="I325" s="13">
        <v>2.7186050208618124</v>
      </c>
      <c r="J325" s="14">
        <f t="shared" si="62"/>
        <v>-3.8999999999999999E-5</v>
      </c>
      <c r="K325" s="23">
        <f t="shared" si="63"/>
        <v>1.6200000000000001E-4</v>
      </c>
      <c r="L325" s="14">
        <f t="shared" si="64"/>
        <v>8.352E-3</v>
      </c>
      <c r="M325" s="10">
        <f t="shared" si="65"/>
        <v>2.7415993744209768</v>
      </c>
      <c r="N325" s="16">
        <f t="shared" si="66"/>
        <v>8.4581442992682377E-3</v>
      </c>
      <c r="O325" s="13">
        <f t="shared" si="67"/>
        <v>14626.6963</v>
      </c>
      <c r="P325" s="13">
        <f t="shared" ca="1" si="61"/>
        <v>14631</v>
      </c>
      <c r="Q325" s="13" t="str">
        <f t="shared" ca="1" si="68"/>
        <v>0011100100100111</v>
      </c>
      <c r="R325" s="13">
        <f t="shared" ca="1" si="69"/>
        <v>2.7432287807464601</v>
      </c>
      <c r="S325" s="13">
        <f t="shared" ca="1" si="70"/>
        <v>52.918745368957524</v>
      </c>
      <c r="T325" s="17">
        <f t="shared" ca="1" si="72"/>
        <v>1.1830695391157156E-2</v>
      </c>
      <c r="U325" s="13"/>
      <c r="V325" s="14">
        <f t="shared" ca="1" si="71"/>
        <v>0.61874499999999999</v>
      </c>
      <c r="W325" s="13"/>
      <c r="X325" s="2"/>
    </row>
    <row r="326" spans="8:24" x14ac:dyDescent="0.25">
      <c r="H326" s="13">
        <v>52.4</v>
      </c>
      <c r="I326" s="13">
        <v>2.7275191324092662</v>
      </c>
      <c r="J326" s="14">
        <f t="shared" si="62"/>
        <v>-3.8999999999999999E-5</v>
      </c>
      <c r="K326" s="23">
        <f t="shared" si="63"/>
        <v>1.6200000000000001E-4</v>
      </c>
      <c r="L326" s="14">
        <f t="shared" si="64"/>
        <v>8.3820000000000006E-3</v>
      </c>
      <c r="M326" s="10">
        <f t="shared" si="65"/>
        <v>2.7506717770888249</v>
      </c>
      <c r="N326" s="16">
        <f t="shared" si="66"/>
        <v>8.4885361222407051E-3</v>
      </c>
      <c r="O326" s="13">
        <f t="shared" si="67"/>
        <v>14675.098400000001</v>
      </c>
      <c r="P326" s="13">
        <f t="shared" ca="1" si="61"/>
        <v>14675</v>
      </c>
      <c r="Q326" s="13" t="str">
        <f t="shared" ca="1" si="68"/>
        <v>0011100101010011</v>
      </c>
      <c r="R326" s="13">
        <f t="shared" ca="1" si="69"/>
        <v>2.7514785289764405</v>
      </c>
      <c r="S326" s="13">
        <f t="shared" ca="1" si="70"/>
        <v>53.017742347717288</v>
      </c>
      <c r="T326" s="17">
        <f t="shared" ca="1" si="72"/>
        <v>1.1788976101474989E-2</v>
      </c>
      <c r="U326" s="13"/>
      <c r="V326" s="14">
        <f t="shared" ca="1" si="71"/>
        <v>0.61774200000000001</v>
      </c>
      <c r="W326" s="13"/>
      <c r="X326" s="2"/>
    </row>
    <row r="327" spans="8:24" x14ac:dyDescent="0.25">
      <c r="H327" s="13">
        <v>52.5</v>
      </c>
      <c r="I327" s="13">
        <v>2.7370977340906664</v>
      </c>
      <c r="J327" s="14">
        <f t="shared" si="62"/>
        <v>-3.8000000000000002E-5</v>
      </c>
      <c r="K327" s="23">
        <f t="shared" si="63"/>
        <v>1.63E-4</v>
      </c>
      <c r="L327" s="14">
        <f t="shared" si="64"/>
        <v>8.4130000000000003E-3</v>
      </c>
      <c r="M327" s="10">
        <f t="shared" si="65"/>
        <v>2.7604166312554184</v>
      </c>
      <c r="N327" s="16">
        <f t="shared" si="66"/>
        <v>8.5195705196472009E-3</v>
      </c>
      <c r="O327" s="13">
        <f t="shared" si="67"/>
        <v>14727.088100000001</v>
      </c>
      <c r="P327" s="13">
        <f t="shared" ca="1" si="61"/>
        <v>14729</v>
      </c>
      <c r="Q327" s="13" t="str">
        <f t="shared" ca="1" si="68"/>
        <v>0011100110001001</v>
      </c>
      <c r="R327" s="13">
        <f t="shared" ca="1" si="69"/>
        <v>2.7616032199859619</v>
      </c>
      <c r="S327" s="13">
        <f t="shared" ca="1" si="70"/>
        <v>53.139238639831547</v>
      </c>
      <c r="T327" s="17">
        <f t="shared" ca="1" si="72"/>
        <v>1.217597409202946E-2</v>
      </c>
      <c r="U327" s="13"/>
      <c r="V327" s="14">
        <f t="shared" ca="1" si="71"/>
        <v>0.639239</v>
      </c>
      <c r="W327" s="13"/>
      <c r="X327" s="2"/>
    </row>
    <row r="328" spans="8:24" x14ac:dyDescent="0.25">
      <c r="H328" s="13">
        <v>52.6</v>
      </c>
      <c r="I328" s="13">
        <v>2.7460480418863509</v>
      </c>
      <c r="J328" s="14">
        <f t="shared" si="62"/>
        <v>-3.8000000000000002E-5</v>
      </c>
      <c r="K328" s="23">
        <f t="shared" si="63"/>
        <v>1.63E-4</v>
      </c>
      <c r="L328" s="14">
        <f t="shared" si="64"/>
        <v>8.4430000000000009E-3</v>
      </c>
      <c r="M328" s="10">
        <f t="shared" si="65"/>
        <v>2.7695266658319704</v>
      </c>
      <c r="N328" s="16">
        <f t="shared" si="66"/>
        <v>8.549968386383824E-3</v>
      </c>
      <c r="O328" s="13">
        <f t="shared" si="67"/>
        <v>14775.691000000001</v>
      </c>
      <c r="P328" s="13">
        <f t="shared" ca="1" si="61"/>
        <v>14774</v>
      </c>
      <c r="Q328" s="13" t="str">
        <f t="shared" ca="1" si="68"/>
        <v>0011100110110110</v>
      </c>
      <c r="R328" s="13">
        <f t="shared" ca="1" si="69"/>
        <v>2.7700404624938963</v>
      </c>
      <c r="S328" s="13">
        <f t="shared" ca="1" si="70"/>
        <v>53.24048554992676</v>
      </c>
      <c r="T328" s="17">
        <f t="shared" ca="1" si="72"/>
        <v>1.2176531367428866E-2</v>
      </c>
      <c r="U328" s="13"/>
      <c r="V328" s="14">
        <f t="shared" ca="1" si="71"/>
        <v>0.640486</v>
      </c>
      <c r="W328" s="13"/>
      <c r="X328" s="2"/>
    </row>
    <row r="329" spans="8:24" x14ac:dyDescent="0.25">
      <c r="H329" s="13">
        <v>52.7</v>
      </c>
      <c r="I329" s="13">
        <v>2.7550168274237827</v>
      </c>
      <c r="J329" s="14">
        <f t="shared" si="62"/>
        <v>-3.6999999999999998E-5</v>
      </c>
      <c r="K329" s="23">
        <f t="shared" si="63"/>
        <v>1.64E-4</v>
      </c>
      <c r="L329" s="14">
        <f t="shared" si="64"/>
        <v>8.4740000000000006E-3</v>
      </c>
      <c r="M329" s="10">
        <f t="shared" si="65"/>
        <v>2.778657681121607</v>
      </c>
      <c r="N329" s="16">
        <f t="shared" si="66"/>
        <v>8.5810197101158503E-3</v>
      </c>
      <c r="O329" s="13">
        <f t="shared" si="67"/>
        <v>14824.4059</v>
      </c>
      <c r="P329" s="13">
        <f t="shared" ca="1" si="61"/>
        <v>14829</v>
      </c>
      <c r="Q329" s="13" t="str">
        <f t="shared" ca="1" si="68"/>
        <v>0011100111101101</v>
      </c>
      <c r="R329" s="13">
        <f t="shared" ca="1" si="69"/>
        <v>2.7803526477813723</v>
      </c>
      <c r="S329" s="13">
        <f t="shared" ca="1" si="70"/>
        <v>53.364231773376474</v>
      </c>
      <c r="T329" s="17">
        <f t="shared" ca="1" si="72"/>
        <v>1.2604018470141771E-2</v>
      </c>
      <c r="U329" s="13"/>
      <c r="V329" s="14">
        <f t="shared" ca="1" si="71"/>
        <v>0.66423200000000004</v>
      </c>
      <c r="W329" s="13"/>
      <c r="X329" s="2"/>
    </row>
    <row r="330" spans="8:24" x14ac:dyDescent="0.25">
      <c r="H330" s="13">
        <v>52.800000000000004</v>
      </c>
      <c r="I330" s="13">
        <v>2.764646441234305</v>
      </c>
      <c r="J330" s="14">
        <f t="shared" si="62"/>
        <v>-3.6000000000000001E-5</v>
      </c>
      <c r="K330" s="23">
        <f t="shared" si="63"/>
        <v>1.64E-4</v>
      </c>
      <c r="L330" s="14">
        <f t="shared" si="64"/>
        <v>8.5039999999999994E-3</v>
      </c>
      <c r="M330" s="10">
        <f t="shared" si="65"/>
        <v>2.7884529519053078</v>
      </c>
      <c r="N330" s="16">
        <f t="shared" si="66"/>
        <v>8.611050699261982E-3</v>
      </c>
      <c r="O330" s="13">
        <f t="shared" si="67"/>
        <v>14876.6646</v>
      </c>
      <c r="P330" s="13">
        <f t="shared" ca="1" si="61"/>
        <v>14879</v>
      </c>
      <c r="Q330" s="13" t="str">
        <f t="shared" ca="1" si="68"/>
        <v>0011101000011111</v>
      </c>
      <c r="R330" s="13">
        <f t="shared" ca="1" si="69"/>
        <v>2.7897273616790774</v>
      </c>
      <c r="S330" s="13">
        <f t="shared" ca="1" si="70"/>
        <v>53.476728340148931</v>
      </c>
      <c r="T330" s="17">
        <f t="shared" ca="1" si="72"/>
        <v>1.28168246240327E-2</v>
      </c>
      <c r="U330" s="13"/>
      <c r="V330" s="14">
        <f t="shared" ca="1" si="71"/>
        <v>0.676728</v>
      </c>
      <c r="W330" s="13"/>
      <c r="X330" s="2"/>
    </row>
    <row r="331" spans="8:24" x14ac:dyDescent="0.25">
      <c r="H331" s="13">
        <v>52.9</v>
      </c>
      <c r="I331" s="13">
        <v>2.7730093669257214</v>
      </c>
      <c r="J331" s="14">
        <f t="shared" si="62"/>
        <v>-3.6000000000000001E-5</v>
      </c>
      <c r="K331" s="23">
        <f t="shared" si="63"/>
        <v>1.65E-4</v>
      </c>
      <c r="L331" s="14">
        <f t="shared" si="64"/>
        <v>8.5349999999999992E-3</v>
      </c>
      <c r="M331" s="10">
        <f t="shared" si="65"/>
        <v>2.7969750539814533</v>
      </c>
      <c r="N331" s="16">
        <f t="shared" si="66"/>
        <v>8.6424832680249038E-3</v>
      </c>
      <c r="O331" s="13">
        <f t="shared" si="67"/>
        <v>14922.130800000001</v>
      </c>
      <c r="P331" s="13">
        <f t="shared" ca="1" si="61"/>
        <v>14922</v>
      </c>
      <c r="Q331" s="13" t="str">
        <f t="shared" ca="1" si="68"/>
        <v>0011101001001010</v>
      </c>
      <c r="R331" s="13">
        <f t="shared" ca="1" si="69"/>
        <v>2.7977896156311037</v>
      </c>
      <c r="S331" s="13">
        <f t="shared" ca="1" si="70"/>
        <v>53.573475387573247</v>
      </c>
      <c r="T331" s="17">
        <f t="shared" ca="1" si="72"/>
        <v>1.2731103734844007E-2</v>
      </c>
      <c r="U331" s="13"/>
      <c r="V331" s="14">
        <f t="shared" ca="1" si="71"/>
        <v>0.67347500000000005</v>
      </c>
      <c r="W331" s="13"/>
      <c r="X331" s="2"/>
    </row>
    <row r="332" spans="8:24" x14ac:dyDescent="0.25">
      <c r="H332" s="13">
        <v>53</v>
      </c>
      <c r="I332" s="13">
        <v>2.7820328890657255</v>
      </c>
      <c r="J332" s="14">
        <f t="shared" si="62"/>
        <v>-3.4999999999999997E-5</v>
      </c>
      <c r="K332" s="23">
        <f t="shared" si="63"/>
        <v>1.65E-4</v>
      </c>
      <c r="L332" s="14">
        <f t="shared" si="64"/>
        <v>8.5649999999999997E-3</v>
      </c>
      <c r="M332" s="10">
        <f t="shared" si="65"/>
        <v>2.8061601540148633</v>
      </c>
      <c r="N332" s="16">
        <f t="shared" si="66"/>
        <v>8.6725304520897575E-3</v>
      </c>
      <c r="O332" s="13">
        <f t="shared" si="67"/>
        <v>14971.1342</v>
      </c>
      <c r="P332" s="13">
        <f t="shared" ca="1" si="61"/>
        <v>14973</v>
      </c>
      <c r="Q332" s="13" t="str">
        <f t="shared" ca="1" si="68"/>
        <v>0011101001111101</v>
      </c>
      <c r="R332" s="13">
        <f t="shared" ca="1" si="69"/>
        <v>2.807351823806763</v>
      </c>
      <c r="S332" s="13">
        <f t="shared" ca="1" si="70"/>
        <v>53.688221885681159</v>
      </c>
      <c r="T332" s="17">
        <f t="shared" ca="1" si="72"/>
        <v>1.2985318597757717E-2</v>
      </c>
      <c r="U332" s="13"/>
      <c r="V332" s="14">
        <f t="shared" ca="1" si="71"/>
        <v>0.688222</v>
      </c>
      <c r="W332" s="13"/>
      <c r="X332" s="2"/>
    </row>
    <row r="333" spans="8:24" x14ac:dyDescent="0.25">
      <c r="H333" s="13">
        <v>53.1</v>
      </c>
      <c r="I333" s="13">
        <v>2.7910744243860606</v>
      </c>
      <c r="J333" s="14">
        <f t="shared" si="62"/>
        <v>-3.4999999999999997E-5</v>
      </c>
      <c r="K333" s="23">
        <f t="shared" si="63"/>
        <v>1.66E-4</v>
      </c>
      <c r="L333" s="14">
        <f t="shared" si="64"/>
        <v>8.5959999999999995E-3</v>
      </c>
      <c r="M333" s="10">
        <f t="shared" si="65"/>
        <v>2.8153678276646663</v>
      </c>
      <c r="N333" s="16">
        <f t="shared" si="66"/>
        <v>8.7039611220504978E-3</v>
      </c>
      <c r="O333" s="13">
        <f t="shared" si="67"/>
        <v>15020.258099999999</v>
      </c>
      <c r="P333" s="13">
        <f t="shared" ca="1" si="61"/>
        <v>15022</v>
      </c>
      <c r="Q333" s="13" t="str">
        <f t="shared" ca="1" si="68"/>
        <v>0011101010101110</v>
      </c>
      <c r="R333" s="13">
        <f t="shared" ca="1" si="69"/>
        <v>2.8165390434265136</v>
      </c>
      <c r="S333" s="13">
        <f t="shared" ca="1" si="70"/>
        <v>53.798468521118167</v>
      </c>
      <c r="T333" s="17">
        <f t="shared" ca="1" si="72"/>
        <v>1.3153832789419314E-2</v>
      </c>
      <c r="U333" s="13"/>
      <c r="V333" s="14">
        <f t="shared" ca="1" si="71"/>
        <v>0.69846900000000001</v>
      </c>
      <c r="W333" s="13"/>
      <c r="X333" s="2"/>
    </row>
    <row r="334" spans="8:24" x14ac:dyDescent="0.25">
      <c r="H334" s="13">
        <v>53.2</v>
      </c>
      <c r="I334" s="13">
        <v>2.8007719061810668</v>
      </c>
      <c r="J334" s="14">
        <f t="shared" si="62"/>
        <v>-3.4E-5</v>
      </c>
      <c r="K334" s="23">
        <f t="shared" si="63"/>
        <v>1.66E-4</v>
      </c>
      <c r="L334" s="14">
        <f t="shared" si="64"/>
        <v>8.626E-3</v>
      </c>
      <c r="M334" s="10">
        <f t="shared" si="65"/>
        <v>2.8252338732638407</v>
      </c>
      <c r="N334" s="16">
        <f t="shared" si="66"/>
        <v>8.734009016867255E-3</v>
      </c>
      <c r="O334" s="13">
        <f t="shared" si="67"/>
        <v>15072.894399999999</v>
      </c>
      <c r="P334" s="13">
        <f t="shared" ca="1" si="61"/>
        <v>15076</v>
      </c>
      <c r="Q334" s="13" t="str">
        <f t="shared" ca="1" si="68"/>
        <v>0011101011100100</v>
      </c>
      <c r="R334" s="13">
        <f t="shared" ca="1" si="69"/>
        <v>2.826663734436035</v>
      </c>
      <c r="S334" s="13">
        <f t="shared" ca="1" si="70"/>
        <v>53.919964813232419</v>
      </c>
      <c r="T334" s="17">
        <f t="shared" ca="1" si="72"/>
        <v>1.3533173181060445E-2</v>
      </c>
      <c r="U334" s="13"/>
      <c r="V334" s="14">
        <f t="shared" ca="1" si="71"/>
        <v>0.71996499999999997</v>
      </c>
      <c r="W334" s="13"/>
      <c r="X334" s="2"/>
    </row>
    <row r="335" spans="8:24" x14ac:dyDescent="0.25">
      <c r="H335" s="13">
        <v>53.300000000000004</v>
      </c>
      <c r="I335" s="13">
        <v>2.8098480156918022</v>
      </c>
      <c r="J335" s="14">
        <f t="shared" si="62"/>
        <v>-3.4E-5</v>
      </c>
      <c r="K335" s="23">
        <f t="shared" si="63"/>
        <v>1.6699999999999999E-4</v>
      </c>
      <c r="L335" s="14">
        <f t="shared" si="64"/>
        <v>8.6569999999999998E-3</v>
      </c>
      <c r="M335" s="10">
        <f t="shared" si="65"/>
        <v>2.8344775860482216</v>
      </c>
      <c r="N335" s="16">
        <f t="shared" si="66"/>
        <v>8.7654457532485019E-3</v>
      </c>
      <c r="O335" s="13">
        <f t="shared" si="67"/>
        <v>15122.2104</v>
      </c>
      <c r="P335" s="13">
        <f t="shared" ref="P335:P398" ca="1" si="73">ROUND(O335+$C$47+$C$49+RANDBETWEEN($B$45,$D$45) + 1,0)</f>
        <v>15122</v>
      </c>
      <c r="Q335" s="13" t="str">
        <f t="shared" ca="1" si="68"/>
        <v>0011101100010010</v>
      </c>
      <c r="R335" s="13">
        <f t="shared" ca="1" si="69"/>
        <v>2.835288471221924</v>
      </c>
      <c r="S335" s="13">
        <f t="shared" ca="1" si="70"/>
        <v>54.023461654663095</v>
      </c>
      <c r="T335" s="17">
        <f t="shared" ca="1" si="72"/>
        <v>1.3573389393303758E-2</v>
      </c>
      <c r="U335" s="13"/>
      <c r="V335" s="14">
        <f t="shared" ca="1" si="71"/>
        <v>0.72346200000000005</v>
      </c>
      <c r="W335" s="13"/>
      <c r="X335" s="2"/>
    </row>
    <row r="336" spans="8:24" x14ac:dyDescent="0.25">
      <c r="H336" s="13">
        <v>53.4</v>
      </c>
      <c r="I336" s="13">
        <v>2.8189417897842262</v>
      </c>
      <c r="J336" s="14">
        <f t="shared" si="62"/>
        <v>-3.3000000000000003E-5</v>
      </c>
      <c r="K336" s="23">
        <f t="shared" si="63"/>
        <v>1.6699999999999999E-4</v>
      </c>
      <c r="L336" s="14">
        <f t="shared" si="64"/>
        <v>8.6870000000000003E-3</v>
      </c>
      <c r="M336" s="10">
        <f t="shared" si="65"/>
        <v>2.8437358189978608</v>
      </c>
      <c r="N336" s="16">
        <f t="shared" si="66"/>
        <v>8.7955094722024906E-3</v>
      </c>
      <c r="O336" s="13">
        <f t="shared" si="67"/>
        <v>15171.603999999999</v>
      </c>
      <c r="P336" s="13">
        <f t="shared" ca="1" si="73"/>
        <v>15176</v>
      </c>
      <c r="Q336" s="13" t="str">
        <f t="shared" ca="1" si="68"/>
        <v>0011101101001000</v>
      </c>
      <c r="R336" s="13">
        <f t="shared" ca="1" si="69"/>
        <v>2.8454131622314454</v>
      </c>
      <c r="S336" s="13">
        <f t="shared" ca="1" si="70"/>
        <v>54.144957946777346</v>
      </c>
      <c r="T336" s="17">
        <f t="shared" ca="1" si="72"/>
        <v>1.3950523347890403E-2</v>
      </c>
      <c r="U336" s="13"/>
      <c r="V336" s="14">
        <f t="shared" ca="1" si="71"/>
        <v>0.74495800000000001</v>
      </c>
      <c r="W336" s="13"/>
      <c r="X336" s="2"/>
    </row>
    <row r="337" spans="8:24" x14ac:dyDescent="0.25">
      <c r="H337" s="13">
        <v>53.5</v>
      </c>
      <c r="I337" s="13">
        <v>2.8286878547412639</v>
      </c>
      <c r="J337" s="14">
        <f t="shared" si="62"/>
        <v>-3.1999999999999999E-5</v>
      </c>
      <c r="K337" s="23">
        <f t="shared" si="63"/>
        <v>1.6799999999999999E-4</v>
      </c>
      <c r="L337" s="14">
        <f t="shared" si="64"/>
        <v>8.7180000000000001E-3</v>
      </c>
      <c r="M337" s="10">
        <f t="shared" si="65"/>
        <v>2.8536555179023368</v>
      </c>
      <c r="N337" s="16">
        <f t="shared" si="66"/>
        <v>8.8265883134555547E-3</v>
      </c>
      <c r="O337" s="13">
        <f t="shared" si="67"/>
        <v>15224.526599999999</v>
      </c>
      <c r="P337" s="13">
        <f t="shared" ca="1" si="73"/>
        <v>15227</v>
      </c>
      <c r="Q337" s="13" t="str">
        <f t="shared" ca="1" si="68"/>
        <v>0011101101111011</v>
      </c>
      <c r="R337" s="13">
        <f t="shared" ca="1" si="69"/>
        <v>2.8549753704071046</v>
      </c>
      <c r="S337" s="13">
        <f t="shared" ca="1" si="70"/>
        <v>54.259704444885259</v>
      </c>
      <c r="T337" s="17">
        <f t="shared" ca="1" si="72"/>
        <v>1.4200083081967451E-2</v>
      </c>
      <c r="U337" s="13"/>
      <c r="V337" s="14">
        <f t="shared" ca="1" si="71"/>
        <v>0.75970400000000005</v>
      </c>
      <c r="W337" s="13"/>
      <c r="X337" s="2"/>
    </row>
    <row r="338" spans="8:24" x14ac:dyDescent="0.25">
      <c r="H338" s="13">
        <v>53.6</v>
      </c>
      <c r="I338" s="13">
        <v>2.8378155066858417</v>
      </c>
      <c r="J338" s="14">
        <f t="shared" si="62"/>
        <v>-3.1999999999999999E-5</v>
      </c>
      <c r="K338" s="23">
        <f t="shared" si="63"/>
        <v>1.6799999999999999E-4</v>
      </c>
      <c r="L338" s="14">
        <f t="shared" si="64"/>
        <v>8.7480000000000006E-3</v>
      </c>
      <c r="M338" s="10">
        <f t="shared" si="65"/>
        <v>2.8629500866599429</v>
      </c>
      <c r="N338" s="16">
        <f t="shared" si="66"/>
        <v>8.8570169254782657E-3</v>
      </c>
      <c r="O338" s="13">
        <f t="shared" si="67"/>
        <v>15274.114</v>
      </c>
      <c r="P338" s="13">
        <f t="shared" ca="1" si="73"/>
        <v>15278</v>
      </c>
      <c r="Q338" s="13" t="str">
        <f t="shared" ca="1" si="68"/>
        <v>0011101110101110</v>
      </c>
      <c r="R338" s="13">
        <f t="shared" ca="1" si="69"/>
        <v>2.8645375785827638</v>
      </c>
      <c r="S338" s="13">
        <f t="shared" ca="1" si="70"/>
        <v>54.374450942993164</v>
      </c>
      <c r="T338" s="17">
        <f t="shared" ca="1" si="72"/>
        <v>1.4448711623006764E-2</v>
      </c>
      <c r="U338" s="13"/>
      <c r="V338" s="14">
        <f t="shared" ca="1" si="71"/>
        <v>0.774451</v>
      </c>
      <c r="W338" s="13"/>
      <c r="X338" s="2"/>
    </row>
    <row r="339" spans="8:24" x14ac:dyDescent="0.25">
      <c r="H339" s="13">
        <v>53.7</v>
      </c>
      <c r="I339" s="13">
        <v>2.8469604743889669</v>
      </c>
      <c r="J339" s="14">
        <f t="shared" si="62"/>
        <v>-3.1000000000000001E-5</v>
      </c>
      <c r="K339" s="23">
        <f t="shared" si="63"/>
        <v>1.6899999999999999E-4</v>
      </c>
      <c r="L339" s="14">
        <f t="shared" si="64"/>
        <v>8.7790000000000003E-3</v>
      </c>
      <c r="M339" s="10">
        <f t="shared" si="65"/>
        <v>2.8722645759189596</v>
      </c>
      <c r="N339" s="16">
        <f t="shared" si="66"/>
        <v>8.8881112883815363E-3</v>
      </c>
      <c r="O339" s="13">
        <f t="shared" si="67"/>
        <v>15323.807699999999</v>
      </c>
      <c r="P339" s="13">
        <f t="shared" ca="1" si="73"/>
        <v>15323</v>
      </c>
      <c r="Q339" s="13" t="str">
        <f t="shared" ca="1" si="68"/>
        <v>0011101111011011</v>
      </c>
      <c r="R339" s="13">
        <f t="shared" ca="1" si="69"/>
        <v>2.8729748210906982</v>
      </c>
      <c r="S339" s="13">
        <f t="shared" ca="1" si="70"/>
        <v>54.475697853088377</v>
      </c>
      <c r="T339" s="17">
        <f t="shared" ca="1" si="72"/>
        <v>1.4445025197176428E-2</v>
      </c>
      <c r="U339" s="13"/>
      <c r="V339" s="14">
        <f t="shared" ca="1" si="71"/>
        <v>0.775698</v>
      </c>
      <c r="W339" s="13"/>
      <c r="X339" s="2"/>
    </row>
    <row r="340" spans="8:24" x14ac:dyDescent="0.25">
      <c r="H340" s="13">
        <v>53.800000000000004</v>
      </c>
      <c r="I340" s="13">
        <v>2.8561226408663263</v>
      </c>
      <c r="J340" s="14">
        <f t="shared" si="62"/>
        <v>-3.1000000000000001E-5</v>
      </c>
      <c r="K340" s="23">
        <f t="shared" si="63"/>
        <v>1.6899999999999999E-4</v>
      </c>
      <c r="L340" s="14">
        <f t="shared" si="64"/>
        <v>8.8090000000000009E-3</v>
      </c>
      <c r="M340" s="10">
        <f t="shared" si="65"/>
        <v>2.8815951011907153</v>
      </c>
      <c r="N340" s="16">
        <f t="shared" si="66"/>
        <v>8.918545709459668E-3</v>
      </c>
      <c r="O340" s="13">
        <f t="shared" si="67"/>
        <v>15373.5869</v>
      </c>
      <c r="P340" s="13">
        <f t="shared" ca="1" si="73"/>
        <v>15378</v>
      </c>
      <c r="Q340" s="13" t="str">
        <f t="shared" ca="1" si="68"/>
        <v>0011110000010010</v>
      </c>
      <c r="R340" s="13">
        <f t="shared" ca="1" si="69"/>
        <v>2.8832870063781737</v>
      </c>
      <c r="S340" s="13">
        <f t="shared" ca="1" si="70"/>
        <v>54.599444076538092</v>
      </c>
      <c r="T340" s="17">
        <f t="shared" ca="1" si="72"/>
        <v>1.485955532598675E-2</v>
      </c>
      <c r="U340" s="13"/>
      <c r="V340" s="14">
        <f t="shared" ca="1" si="71"/>
        <v>0.79944400000000004</v>
      </c>
      <c r="W340" s="13"/>
      <c r="X340" s="2"/>
    </row>
    <row r="341" spans="8:24" x14ac:dyDescent="0.25">
      <c r="H341" s="13">
        <v>53.9</v>
      </c>
      <c r="I341" s="13">
        <v>2.8653018900829492</v>
      </c>
      <c r="J341" s="14">
        <f t="shared" si="62"/>
        <v>-3.0000000000000001E-5</v>
      </c>
      <c r="K341" s="23">
        <f t="shared" si="63"/>
        <v>1.7000000000000001E-4</v>
      </c>
      <c r="L341" s="14">
        <f t="shared" si="64"/>
        <v>8.8400000000000006E-3</v>
      </c>
      <c r="M341" s="10">
        <f t="shared" si="65"/>
        <v>2.8909453341165396</v>
      </c>
      <c r="N341" s="16">
        <f t="shared" si="66"/>
        <v>8.9496482455634213E-3</v>
      </c>
      <c r="O341" s="13">
        <f t="shared" si="67"/>
        <v>15423.471299999999</v>
      </c>
      <c r="P341" s="13">
        <f t="shared" ca="1" si="73"/>
        <v>15423</v>
      </c>
      <c r="Q341" s="13" t="str">
        <f t="shared" ca="1" si="68"/>
        <v>0011110000111111</v>
      </c>
      <c r="R341" s="13">
        <f t="shared" ca="1" si="69"/>
        <v>2.8917242488861086</v>
      </c>
      <c r="S341" s="13">
        <f t="shared" ca="1" si="70"/>
        <v>54.700690986633305</v>
      </c>
      <c r="T341" s="17">
        <f t="shared" ca="1" si="72"/>
        <v>1.4855120345701411E-2</v>
      </c>
      <c r="U341" s="13"/>
      <c r="V341" s="14">
        <f t="shared" ca="1" si="71"/>
        <v>0.80069100000000004</v>
      </c>
      <c r="W341" s="13"/>
      <c r="X341" s="2"/>
    </row>
    <row r="342" spans="8:24" x14ac:dyDescent="0.25">
      <c r="H342" s="13">
        <v>54</v>
      </c>
      <c r="I342" s="13">
        <v>2.8744981050155829</v>
      </c>
      <c r="J342" s="14">
        <f t="shared" si="62"/>
        <v>-3.0000000000000001E-5</v>
      </c>
      <c r="K342" s="23">
        <f t="shared" si="63"/>
        <v>1.7000000000000001E-4</v>
      </c>
      <c r="L342" s="14">
        <f t="shared" si="64"/>
        <v>8.8699999999999994E-3</v>
      </c>
      <c r="M342" s="10">
        <f t="shared" si="65"/>
        <v>2.900311352250041</v>
      </c>
      <c r="N342" s="16">
        <f t="shared" si="66"/>
        <v>8.9800884507169176E-3</v>
      </c>
      <c r="O342" s="13">
        <f t="shared" si="67"/>
        <v>15473.439899999999</v>
      </c>
      <c r="P342" s="13">
        <f t="shared" ca="1" si="73"/>
        <v>15475</v>
      </c>
      <c r="Q342" s="13" t="str">
        <f t="shared" ca="1" si="68"/>
        <v>0011110001110011</v>
      </c>
      <c r="R342" s="13">
        <f t="shared" ca="1" si="69"/>
        <v>2.9014739513397219</v>
      </c>
      <c r="S342" s="13">
        <f t="shared" ca="1" si="70"/>
        <v>54.817687416076666</v>
      </c>
      <c r="T342" s="17">
        <f t="shared" ca="1" si="72"/>
        <v>1.5142359556975293E-2</v>
      </c>
      <c r="U342" s="13"/>
      <c r="V342" s="14">
        <f t="shared" ca="1" si="71"/>
        <v>0.81768700000000005</v>
      </c>
      <c r="W342" s="13"/>
      <c r="X342" s="2"/>
    </row>
    <row r="343" spans="8:24" x14ac:dyDescent="0.25">
      <c r="H343" s="13">
        <v>54.1</v>
      </c>
      <c r="I343" s="13">
        <v>2.8837111691952444</v>
      </c>
      <c r="J343" s="14">
        <f t="shared" si="62"/>
        <v>-2.9E-5</v>
      </c>
      <c r="K343" s="23">
        <f t="shared" si="63"/>
        <v>1.7100000000000001E-4</v>
      </c>
      <c r="L343" s="14">
        <f t="shared" si="64"/>
        <v>8.9009999999999992E-3</v>
      </c>
      <c r="M343" s="10">
        <f t="shared" si="65"/>
        <v>2.9096968647302082</v>
      </c>
      <c r="N343" s="16">
        <f t="shared" si="66"/>
        <v>9.0111991147211815E-3</v>
      </c>
      <c r="O343" s="13">
        <f t="shared" si="67"/>
        <v>15523.512500000001</v>
      </c>
      <c r="P343" s="13">
        <f t="shared" ca="1" si="73"/>
        <v>15527</v>
      </c>
      <c r="Q343" s="13" t="str">
        <f t="shared" ca="1" si="68"/>
        <v>0011110010100111</v>
      </c>
      <c r="R343" s="13">
        <f t="shared" ca="1" si="69"/>
        <v>2.9112236537933351</v>
      </c>
      <c r="S343" s="13">
        <f t="shared" ca="1" si="70"/>
        <v>54.93468384552002</v>
      </c>
      <c r="T343" s="17">
        <f t="shared" ca="1" si="72"/>
        <v>1.542853688576744E-2</v>
      </c>
      <c r="U343" s="13"/>
      <c r="V343" s="14">
        <f t="shared" ca="1" si="71"/>
        <v>0.83468399999999998</v>
      </c>
      <c r="W343" s="13"/>
      <c r="X343" s="2"/>
    </row>
    <row r="344" spans="8:24" x14ac:dyDescent="0.25">
      <c r="H344" s="13">
        <v>54.2</v>
      </c>
      <c r="I344" s="13">
        <v>2.8929409657708973</v>
      </c>
      <c r="J344" s="14">
        <f t="shared" si="62"/>
        <v>-2.8E-5</v>
      </c>
      <c r="K344" s="23">
        <f t="shared" si="63"/>
        <v>1.7100000000000001E-4</v>
      </c>
      <c r="L344" s="14">
        <f t="shared" si="64"/>
        <v>8.9309999999999997E-3</v>
      </c>
      <c r="M344" s="10">
        <f t="shared" si="65"/>
        <v>2.9190969022065039</v>
      </c>
      <c r="N344" s="16">
        <f t="shared" si="66"/>
        <v>9.0412962950443855E-3</v>
      </c>
      <c r="O344" s="13">
        <f t="shared" si="67"/>
        <v>15573.6626</v>
      </c>
      <c r="P344" s="13">
        <f t="shared" ca="1" si="73"/>
        <v>15574</v>
      </c>
      <c r="Q344" s="13" t="str">
        <f t="shared" ca="1" si="68"/>
        <v>0011110011010110</v>
      </c>
      <c r="R344" s="13">
        <f t="shared" ca="1" si="69"/>
        <v>2.9200358848571777</v>
      </c>
      <c r="S344" s="13">
        <f t="shared" ca="1" si="70"/>
        <v>55.04043061828613</v>
      </c>
      <c r="T344" s="17">
        <f t="shared" ca="1" si="72"/>
        <v>1.5506099968378737E-2</v>
      </c>
      <c r="U344" s="13"/>
      <c r="V344" s="14">
        <f t="shared" ca="1" si="71"/>
        <v>0.84043100000000004</v>
      </c>
      <c r="W344" s="13"/>
      <c r="X344" s="2"/>
    </row>
    <row r="345" spans="8:24" x14ac:dyDescent="0.25">
      <c r="H345" s="13">
        <v>54.300000000000004</v>
      </c>
      <c r="I345" s="13">
        <v>2.9015614409574604</v>
      </c>
      <c r="J345" s="14">
        <f t="shared" si="62"/>
        <v>-2.8E-5</v>
      </c>
      <c r="K345" s="23">
        <f t="shared" si="63"/>
        <v>1.7200000000000001E-4</v>
      </c>
      <c r="L345" s="14">
        <f t="shared" si="64"/>
        <v>8.9619999999999995E-3</v>
      </c>
      <c r="M345" s="10">
        <f t="shared" si="65"/>
        <v>2.9278866412402555</v>
      </c>
      <c r="N345" s="16">
        <f t="shared" si="66"/>
        <v>9.0727702371549129E-3</v>
      </c>
      <c r="O345" s="13">
        <f t="shared" si="67"/>
        <v>15620.556699999999</v>
      </c>
      <c r="P345" s="13">
        <f t="shared" ca="1" si="73"/>
        <v>15624</v>
      </c>
      <c r="Q345" s="13" t="str">
        <f t="shared" ca="1" si="68"/>
        <v>0011110100001000</v>
      </c>
      <c r="R345" s="13">
        <f t="shared" ca="1" si="69"/>
        <v>2.9294105987548829</v>
      </c>
      <c r="S345" s="13">
        <f t="shared" ca="1" si="70"/>
        <v>55.152927185058601</v>
      </c>
      <c r="T345" s="17">
        <f t="shared" ca="1" si="72"/>
        <v>1.5707682966088342E-2</v>
      </c>
      <c r="U345" s="13"/>
      <c r="V345" s="14">
        <f t="shared" ca="1" si="71"/>
        <v>0.85292699999999999</v>
      </c>
      <c r="W345" s="13"/>
      <c r="X345" s="2"/>
    </row>
    <row r="346" spans="8:24" x14ac:dyDescent="0.25">
      <c r="H346" s="13">
        <v>54.4</v>
      </c>
      <c r="I346" s="13">
        <v>2.9102006141619454</v>
      </c>
      <c r="J346" s="14">
        <f t="shared" si="62"/>
        <v>-2.6999999999999999E-5</v>
      </c>
      <c r="K346" s="23">
        <f t="shared" si="63"/>
        <v>1.7200000000000001E-4</v>
      </c>
      <c r="L346" s="14">
        <f t="shared" si="64"/>
        <v>8.992E-3</v>
      </c>
      <c r="M346" s="10">
        <f t="shared" si="65"/>
        <v>2.9366918255210308</v>
      </c>
      <c r="N346" s="16">
        <f t="shared" si="66"/>
        <v>9.1028815093264961E-3</v>
      </c>
      <c r="O346" s="13">
        <f t="shared" si="67"/>
        <v>15667.5332</v>
      </c>
      <c r="P346" s="13">
        <f t="shared" ca="1" si="73"/>
        <v>15672</v>
      </c>
      <c r="Q346" s="13" t="str">
        <f t="shared" ca="1" si="68"/>
        <v>0011110100111000</v>
      </c>
      <c r="R346" s="13">
        <f t="shared" ca="1" si="69"/>
        <v>2.9384103240966799</v>
      </c>
      <c r="S346" s="13">
        <f t="shared" ca="1" si="70"/>
        <v>55.260923889160161</v>
      </c>
      <c r="T346" s="17">
        <f t="shared" ca="1" si="72"/>
        <v>1.582580678603239E-2</v>
      </c>
      <c r="U346" s="13"/>
      <c r="V346" s="14">
        <f t="shared" ca="1" si="71"/>
        <v>0.86092400000000002</v>
      </c>
      <c r="W346" s="13"/>
      <c r="X346" s="2"/>
    </row>
    <row r="347" spans="8:24" x14ac:dyDescent="0.25">
      <c r="H347" s="13">
        <v>54.5</v>
      </c>
      <c r="I347" s="13">
        <v>2.919482104191427</v>
      </c>
      <c r="J347" s="14">
        <f t="shared" si="62"/>
        <v>-2.6999999999999999E-5</v>
      </c>
      <c r="K347" s="23">
        <f t="shared" si="63"/>
        <v>1.73E-4</v>
      </c>
      <c r="L347" s="14">
        <f t="shared" si="64"/>
        <v>9.0229999999999998E-3</v>
      </c>
      <c r="M347" s="10">
        <f t="shared" si="65"/>
        <v>2.9461496895058383</v>
      </c>
      <c r="N347" s="16">
        <f t="shared" si="66"/>
        <v>9.1343547802966146E-3</v>
      </c>
      <c r="O347" s="13">
        <f t="shared" si="67"/>
        <v>15717.991900000001</v>
      </c>
      <c r="P347" s="13">
        <f t="shared" ca="1" si="73"/>
        <v>15721</v>
      </c>
      <c r="Q347" s="13" t="str">
        <f t="shared" ca="1" si="68"/>
        <v>0011110101101001</v>
      </c>
      <c r="R347" s="13">
        <f t="shared" ca="1" si="69"/>
        <v>2.9475975437164306</v>
      </c>
      <c r="S347" s="13">
        <f t="shared" ca="1" si="70"/>
        <v>55.371170524597169</v>
      </c>
      <c r="T347" s="17">
        <f t="shared" ca="1" si="72"/>
        <v>1.5984780267837957E-2</v>
      </c>
      <c r="U347" s="13"/>
      <c r="V347" s="14">
        <f t="shared" ca="1" si="71"/>
        <v>0.87117100000000003</v>
      </c>
      <c r="W347" s="13"/>
      <c r="X347" s="2"/>
    </row>
    <row r="348" spans="8:24" x14ac:dyDescent="0.25">
      <c r="H348" s="13">
        <v>54.6</v>
      </c>
      <c r="I348" s="13">
        <v>2.9287798589079883</v>
      </c>
      <c r="J348" s="14">
        <f t="shared" si="62"/>
        <v>-2.5999999999999998E-5</v>
      </c>
      <c r="K348" s="23">
        <f t="shared" si="63"/>
        <v>1.73E-4</v>
      </c>
      <c r="L348" s="14">
        <f t="shared" si="64"/>
        <v>9.0530000000000003E-3</v>
      </c>
      <c r="M348" s="10">
        <f t="shared" si="65"/>
        <v>2.9556205668254592</v>
      </c>
      <c r="N348" s="16">
        <f t="shared" si="66"/>
        <v>9.1644675293139129E-3</v>
      </c>
      <c r="O348" s="13">
        <f t="shared" si="67"/>
        <v>15768.519899999999</v>
      </c>
      <c r="P348" s="13">
        <f t="shared" ca="1" si="73"/>
        <v>15772</v>
      </c>
      <c r="Q348" s="13" t="str">
        <f t="shared" ca="1" si="68"/>
        <v>0011110110011100</v>
      </c>
      <c r="R348" s="13">
        <f t="shared" ca="1" si="69"/>
        <v>2.9571597518920898</v>
      </c>
      <c r="S348" s="13">
        <f t="shared" ca="1" si="70"/>
        <v>55.485917022705081</v>
      </c>
      <c r="T348" s="17">
        <f t="shared" ca="1" si="72"/>
        <v>1.6225586496430029E-2</v>
      </c>
      <c r="U348" s="13"/>
      <c r="V348" s="14">
        <f t="shared" ca="1" si="71"/>
        <v>0.88591699999999995</v>
      </c>
      <c r="W348" s="13"/>
      <c r="X348" s="2"/>
    </row>
    <row r="349" spans="8:24" x14ac:dyDescent="0.25">
      <c r="H349" s="13">
        <v>54.7</v>
      </c>
      <c r="I349" s="13">
        <v>2.9374722193818479</v>
      </c>
      <c r="J349" s="14">
        <f t="shared" si="62"/>
        <v>-2.5000000000000001E-5</v>
      </c>
      <c r="K349" s="23">
        <f t="shared" si="63"/>
        <v>1.74E-4</v>
      </c>
      <c r="L349" s="14">
        <f t="shared" si="64"/>
        <v>9.0840000000000001E-3</v>
      </c>
      <c r="M349" s="10">
        <f t="shared" si="65"/>
        <v>2.9644840657632412</v>
      </c>
      <c r="N349" s="16">
        <f t="shared" si="66"/>
        <v>9.195609137395552E-3</v>
      </c>
      <c r="O349" s="13">
        <f t="shared" si="67"/>
        <v>15815.807500000001</v>
      </c>
      <c r="P349" s="13">
        <f t="shared" ca="1" si="73"/>
        <v>15815</v>
      </c>
      <c r="Q349" s="13" t="str">
        <f t="shared" ca="1" si="68"/>
        <v>0011110111000111</v>
      </c>
      <c r="R349" s="13">
        <f t="shared" ca="1" si="69"/>
        <v>2.9652220058441161</v>
      </c>
      <c r="S349" s="13">
        <f t="shared" ca="1" si="70"/>
        <v>55.582664070129397</v>
      </c>
      <c r="T349" s="17">
        <f t="shared" ca="1" si="72"/>
        <v>1.6136454664157109E-2</v>
      </c>
      <c r="U349" s="13"/>
      <c r="V349" s="14">
        <f t="shared" ca="1" si="71"/>
        <v>0.882664</v>
      </c>
      <c r="W349" s="13"/>
      <c r="X349" s="2"/>
    </row>
    <row r="350" spans="8:24" x14ac:dyDescent="0.25">
      <c r="H350" s="13">
        <v>54.800000000000004</v>
      </c>
      <c r="I350" s="13">
        <v>2.9468032493840215</v>
      </c>
      <c r="J350" s="14">
        <f t="shared" si="62"/>
        <v>-2.5000000000000001E-5</v>
      </c>
      <c r="K350" s="23">
        <f t="shared" si="63"/>
        <v>1.74E-4</v>
      </c>
      <c r="L350" s="14">
        <f t="shared" si="64"/>
        <v>9.1140000000000006E-3</v>
      </c>
      <c r="M350" s="10">
        <f t="shared" si="65"/>
        <v>2.9739906717543909</v>
      </c>
      <c r="N350" s="16">
        <f t="shared" si="66"/>
        <v>9.2260731611628569E-3</v>
      </c>
      <c r="O350" s="13">
        <f t="shared" si="67"/>
        <v>15866.5262</v>
      </c>
      <c r="P350" s="13">
        <f t="shared" ca="1" si="73"/>
        <v>15867</v>
      </c>
      <c r="Q350" s="13" t="str">
        <f t="shared" ca="1" si="68"/>
        <v>0011110111111011</v>
      </c>
      <c r="R350" s="13">
        <f t="shared" ca="1" si="69"/>
        <v>2.9749717082977294</v>
      </c>
      <c r="S350" s="13">
        <f t="shared" ca="1" si="70"/>
        <v>55.699660499572751</v>
      </c>
      <c r="T350" s="17">
        <f t="shared" ca="1" si="72"/>
        <v>1.641716240096253E-2</v>
      </c>
      <c r="U350" s="13"/>
      <c r="V350" s="14">
        <f t="shared" ca="1" si="71"/>
        <v>0.89966000000000002</v>
      </c>
      <c r="W350" s="13"/>
      <c r="X350" s="2"/>
    </row>
    <row r="351" spans="8:24" x14ac:dyDescent="0.25">
      <c r="H351" s="13">
        <v>54.9</v>
      </c>
      <c r="I351" s="13">
        <v>2.9561501932686869</v>
      </c>
      <c r="J351" s="14">
        <f t="shared" si="62"/>
        <v>-2.4000000000000001E-5</v>
      </c>
      <c r="K351" s="23">
        <f t="shared" si="63"/>
        <v>1.75E-4</v>
      </c>
      <c r="L351" s="14">
        <f t="shared" si="64"/>
        <v>9.1450000000000004E-3</v>
      </c>
      <c r="M351" s="10">
        <f t="shared" si="65"/>
        <v>2.9835159159096807</v>
      </c>
      <c r="N351" s="16">
        <f t="shared" si="66"/>
        <v>9.2572165999234464E-3</v>
      </c>
      <c r="O351" s="13">
        <f t="shared" si="67"/>
        <v>15917.344300000001</v>
      </c>
      <c r="P351" s="13">
        <f t="shared" ca="1" si="73"/>
        <v>15920</v>
      </c>
      <c r="Q351" s="13" t="str">
        <f t="shared" ca="1" si="68"/>
        <v>0011111000110000</v>
      </c>
      <c r="R351" s="13">
        <f t="shared" ca="1" si="69"/>
        <v>2.9849089050292967</v>
      </c>
      <c r="S351" s="13">
        <f t="shared" ca="1" si="70"/>
        <v>55.818906860351568</v>
      </c>
      <c r="T351" s="17">
        <f t="shared" ca="1" si="72"/>
        <v>1.6737829878899258E-2</v>
      </c>
      <c r="U351" s="13"/>
      <c r="V351" s="14">
        <f t="shared" ca="1" si="71"/>
        <v>0.91890700000000003</v>
      </c>
      <c r="W351" s="13"/>
      <c r="X351" s="2"/>
    </row>
    <row r="352" spans="8:24" x14ac:dyDescent="0.25">
      <c r="H352" s="13">
        <v>55</v>
      </c>
      <c r="I352" s="13">
        <v>2.9655129338576933</v>
      </c>
      <c r="J352" s="14">
        <f t="shared" si="62"/>
        <v>-2.4000000000000001E-5</v>
      </c>
      <c r="K352" s="23">
        <f t="shared" si="63"/>
        <v>1.75E-4</v>
      </c>
      <c r="L352" s="14">
        <f t="shared" si="64"/>
        <v>9.1750000000000009E-3</v>
      </c>
      <c r="M352" s="10">
        <f t="shared" si="65"/>
        <v>2.9930556876418071</v>
      </c>
      <c r="N352" s="16">
        <f t="shared" si="66"/>
        <v>9.2876862783682762E-3</v>
      </c>
      <c r="O352" s="13">
        <f t="shared" si="67"/>
        <v>15968.2399</v>
      </c>
      <c r="P352" s="13">
        <f t="shared" ca="1" si="73"/>
        <v>15970</v>
      </c>
      <c r="Q352" s="13" t="str">
        <f t="shared" ca="1" si="68"/>
        <v>0011111001100010</v>
      </c>
      <c r="R352" s="13">
        <f t="shared" ca="1" si="69"/>
        <v>2.9942836189270019</v>
      </c>
      <c r="S352" s="13">
        <f t="shared" ca="1" si="70"/>
        <v>55.931403427124025</v>
      </c>
      <c r="T352" s="17">
        <f t="shared" ca="1" si="72"/>
        <v>1.6934607765891355E-2</v>
      </c>
      <c r="U352" s="13"/>
      <c r="V352" s="14">
        <f t="shared" ca="1" si="71"/>
        <v>0.93140299999999998</v>
      </c>
      <c r="W352" s="13"/>
      <c r="X352" s="2"/>
    </row>
    <row r="353" spans="8:24" x14ac:dyDescent="0.25">
      <c r="H353" s="13">
        <v>55.1</v>
      </c>
      <c r="I353" s="13">
        <v>2.974891354635127</v>
      </c>
      <c r="J353" s="14">
        <f t="shared" si="62"/>
        <v>-2.3E-5</v>
      </c>
      <c r="K353" s="23">
        <f t="shared" si="63"/>
        <v>1.76E-4</v>
      </c>
      <c r="L353" s="14">
        <f t="shared" si="64"/>
        <v>9.2060000000000006E-3</v>
      </c>
      <c r="M353" s="10">
        <f t="shared" si="65"/>
        <v>3.0026138841041905</v>
      </c>
      <c r="N353" s="16">
        <f t="shared" si="66"/>
        <v>9.3188376193535632E-3</v>
      </c>
      <c r="O353" s="13">
        <f t="shared" si="67"/>
        <v>16019.2338</v>
      </c>
      <c r="P353" s="13">
        <f t="shared" ca="1" si="73"/>
        <v>16019</v>
      </c>
      <c r="Q353" s="13" t="str">
        <f t="shared" ca="1" si="68"/>
        <v>0011111010010011</v>
      </c>
      <c r="R353" s="13">
        <f t="shared" ca="1" si="69"/>
        <v>3.003470838546753</v>
      </c>
      <c r="S353" s="13">
        <f t="shared" ca="1" si="70"/>
        <v>56.04165006256104</v>
      </c>
      <c r="T353" s="17">
        <f t="shared" ca="1" si="72"/>
        <v>1.7089837796026103E-2</v>
      </c>
      <c r="U353" s="13"/>
      <c r="V353" s="14">
        <f t="shared" ca="1" si="71"/>
        <v>0.94164999999999999</v>
      </c>
      <c r="W353" s="13"/>
      <c r="X353" s="2"/>
    </row>
    <row r="354" spans="8:24" x14ac:dyDescent="0.25">
      <c r="H354" s="13">
        <v>55.2</v>
      </c>
      <c r="I354" s="13">
        <v>2.9836692768074693</v>
      </c>
      <c r="J354" s="14">
        <f t="shared" si="62"/>
        <v>-2.3E-5</v>
      </c>
      <c r="K354" s="23">
        <f t="shared" si="63"/>
        <v>1.76E-4</v>
      </c>
      <c r="L354" s="14">
        <f t="shared" si="64"/>
        <v>9.2359999999999994E-3</v>
      </c>
      <c r="M354" s="10">
        <f t="shared" si="65"/>
        <v>3.011564551315419</v>
      </c>
      <c r="N354" s="16">
        <f t="shared" si="66"/>
        <v>9.3493185470601807E-3</v>
      </c>
      <c r="O354" s="13">
        <f t="shared" si="67"/>
        <v>16066.9864</v>
      </c>
      <c r="P354" s="13">
        <f t="shared" ca="1" si="73"/>
        <v>16066</v>
      </c>
      <c r="Q354" s="13" t="str">
        <f t="shared" ca="1" si="68"/>
        <v>0011111011000010</v>
      </c>
      <c r="R354" s="13">
        <f t="shared" ca="1" si="69"/>
        <v>3.0122830696105956</v>
      </c>
      <c r="S354" s="13">
        <f t="shared" ca="1" si="70"/>
        <v>56.14739683532715</v>
      </c>
      <c r="T354" s="17">
        <f t="shared" ca="1" si="72"/>
        <v>1.716298614723093E-2</v>
      </c>
      <c r="U354" s="13"/>
      <c r="V354" s="14">
        <f t="shared" ca="1" si="71"/>
        <v>0.94739700000000004</v>
      </c>
      <c r="W354" s="13"/>
      <c r="X354" s="2"/>
    </row>
    <row r="355" spans="8:24" x14ac:dyDescent="0.25">
      <c r="H355" s="13">
        <v>55.300000000000004</v>
      </c>
      <c r="I355" s="13">
        <v>2.9930798013476254</v>
      </c>
      <c r="J355" s="14">
        <f t="shared" si="62"/>
        <v>-2.1999999999999999E-5</v>
      </c>
      <c r="K355" s="23">
        <f t="shared" si="63"/>
        <v>1.7699999999999999E-4</v>
      </c>
      <c r="L355" s="14">
        <f t="shared" si="64"/>
        <v>9.2669999999999992E-3</v>
      </c>
      <c r="M355" s="10">
        <f t="shared" si="65"/>
        <v>3.0211563194741928</v>
      </c>
      <c r="N355" s="16">
        <f t="shared" si="66"/>
        <v>9.3804776317444154E-3</v>
      </c>
      <c r="O355" s="13">
        <f t="shared" si="67"/>
        <v>16118.1594</v>
      </c>
      <c r="P355" s="13">
        <f t="shared" ca="1" si="73"/>
        <v>16119</v>
      </c>
      <c r="Q355" s="13" t="str">
        <f t="shared" ca="1" si="68"/>
        <v>0011111011110111</v>
      </c>
      <c r="R355" s="13">
        <f t="shared" ca="1" si="69"/>
        <v>3.0222202663421633</v>
      </c>
      <c r="S355" s="13">
        <f t="shared" ca="1" si="70"/>
        <v>56.266643196105967</v>
      </c>
      <c r="T355" s="17">
        <f t="shared" ca="1" si="72"/>
        <v>1.7479985463037303E-2</v>
      </c>
      <c r="U355" s="13"/>
      <c r="V355" s="14">
        <f t="shared" ca="1" si="71"/>
        <v>0.96664300000000003</v>
      </c>
      <c r="W355" s="13"/>
      <c r="X355" s="2"/>
    </row>
    <row r="356" spans="8:24" x14ac:dyDescent="0.25">
      <c r="H356" s="13">
        <v>55.4</v>
      </c>
      <c r="I356" s="13">
        <v>3.0018917826225207</v>
      </c>
      <c r="J356" s="14">
        <f t="shared" si="62"/>
        <v>-2.0999999999999999E-5</v>
      </c>
      <c r="K356" s="23">
        <f t="shared" si="63"/>
        <v>1.7699999999999999E-4</v>
      </c>
      <c r="L356" s="14">
        <f t="shared" si="64"/>
        <v>9.2969999999999997E-3</v>
      </c>
      <c r="M356" s="10">
        <f t="shared" si="65"/>
        <v>3.0301414686303771</v>
      </c>
      <c r="N356" s="16">
        <f t="shared" si="66"/>
        <v>9.4106277152925626E-3</v>
      </c>
      <c r="O356" s="13">
        <f t="shared" si="67"/>
        <v>16166.096100000001</v>
      </c>
      <c r="P356" s="13">
        <f t="shared" ca="1" si="73"/>
        <v>16165</v>
      </c>
      <c r="Q356" s="13" t="str">
        <f t="shared" ca="1" si="68"/>
        <v>0011111100100101</v>
      </c>
      <c r="R356" s="13">
        <f t="shared" ca="1" si="69"/>
        <v>3.0308450031280518</v>
      </c>
      <c r="S356" s="13">
        <f t="shared" ca="1" si="70"/>
        <v>56.370140037536629</v>
      </c>
      <c r="T356" s="17">
        <f t="shared" ca="1" si="72"/>
        <v>1.7511553024126904E-2</v>
      </c>
      <c r="U356" s="13"/>
      <c r="V356" s="14">
        <f t="shared" ca="1" si="71"/>
        <v>0.97014</v>
      </c>
      <c r="W356" s="13"/>
      <c r="X356" s="2"/>
    </row>
    <row r="357" spans="8:24" x14ac:dyDescent="0.25">
      <c r="H357" s="13">
        <v>55.5</v>
      </c>
      <c r="I357" s="13">
        <v>3.0113339419709608</v>
      </c>
      <c r="J357" s="14">
        <f t="shared" si="62"/>
        <v>-2.0999999999999999E-5</v>
      </c>
      <c r="K357" s="23">
        <f t="shared" si="63"/>
        <v>1.7799999999999999E-4</v>
      </c>
      <c r="L357" s="14">
        <f t="shared" si="64"/>
        <v>9.3279999999999995E-3</v>
      </c>
      <c r="M357" s="10">
        <f t="shared" si="65"/>
        <v>3.0397673507951781</v>
      </c>
      <c r="N357" s="16">
        <f t="shared" si="66"/>
        <v>9.4421307540562011E-3</v>
      </c>
      <c r="O357" s="13">
        <f t="shared" si="67"/>
        <v>16217.4511</v>
      </c>
      <c r="P357" s="13">
        <f t="shared" ca="1" si="73"/>
        <v>16220</v>
      </c>
      <c r="Q357" s="13" t="str">
        <f t="shared" ca="1" si="68"/>
        <v>0011111101011100</v>
      </c>
      <c r="R357" s="13">
        <f t="shared" ca="1" si="69"/>
        <v>3.0411571884155273</v>
      </c>
      <c r="S357" s="13">
        <f t="shared" ca="1" si="70"/>
        <v>56.493886260986329</v>
      </c>
      <c r="T357" s="17">
        <f t="shared" ca="1" si="72"/>
        <v>1.7907860558312238E-2</v>
      </c>
      <c r="U357" s="13"/>
      <c r="V357" s="14">
        <f t="shared" ca="1" si="71"/>
        <v>0.99388600000000005</v>
      </c>
      <c r="W357" s="13"/>
      <c r="X357" s="2"/>
    </row>
    <row r="358" spans="8:24" x14ac:dyDescent="0.25">
      <c r="H358" s="13">
        <v>55.6</v>
      </c>
      <c r="I358" s="13">
        <v>3.020179510867429</v>
      </c>
      <c r="J358" s="14">
        <f t="shared" si="62"/>
        <v>-2.0000000000000002E-5</v>
      </c>
      <c r="K358" s="23">
        <f t="shared" si="63"/>
        <v>1.7799999999999999E-4</v>
      </c>
      <c r="L358" s="14">
        <f t="shared" si="64"/>
        <v>9.358E-3</v>
      </c>
      <c r="M358" s="10">
        <f t="shared" si="65"/>
        <v>3.0487875217317955</v>
      </c>
      <c r="N358" s="16">
        <f t="shared" si="66"/>
        <v>9.4722882402940179E-3</v>
      </c>
      <c r="O358" s="13">
        <f t="shared" si="67"/>
        <v>16265.5746</v>
      </c>
      <c r="P358" s="13">
        <f t="shared" ca="1" si="73"/>
        <v>16267</v>
      </c>
      <c r="Q358" s="13" t="str">
        <f t="shared" ca="1" si="68"/>
        <v>0011111110001011</v>
      </c>
      <c r="R358" s="13">
        <f t="shared" ca="1" si="69"/>
        <v>3.0499694194793703</v>
      </c>
      <c r="S358" s="13">
        <f t="shared" ca="1" si="70"/>
        <v>56.599633033752447</v>
      </c>
      <c r="T358" s="17">
        <f t="shared" ca="1" si="72"/>
        <v>1.7979011398425278E-2</v>
      </c>
      <c r="U358" s="13"/>
      <c r="V358" s="14">
        <f t="shared" ca="1" si="71"/>
        <v>0.99963299999999999</v>
      </c>
      <c r="W358" s="13"/>
      <c r="X358" s="2"/>
    </row>
    <row r="359" spans="8:24" x14ac:dyDescent="0.25">
      <c r="H359" s="13">
        <v>55.7</v>
      </c>
      <c r="I359" s="13">
        <v>3.0296528355517087</v>
      </c>
      <c r="J359" s="14">
        <f t="shared" si="62"/>
        <v>-2.0000000000000002E-5</v>
      </c>
      <c r="K359" s="23">
        <f t="shared" si="63"/>
        <v>1.7899999999999999E-4</v>
      </c>
      <c r="L359" s="14">
        <f t="shared" si="64"/>
        <v>9.3889999999999998E-3</v>
      </c>
      <c r="M359" s="10">
        <f t="shared" si="65"/>
        <v>3.058446040867413</v>
      </c>
      <c r="N359" s="16">
        <f t="shared" si="66"/>
        <v>9.5037969294131872E-3</v>
      </c>
      <c r="O359" s="13">
        <f t="shared" si="67"/>
        <v>16317.1037</v>
      </c>
      <c r="P359" s="13">
        <f t="shared" ca="1" si="73"/>
        <v>16320</v>
      </c>
      <c r="Q359" s="13" t="str">
        <f t="shared" ca="1" si="68"/>
        <v>0011111111000000</v>
      </c>
      <c r="R359" s="13">
        <f t="shared" ca="1" si="69"/>
        <v>3.0599066162109376</v>
      </c>
      <c r="S359" s="13">
        <f t="shared" ca="1" si="70"/>
        <v>56.71887939453125</v>
      </c>
      <c r="T359" s="17">
        <f t="shared" ca="1" si="72"/>
        <v>1.8292269201638185E-2</v>
      </c>
      <c r="U359" s="13"/>
      <c r="V359" s="14">
        <f t="shared" ca="1" si="71"/>
        <v>1.0188790000000001</v>
      </c>
      <c r="W359" s="13"/>
      <c r="X359" s="2"/>
    </row>
    <row r="360" spans="8:24" x14ac:dyDescent="0.25">
      <c r="H360" s="13">
        <v>55.800000000000004</v>
      </c>
      <c r="I360" s="13">
        <v>3.0385315209644852</v>
      </c>
      <c r="J360" s="14">
        <f t="shared" si="62"/>
        <v>-1.9000000000000001E-5</v>
      </c>
      <c r="K360" s="23">
        <f t="shared" si="63"/>
        <v>1.7899999999999999E-4</v>
      </c>
      <c r="L360" s="14">
        <f t="shared" si="64"/>
        <v>9.4190000000000003E-3</v>
      </c>
      <c r="M360" s="10">
        <f t="shared" si="65"/>
        <v>3.0675007643620109</v>
      </c>
      <c r="N360" s="16">
        <f t="shared" si="66"/>
        <v>9.5339617830689297E-3</v>
      </c>
      <c r="O360" s="13">
        <f t="shared" si="67"/>
        <v>16365.4115</v>
      </c>
      <c r="P360" s="13">
        <f t="shared" ca="1" si="73"/>
        <v>16370</v>
      </c>
      <c r="Q360" s="13" t="str">
        <f t="shared" ca="1" si="68"/>
        <v>0011111111110010</v>
      </c>
      <c r="R360" s="13">
        <f t="shared" ca="1" si="69"/>
        <v>3.0692813301086428</v>
      </c>
      <c r="S360" s="13">
        <f t="shared" ca="1" si="70"/>
        <v>56.831375961303721</v>
      </c>
      <c r="T360" s="17">
        <f t="shared" ca="1" si="72"/>
        <v>1.8483440166733266E-2</v>
      </c>
      <c r="U360" s="13"/>
      <c r="V360" s="14">
        <f t="shared" ca="1" si="71"/>
        <v>1.0313760000000001</v>
      </c>
      <c r="W360" s="13"/>
      <c r="X360" s="2"/>
    </row>
    <row r="361" spans="8:24" x14ac:dyDescent="0.25">
      <c r="H361" s="13">
        <v>55.9</v>
      </c>
      <c r="I361" s="13">
        <v>3.0468187283966071</v>
      </c>
      <c r="J361" s="14">
        <f t="shared" si="62"/>
        <v>-1.9000000000000001E-5</v>
      </c>
      <c r="K361" s="23">
        <f t="shared" si="63"/>
        <v>1.8000000000000001E-4</v>
      </c>
      <c r="L361" s="14">
        <f t="shared" si="64"/>
        <v>9.4500000000000001E-3</v>
      </c>
      <c r="M361" s="10">
        <f t="shared" si="65"/>
        <v>3.0759630309389805</v>
      </c>
      <c r="N361" s="16">
        <f t="shared" si="66"/>
        <v>9.5654862137829477E-3</v>
      </c>
      <c r="O361" s="13">
        <f t="shared" si="67"/>
        <v>16410.558499999999</v>
      </c>
      <c r="P361" s="13">
        <f t="shared" ca="1" si="73"/>
        <v>16413</v>
      </c>
      <c r="Q361" s="13" t="str">
        <f t="shared" ca="1" si="68"/>
        <v>0100000000011101</v>
      </c>
      <c r="R361" s="13">
        <f t="shared" ca="1" si="69"/>
        <v>3.0773435840606691</v>
      </c>
      <c r="S361" s="13">
        <f t="shared" ca="1" si="70"/>
        <v>56.928123008728036</v>
      </c>
      <c r="T361" s="17">
        <f t="shared" ca="1" si="72"/>
        <v>1.8392182624830729E-2</v>
      </c>
      <c r="U361" s="13"/>
      <c r="V361" s="14">
        <f t="shared" ca="1" si="71"/>
        <v>1.0281229999999999</v>
      </c>
      <c r="W361" s="13"/>
      <c r="X361" s="2"/>
    </row>
    <row r="362" spans="8:24" x14ac:dyDescent="0.25">
      <c r="H362" s="13">
        <v>56</v>
      </c>
      <c r="I362" s="13">
        <v>3.0557322426360516</v>
      </c>
      <c r="J362" s="14">
        <f t="shared" si="62"/>
        <v>-1.8E-5</v>
      </c>
      <c r="K362" s="23">
        <f t="shared" si="63"/>
        <v>1.8000000000000001E-4</v>
      </c>
      <c r="L362" s="14">
        <f t="shared" si="64"/>
        <v>9.4800000000000006E-3</v>
      </c>
      <c r="M362" s="10">
        <f t="shared" si="65"/>
        <v>3.0850540047611879</v>
      </c>
      <c r="N362" s="16">
        <f t="shared" si="66"/>
        <v>9.5956581915179889E-3</v>
      </c>
      <c r="O362" s="13">
        <f t="shared" si="67"/>
        <v>16459.059700000002</v>
      </c>
      <c r="P362" s="13">
        <f t="shared" ca="1" si="73"/>
        <v>16463</v>
      </c>
      <c r="Q362" s="13" t="str">
        <f t="shared" ca="1" si="68"/>
        <v>0100000001001111</v>
      </c>
      <c r="R362" s="13">
        <f t="shared" ca="1" si="69"/>
        <v>3.0867182979583743</v>
      </c>
      <c r="S362" s="13">
        <f t="shared" ca="1" si="70"/>
        <v>57.040619575500493</v>
      </c>
      <c r="T362" s="17">
        <f t="shared" ca="1" si="72"/>
        <v>1.858249241965166E-2</v>
      </c>
      <c r="U362" s="13"/>
      <c r="V362" s="14">
        <f t="shared" ca="1" si="71"/>
        <v>1.0406200000000001</v>
      </c>
      <c r="W362" s="13"/>
      <c r="X362" s="2"/>
    </row>
    <row r="363" spans="8:24" x14ac:dyDescent="0.25">
      <c r="H363" s="13">
        <v>56.1</v>
      </c>
      <c r="I363" s="13">
        <v>3.0652686697723532</v>
      </c>
      <c r="J363" s="14">
        <f t="shared" si="62"/>
        <v>-1.7E-5</v>
      </c>
      <c r="K363" s="23">
        <f t="shared" si="63"/>
        <v>1.8100000000000001E-4</v>
      </c>
      <c r="L363" s="14">
        <f t="shared" si="64"/>
        <v>9.5110000000000004E-3</v>
      </c>
      <c r="M363" s="10">
        <f t="shared" si="65"/>
        <v>3.0947775473875567</v>
      </c>
      <c r="N363" s="16">
        <f t="shared" si="66"/>
        <v>9.6268486694822113E-3</v>
      </c>
      <c r="O363" s="13">
        <f t="shared" si="67"/>
        <v>16510.935799999999</v>
      </c>
      <c r="P363" s="13">
        <f t="shared" ca="1" si="73"/>
        <v>16514</v>
      </c>
      <c r="Q363" s="13" t="str">
        <f t="shared" ca="1" si="68"/>
        <v>0100000010000010</v>
      </c>
      <c r="R363" s="13">
        <f t="shared" ca="1" si="69"/>
        <v>3.0962805061340331</v>
      </c>
      <c r="S363" s="13">
        <f t="shared" ca="1" si="70"/>
        <v>57.155366073608398</v>
      </c>
      <c r="T363" s="17">
        <f t="shared" ca="1" si="72"/>
        <v>1.8812229476085508E-2</v>
      </c>
      <c r="U363" s="13"/>
      <c r="V363" s="14">
        <f t="shared" ca="1" si="71"/>
        <v>1.055366</v>
      </c>
      <c r="W363" s="13"/>
      <c r="X363" s="2"/>
    </row>
    <row r="364" spans="8:24" x14ac:dyDescent="0.25">
      <c r="H364" s="13">
        <v>56.2</v>
      </c>
      <c r="I364" s="13">
        <v>3.0742143556635417</v>
      </c>
      <c r="J364" s="14">
        <f t="shared" si="62"/>
        <v>-1.7E-5</v>
      </c>
      <c r="K364" s="23">
        <f t="shared" si="63"/>
        <v>1.8100000000000001E-4</v>
      </c>
      <c r="L364" s="14">
        <f t="shared" si="64"/>
        <v>9.5409999999999991E-3</v>
      </c>
      <c r="M364" s="10">
        <f t="shared" si="65"/>
        <v>3.1039031421649379</v>
      </c>
      <c r="N364" s="16">
        <f t="shared" si="66"/>
        <v>9.6573573169032034E-3</v>
      </c>
      <c r="O364" s="13">
        <f t="shared" si="67"/>
        <v>16559.6217</v>
      </c>
      <c r="P364" s="13">
        <f t="shared" ca="1" si="73"/>
        <v>16560</v>
      </c>
      <c r="Q364" s="13" t="str">
        <f t="shared" ca="1" si="68"/>
        <v>0100000010110000</v>
      </c>
      <c r="R364" s="13">
        <f t="shared" ca="1" si="69"/>
        <v>3.104905242919922</v>
      </c>
      <c r="S364" s="13">
        <f t="shared" ca="1" si="70"/>
        <v>57.258862915039067</v>
      </c>
      <c r="T364" s="17">
        <f t="shared" ca="1" si="72"/>
        <v>1.8840977135926414E-2</v>
      </c>
      <c r="U364" s="13"/>
      <c r="V364" s="14">
        <f t="shared" ca="1" si="71"/>
        <v>1.0588630000000001</v>
      </c>
      <c r="W364" s="13"/>
      <c r="X364" s="2"/>
    </row>
    <row r="365" spans="8:24" x14ac:dyDescent="0.25">
      <c r="H365" s="13">
        <v>56.300000000000004</v>
      </c>
      <c r="I365" s="13">
        <v>3.0837805390274355</v>
      </c>
      <c r="J365" s="14">
        <f t="shared" si="62"/>
        <v>-1.5999999999999999E-5</v>
      </c>
      <c r="K365" s="23">
        <f t="shared" si="63"/>
        <v>1.8200000000000001E-4</v>
      </c>
      <c r="L365" s="14">
        <f t="shared" si="64"/>
        <v>9.5720000000000006E-3</v>
      </c>
      <c r="M365" s="10">
        <f t="shared" si="65"/>
        <v>3.1136579174371439</v>
      </c>
      <c r="N365" s="16">
        <f t="shared" si="66"/>
        <v>9.6885553403002964E-3</v>
      </c>
      <c r="O365" s="13">
        <f t="shared" si="67"/>
        <v>16611.664400000001</v>
      </c>
      <c r="P365" s="13">
        <f t="shared" ca="1" si="73"/>
        <v>16613</v>
      </c>
      <c r="Q365" s="13" t="str">
        <f t="shared" ca="1" si="68"/>
        <v>0100000011100101</v>
      </c>
      <c r="R365" s="13">
        <f t="shared" ca="1" si="69"/>
        <v>3.1148424396514893</v>
      </c>
      <c r="S365" s="13">
        <f t="shared" ca="1" si="70"/>
        <v>57.37810927581787</v>
      </c>
      <c r="T365" s="17">
        <f t="shared" ca="1" si="72"/>
        <v>1.9149365467457651E-2</v>
      </c>
      <c r="U365" s="13"/>
      <c r="V365" s="14">
        <f t="shared" ca="1" si="71"/>
        <v>1.078109</v>
      </c>
      <c r="W365" s="13"/>
      <c r="X365" s="2"/>
    </row>
    <row r="366" spans="8:24" x14ac:dyDescent="0.25">
      <c r="H366" s="13">
        <v>56.4</v>
      </c>
      <c r="I366" s="13">
        <v>3.0927579253415729</v>
      </c>
      <c r="J366" s="14">
        <f t="shared" si="62"/>
        <v>-1.5999999999999999E-5</v>
      </c>
      <c r="K366" s="23">
        <f t="shared" si="63"/>
        <v>1.8200000000000001E-4</v>
      </c>
      <c r="L366" s="14">
        <f t="shared" si="64"/>
        <v>9.6019999999999994E-3</v>
      </c>
      <c r="M366" s="10">
        <f t="shared" si="65"/>
        <v>3.1228166539366731</v>
      </c>
      <c r="N366" s="16">
        <f t="shared" si="66"/>
        <v>9.719069296954562E-3</v>
      </c>
      <c r="O366" s="13">
        <f t="shared" si="67"/>
        <v>16660.527099999999</v>
      </c>
      <c r="P366" s="13">
        <f t="shared" ca="1" si="73"/>
        <v>16663</v>
      </c>
      <c r="Q366" s="13" t="str">
        <f t="shared" ca="1" si="68"/>
        <v>0100000100010111</v>
      </c>
      <c r="R366" s="13">
        <f t="shared" ca="1" si="69"/>
        <v>3.1242171535491945</v>
      </c>
      <c r="S366" s="13">
        <f t="shared" ca="1" si="70"/>
        <v>57.490605842590341</v>
      </c>
      <c r="T366" s="17">
        <f t="shared" ca="1" si="72"/>
        <v>1.9336983024651463E-2</v>
      </c>
      <c r="U366" s="13"/>
      <c r="V366" s="14">
        <f t="shared" ca="1" si="71"/>
        <v>1.090606</v>
      </c>
      <c r="W366" s="13"/>
      <c r="X366" s="2"/>
    </row>
    <row r="367" spans="8:24" x14ac:dyDescent="0.25">
      <c r="H367" s="13">
        <v>56.5</v>
      </c>
      <c r="I367" s="13">
        <v>3.1017515297158607</v>
      </c>
      <c r="J367" s="14">
        <f t="shared" si="62"/>
        <v>-1.5E-5</v>
      </c>
      <c r="K367" s="23">
        <f t="shared" si="63"/>
        <v>1.83E-4</v>
      </c>
      <c r="L367" s="14">
        <f t="shared" si="64"/>
        <v>9.6329999999999992E-3</v>
      </c>
      <c r="M367" s="10">
        <f t="shared" si="65"/>
        <v>3.1319944737676644</v>
      </c>
      <c r="N367" s="16">
        <f t="shared" si="66"/>
        <v>9.7502794024813978E-3</v>
      </c>
      <c r="O367" s="13">
        <f t="shared" si="67"/>
        <v>16709.491699999999</v>
      </c>
      <c r="P367" s="13">
        <f t="shared" ca="1" si="73"/>
        <v>16711</v>
      </c>
      <c r="Q367" s="13" t="str">
        <f t="shared" ca="1" si="68"/>
        <v>0100000101000111</v>
      </c>
      <c r="R367" s="13">
        <f t="shared" ca="1" si="69"/>
        <v>3.1332168788909911</v>
      </c>
      <c r="S367" s="13">
        <f t="shared" ca="1" si="70"/>
        <v>57.5986025466919</v>
      </c>
      <c r="T367" s="17">
        <f t="shared" ca="1" si="72"/>
        <v>1.9444292861803544E-2</v>
      </c>
      <c r="U367" s="13"/>
      <c r="V367" s="14">
        <f t="shared" ca="1" si="71"/>
        <v>1.098603</v>
      </c>
      <c r="W367" s="13"/>
      <c r="X367" s="2"/>
    </row>
    <row r="368" spans="8:24" x14ac:dyDescent="0.25">
      <c r="H368" s="13">
        <v>56.6</v>
      </c>
      <c r="I368" s="13">
        <v>3.1107612337243977</v>
      </c>
      <c r="J368" s="14">
        <f t="shared" si="62"/>
        <v>-1.5E-5</v>
      </c>
      <c r="K368" s="23">
        <f t="shared" si="63"/>
        <v>1.83E-4</v>
      </c>
      <c r="L368" s="14">
        <f t="shared" si="64"/>
        <v>9.6629999999999997E-3</v>
      </c>
      <c r="M368" s="10">
        <f t="shared" si="65"/>
        <v>3.1411869628928311</v>
      </c>
      <c r="N368" s="16">
        <f t="shared" si="66"/>
        <v>9.7807986156513045E-3</v>
      </c>
      <c r="O368" s="13">
        <f t="shared" si="67"/>
        <v>16758.534500000002</v>
      </c>
      <c r="P368" s="13">
        <f t="shared" ca="1" si="73"/>
        <v>16760</v>
      </c>
      <c r="Q368" s="13" t="str">
        <f t="shared" ca="1" si="68"/>
        <v>0100000101111000</v>
      </c>
      <c r="R368" s="13">
        <f t="shared" ca="1" si="69"/>
        <v>3.1424040985107422</v>
      </c>
      <c r="S368" s="13">
        <f t="shared" ca="1" si="70"/>
        <v>57.708849182128908</v>
      </c>
      <c r="T368" s="17">
        <f t="shared" ca="1" si="72"/>
        <v>1.9590974949273973E-2</v>
      </c>
      <c r="U368" s="13"/>
      <c r="V368" s="14">
        <f t="shared" ca="1" si="71"/>
        <v>1.108849</v>
      </c>
      <c r="W368" s="13"/>
      <c r="X368" s="2"/>
    </row>
    <row r="369" spans="8:24" x14ac:dyDescent="0.25">
      <c r="H369" s="13">
        <v>56.7</v>
      </c>
      <c r="I369" s="13">
        <v>3.1197869193775039</v>
      </c>
      <c r="J369" s="14">
        <f t="shared" si="62"/>
        <v>-1.4E-5</v>
      </c>
      <c r="K369" s="23">
        <f t="shared" si="63"/>
        <v>1.84E-4</v>
      </c>
      <c r="L369" s="14">
        <f t="shared" si="64"/>
        <v>9.6939999999999995E-3</v>
      </c>
      <c r="M369" s="10">
        <f t="shared" si="65"/>
        <v>3.1503983184243092</v>
      </c>
      <c r="N369" s="16">
        <f t="shared" si="66"/>
        <v>9.8120159606647946E-3</v>
      </c>
      <c r="O369" s="13">
        <f t="shared" si="67"/>
        <v>16807.677899999999</v>
      </c>
      <c r="P369" s="13">
        <f t="shared" ca="1" si="73"/>
        <v>16812</v>
      </c>
      <c r="Q369" s="13" t="str">
        <f t="shared" ca="1" si="68"/>
        <v>0100000110101100</v>
      </c>
      <c r="R369" s="13">
        <f t="shared" ca="1" si="69"/>
        <v>3.1521538009643555</v>
      </c>
      <c r="S369" s="13">
        <f t="shared" ca="1" si="70"/>
        <v>57.825845611572269</v>
      </c>
      <c r="T369" s="17">
        <f t="shared" ca="1" si="72"/>
        <v>1.9856183625613165E-2</v>
      </c>
      <c r="U369" s="13"/>
      <c r="V369" s="14">
        <f t="shared" ca="1" si="71"/>
        <v>1.1258459999999999</v>
      </c>
      <c r="W369" s="13"/>
      <c r="X369" s="2"/>
    </row>
    <row r="370" spans="8:24" x14ac:dyDescent="0.25">
      <c r="H370" s="13">
        <v>56.800000000000004</v>
      </c>
      <c r="I370" s="13">
        <v>3.1288284682977978</v>
      </c>
      <c r="J370" s="14">
        <f t="shared" si="62"/>
        <v>-1.2999999999999999E-5</v>
      </c>
      <c r="K370" s="23">
        <f t="shared" si="63"/>
        <v>1.84E-4</v>
      </c>
      <c r="L370" s="14">
        <f t="shared" si="64"/>
        <v>9.724E-3</v>
      </c>
      <c r="M370" s="10">
        <f t="shared" si="65"/>
        <v>3.1596230791272308</v>
      </c>
      <c r="N370" s="16">
        <f t="shared" si="66"/>
        <v>9.8422176675560819E-3</v>
      </c>
      <c r="O370" s="13">
        <f t="shared" si="67"/>
        <v>16856.892899999999</v>
      </c>
      <c r="P370" s="13">
        <f t="shared" ca="1" si="73"/>
        <v>16859</v>
      </c>
      <c r="Q370" s="13" t="str">
        <f t="shared" ca="1" si="68"/>
        <v>0100000111011011</v>
      </c>
      <c r="R370" s="13">
        <f t="shared" ca="1" si="69"/>
        <v>3.1609660320281985</v>
      </c>
      <c r="S370" s="13">
        <f t="shared" ca="1" si="70"/>
        <v>57.93159238433838</v>
      </c>
      <c r="T370" s="17">
        <f t="shared" ca="1" si="72"/>
        <v>1.9922401132717881E-2</v>
      </c>
      <c r="U370" s="13"/>
      <c r="V370" s="14">
        <f t="shared" ca="1" si="71"/>
        <v>1.1315919999999999</v>
      </c>
      <c r="W370" s="13"/>
      <c r="X370" s="2"/>
    </row>
    <row r="371" spans="8:24" x14ac:dyDescent="0.25">
      <c r="H371" s="13">
        <v>56.9</v>
      </c>
      <c r="I371" s="13">
        <v>3.1378857622722158</v>
      </c>
      <c r="J371" s="14">
        <f t="shared" si="62"/>
        <v>-1.2999999999999999E-5</v>
      </c>
      <c r="K371" s="23">
        <f t="shared" si="63"/>
        <v>1.85E-4</v>
      </c>
      <c r="L371" s="14">
        <f t="shared" si="64"/>
        <v>9.7549999999999998E-3</v>
      </c>
      <c r="M371" s="10">
        <f t="shared" si="65"/>
        <v>3.1688685087854176</v>
      </c>
      <c r="N371" s="16">
        <f t="shared" si="66"/>
        <v>9.8737649680294415E-3</v>
      </c>
      <c r="O371" s="13">
        <f t="shared" si="67"/>
        <v>16906.218199999999</v>
      </c>
      <c r="P371" s="13">
        <f t="shared" ca="1" si="73"/>
        <v>16905</v>
      </c>
      <c r="Q371" s="13" t="str">
        <f t="shared" ca="1" si="68"/>
        <v>0100001000001001</v>
      </c>
      <c r="R371" s="13">
        <f t="shared" ca="1" si="69"/>
        <v>3.169590768814087</v>
      </c>
      <c r="S371" s="13">
        <f t="shared" ca="1" si="70"/>
        <v>58.035089225769042</v>
      </c>
      <c r="T371" s="17">
        <f t="shared" ca="1" si="72"/>
        <v>1.9948844038120268E-2</v>
      </c>
      <c r="U371" s="13"/>
      <c r="V371" s="14">
        <f t="shared" ca="1" si="71"/>
        <v>1.135089</v>
      </c>
      <c r="W371" s="13"/>
      <c r="X371" s="2"/>
    </row>
    <row r="372" spans="8:24" x14ac:dyDescent="0.25">
      <c r="H372" s="13">
        <v>57</v>
      </c>
      <c r="I372" s="13">
        <v>3.14695868329339</v>
      </c>
      <c r="J372" s="14">
        <f t="shared" si="62"/>
        <v>-1.2E-5</v>
      </c>
      <c r="K372" s="23">
        <f t="shared" si="63"/>
        <v>1.85E-4</v>
      </c>
      <c r="L372" s="14">
        <f t="shared" si="64"/>
        <v>9.7850000000000003E-3</v>
      </c>
      <c r="M372" s="10">
        <f t="shared" si="65"/>
        <v>3.1781260794508164</v>
      </c>
      <c r="N372" s="16">
        <f t="shared" si="66"/>
        <v>9.9039737391177687E-3</v>
      </c>
      <c r="O372" s="13">
        <f t="shared" si="67"/>
        <v>16955.608199999999</v>
      </c>
      <c r="P372" s="13">
        <f t="shared" ca="1" si="73"/>
        <v>16957</v>
      </c>
      <c r="Q372" s="13" t="str">
        <f t="shared" ca="1" si="68"/>
        <v>0100001000111101</v>
      </c>
      <c r="R372" s="13">
        <f t="shared" ca="1" si="69"/>
        <v>3.1793404712677003</v>
      </c>
      <c r="S372" s="13">
        <f t="shared" ca="1" si="70"/>
        <v>58.15208565521241</v>
      </c>
      <c r="T372" s="17">
        <f t="shared" ca="1" si="72"/>
        <v>2.0212029038814212E-2</v>
      </c>
      <c r="U372" s="13"/>
      <c r="V372" s="14">
        <f t="shared" ca="1" si="71"/>
        <v>1.1520859999999999</v>
      </c>
      <c r="W372" s="13"/>
      <c r="X372" s="2"/>
    </row>
    <row r="373" spans="8:24" x14ac:dyDescent="0.25">
      <c r="H373" s="13">
        <v>57.1</v>
      </c>
      <c r="I373" s="13">
        <v>3.1560471131573693</v>
      </c>
      <c r="J373" s="14">
        <f t="shared" si="62"/>
        <v>-1.2E-5</v>
      </c>
      <c r="K373" s="23">
        <f t="shared" si="63"/>
        <v>1.8599999999999999E-4</v>
      </c>
      <c r="L373" s="14">
        <f t="shared" si="64"/>
        <v>9.8160000000000001E-3</v>
      </c>
      <c r="M373" s="10">
        <f t="shared" si="65"/>
        <v>3.1874041024995048</v>
      </c>
      <c r="N373" s="16">
        <f t="shared" si="66"/>
        <v>9.9355263777305795E-3</v>
      </c>
      <c r="O373" s="13">
        <f t="shared" si="67"/>
        <v>17005.1073</v>
      </c>
      <c r="P373" s="13">
        <f t="shared" ca="1" si="73"/>
        <v>17006</v>
      </c>
      <c r="Q373" s="13" t="str">
        <f t="shared" ca="1" si="68"/>
        <v>0100001001101110</v>
      </c>
      <c r="R373" s="13">
        <f t="shared" ca="1" si="69"/>
        <v>3.1885276908874514</v>
      </c>
      <c r="S373" s="13">
        <f t="shared" ca="1" si="70"/>
        <v>58.262332290649418</v>
      </c>
      <c r="T373" s="17">
        <f t="shared" ca="1" si="72"/>
        <v>2.0356082147975772E-2</v>
      </c>
      <c r="U373" s="13"/>
      <c r="V373" s="14">
        <f t="shared" ca="1" si="71"/>
        <v>1.1623319999999999</v>
      </c>
      <c r="W373" s="13"/>
      <c r="X373" s="2"/>
    </row>
    <row r="374" spans="8:24" x14ac:dyDescent="0.25">
      <c r="H374" s="13">
        <v>57.2</v>
      </c>
      <c r="I374" s="13">
        <v>3.1651509335489298</v>
      </c>
      <c r="J374" s="14">
        <f t="shared" si="62"/>
        <v>-1.1E-5</v>
      </c>
      <c r="K374" s="23">
        <f t="shared" si="63"/>
        <v>1.8599999999999999E-4</v>
      </c>
      <c r="L374" s="14">
        <f t="shared" si="64"/>
        <v>9.8460000000000006E-3</v>
      </c>
      <c r="M374" s="10">
        <f t="shared" si="65"/>
        <v>3.1966940117203286</v>
      </c>
      <c r="N374" s="16">
        <f t="shared" si="66"/>
        <v>9.9657421821685663E-3</v>
      </c>
      <c r="O374" s="13">
        <f t="shared" si="67"/>
        <v>17054.669900000001</v>
      </c>
      <c r="P374" s="13">
        <f t="shared" ca="1" si="73"/>
        <v>17054</v>
      </c>
      <c r="Q374" s="13" t="str">
        <f t="shared" ca="1" si="68"/>
        <v>0100001010011110</v>
      </c>
      <c r="R374" s="13">
        <f t="shared" ca="1" si="69"/>
        <v>3.197527416229248</v>
      </c>
      <c r="S374" s="13">
        <f t="shared" ca="1" si="70"/>
        <v>58.370328994750977</v>
      </c>
      <c r="T374" s="17">
        <f t="shared" ca="1" si="72"/>
        <v>2.0460297111031023E-2</v>
      </c>
      <c r="U374" s="13"/>
      <c r="V374" s="14">
        <f t="shared" ca="1" si="71"/>
        <v>1.170329</v>
      </c>
      <c r="W374" s="13"/>
      <c r="X374" s="2"/>
    </row>
    <row r="375" spans="8:24" x14ac:dyDescent="0.25">
      <c r="H375" s="13">
        <v>57.300000000000004</v>
      </c>
      <c r="I375" s="13">
        <v>3.1742700267706141</v>
      </c>
      <c r="J375" s="14">
        <f t="shared" si="62"/>
        <v>-1.1E-5</v>
      </c>
      <c r="K375" s="23">
        <f t="shared" si="63"/>
        <v>1.8699999999999999E-4</v>
      </c>
      <c r="L375" s="14">
        <f t="shared" si="64"/>
        <v>9.8770000000000004E-3</v>
      </c>
      <c r="M375" s="10">
        <f t="shared" si="65"/>
        <v>3.2060041569629374</v>
      </c>
      <c r="N375" s="16">
        <f t="shared" si="66"/>
        <v>9.9973001429271707E-3</v>
      </c>
      <c r="O375" s="13">
        <f t="shared" si="67"/>
        <v>17104.340400000001</v>
      </c>
      <c r="P375" s="13">
        <f t="shared" ca="1" si="73"/>
        <v>17108</v>
      </c>
      <c r="Q375" s="13" t="str">
        <f t="shared" ca="1" si="68"/>
        <v>0100001011010100</v>
      </c>
      <c r="R375" s="13">
        <f t="shared" ca="1" si="69"/>
        <v>3.2076521072387698</v>
      </c>
      <c r="S375" s="13">
        <f t="shared" ca="1" si="70"/>
        <v>58.491825286865236</v>
      </c>
      <c r="T375" s="17">
        <f t="shared" ca="1" si="72"/>
        <v>2.0799743226269311E-2</v>
      </c>
      <c r="U375" s="13"/>
      <c r="V375" s="14">
        <f t="shared" ca="1" si="71"/>
        <v>1.1918249999999999</v>
      </c>
      <c r="W375" s="13"/>
      <c r="X375" s="2"/>
    </row>
    <row r="376" spans="8:24" x14ac:dyDescent="0.25">
      <c r="H376" s="13">
        <v>57.4</v>
      </c>
      <c r="I376" s="13">
        <v>3.1828121805920606</v>
      </c>
      <c r="J376" s="14">
        <f t="shared" si="62"/>
        <v>-1.0000000000000001E-5</v>
      </c>
      <c r="K376" s="23">
        <f t="shared" si="63"/>
        <v>1.8699999999999999E-4</v>
      </c>
      <c r="L376" s="14">
        <f t="shared" si="64"/>
        <v>9.9069999999999991E-3</v>
      </c>
      <c r="M376" s="10">
        <f t="shared" si="65"/>
        <v>3.2147279154443682</v>
      </c>
      <c r="N376" s="16">
        <f t="shared" si="66"/>
        <v>1.0027526929462323E-2</v>
      </c>
      <c r="O376" s="13">
        <f t="shared" si="67"/>
        <v>17150.8825</v>
      </c>
      <c r="P376" s="13">
        <f t="shared" ca="1" si="73"/>
        <v>17152</v>
      </c>
      <c r="Q376" s="13" t="str">
        <f t="shared" ca="1" si="68"/>
        <v>0100001100000000</v>
      </c>
      <c r="R376" s="13">
        <f t="shared" ca="1" si="69"/>
        <v>3.2159018554687502</v>
      </c>
      <c r="S376" s="13">
        <f t="shared" ca="1" si="70"/>
        <v>58.590822265625</v>
      </c>
      <c r="T376" s="17">
        <f t="shared" ca="1" si="72"/>
        <v>2.0746032502177731E-2</v>
      </c>
      <c r="U376" s="13"/>
      <c r="V376" s="14">
        <f t="shared" ca="1" si="71"/>
        <v>1.190822</v>
      </c>
      <c r="W376" s="13"/>
      <c r="X376" s="2"/>
    </row>
    <row r="377" spans="8:24" x14ac:dyDescent="0.25">
      <c r="H377" s="13">
        <v>57.5</v>
      </c>
      <c r="I377" s="13">
        <v>3.1913715377404119</v>
      </c>
      <c r="J377" s="14">
        <f t="shared" si="62"/>
        <v>-9.0000000000000002E-6</v>
      </c>
      <c r="K377" s="23">
        <f t="shared" si="63"/>
        <v>1.8799999999999999E-4</v>
      </c>
      <c r="L377" s="14">
        <f t="shared" si="64"/>
        <v>9.9380000000000007E-3</v>
      </c>
      <c r="M377" s="10">
        <f t="shared" si="65"/>
        <v>3.2234728343643249</v>
      </c>
      <c r="N377" s="16">
        <f t="shared" si="66"/>
        <v>1.0058777627202134E-2</v>
      </c>
      <c r="O377" s="13">
        <f t="shared" si="67"/>
        <v>17197.537499999999</v>
      </c>
      <c r="P377" s="13">
        <f t="shared" ca="1" si="73"/>
        <v>17197</v>
      </c>
      <c r="Q377" s="13" t="str">
        <f t="shared" ca="1" si="68"/>
        <v>0100001100101101</v>
      </c>
      <c r="R377" s="13">
        <f t="shared" ca="1" si="69"/>
        <v>3.2243390979766846</v>
      </c>
      <c r="S377" s="13">
        <f t="shared" ca="1" si="70"/>
        <v>58.692069175720214</v>
      </c>
      <c r="T377" s="17">
        <f t="shared" ca="1" si="72"/>
        <v>2.0731637838612409E-2</v>
      </c>
      <c r="U377" s="13"/>
      <c r="V377" s="14">
        <f t="shared" ca="1" si="71"/>
        <v>1.192069</v>
      </c>
      <c r="W377" s="13"/>
      <c r="X377" s="2"/>
    </row>
    <row r="378" spans="8:24" x14ac:dyDescent="0.25">
      <c r="H378" s="13">
        <v>57.6</v>
      </c>
      <c r="I378" s="13">
        <v>3.2011278327183801</v>
      </c>
      <c r="J378" s="14">
        <f t="shared" si="62"/>
        <v>-9.0000000000000002E-6</v>
      </c>
      <c r="K378" s="23">
        <f t="shared" si="63"/>
        <v>1.8799999999999999E-4</v>
      </c>
      <c r="L378" s="14">
        <f t="shared" si="64"/>
        <v>9.9679999999999994E-3</v>
      </c>
      <c r="M378" s="10">
        <f t="shared" si="65"/>
        <v>3.2334250353265146</v>
      </c>
      <c r="N378" s="16">
        <f t="shared" si="66"/>
        <v>1.0089319857216669E-2</v>
      </c>
      <c r="O378" s="13">
        <f t="shared" si="67"/>
        <v>17250.633399999999</v>
      </c>
      <c r="P378" s="13">
        <f t="shared" ca="1" si="73"/>
        <v>17250</v>
      </c>
      <c r="Q378" s="13" t="str">
        <f t="shared" ca="1" si="68"/>
        <v>0100001101100010</v>
      </c>
      <c r="R378" s="13">
        <f t="shared" ca="1" si="69"/>
        <v>3.234276294708252</v>
      </c>
      <c r="S378" s="13">
        <f t="shared" ca="1" si="70"/>
        <v>58.811315536499031</v>
      </c>
      <c r="T378" s="17">
        <f t="shared" ca="1" si="72"/>
        <v>2.1029783619774811E-2</v>
      </c>
      <c r="U378" s="13"/>
      <c r="V378" s="14">
        <f t="shared" ca="1" si="71"/>
        <v>1.2113160000000001</v>
      </c>
      <c r="W378" s="13"/>
      <c r="X378" s="2"/>
    </row>
    <row r="379" spans="8:24" x14ac:dyDescent="0.25">
      <c r="H379" s="13">
        <v>57.7</v>
      </c>
      <c r="I379" s="13">
        <v>3.2103079184446779</v>
      </c>
      <c r="J379" s="14">
        <f t="shared" si="62"/>
        <v>-7.9999999999999996E-6</v>
      </c>
      <c r="K379" s="23">
        <f t="shared" si="63"/>
        <v>1.8900000000000001E-4</v>
      </c>
      <c r="L379" s="14">
        <f t="shared" si="64"/>
        <v>9.9989999999999992E-3</v>
      </c>
      <c r="M379" s="10">
        <f t="shared" si="65"/>
        <v>3.2427980764692941</v>
      </c>
      <c r="N379" s="16">
        <f t="shared" si="66"/>
        <v>1.0120573742457995E-2</v>
      </c>
      <c r="O379" s="13">
        <f t="shared" si="67"/>
        <v>17300.639500000001</v>
      </c>
      <c r="P379" s="13">
        <f t="shared" ca="1" si="73"/>
        <v>17302</v>
      </c>
      <c r="Q379" s="13" t="str">
        <f t="shared" ca="1" si="68"/>
        <v>0100001110010110</v>
      </c>
      <c r="R379" s="13">
        <f t="shared" ca="1" si="69"/>
        <v>3.2440259971618652</v>
      </c>
      <c r="S379" s="13">
        <f t="shared" ca="1" si="70"/>
        <v>58.928311965942385</v>
      </c>
      <c r="T379" s="17">
        <f t="shared" ca="1" si="72"/>
        <v>2.1287902356020481E-2</v>
      </c>
      <c r="U379" s="13"/>
      <c r="V379" s="14">
        <f t="shared" ca="1" si="71"/>
        <v>1.2283120000000001</v>
      </c>
      <c r="W379" s="13"/>
      <c r="X379" s="2"/>
    </row>
    <row r="380" spans="8:24" x14ac:dyDescent="0.25">
      <c r="H380" s="13">
        <v>57.800000000000004</v>
      </c>
      <c r="I380" s="13">
        <v>3.2189149194162185</v>
      </c>
      <c r="J380" s="14">
        <f t="shared" si="62"/>
        <v>-7.9999999999999996E-6</v>
      </c>
      <c r="K380" s="23">
        <f t="shared" si="63"/>
        <v>1.8900000000000001E-4</v>
      </c>
      <c r="L380" s="14">
        <f t="shared" si="64"/>
        <v>1.0029E-2</v>
      </c>
      <c r="M380" s="10">
        <f t="shared" si="65"/>
        <v>3.2515905392523803</v>
      </c>
      <c r="N380" s="16">
        <f t="shared" si="66"/>
        <v>1.0151128766736022E-2</v>
      </c>
      <c r="O380" s="13">
        <f t="shared" si="67"/>
        <v>17347.548200000001</v>
      </c>
      <c r="P380" s="13">
        <f t="shared" ca="1" si="73"/>
        <v>17349</v>
      </c>
      <c r="Q380" s="13" t="str">
        <f t="shared" ca="1" si="68"/>
        <v>0100001111000101</v>
      </c>
      <c r="R380" s="13">
        <f t="shared" ca="1" si="69"/>
        <v>3.2528382282257082</v>
      </c>
      <c r="S380" s="13">
        <f t="shared" ca="1" si="70"/>
        <v>59.034058738708502</v>
      </c>
      <c r="T380" s="17">
        <f t="shared" ca="1" si="72"/>
        <v>2.1350497209489585E-2</v>
      </c>
      <c r="U380" s="13"/>
      <c r="V380" s="14">
        <f t="shared" ca="1" si="71"/>
        <v>1.234059</v>
      </c>
      <c r="W380" s="13"/>
      <c r="X380" s="2"/>
    </row>
    <row r="381" spans="8:24" x14ac:dyDescent="0.25">
      <c r="H381" s="13">
        <v>57.9</v>
      </c>
      <c r="I381" s="13">
        <v>3.228125332230328</v>
      </c>
      <c r="J381" s="14">
        <f t="shared" si="62"/>
        <v>-6.9999999999999999E-6</v>
      </c>
      <c r="K381" s="23">
        <f t="shared" si="63"/>
        <v>1.9000000000000001E-4</v>
      </c>
      <c r="L381" s="14">
        <f t="shared" si="64"/>
        <v>1.0059999999999999E-2</v>
      </c>
      <c r="M381" s="10">
        <f t="shared" si="65"/>
        <v>3.2609953620929835</v>
      </c>
      <c r="N381" s="16">
        <f t="shared" si="66"/>
        <v>1.0182389616187964E-2</v>
      </c>
      <c r="O381" s="13">
        <f t="shared" si="67"/>
        <v>17397.7238</v>
      </c>
      <c r="P381" s="13">
        <f t="shared" ca="1" si="73"/>
        <v>17398</v>
      </c>
      <c r="Q381" s="13" t="str">
        <f t="shared" ca="1" si="68"/>
        <v>0100001111110110</v>
      </c>
      <c r="R381" s="13">
        <f t="shared" ca="1" si="69"/>
        <v>3.2620254478454589</v>
      </c>
      <c r="S381" s="13">
        <f t="shared" ca="1" si="70"/>
        <v>59.14430537414551</v>
      </c>
      <c r="T381" s="17">
        <f t="shared" ca="1" si="72"/>
        <v>2.1490593681269633E-2</v>
      </c>
      <c r="U381" s="13"/>
      <c r="V381" s="14">
        <f t="shared" ca="1" si="71"/>
        <v>1.244305</v>
      </c>
      <c r="W381" s="13"/>
      <c r="X381" s="2"/>
    </row>
    <row r="382" spans="8:24" x14ac:dyDescent="0.25">
      <c r="H382" s="13">
        <v>58</v>
      </c>
      <c r="I382" s="13">
        <v>3.2373501916698966</v>
      </c>
      <c r="J382" s="14">
        <f t="shared" si="62"/>
        <v>-6.9999999999999999E-6</v>
      </c>
      <c r="K382" s="23">
        <f t="shared" si="63"/>
        <v>1.9000000000000001E-4</v>
      </c>
      <c r="L382" s="14">
        <f t="shared" si="64"/>
        <v>1.009E-2</v>
      </c>
      <c r="M382" s="10">
        <f t="shared" si="65"/>
        <v>3.270413074370293</v>
      </c>
      <c r="N382" s="16">
        <f t="shared" si="66"/>
        <v>1.0212946003021662E-2</v>
      </c>
      <c r="O382" s="13">
        <f t="shared" si="67"/>
        <v>17447.968199999999</v>
      </c>
      <c r="P382" s="13">
        <f t="shared" ca="1" si="73"/>
        <v>17449</v>
      </c>
      <c r="Q382" s="13" t="str">
        <f t="shared" ca="1" si="68"/>
        <v>0100010000101001</v>
      </c>
      <c r="R382" s="13">
        <f t="shared" ca="1" si="69"/>
        <v>3.2715876560211181</v>
      </c>
      <c r="S382" s="13">
        <f t="shared" ca="1" si="70"/>
        <v>59.259051872253416</v>
      </c>
      <c r="T382" s="17">
        <f t="shared" ca="1" si="72"/>
        <v>2.170779090092096E-2</v>
      </c>
      <c r="U382" s="13"/>
      <c r="V382" s="14">
        <f t="shared" ca="1" si="71"/>
        <v>1.2590520000000001</v>
      </c>
      <c r="W382" s="13"/>
      <c r="X382" s="2"/>
    </row>
    <row r="383" spans="8:24" x14ac:dyDescent="0.25">
      <c r="H383" s="13">
        <v>58.1</v>
      </c>
      <c r="I383" s="13">
        <v>3.2460048509232458</v>
      </c>
      <c r="J383" s="14">
        <f t="shared" si="62"/>
        <v>-6.0000000000000002E-6</v>
      </c>
      <c r="K383" s="23">
        <f t="shared" si="63"/>
        <v>1.9100000000000001E-4</v>
      </c>
      <c r="L383" s="14">
        <f t="shared" si="64"/>
        <v>1.0121E-2</v>
      </c>
      <c r="M383" s="10">
        <f t="shared" si="65"/>
        <v>3.2792576303823457</v>
      </c>
      <c r="N383" s="16">
        <f t="shared" si="66"/>
        <v>1.0244217426120623E-2</v>
      </c>
      <c r="O383" s="13">
        <f t="shared" si="67"/>
        <v>17495.1548</v>
      </c>
      <c r="P383" s="13">
        <f t="shared" ca="1" si="73"/>
        <v>17496</v>
      </c>
      <c r="Q383" s="13" t="str">
        <f t="shared" ca="1" si="68"/>
        <v>0100010001011000</v>
      </c>
      <c r="R383" s="13">
        <f t="shared" ca="1" si="69"/>
        <v>3.2803998870849611</v>
      </c>
      <c r="S383" s="13">
        <f t="shared" ca="1" si="70"/>
        <v>59.36479864501954</v>
      </c>
      <c r="T383" s="17">
        <f t="shared" ca="1" si="72"/>
        <v>2.1769339845430963E-2</v>
      </c>
      <c r="U383" s="13"/>
      <c r="V383" s="14">
        <f t="shared" ca="1" si="71"/>
        <v>1.264799</v>
      </c>
      <c r="W383" s="13"/>
      <c r="X383" s="2"/>
    </row>
    <row r="384" spans="8:24" x14ac:dyDescent="0.25">
      <c r="H384" s="13">
        <v>58.2</v>
      </c>
      <c r="I384" s="13">
        <v>3.2552593283711344</v>
      </c>
      <c r="J384" s="14">
        <f t="shared" si="62"/>
        <v>-5.0000000000000004E-6</v>
      </c>
      <c r="K384" s="23">
        <f t="shared" si="63"/>
        <v>1.9100000000000001E-4</v>
      </c>
      <c r="L384" s="14">
        <f t="shared" si="64"/>
        <v>1.0151E-2</v>
      </c>
      <c r="M384" s="10">
        <f t="shared" si="65"/>
        <v>3.2887053880067914</v>
      </c>
      <c r="N384" s="16">
        <f t="shared" si="66"/>
        <v>1.0274468563582205E-2</v>
      </c>
      <c r="O384" s="13">
        <f t="shared" si="67"/>
        <v>17545.559399999998</v>
      </c>
      <c r="P384" s="13">
        <f t="shared" ca="1" si="73"/>
        <v>17546</v>
      </c>
      <c r="Q384" s="13" t="str">
        <f t="shared" ca="1" si="68"/>
        <v>0100010010001010</v>
      </c>
      <c r="R384" s="13">
        <f t="shared" ca="1" si="69"/>
        <v>3.2897746009826663</v>
      </c>
      <c r="S384" s="13">
        <f t="shared" ca="1" si="70"/>
        <v>59.477295211791997</v>
      </c>
      <c r="T384" s="17">
        <f t="shared" ca="1" si="72"/>
        <v>2.1946653123573783E-2</v>
      </c>
      <c r="U384" s="13"/>
      <c r="V384" s="14">
        <f t="shared" ca="1" si="71"/>
        <v>1.2772950000000001</v>
      </c>
      <c r="W384" s="13"/>
      <c r="X384" s="2"/>
    </row>
    <row r="385" spans="8:24" x14ac:dyDescent="0.25">
      <c r="H385" s="13">
        <v>58.300000000000004</v>
      </c>
      <c r="I385" s="13">
        <v>3.2639455255661001</v>
      </c>
      <c r="J385" s="14">
        <f t="shared" si="62"/>
        <v>-5.0000000000000004E-6</v>
      </c>
      <c r="K385" s="23">
        <f t="shared" si="63"/>
        <v>1.92E-4</v>
      </c>
      <c r="L385" s="14">
        <f t="shared" si="64"/>
        <v>1.0182E-2</v>
      </c>
      <c r="M385" s="10">
        <f t="shared" si="65"/>
        <v>3.2975839346325286</v>
      </c>
      <c r="N385" s="16">
        <f t="shared" si="66"/>
        <v>1.0306057133289413E-2</v>
      </c>
      <c r="O385" s="13">
        <f t="shared" si="67"/>
        <v>17592.927299999999</v>
      </c>
      <c r="P385" s="13">
        <f t="shared" ca="1" si="73"/>
        <v>17594</v>
      </c>
      <c r="Q385" s="13" t="str">
        <f t="shared" ca="1" si="68"/>
        <v>0100010010111010</v>
      </c>
      <c r="R385" s="13">
        <f t="shared" ca="1" si="69"/>
        <v>3.2987743263244629</v>
      </c>
      <c r="S385" s="13">
        <f t="shared" ca="1" si="70"/>
        <v>59.585291915893556</v>
      </c>
      <c r="T385" s="17">
        <f t="shared" ca="1" si="72"/>
        <v>2.204617351446916E-2</v>
      </c>
      <c r="U385" s="13"/>
      <c r="V385" s="14">
        <f t="shared" ca="1" si="71"/>
        <v>1.2852920000000001</v>
      </c>
      <c r="W385" s="13"/>
      <c r="X385" s="2"/>
    </row>
    <row r="386" spans="8:24" x14ac:dyDescent="0.25">
      <c r="H386" s="13">
        <v>58.400000000000006</v>
      </c>
      <c r="I386" s="13">
        <v>3.2732291485541976</v>
      </c>
      <c r="J386" s="14">
        <f t="shared" si="62"/>
        <v>-3.9999999999999998E-6</v>
      </c>
      <c r="K386" s="23">
        <f t="shared" si="63"/>
        <v>1.92E-4</v>
      </c>
      <c r="L386" s="14">
        <f t="shared" si="64"/>
        <v>1.0212000000000001E-2</v>
      </c>
      <c r="M386" s="10">
        <f t="shared" si="65"/>
        <v>3.3070622762229869</v>
      </c>
      <c r="N386" s="16">
        <f t="shared" si="66"/>
        <v>1.0336315037318298E-2</v>
      </c>
      <c r="O386" s="13">
        <f t="shared" si="67"/>
        <v>17643.495200000001</v>
      </c>
      <c r="P386" s="13">
        <f t="shared" ca="1" si="73"/>
        <v>17642</v>
      </c>
      <c r="Q386" s="13" t="str">
        <f t="shared" ca="1" si="68"/>
        <v>0100010011101010</v>
      </c>
      <c r="R386" s="13">
        <f t="shared" ca="1" si="69"/>
        <v>3.3077740516662599</v>
      </c>
      <c r="S386" s="13">
        <f t="shared" ca="1" si="70"/>
        <v>59.693288619995123</v>
      </c>
      <c r="T386" s="17">
        <f t="shared" ca="1" si="72"/>
        <v>2.2145353082108167E-2</v>
      </c>
      <c r="U386" s="13"/>
      <c r="V386" s="14">
        <f t="shared" ca="1" si="71"/>
        <v>1.2932889999999999</v>
      </c>
      <c r="W386" s="13"/>
      <c r="X386" s="2"/>
    </row>
    <row r="387" spans="8:24" x14ac:dyDescent="0.25">
      <c r="H387" s="13">
        <v>58.5</v>
      </c>
      <c r="I387" s="13">
        <v>3.2819464085549006</v>
      </c>
      <c r="J387" s="14">
        <f t="shared" ref="J387:J450" si="74">ROUND(H387*0.00000575 -0.00034,6)</f>
        <v>-3.9999999999999998E-6</v>
      </c>
      <c r="K387" s="23">
        <f t="shared" ref="K387:K450" si="75">ROUND(H387*0.000005-0.0001,6)</f>
        <v>1.93E-4</v>
      </c>
      <c r="L387" s="14">
        <f t="shared" ref="L387:L450" si="76">ROUND(K387+($C$24*(H387-25)),6)</f>
        <v>1.0243E-2</v>
      </c>
      <c r="M387" s="10">
        <f t="shared" ref="M387:M450" si="77">(I387-J387)/(1-L387)+$C$26+$D$27</f>
        <v>3.3159733292726403</v>
      </c>
      <c r="N387" s="16">
        <f t="shared" ref="N387:N450" si="78">ABS(I387-M387)/I387</f>
        <v>1.0367908698643978E-2</v>
      </c>
      <c r="O387" s="13">
        <f t="shared" ref="O387:O450" si="79">ROUND((M387*(2^($C$12-1)))/$C$44,4)</f>
        <v>17691.036499999998</v>
      </c>
      <c r="P387" s="13">
        <f t="shared" ca="1" si="73"/>
        <v>17690</v>
      </c>
      <c r="Q387" s="13" t="str">
        <f t="shared" ref="Q387:Q450" ca="1" si="80">_xlfn.BASE(IF(P387&lt;0, P387+2^($C$12)-1, P387), 2, 16)</f>
        <v>0100010100011010</v>
      </c>
      <c r="R387" s="13">
        <f t="shared" ref="R387:R450" ca="1" si="81">($C$16/2^($C$12-1)) * P387</f>
        <v>3.3167737770080565</v>
      </c>
      <c r="S387" s="13">
        <f t="shared" ref="S387:S450" ca="1" si="82">(R387+5/3)/(1/12)</f>
        <v>59.801285324096682</v>
      </c>
      <c r="T387" s="17">
        <f t="shared" ca="1" si="72"/>
        <v>2.2244193574302257E-2</v>
      </c>
      <c r="U387" s="13"/>
      <c r="V387" s="14">
        <f t="shared" ref="V387:V450" ca="1" si="83">ROUND(ABS(H387-S387),6)</f>
        <v>1.301285</v>
      </c>
      <c r="W387" s="13"/>
      <c r="X387" s="2"/>
    </row>
    <row r="388" spans="8:24" x14ac:dyDescent="0.25">
      <c r="H388" s="13">
        <v>58.6</v>
      </c>
      <c r="I388" s="13">
        <v>3.2906795601048691</v>
      </c>
      <c r="J388" s="14">
        <f t="shared" si="74"/>
        <v>-3.0000000000000001E-6</v>
      </c>
      <c r="K388" s="23">
        <f t="shared" si="75"/>
        <v>1.93E-4</v>
      </c>
      <c r="L388" s="14">
        <f t="shared" si="76"/>
        <v>1.0272999999999999E-2</v>
      </c>
      <c r="M388" s="10">
        <f t="shared" si="77"/>
        <v>3.324896627323362</v>
      </c>
      <c r="N388" s="16">
        <f t="shared" si="78"/>
        <v>1.0398176605625644E-2</v>
      </c>
      <c r="O388" s="13">
        <f t="shared" si="79"/>
        <v>17738.643199999999</v>
      </c>
      <c r="P388" s="13">
        <f t="shared" ca="1" si="73"/>
        <v>17743</v>
      </c>
      <c r="Q388" s="13" t="str">
        <f t="shared" ca="1" si="80"/>
        <v>0100010101001111</v>
      </c>
      <c r="R388" s="13">
        <f t="shared" ca="1" si="81"/>
        <v>3.3267109737396239</v>
      </c>
      <c r="S388" s="13">
        <f t="shared" ca="1" si="82"/>
        <v>59.920531684875485</v>
      </c>
      <c r="T388" s="17">
        <f t="shared" ref="T388:T451" ca="1" si="84">ABS(H388-S388)/H388</f>
        <v>2.253467039036661E-2</v>
      </c>
      <c r="U388" s="13"/>
      <c r="V388" s="14">
        <f t="shared" ca="1" si="83"/>
        <v>1.320532</v>
      </c>
      <c r="W388" s="13"/>
      <c r="X388" s="2"/>
    </row>
    <row r="389" spans="8:24" x14ac:dyDescent="0.25">
      <c r="H389" s="13">
        <v>58.7</v>
      </c>
      <c r="I389" s="13">
        <v>3.3005846247634762</v>
      </c>
      <c r="J389" s="14">
        <f t="shared" si="74"/>
        <v>-1.9999999999999999E-6</v>
      </c>
      <c r="K389" s="23">
        <f t="shared" si="75"/>
        <v>1.94E-4</v>
      </c>
      <c r="L389" s="14">
        <f t="shared" si="76"/>
        <v>1.0304000000000001E-2</v>
      </c>
      <c r="M389" s="10">
        <f t="shared" si="77"/>
        <v>3.3350079490383675</v>
      </c>
      <c r="N389" s="16">
        <f t="shared" si="78"/>
        <v>1.0429462712945307E-2</v>
      </c>
      <c r="O389" s="13">
        <f t="shared" si="79"/>
        <v>17792.588100000001</v>
      </c>
      <c r="P389" s="13">
        <f t="shared" ca="1" si="73"/>
        <v>17792</v>
      </c>
      <c r="Q389" s="13" t="str">
        <f t="shared" ca="1" si="80"/>
        <v>0100010110000000</v>
      </c>
      <c r="R389" s="13">
        <f t="shared" ca="1" si="81"/>
        <v>3.335898193359375</v>
      </c>
      <c r="S389" s="13">
        <f t="shared" ca="1" si="82"/>
        <v>60.030778320312507</v>
      </c>
      <c r="T389" s="17">
        <f t="shared" ca="1" si="84"/>
        <v>2.2670840209753049E-2</v>
      </c>
      <c r="U389" s="13"/>
      <c r="V389" s="14">
        <f t="shared" ca="1" si="83"/>
        <v>1.330778</v>
      </c>
      <c r="W389" s="13"/>
      <c r="X389" s="2"/>
    </row>
    <row r="390" spans="8:24" x14ac:dyDescent="0.25">
      <c r="H390" s="13">
        <v>58.800000000000004</v>
      </c>
      <c r="I390" s="13">
        <v>3.3093470519507711</v>
      </c>
      <c r="J390" s="14">
        <f t="shared" si="74"/>
        <v>-1.9999999999999999E-6</v>
      </c>
      <c r="K390" s="23">
        <f t="shared" si="75"/>
        <v>1.94E-4</v>
      </c>
      <c r="L390" s="14">
        <f t="shared" si="76"/>
        <v>1.0333999999999999E-2</v>
      </c>
      <c r="M390" s="10">
        <f t="shared" si="77"/>
        <v>3.3439629658680512</v>
      </c>
      <c r="N390" s="16">
        <f t="shared" si="78"/>
        <v>1.0460043438742694E-2</v>
      </c>
      <c r="O390" s="13">
        <f t="shared" si="79"/>
        <v>17840.3639</v>
      </c>
      <c r="P390" s="13">
        <f t="shared" ca="1" si="73"/>
        <v>17841</v>
      </c>
      <c r="Q390" s="13" t="str">
        <f t="shared" ca="1" si="80"/>
        <v>0100010110110001</v>
      </c>
      <c r="R390" s="13">
        <f t="shared" ca="1" si="81"/>
        <v>3.3450854129791261</v>
      </c>
      <c r="S390" s="13">
        <f t="shared" ca="1" si="82"/>
        <v>60.141024955749515</v>
      </c>
      <c r="T390" s="17">
        <f t="shared" ca="1" si="84"/>
        <v>2.2806546866488274E-2</v>
      </c>
      <c r="U390" s="13"/>
      <c r="V390" s="14">
        <f t="shared" ca="1" si="83"/>
        <v>1.3410249999999999</v>
      </c>
      <c r="W390" s="13"/>
      <c r="X390" s="2"/>
    </row>
    <row r="391" spans="8:24" x14ac:dyDescent="0.25">
      <c r="H391" s="13">
        <v>58.900000000000006</v>
      </c>
      <c r="I391" s="13">
        <v>3.3175490907530567</v>
      </c>
      <c r="J391" s="14">
        <f t="shared" si="74"/>
        <v>-9.9999999999999995E-7</v>
      </c>
      <c r="K391" s="23">
        <f t="shared" si="75"/>
        <v>1.95E-4</v>
      </c>
      <c r="L391" s="14">
        <f t="shared" si="76"/>
        <v>1.0364999999999999E-2</v>
      </c>
      <c r="M391" s="10">
        <f t="shared" si="77"/>
        <v>3.3523546454834934</v>
      </c>
      <c r="N391" s="16">
        <f t="shared" si="78"/>
        <v>1.0491345803276748E-2</v>
      </c>
      <c r="O391" s="13">
        <f t="shared" si="79"/>
        <v>17885.134399999999</v>
      </c>
      <c r="P391" s="13">
        <f t="shared" ca="1" si="73"/>
        <v>17888</v>
      </c>
      <c r="Q391" s="13" t="str">
        <f t="shared" ca="1" si="80"/>
        <v>0100010111100000</v>
      </c>
      <c r="R391" s="13">
        <f t="shared" ca="1" si="81"/>
        <v>3.3538976440429686</v>
      </c>
      <c r="S391" s="13">
        <f t="shared" ca="1" si="82"/>
        <v>60.246771728515625</v>
      </c>
      <c r="T391" s="17">
        <f t="shared" ca="1" si="84"/>
        <v>2.2865394372081828E-2</v>
      </c>
      <c r="U391" s="13"/>
      <c r="V391" s="14">
        <f t="shared" ca="1" si="83"/>
        <v>1.3467720000000001</v>
      </c>
      <c r="W391" s="13"/>
      <c r="X391" s="2"/>
    </row>
    <row r="392" spans="8:24" x14ac:dyDescent="0.25">
      <c r="H392" s="13">
        <v>59</v>
      </c>
      <c r="I392" s="13">
        <v>3.3263435416829235</v>
      </c>
      <c r="J392" s="14">
        <f t="shared" si="74"/>
        <v>-9.9999999999999995E-7</v>
      </c>
      <c r="K392" s="23">
        <f t="shared" si="75"/>
        <v>1.95E-4</v>
      </c>
      <c r="L392" s="14">
        <f t="shared" si="76"/>
        <v>1.0395E-2</v>
      </c>
      <c r="M392" s="10">
        <f t="shared" si="77"/>
        <v>3.3613431003005481</v>
      </c>
      <c r="N392" s="16">
        <f t="shared" si="78"/>
        <v>1.0521931417798475E-2</v>
      </c>
      <c r="O392" s="13">
        <f t="shared" si="79"/>
        <v>17933.088599999999</v>
      </c>
      <c r="P392" s="13">
        <f t="shared" ca="1" si="73"/>
        <v>17936</v>
      </c>
      <c r="Q392" s="13" t="str">
        <f t="shared" ca="1" si="80"/>
        <v>0100011000010000</v>
      </c>
      <c r="R392" s="13">
        <f t="shared" ca="1" si="81"/>
        <v>3.3628973693847657</v>
      </c>
      <c r="S392" s="13">
        <f t="shared" ca="1" si="82"/>
        <v>60.354768432617192</v>
      </c>
      <c r="T392" s="17">
        <f t="shared" ca="1" si="84"/>
        <v>2.29621768240202E-2</v>
      </c>
      <c r="U392" s="13"/>
      <c r="V392" s="14">
        <f t="shared" ca="1" si="83"/>
        <v>1.354768</v>
      </c>
      <c r="W392" s="13"/>
      <c r="X392" s="2"/>
    </row>
    <row r="393" spans="8:24" x14ac:dyDescent="0.25">
      <c r="H393" s="13">
        <v>59.1</v>
      </c>
      <c r="I393" s="13">
        <v>3.3357270670114505</v>
      </c>
      <c r="J393" s="14">
        <f t="shared" si="74"/>
        <v>0</v>
      </c>
      <c r="K393" s="23">
        <f t="shared" si="75"/>
        <v>1.9599999999999999E-4</v>
      </c>
      <c r="L393" s="14">
        <f t="shared" si="76"/>
        <v>1.0426E-2</v>
      </c>
      <c r="M393" s="10">
        <f t="shared" si="77"/>
        <v>3.3709297761495862</v>
      </c>
      <c r="N393" s="16">
        <f t="shared" si="78"/>
        <v>1.0553234251768262E-2</v>
      </c>
      <c r="O393" s="13">
        <f t="shared" si="79"/>
        <v>17984.234499999999</v>
      </c>
      <c r="P393" s="13">
        <f t="shared" ca="1" si="73"/>
        <v>17983</v>
      </c>
      <c r="Q393" s="13" t="str">
        <f t="shared" ca="1" si="80"/>
        <v>0100011000111111</v>
      </c>
      <c r="R393" s="13">
        <f t="shared" ca="1" si="81"/>
        <v>3.3717096004486087</v>
      </c>
      <c r="S393" s="13">
        <f t="shared" ca="1" si="82"/>
        <v>60.460515205383302</v>
      </c>
      <c r="T393" s="17">
        <f t="shared" ca="1" si="84"/>
        <v>2.3020561850817276E-2</v>
      </c>
      <c r="U393" s="13"/>
      <c r="V393" s="14">
        <f t="shared" ca="1" si="83"/>
        <v>1.3605149999999999</v>
      </c>
      <c r="W393" s="13"/>
      <c r="X393" s="2"/>
    </row>
    <row r="394" spans="8:24" x14ac:dyDescent="0.25">
      <c r="H394" s="13">
        <v>59.2</v>
      </c>
      <c r="I394" s="13">
        <v>3.3445509197426269</v>
      </c>
      <c r="J394" s="14">
        <f t="shared" si="74"/>
        <v>0</v>
      </c>
      <c r="K394" s="23">
        <f t="shared" si="75"/>
        <v>1.9599999999999999E-4</v>
      </c>
      <c r="L394" s="14">
        <f t="shared" si="76"/>
        <v>1.0456E-2</v>
      </c>
      <c r="M394" s="10">
        <f t="shared" si="77"/>
        <v>3.3799490606730243</v>
      </c>
      <c r="N394" s="16">
        <f t="shared" si="78"/>
        <v>1.0583824788387848E-2</v>
      </c>
      <c r="O394" s="13">
        <f t="shared" si="79"/>
        <v>18032.353200000001</v>
      </c>
      <c r="P394" s="13">
        <f t="shared" ca="1" si="73"/>
        <v>18031</v>
      </c>
      <c r="Q394" s="13" t="str">
        <f t="shared" ca="1" si="80"/>
        <v>0100011001101111</v>
      </c>
      <c r="R394" s="13">
        <f t="shared" ca="1" si="81"/>
        <v>3.3807093257904053</v>
      </c>
      <c r="S394" s="13">
        <f t="shared" ca="1" si="82"/>
        <v>60.568511909484862</v>
      </c>
      <c r="T394" s="17">
        <f t="shared" ca="1" si="84"/>
        <v>2.3116755227784776E-2</v>
      </c>
      <c r="U394" s="13"/>
      <c r="V394" s="14">
        <f t="shared" ca="1" si="83"/>
        <v>1.368512</v>
      </c>
      <c r="W394" s="13"/>
      <c r="X394" s="2"/>
    </row>
    <row r="395" spans="8:24" x14ac:dyDescent="0.25">
      <c r="H395" s="13">
        <v>59.300000000000004</v>
      </c>
      <c r="I395" s="13">
        <v>3.3533898315863406</v>
      </c>
      <c r="J395" s="14">
        <f t="shared" si="74"/>
        <v>9.9999999999999995E-7</v>
      </c>
      <c r="K395" s="23">
        <f t="shared" si="75"/>
        <v>1.9699999999999999E-4</v>
      </c>
      <c r="L395" s="14">
        <f t="shared" si="76"/>
        <v>1.0487E-2</v>
      </c>
      <c r="M395" s="10">
        <f t="shared" si="77"/>
        <v>3.3889865250283124</v>
      </c>
      <c r="N395" s="16">
        <f t="shared" si="78"/>
        <v>1.0615137287850778E-2</v>
      </c>
      <c r="O395" s="13">
        <f t="shared" si="79"/>
        <v>18080.569</v>
      </c>
      <c r="P395" s="13">
        <f t="shared" ca="1" si="73"/>
        <v>18083</v>
      </c>
      <c r="Q395" s="13" t="str">
        <f t="shared" ca="1" si="80"/>
        <v>0100011010100011</v>
      </c>
      <c r="R395" s="13">
        <f t="shared" ca="1" si="81"/>
        <v>3.3904590282440186</v>
      </c>
      <c r="S395" s="13">
        <f t="shared" ca="1" si="82"/>
        <v>60.68550833892823</v>
      </c>
      <c r="T395" s="17">
        <f t="shared" ca="1" si="84"/>
        <v>2.3364390201150515E-2</v>
      </c>
      <c r="U395" s="13"/>
      <c r="V395" s="14">
        <f t="shared" ca="1" si="83"/>
        <v>1.385508</v>
      </c>
      <c r="W395" s="13"/>
      <c r="X395" s="2"/>
    </row>
    <row r="396" spans="8:24" x14ac:dyDescent="0.25">
      <c r="H396" s="13">
        <v>59.400000000000006</v>
      </c>
      <c r="I396" s="13">
        <v>3.3622436835188023</v>
      </c>
      <c r="J396" s="14">
        <f t="shared" si="74"/>
        <v>1.9999999999999999E-6</v>
      </c>
      <c r="K396" s="23">
        <f t="shared" si="75"/>
        <v>1.9699999999999999E-4</v>
      </c>
      <c r="L396" s="14">
        <f t="shared" si="76"/>
        <v>1.0517E-2</v>
      </c>
      <c r="M396" s="10">
        <f t="shared" si="77"/>
        <v>3.3980362204634162</v>
      </c>
      <c r="N396" s="16">
        <f t="shared" si="78"/>
        <v>1.064543213213944E-2</v>
      </c>
      <c r="O396" s="13">
        <f t="shared" si="79"/>
        <v>18128.849900000001</v>
      </c>
      <c r="P396" s="13">
        <f t="shared" ca="1" si="73"/>
        <v>18133</v>
      </c>
      <c r="Q396" s="13" t="str">
        <f t="shared" ca="1" si="80"/>
        <v>0100011011010101</v>
      </c>
      <c r="R396" s="13">
        <f t="shared" ca="1" si="81"/>
        <v>3.3998337421417237</v>
      </c>
      <c r="S396" s="13">
        <f t="shared" ca="1" si="82"/>
        <v>60.798004905700687</v>
      </c>
      <c r="T396" s="17">
        <f t="shared" ca="1" si="84"/>
        <v>2.3535436122907084E-2</v>
      </c>
      <c r="U396" s="13"/>
      <c r="V396" s="14">
        <f t="shared" ca="1" si="83"/>
        <v>1.3980049999999999</v>
      </c>
      <c r="W396" s="13"/>
      <c r="X396" s="2"/>
    </row>
    <row r="397" spans="8:24" x14ac:dyDescent="0.25">
      <c r="H397" s="13">
        <v>59.5</v>
      </c>
      <c r="I397" s="13">
        <v>3.3711123568478181</v>
      </c>
      <c r="J397" s="14">
        <f t="shared" si="74"/>
        <v>1.9999999999999999E-6</v>
      </c>
      <c r="K397" s="23">
        <f t="shared" si="75"/>
        <v>1.9799999999999999E-4</v>
      </c>
      <c r="L397" s="14">
        <f t="shared" si="76"/>
        <v>1.0548E-2</v>
      </c>
      <c r="M397" s="10">
        <f t="shared" si="77"/>
        <v>3.4071058980767317</v>
      </c>
      <c r="N397" s="16">
        <f t="shared" si="78"/>
        <v>1.0677051791465544E-2</v>
      </c>
      <c r="O397" s="13">
        <f t="shared" si="79"/>
        <v>18177.2376</v>
      </c>
      <c r="P397" s="13">
        <f t="shared" ca="1" si="73"/>
        <v>18176</v>
      </c>
      <c r="Q397" s="13" t="str">
        <f t="shared" ca="1" si="80"/>
        <v>0100011100000000</v>
      </c>
      <c r="R397" s="13">
        <f t="shared" ca="1" si="81"/>
        <v>3.40789599609375</v>
      </c>
      <c r="S397" s="13">
        <f t="shared" ca="1" si="82"/>
        <v>60.894751953125002</v>
      </c>
      <c r="T397" s="17">
        <f t="shared" ca="1" si="84"/>
        <v>2.3441209296218526E-2</v>
      </c>
      <c r="U397" s="13"/>
      <c r="V397" s="14">
        <f t="shared" ca="1" si="83"/>
        <v>1.394752</v>
      </c>
      <c r="W397" s="13"/>
      <c r="X397" s="2"/>
    </row>
    <row r="398" spans="8:24" x14ac:dyDescent="0.25">
      <c r="H398" s="13">
        <v>59.6</v>
      </c>
      <c r="I398" s="13">
        <v>3.3799957331145012</v>
      </c>
      <c r="J398" s="14">
        <f t="shared" si="74"/>
        <v>3.0000000000000001E-6</v>
      </c>
      <c r="K398" s="23">
        <f t="shared" si="75"/>
        <v>1.9799999999999999E-4</v>
      </c>
      <c r="L398" s="14">
        <f t="shared" si="76"/>
        <v>1.0578000000000001E-2</v>
      </c>
      <c r="M398" s="10">
        <f t="shared" si="77"/>
        <v>3.4161865408192877</v>
      </c>
      <c r="N398" s="16">
        <f t="shared" si="78"/>
        <v>1.0707353074507727E-2</v>
      </c>
      <c r="O398" s="13">
        <f t="shared" si="79"/>
        <v>18225.683700000001</v>
      </c>
      <c r="P398" s="13">
        <f t="shared" ca="1" si="73"/>
        <v>18227</v>
      </c>
      <c r="Q398" s="13" t="str">
        <f t="shared" ca="1" si="80"/>
        <v>0100011100110011</v>
      </c>
      <c r="R398" s="13">
        <f t="shared" ca="1" si="81"/>
        <v>3.4174582042694093</v>
      </c>
      <c r="S398" s="13">
        <f t="shared" ca="1" si="82"/>
        <v>61.009498451232915</v>
      </c>
      <c r="T398" s="17">
        <f t="shared" ca="1" si="84"/>
        <v>2.364930287303546E-2</v>
      </c>
      <c r="U398" s="13"/>
      <c r="V398" s="14">
        <f t="shared" ca="1" si="83"/>
        <v>1.4094979999999999</v>
      </c>
      <c r="W398" s="13"/>
      <c r="X398" s="2"/>
    </row>
    <row r="399" spans="8:24" x14ac:dyDescent="0.25">
      <c r="H399" s="13">
        <v>59.7</v>
      </c>
      <c r="I399" s="13">
        <v>3.3888936938466849</v>
      </c>
      <c r="J399" s="14">
        <f t="shared" si="74"/>
        <v>3.0000000000000001E-6</v>
      </c>
      <c r="K399" s="23">
        <f t="shared" si="75"/>
        <v>1.9900000000000001E-4</v>
      </c>
      <c r="L399" s="14">
        <f t="shared" si="76"/>
        <v>1.0609E-2</v>
      </c>
      <c r="M399" s="10">
        <f t="shared" si="77"/>
        <v>3.4252869477534009</v>
      </c>
      <c r="N399" s="16">
        <f t="shared" si="78"/>
        <v>1.0738977729751839E-2</v>
      </c>
      <c r="O399" s="13">
        <f t="shared" si="79"/>
        <v>18274.235199999999</v>
      </c>
      <c r="P399" s="13">
        <f t="shared" ref="P399:P462" ca="1" si="85">ROUND(O399+$C$47+$C$49+RANDBETWEEN($B$45,$D$45) + 1,0)</f>
        <v>18279</v>
      </c>
      <c r="Q399" s="13" t="str">
        <f t="shared" ca="1" si="80"/>
        <v>0100011101100111</v>
      </c>
      <c r="R399" s="13">
        <f t="shared" ca="1" si="81"/>
        <v>3.4272079067230226</v>
      </c>
      <c r="S399" s="13">
        <f t="shared" ca="1" si="82"/>
        <v>61.126494880676269</v>
      </c>
      <c r="T399" s="17">
        <f t="shared" ca="1" si="84"/>
        <v>2.3894386610992729E-2</v>
      </c>
      <c r="U399" s="13"/>
      <c r="V399" s="14">
        <f t="shared" ca="1" si="83"/>
        <v>1.4264950000000001</v>
      </c>
      <c r="W399" s="13"/>
      <c r="X399" s="2"/>
    </row>
    <row r="400" spans="8:24" x14ac:dyDescent="0.25">
      <c r="H400" s="13">
        <v>59.800000000000004</v>
      </c>
      <c r="I400" s="13">
        <v>3.3983724185809887</v>
      </c>
      <c r="J400" s="14">
        <f t="shared" si="74"/>
        <v>3.9999999999999998E-6</v>
      </c>
      <c r="K400" s="23">
        <f t="shared" si="75"/>
        <v>1.9900000000000001E-4</v>
      </c>
      <c r="L400" s="14">
        <f t="shared" si="76"/>
        <v>1.0638999999999999E-2</v>
      </c>
      <c r="M400" s="10">
        <f t="shared" si="77"/>
        <v>3.4349704521595137</v>
      </c>
      <c r="N400" s="16">
        <f t="shared" si="78"/>
        <v>1.0769282783258555E-2</v>
      </c>
      <c r="O400" s="13">
        <f t="shared" si="79"/>
        <v>18325.8976</v>
      </c>
      <c r="P400" s="13">
        <f t="shared" ca="1" si="85"/>
        <v>18330</v>
      </c>
      <c r="Q400" s="13" t="str">
        <f t="shared" ca="1" si="80"/>
        <v>0100011110011010</v>
      </c>
      <c r="R400" s="13">
        <f t="shared" ca="1" si="81"/>
        <v>3.4367701148986818</v>
      </c>
      <c r="S400" s="13">
        <f t="shared" ca="1" si="82"/>
        <v>61.241241378784188</v>
      </c>
      <c r="T400" s="17">
        <f t="shared" ca="1" si="84"/>
        <v>2.4101026401073315E-2</v>
      </c>
      <c r="U400" s="13"/>
      <c r="V400" s="14">
        <f t="shared" ca="1" si="83"/>
        <v>1.441241</v>
      </c>
      <c r="W400" s="13"/>
      <c r="X400" s="2"/>
    </row>
    <row r="401" spans="8:24" x14ac:dyDescent="0.25">
      <c r="H401" s="13">
        <v>59.900000000000006</v>
      </c>
      <c r="I401" s="13">
        <v>3.4072981272248115</v>
      </c>
      <c r="J401" s="14">
        <f t="shared" si="74"/>
        <v>3.9999999999999998E-6</v>
      </c>
      <c r="K401" s="23">
        <f t="shared" si="75"/>
        <v>2.0000000000000001E-4</v>
      </c>
      <c r="L401" s="14">
        <f t="shared" si="76"/>
        <v>1.0670000000000001E-2</v>
      </c>
      <c r="M401" s="10">
        <f t="shared" si="77"/>
        <v>3.444100055961925</v>
      </c>
      <c r="N401" s="16">
        <f t="shared" si="78"/>
        <v>1.0800912442342723E-2</v>
      </c>
      <c r="O401" s="13">
        <f t="shared" si="79"/>
        <v>18374.604899999998</v>
      </c>
      <c r="P401" s="13">
        <f t="shared" ca="1" si="85"/>
        <v>18376</v>
      </c>
      <c r="Q401" s="13" t="str">
        <f t="shared" ca="1" si="80"/>
        <v>0100011111001000</v>
      </c>
      <c r="R401" s="13">
        <f t="shared" ca="1" si="81"/>
        <v>3.4453948516845703</v>
      </c>
      <c r="S401" s="13">
        <f t="shared" ca="1" si="82"/>
        <v>61.34473822021485</v>
      </c>
      <c r="T401" s="17">
        <f t="shared" ca="1" si="84"/>
        <v>2.4119168951833799E-2</v>
      </c>
      <c r="U401" s="13"/>
      <c r="V401" s="14">
        <f t="shared" ca="1" si="83"/>
        <v>1.4447380000000001</v>
      </c>
      <c r="W401" s="13"/>
      <c r="X401" s="2"/>
    </row>
    <row r="402" spans="8:24" x14ac:dyDescent="0.25">
      <c r="H402" s="13">
        <v>60</v>
      </c>
      <c r="I402" s="13">
        <v>3.4156738978944134</v>
      </c>
      <c r="J402" s="14">
        <f t="shared" si="74"/>
        <v>5.0000000000000004E-6</v>
      </c>
      <c r="K402" s="23">
        <f t="shared" si="75"/>
        <v>2.0000000000000001E-4</v>
      </c>
      <c r="L402" s="14">
        <f t="shared" si="76"/>
        <v>1.0699999999999999E-2</v>
      </c>
      <c r="M402" s="10">
        <f t="shared" si="77"/>
        <v>3.4526698446319761</v>
      </c>
      <c r="N402" s="16">
        <f t="shared" si="78"/>
        <v>1.0831229163992725E-2</v>
      </c>
      <c r="O402" s="13">
        <f t="shared" si="79"/>
        <v>18420.3256</v>
      </c>
      <c r="P402" s="13">
        <f t="shared" ca="1" si="85"/>
        <v>18424</v>
      </c>
      <c r="Q402" s="13" t="str">
        <f t="shared" ca="1" si="80"/>
        <v>0100011111111000</v>
      </c>
      <c r="R402" s="13">
        <f t="shared" ca="1" si="81"/>
        <v>3.4543945770263673</v>
      </c>
      <c r="S402" s="13">
        <f t="shared" ca="1" si="82"/>
        <v>61.45273492431641</v>
      </c>
      <c r="T402" s="17">
        <f t="shared" ca="1" si="84"/>
        <v>2.4212248738606827E-2</v>
      </c>
      <c r="U402" s="13"/>
      <c r="V402" s="14">
        <f t="shared" ca="1" si="83"/>
        <v>1.4527350000000001</v>
      </c>
      <c r="W402" s="13"/>
      <c r="X402" s="2"/>
    </row>
    <row r="403" spans="8:24" x14ac:dyDescent="0.25">
      <c r="H403" s="13">
        <v>60.1</v>
      </c>
      <c r="I403" s="13">
        <v>3.4246290126368875</v>
      </c>
      <c r="J403" s="14">
        <f t="shared" si="74"/>
        <v>6.0000000000000002E-6</v>
      </c>
      <c r="K403" s="23">
        <f t="shared" si="75"/>
        <v>2.0100000000000001E-4</v>
      </c>
      <c r="L403" s="14">
        <f t="shared" si="76"/>
        <v>1.0730999999999999E-2</v>
      </c>
      <c r="M403" s="10">
        <f t="shared" si="77"/>
        <v>3.4618292802451989</v>
      </c>
      <c r="N403" s="16">
        <f t="shared" si="78"/>
        <v>1.0862568608466013E-2</v>
      </c>
      <c r="O403" s="13">
        <f t="shared" si="79"/>
        <v>18469.1921</v>
      </c>
      <c r="P403" s="13">
        <f t="shared" ca="1" si="85"/>
        <v>18474</v>
      </c>
      <c r="Q403" s="13" t="str">
        <f t="shared" ca="1" si="80"/>
        <v>0100100000101010</v>
      </c>
      <c r="R403" s="13">
        <f t="shared" ca="1" si="81"/>
        <v>3.4637692909240725</v>
      </c>
      <c r="S403" s="13">
        <f t="shared" ca="1" si="82"/>
        <v>61.565231491088873</v>
      </c>
      <c r="T403" s="17">
        <f t="shared" ca="1" si="84"/>
        <v>2.4379891698650114E-2</v>
      </c>
      <c r="U403" s="13"/>
      <c r="V403" s="14">
        <f t="shared" ca="1" si="83"/>
        <v>1.465231</v>
      </c>
      <c r="W403" s="13"/>
      <c r="X403" s="2"/>
    </row>
    <row r="404" spans="8:24" x14ac:dyDescent="0.25">
      <c r="H404" s="13">
        <v>60.2</v>
      </c>
      <c r="I404" s="13">
        <v>3.4335981206390938</v>
      </c>
      <c r="J404" s="14">
        <f t="shared" si="74"/>
        <v>6.0000000000000002E-6</v>
      </c>
      <c r="K404" s="23">
        <f t="shared" si="75"/>
        <v>2.0100000000000001E-4</v>
      </c>
      <c r="L404" s="14">
        <f t="shared" si="76"/>
        <v>1.0761E-2</v>
      </c>
      <c r="M404" s="10">
        <f t="shared" si="77"/>
        <v>3.4710009375905053</v>
      </c>
      <c r="N404" s="16">
        <f t="shared" si="78"/>
        <v>1.0893184245001217E-2</v>
      </c>
      <c r="O404" s="13">
        <f t="shared" si="79"/>
        <v>18518.1237</v>
      </c>
      <c r="P404" s="13">
        <f t="shared" ca="1" si="85"/>
        <v>18520</v>
      </c>
      <c r="Q404" s="13" t="str">
        <f t="shared" ca="1" si="80"/>
        <v>0100100001011000</v>
      </c>
      <c r="R404" s="13">
        <f t="shared" ca="1" si="81"/>
        <v>3.472394027709961</v>
      </c>
      <c r="S404" s="13">
        <f t="shared" ca="1" si="82"/>
        <v>61.668728332519535</v>
      </c>
      <c r="T404" s="17">
        <f t="shared" ca="1" si="84"/>
        <v>2.439748060663675E-2</v>
      </c>
      <c r="U404" s="13"/>
      <c r="V404" s="14">
        <f t="shared" ca="1" si="83"/>
        <v>1.468728</v>
      </c>
      <c r="W404" s="13"/>
      <c r="X404" s="2"/>
    </row>
    <row r="405" spans="8:24" x14ac:dyDescent="0.25">
      <c r="H405" s="13">
        <v>60.300000000000004</v>
      </c>
      <c r="I405" s="13">
        <v>3.4425811040953125</v>
      </c>
      <c r="J405" s="14">
        <f t="shared" si="74"/>
        <v>6.9999999999999999E-6</v>
      </c>
      <c r="K405" s="23">
        <f t="shared" si="75"/>
        <v>2.02E-4</v>
      </c>
      <c r="L405" s="14">
        <f t="shared" si="76"/>
        <v>1.0792E-2</v>
      </c>
      <c r="M405" s="10">
        <f t="shared" si="77"/>
        <v>3.4801896852424492</v>
      </c>
      <c r="N405" s="16">
        <f t="shared" si="78"/>
        <v>1.0924530173711044E-2</v>
      </c>
      <c r="O405" s="13">
        <f t="shared" si="79"/>
        <v>18567.1466</v>
      </c>
      <c r="P405" s="13">
        <f t="shared" ca="1" si="85"/>
        <v>18570</v>
      </c>
      <c r="Q405" s="13" t="str">
        <f t="shared" ca="1" si="80"/>
        <v>0100100010001010</v>
      </c>
      <c r="R405" s="13">
        <f t="shared" ca="1" si="81"/>
        <v>3.4817687416076661</v>
      </c>
      <c r="S405" s="13">
        <f t="shared" ca="1" si="82"/>
        <v>61.781224899291992</v>
      </c>
      <c r="T405" s="17">
        <f t="shared" ca="1" si="84"/>
        <v>2.4564260353100956E-2</v>
      </c>
      <c r="U405" s="13"/>
      <c r="V405" s="14">
        <f t="shared" ca="1" si="83"/>
        <v>1.481225</v>
      </c>
      <c r="W405" s="13"/>
      <c r="X405" s="2"/>
    </row>
    <row r="406" spans="8:24" x14ac:dyDescent="0.25">
      <c r="H406" s="13">
        <v>60.400000000000006</v>
      </c>
      <c r="I406" s="13">
        <v>3.4510179285902933</v>
      </c>
      <c r="J406" s="14">
        <f t="shared" si="74"/>
        <v>6.9999999999999999E-6</v>
      </c>
      <c r="K406" s="23">
        <f t="shared" si="75"/>
        <v>2.02E-4</v>
      </c>
      <c r="L406" s="14">
        <f t="shared" si="76"/>
        <v>1.0822E-2</v>
      </c>
      <c r="M406" s="10">
        <f t="shared" si="77"/>
        <v>3.4888243581178449</v>
      </c>
      <c r="N406" s="16">
        <f t="shared" si="78"/>
        <v>1.0955153033063228E-2</v>
      </c>
      <c r="O406" s="13">
        <f t="shared" si="79"/>
        <v>18613.213400000001</v>
      </c>
      <c r="P406" s="13">
        <f t="shared" ca="1" si="85"/>
        <v>18614</v>
      </c>
      <c r="Q406" s="13" t="str">
        <f t="shared" ca="1" si="80"/>
        <v>0100100010110110</v>
      </c>
      <c r="R406" s="13">
        <f t="shared" ca="1" si="81"/>
        <v>3.4900184898376465</v>
      </c>
      <c r="S406" s="13">
        <f t="shared" ca="1" si="82"/>
        <v>61.880221878051756</v>
      </c>
      <c r="T406" s="17">
        <f t="shared" ca="1" si="84"/>
        <v>2.4506984735956135E-2</v>
      </c>
      <c r="U406" s="13"/>
      <c r="V406" s="14">
        <f t="shared" ca="1" si="83"/>
        <v>1.4802219999999999</v>
      </c>
      <c r="W406" s="13"/>
      <c r="X406" s="2"/>
    </row>
    <row r="407" spans="8:24" x14ac:dyDescent="0.25">
      <c r="H407" s="13">
        <v>60.5</v>
      </c>
      <c r="I407" s="13">
        <v>3.4594705154986198</v>
      </c>
      <c r="J407" s="14">
        <f t="shared" si="74"/>
        <v>7.9999999999999996E-6</v>
      </c>
      <c r="K407" s="23">
        <f t="shared" si="75"/>
        <v>2.03E-4</v>
      </c>
      <c r="L407" s="14">
        <f t="shared" si="76"/>
        <v>1.0853E-2</v>
      </c>
      <c r="M407" s="10">
        <f t="shared" si="77"/>
        <v>3.4974780149205529</v>
      </c>
      <c r="N407" s="16">
        <f t="shared" si="78"/>
        <v>1.0986507690022893E-2</v>
      </c>
      <c r="O407" s="13">
        <f t="shared" si="79"/>
        <v>18659.3815</v>
      </c>
      <c r="P407" s="13">
        <f t="shared" ca="1" si="85"/>
        <v>18661</v>
      </c>
      <c r="Q407" s="13" t="str">
        <f t="shared" ca="1" si="80"/>
        <v>0100100011100101</v>
      </c>
      <c r="R407" s="13">
        <f t="shared" ca="1" si="81"/>
        <v>3.4988307209014895</v>
      </c>
      <c r="S407" s="13">
        <f t="shared" ca="1" si="82"/>
        <v>61.985968650817881</v>
      </c>
      <c r="T407" s="17">
        <f t="shared" ca="1" si="84"/>
        <v>2.4561465302774893E-2</v>
      </c>
      <c r="U407" s="13"/>
      <c r="V407" s="14">
        <f t="shared" ca="1" si="83"/>
        <v>1.4859690000000001</v>
      </c>
      <c r="W407" s="13"/>
      <c r="X407" s="2"/>
    </row>
    <row r="408" spans="8:24" x14ac:dyDescent="0.25">
      <c r="H408" s="13">
        <v>60.6</v>
      </c>
      <c r="I408" s="13">
        <v>3.4684965379926584</v>
      </c>
      <c r="J408" s="14">
        <f t="shared" si="74"/>
        <v>7.9999999999999996E-6</v>
      </c>
      <c r="K408" s="23">
        <f t="shared" si="75"/>
        <v>2.03E-4</v>
      </c>
      <c r="L408" s="14">
        <f t="shared" si="76"/>
        <v>1.0883E-2</v>
      </c>
      <c r="M408" s="10">
        <f t="shared" si="77"/>
        <v>3.5067094254558953</v>
      </c>
      <c r="N408" s="16">
        <f t="shared" si="78"/>
        <v>1.101713294064637E-2</v>
      </c>
      <c r="O408" s="13">
        <f t="shared" si="79"/>
        <v>18708.6319</v>
      </c>
      <c r="P408" s="13">
        <f t="shared" ca="1" si="85"/>
        <v>18707</v>
      </c>
      <c r="Q408" s="13" t="str">
        <f t="shared" ca="1" si="80"/>
        <v>0100100100010011</v>
      </c>
      <c r="R408" s="13">
        <f t="shared" ca="1" si="81"/>
        <v>3.507455457687378</v>
      </c>
      <c r="S408" s="13">
        <f t="shared" ca="1" si="82"/>
        <v>62.089465492248543</v>
      </c>
      <c r="T408" s="17">
        <f t="shared" ca="1" si="84"/>
        <v>2.457863848594953E-2</v>
      </c>
      <c r="U408" s="13"/>
      <c r="V408" s="14">
        <f t="shared" ca="1" si="83"/>
        <v>1.489465</v>
      </c>
      <c r="W408" s="13"/>
      <c r="X408" s="2"/>
    </row>
    <row r="409" spans="8:24" x14ac:dyDescent="0.25">
      <c r="H409" s="13">
        <v>60.7</v>
      </c>
      <c r="I409" s="13">
        <v>3.4769792288384576</v>
      </c>
      <c r="J409" s="14">
        <f t="shared" si="74"/>
        <v>9.0000000000000002E-6</v>
      </c>
      <c r="K409" s="23">
        <f t="shared" si="75"/>
        <v>2.04E-4</v>
      </c>
      <c r="L409" s="14">
        <f t="shared" si="76"/>
        <v>1.0914E-2</v>
      </c>
      <c r="M409" s="10">
        <f t="shared" si="77"/>
        <v>3.515394612628687</v>
      </c>
      <c r="N409" s="16">
        <f t="shared" si="78"/>
        <v>1.1048493897118494E-2</v>
      </c>
      <c r="O409" s="13">
        <f t="shared" si="79"/>
        <v>18754.9683</v>
      </c>
      <c r="P409" s="13">
        <f t="shared" ca="1" si="85"/>
        <v>18755</v>
      </c>
      <c r="Q409" s="13" t="str">
        <f t="shared" ca="1" si="80"/>
        <v>0100100101000011</v>
      </c>
      <c r="R409" s="13">
        <f t="shared" ca="1" si="81"/>
        <v>3.516455183029175</v>
      </c>
      <c r="S409" s="13">
        <f t="shared" ca="1" si="82"/>
        <v>62.197462196350102</v>
      </c>
      <c r="T409" s="17">
        <f t="shared" ca="1" si="84"/>
        <v>2.4669887913510696E-2</v>
      </c>
      <c r="U409" s="13"/>
      <c r="V409" s="14">
        <f t="shared" ca="1" si="83"/>
        <v>1.4974620000000001</v>
      </c>
      <c r="W409" s="13"/>
      <c r="X409" s="2"/>
    </row>
    <row r="410" spans="8:24" x14ac:dyDescent="0.25">
      <c r="H410" s="13">
        <v>60.800000000000004</v>
      </c>
      <c r="I410" s="13">
        <v>3.4865886756775031</v>
      </c>
      <c r="J410" s="14">
        <f t="shared" si="74"/>
        <v>1.0000000000000001E-5</v>
      </c>
      <c r="K410" s="23">
        <f t="shared" si="75"/>
        <v>2.04E-4</v>
      </c>
      <c r="L410" s="14">
        <f t="shared" si="76"/>
        <v>1.0944000000000001E-2</v>
      </c>
      <c r="M410" s="10">
        <f t="shared" si="77"/>
        <v>3.525216004882942</v>
      </c>
      <c r="N410" s="16">
        <f t="shared" si="78"/>
        <v>1.1078831717347023E-2</v>
      </c>
      <c r="O410" s="13">
        <f t="shared" si="79"/>
        <v>18807.366300000002</v>
      </c>
      <c r="P410" s="13">
        <f t="shared" ca="1" si="85"/>
        <v>18808</v>
      </c>
      <c r="Q410" s="13" t="str">
        <f t="shared" ca="1" si="80"/>
        <v>0100100101111000</v>
      </c>
      <c r="R410" s="13">
        <f t="shared" ca="1" si="81"/>
        <v>3.5263923797607424</v>
      </c>
      <c r="S410" s="13">
        <f t="shared" ca="1" si="82"/>
        <v>62.316708557128912</v>
      </c>
      <c r="T410" s="17">
        <f t="shared" ca="1" si="84"/>
        <v>2.4945864426462298E-2</v>
      </c>
      <c r="U410" s="13"/>
      <c r="V410" s="14">
        <f t="shared" ca="1" si="83"/>
        <v>1.5167090000000001</v>
      </c>
      <c r="W410" s="13"/>
      <c r="X410" s="2"/>
    </row>
    <row r="411" spans="8:24" x14ac:dyDescent="0.25">
      <c r="H411" s="13">
        <v>60.900000000000006</v>
      </c>
      <c r="I411" s="13">
        <v>3.4950999356364849</v>
      </c>
      <c r="J411" s="14">
        <f t="shared" si="74"/>
        <v>1.0000000000000001E-5</v>
      </c>
      <c r="K411" s="23">
        <f t="shared" si="75"/>
        <v>2.05E-4</v>
      </c>
      <c r="L411" s="14">
        <f t="shared" si="76"/>
        <v>1.0975E-2</v>
      </c>
      <c r="M411" s="10">
        <f t="shared" si="77"/>
        <v>3.5339322050367632</v>
      </c>
      <c r="N411" s="16">
        <f t="shared" si="78"/>
        <v>1.1110489003287006E-2</v>
      </c>
      <c r="O411" s="13">
        <f t="shared" si="79"/>
        <v>18853.8681</v>
      </c>
      <c r="P411" s="13">
        <f t="shared" ca="1" si="85"/>
        <v>18856</v>
      </c>
      <c r="Q411" s="13" t="str">
        <f t="shared" ca="1" si="80"/>
        <v>0100100110101000</v>
      </c>
      <c r="R411" s="13">
        <f t="shared" ca="1" si="81"/>
        <v>3.535392105102539</v>
      </c>
      <c r="S411" s="13">
        <f t="shared" ca="1" si="82"/>
        <v>62.424705261230471</v>
      </c>
      <c r="T411" s="17">
        <f t="shared" ca="1" si="84"/>
        <v>2.5036211186050338E-2</v>
      </c>
      <c r="U411" s="13"/>
      <c r="V411" s="14">
        <f t="shared" ca="1" si="83"/>
        <v>1.524705</v>
      </c>
      <c r="W411" s="13"/>
      <c r="X411" s="2"/>
    </row>
    <row r="412" spans="8:24" x14ac:dyDescent="0.25">
      <c r="H412" s="13">
        <v>61</v>
      </c>
      <c r="I412" s="13">
        <v>3.5041799242989868</v>
      </c>
      <c r="J412" s="14">
        <f t="shared" si="74"/>
        <v>1.1E-5</v>
      </c>
      <c r="K412" s="23">
        <f t="shared" si="75"/>
        <v>2.05E-4</v>
      </c>
      <c r="L412" s="14">
        <f t="shared" si="76"/>
        <v>1.1004999999999999E-2</v>
      </c>
      <c r="M412" s="10">
        <f t="shared" si="77"/>
        <v>3.543219415678529</v>
      </c>
      <c r="N412" s="16">
        <f t="shared" si="78"/>
        <v>1.1140835294680847E-2</v>
      </c>
      <c r="O412" s="13">
        <f t="shared" si="79"/>
        <v>18903.416300000001</v>
      </c>
      <c r="P412" s="13">
        <f t="shared" ca="1" si="85"/>
        <v>18907</v>
      </c>
      <c r="Q412" s="13" t="str">
        <f t="shared" ca="1" si="80"/>
        <v>0100100111011011</v>
      </c>
      <c r="R412" s="13">
        <f t="shared" ca="1" si="81"/>
        <v>3.5449543132781982</v>
      </c>
      <c r="S412" s="13">
        <f t="shared" ca="1" si="82"/>
        <v>62.539451759338377</v>
      </c>
      <c r="T412" s="17">
        <f t="shared" ca="1" si="84"/>
        <v>2.5236914087514373E-2</v>
      </c>
      <c r="U412" s="13"/>
      <c r="V412" s="14">
        <f t="shared" ca="1" si="83"/>
        <v>1.539452</v>
      </c>
      <c r="W412" s="13"/>
      <c r="X412" s="2"/>
    </row>
    <row r="413" spans="8:24" x14ac:dyDescent="0.25">
      <c r="H413" s="13">
        <v>61.1</v>
      </c>
      <c r="I413" s="13">
        <v>3.5127203385722798</v>
      </c>
      <c r="J413" s="14">
        <f t="shared" si="74"/>
        <v>1.1E-5</v>
      </c>
      <c r="K413" s="23">
        <f t="shared" si="75"/>
        <v>2.0599999999999999E-4</v>
      </c>
      <c r="L413" s="14">
        <f t="shared" si="76"/>
        <v>1.1036000000000001E-2</v>
      </c>
      <c r="M413" s="10">
        <f t="shared" si="77"/>
        <v>3.5519661974392189</v>
      </c>
      <c r="N413" s="16">
        <f t="shared" si="78"/>
        <v>1.117249740492871E-2</v>
      </c>
      <c r="O413" s="13">
        <f t="shared" si="79"/>
        <v>18950.081200000001</v>
      </c>
      <c r="P413" s="13">
        <f t="shared" ca="1" si="85"/>
        <v>18952</v>
      </c>
      <c r="Q413" s="13" t="str">
        <f t="shared" ca="1" si="80"/>
        <v>0100101000001000</v>
      </c>
      <c r="R413" s="13">
        <f t="shared" ca="1" si="81"/>
        <v>3.5533915557861331</v>
      </c>
      <c r="S413" s="13">
        <f t="shared" ca="1" si="82"/>
        <v>62.640698669433604</v>
      </c>
      <c r="T413" s="17">
        <f t="shared" ca="1" si="84"/>
        <v>2.5216017503004954E-2</v>
      </c>
      <c r="U413" s="13"/>
      <c r="V413" s="14">
        <f t="shared" ca="1" si="83"/>
        <v>1.540699</v>
      </c>
      <c r="W413" s="13"/>
      <c r="X413" s="2"/>
    </row>
    <row r="414" spans="8:24" x14ac:dyDescent="0.25">
      <c r="H414" s="13">
        <v>61.2</v>
      </c>
      <c r="I414" s="13">
        <v>3.5218271328161612</v>
      </c>
      <c r="J414" s="14">
        <f t="shared" si="74"/>
        <v>1.2E-5</v>
      </c>
      <c r="K414" s="23">
        <f t="shared" si="75"/>
        <v>2.0599999999999999E-4</v>
      </c>
      <c r="L414" s="14">
        <f t="shared" si="76"/>
        <v>1.1065999999999999E-2</v>
      </c>
      <c r="M414" s="10">
        <f t="shared" si="77"/>
        <v>3.56128163354497</v>
      </c>
      <c r="N414" s="16">
        <f t="shared" si="78"/>
        <v>1.120284989605941E-2</v>
      </c>
      <c r="O414" s="13">
        <f t="shared" si="79"/>
        <v>18999.779900000001</v>
      </c>
      <c r="P414" s="13">
        <f t="shared" ca="1" si="85"/>
        <v>19003</v>
      </c>
      <c r="Q414" s="13" t="str">
        <f t="shared" ca="1" si="80"/>
        <v>0100101000111011</v>
      </c>
      <c r="R414" s="13">
        <f t="shared" ca="1" si="81"/>
        <v>3.5629537639617919</v>
      </c>
      <c r="S414" s="13">
        <f t="shared" ca="1" si="82"/>
        <v>62.755445167541509</v>
      </c>
      <c r="T414" s="17">
        <f t="shared" ca="1" si="84"/>
        <v>2.5415770711462525E-2</v>
      </c>
      <c r="U414" s="13"/>
      <c r="V414" s="14">
        <f t="shared" ca="1" si="83"/>
        <v>1.555445</v>
      </c>
      <c r="W414" s="13"/>
      <c r="X414" s="2"/>
    </row>
    <row r="415" spans="8:24" x14ac:dyDescent="0.25">
      <c r="H415" s="13">
        <v>61.300000000000004</v>
      </c>
      <c r="I415" s="13">
        <v>3.5303962268534925</v>
      </c>
      <c r="J415" s="14">
        <f t="shared" si="74"/>
        <v>1.2E-5</v>
      </c>
      <c r="K415" s="23">
        <f t="shared" si="75"/>
        <v>2.0699999999999999E-4</v>
      </c>
      <c r="L415" s="14">
        <f t="shared" si="76"/>
        <v>1.1096999999999999E-2</v>
      </c>
      <c r="M415" s="10">
        <f t="shared" si="77"/>
        <v>3.5700585226533774</v>
      </c>
      <c r="N415" s="16">
        <f t="shared" si="78"/>
        <v>1.1234516822275891E-2</v>
      </c>
      <c r="O415" s="13">
        <f t="shared" si="79"/>
        <v>19046.605500000001</v>
      </c>
      <c r="P415" s="13">
        <f t="shared" ca="1" si="85"/>
        <v>19048</v>
      </c>
      <c r="Q415" s="13" t="str">
        <f t="shared" ca="1" si="80"/>
        <v>0100101001101000</v>
      </c>
      <c r="R415" s="13">
        <f t="shared" ca="1" si="81"/>
        <v>3.5713910064697267</v>
      </c>
      <c r="S415" s="13">
        <f t="shared" ca="1" si="82"/>
        <v>62.856692077636723</v>
      </c>
      <c r="T415" s="17">
        <f t="shared" ca="1" si="84"/>
        <v>2.539465053240976E-2</v>
      </c>
      <c r="U415" s="13"/>
      <c r="V415" s="14">
        <f t="shared" ca="1" si="83"/>
        <v>1.556692</v>
      </c>
      <c r="W415" s="13"/>
      <c r="X415" s="2"/>
    </row>
    <row r="416" spans="8:24" x14ac:dyDescent="0.25">
      <c r="H416" s="13">
        <v>61.400000000000006</v>
      </c>
      <c r="I416" s="13">
        <v>3.5389800103673226</v>
      </c>
      <c r="J416" s="14">
        <f t="shared" si="74"/>
        <v>1.2999999999999999E-5</v>
      </c>
      <c r="K416" s="23">
        <f t="shared" si="75"/>
        <v>2.0699999999999999E-4</v>
      </c>
      <c r="L416" s="14">
        <f t="shared" si="76"/>
        <v>1.1127E-2</v>
      </c>
      <c r="M416" s="10">
        <f t="shared" si="77"/>
        <v>3.5788461865187164</v>
      </c>
      <c r="N416" s="16">
        <f t="shared" si="78"/>
        <v>1.126487746034373E-2</v>
      </c>
      <c r="O416" s="13">
        <f t="shared" si="79"/>
        <v>19093.488499999999</v>
      </c>
      <c r="P416" s="13">
        <f t="shared" ca="1" si="85"/>
        <v>19097</v>
      </c>
      <c r="Q416" s="13" t="str">
        <f t="shared" ca="1" si="80"/>
        <v>0100101010011001</v>
      </c>
      <c r="R416" s="13">
        <f t="shared" ca="1" si="81"/>
        <v>3.5805782260894774</v>
      </c>
      <c r="S416" s="13">
        <f t="shared" ca="1" si="82"/>
        <v>62.966938713073731</v>
      </c>
      <c r="T416" s="17">
        <f t="shared" ca="1" si="84"/>
        <v>2.552017448002809E-2</v>
      </c>
      <c r="U416" s="13"/>
      <c r="V416" s="14">
        <f t="shared" ca="1" si="83"/>
        <v>1.5669390000000001</v>
      </c>
      <c r="W416" s="13"/>
      <c r="X416" s="2"/>
    </row>
    <row r="417" spans="8:24" x14ac:dyDescent="0.25">
      <c r="H417" s="13">
        <v>61.5</v>
      </c>
      <c r="I417" s="13">
        <v>3.5481266572995716</v>
      </c>
      <c r="J417" s="14">
        <f t="shared" si="74"/>
        <v>1.4E-5</v>
      </c>
      <c r="K417" s="23">
        <f t="shared" si="75"/>
        <v>2.0799999999999999E-4</v>
      </c>
      <c r="L417" s="14">
        <f t="shared" si="76"/>
        <v>1.1158E-2</v>
      </c>
      <c r="M417" s="10">
        <f t="shared" si="77"/>
        <v>3.5882072263673788</v>
      </c>
      <c r="N417" s="16">
        <f t="shared" si="78"/>
        <v>1.1296262207931429E-2</v>
      </c>
      <c r="O417" s="13">
        <f t="shared" si="79"/>
        <v>19143.430499999999</v>
      </c>
      <c r="P417" s="13">
        <f t="shared" ca="1" si="85"/>
        <v>19147</v>
      </c>
      <c r="Q417" s="13" t="str">
        <f t="shared" ca="1" si="80"/>
        <v>0100101011001011</v>
      </c>
      <c r="R417" s="13">
        <f t="shared" ca="1" si="81"/>
        <v>3.5899529399871826</v>
      </c>
      <c r="S417" s="13">
        <f t="shared" ca="1" si="82"/>
        <v>63.079435279846194</v>
      </c>
      <c r="T417" s="17">
        <f t="shared" ca="1" si="84"/>
        <v>2.5681874469043811E-2</v>
      </c>
      <c r="U417" s="13"/>
      <c r="V417" s="14">
        <f t="shared" ca="1" si="83"/>
        <v>1.5794349999999999</v>
      </c>
      <c r="W417" s="13"/>
      <c r="X417" s="2"/>
    </row>
    <row r="418" spans="8:24" x14ac:dyDescent="0.25">
      <c r="H418" s="13">
        <v>61.6</v>
      </c>
      <c r="I418" s="13">
        <v>3.5567384103173869</v>
      </c>
      <c r="J418" s="14">
        <f t="shared" si="74"/>
        <v>1.4E-5</v>
      </c>
      <c r="K418" s="23">
        <f t="shared" si="75"/>
        <v>2.0799999999999999E-4</v>
      </c>
      <c r="L418" s="14">
        <f t="shared" si="76"/>
        <v>1.1188E-2</v>
      </c>
      <c r="M418" s="10">
        <f t="shared" si="77"/>
        <v>3.5970252802488103</v>
      </c>
      <c r="N418" s="16">
        <f t="shared" si="78"/>
        <v>1.1326913954245055E-2</v>
      </c>
      <c r="O418" s="13">
        <f t="shared" si="79"/>
        <v>19190.475699999999</v>
      </c>
      <c r="P418" s="13">
        <f t="shared" ca="1" si="85"/>
        <v>19195</v>
      </c>
      <c r="Q418" s="13" t="str">
        <f t="shared" ca="1" si="80"/>
        <v>0100101011111011</v>
      </c>
      <c r="R418" s="13">
        <f t="shared" ca="1" si="81"/>
        <v>3.5989526653289796</v>
      </c>
      <c r="S418" s="13">
        <f t="shared" ca="1" si="82"/>
        <v>63.187431983947754</v>
      </c>
      <c r="T418" s="17">
        <f t="shared" ca="1" si="84"/>
        <v>2.5769999739411562E-2</v>
      </c>
      <c r="U418" s="13"/>
      <c r="V418" s="14">
        <f t="shared" ca="1" si="83"/>
        <v>1.587432</v>
      </c>
      <c r="W418" s="13"/>
      <c r="X418" s="2"/>
    </row>
    <row r="419" spans="8:24" x14ac:dyDescent="0.25">
      <c r="H419" s="13">
        <v>61.7</v>
      </c>
      <c r="I419" s="13">
        <v>3.5659106889637755</v>
      </c>
      <c r="J419" s="14">
        <f t="shared" si="74"/>
        <v>1.5E-5</v>
      </c>
      <c r="K419" s="23">
        <f t="shared" si="75"/>
        <v>2.0900000000000001E-4</v>
      </c>
      <c r="L419" s="14">
        <f t="shared" si="76"/>
        <v>1.1219E-2</v>
      </c>
      <c r="M419" s="10">
        <f t="shared" si="77"/>
        <v>3.6064133900851409</v>
      </c>
      <c r="N419" s="16">
        <f t="shared" si="78"/>
        <v>1.135830497570179E-2</v>
      </c>
      <c r="O419" s="13">
        <f t="shared" si="79"/>
        <v>19240.5622</v>
      </c>
      <c r="P419" s="13">
        <f t="shared" ca="1" si="85"/>
        <v>19241</v>
      </c>
      <c r="Q419" s="13" t="str">
        <f t="shared" ca="1" si="80"/>
        <v>0100101100101001</v>
      </c>
      <c r="R419" s="13">
        <f t="shared" ca="1" si="81"/>
        <v>3.6075774021148681</v>
      </c>
      <c r="S419" s="13">
        <f t="shared" ca="1" si="82"/>
        <v>63.290928825378415</v>
      </c>
      <c r="T419" s="17">
        <f t="shared" ca="1" si="84"/>
        <v>2.5784908028823543E-2</v>
      </c>
      <c r="U419" s="13"/>
      <c r="V419" s="14">
        <f t="shared" ca="1" si="83"/>
        <v>1.590929</v>
      </c>
      <c r="W419" s="13"/>
      <c r="X419" s="2"/>
    </row>
    <row r="420" spans="8:24" x14ac:dyDescent="0.25">
      <c r="H420" s="13">
        <v>61.800000000000004</v>
      </c>
      <c r="I420" s="13">
        <v>3.5740047973738931</v>
      </c>
      <c r="J420" s="14">
        <f t="shared" si="74"/>
        <v>1.5E-5</v>
      </c>
      <c r="K420" s="23">
        <f t="shared" si="75"/>
        <v>2.0900000000000001E-4</v>
      </c>
      <c r="L420" s="14">
        <f t="shared" si="76"/>
        <v>1.1249E-2</v>
      </c>
      <c r="M420" s="10">
        <f t="shared" si="77"/>
        <v>3.6147090065465353</v>
      </c>
      <c r="N420" s="16">
        <f t="shared" si="78"/>
        <v>1.1388963216431831E-2</v>
      </c>
      <c r="O420" s="13">
        <f t="shared" si="79"/>
        <v>19284.820100000001</v>
      </c>
      <c r="P420" s="13">
        <f t="shared" ca="1" si="85"/>
        <v>19288</v>
      </c>
      <c r="Q420" s="13" t="str">
        <f t="shared" ca="1" si="80"/>
        <v>0100101101011000</v>
      </c>
      <c r="R420" s="13">
        <f t="shared" ca="1" si="81"/>
        <v>3.6163896331787111</v>
      </c>
      <c r="S420" s="13">
        <f t="shared" ca="1" si="82"/>
        <v>63.39667559814454</v>
      </c>
      <c r="T420" s="17">
        <f t="shared" ca="1" si="84"/>
        <v>2.5836174727257862E-2</v>
      </c>
      <c r="U420" s="13"/>
      <c r="V420" s="14">
        <f t="shared" ca="1" si="83"/>
        <v>1.596676</v>
      </c>
      <c r="W420" s="13"/>
      <c r="X420" s="2"/>
    </row>
    <row r="421" spans="8:24" x14ac:dyDescent="0.25">
      <c r="H421" s="13">
        <v>61.900000000000006</v>
      </c>
      <c r="I421" s="13">
        <v>3.5826591943666073</v>
      </c>
      <c r="J421" s="14">
        <f t="shared" si="74"/>
        <v>1.5999999999999999E-5</v>
      </c>
      <c r="K421" s="23">
        <f t="shared" si="75"/>
        <v>2.1000000000000001E-4</v>
      </c>
      <c r="L421" s="14">
        <f t="shared" si="76"/>
        <v>1.128E-2</v>
      </c>
      <c r="M421" s="10">
        <f t="shared" si="77"/>
        <v>3.6235744600358113</v>
      </c>
      <c r="N421" s="16">
        <f t="shared" si="78"/>
        <v>1.1420362208478939E-2</v>
      </c>
      <c r="O421" s="13">
        <f t="shared" si="79"/>
        <v>19332.1181</v>
      </c>
      <c r="P421" s="13">
        <f t="shared" ca="1" si="85"/>
        <v>19334</v>
      </c>
      <c r="Q421" s="13" t="str">
        <f t="shared" ca="1" si="80"/>
        <v>0100101110000110</v>
      </c>
      <c r="R421" s="13">
        <f t="shared" ca="1" si="81"/>
        <v>3.6250143699645996</v>
      </c>
      <c r="S421" s="13">
        <f t="shared" ca="1" si="82"/>
        <v>63.500172439575202</v>
      </c>
      <c r="T421" s="17">
        <f t="shared" ca="1" si="84"/>
        <v>2.5850927941440973E-2</v>
      </c>
      <c r="U421" s="13"/>
      <c r="V421" s="14">
        <f t="shared" ca="1" si="83"/>
        <v>1.6001719999999999</v>
      </c>
      <c r="W421" s="13"/>
      <c r="X421" s="2"/>
    </row>
    <row r="422" spans="8:24" x14ac:dyDescent="0.25">
      <c r="H422" s="13">
        <v>62</v>
      </c>
      <c r="I422" s="13">
        <v>3.5913275686970776</v>
      </c>
      <c r="J422" s="14">
        <f t="shared" si="74"/>
        <v>1.7E-5</v>
      </c>
      <c r="K422" s="23">
        <f t="shared" si="75"/>
        <v>2.1000000000000001E-4</v>
      </c>
      <c r="L422" s="14">
        <f t="shared" si="76"/>
        <v>1.1310000000000001E-2</v>
      </c>
      <c r="M422" s="10">
        <f t="shared" si="77"/>
        <v>3.6324509327666687</v>
      </c>
      <c r="N422" s="16">
        <f t="shared" si="78"/>
        <v>1.1450741622132395E-2</v>
      </c>
      <c r="O422" s="13">
        <f t="shared" si="79"/>
        <v>19379.474999999999</v>
      </c>
      <c r="P422" s="13">
        <f t="shared" ca="1" si="85"/>
        <v>19382</v>
      </c>
      <c r="Q422" s="13" t="str">
        <f t="shared" ca="1" si="80"/>
        <v>0100101110110110</v>
      </c>
      <c r="R422" s="13">
        <f t="shared" ca="1" si="81"/>
        <v>3.6340140953063966</v>
      </c>
      <c r="S422" s="13">
        <f t="shared" ca="1" si="82"/>
        <v>63.608169143676761</v>
      </c>
      <c r="T422" s="17">
        <f t="shared" ca="1" si="84"/>
        <v>2.5938211994786475E-2</v>
      </c>
      <c r="U422" s="13"/>
      <c r="V422" s="14">
        <f t="shared" ca="1" si="83"/>
        <v>1.608169</v>
      </c>
      <c r="W422" s="13"/>
      <c r="X422" s="2"/>
    </row>
    <row r="423" spans="8:24" x14ac:dyDescent="0.25">
      <c r="H423" s="13">
        <v>62.1</v>
      </c>
      <c r="I423" s="13">
        <v>3.6005518006619641</v>
      </c>
      <c r="J423" s="14">
        <f t="shared" si="74"/>
        <v>1.7E-5</v>
      </c>
      <c r="K423" s="23">
        <f t="shared" si="75"/>
        <v>2.1100000000000001E-4</v>
      </c>
      <c r="L423" s="14">
        <f t="shared" si="76"/>
        <v>1.1341E-2</v>
      </c>
      <c r="M423" s="10">
        <f t="shared" si="77"/>
        <v>3.6418948726345124</v>
      </c>
      <c r="N423" s="16">
        <f t="shared" si="78"/>
        <v>1.1482426656088469E-2</v>
      </c>
      <c r="O423" s="13">
        <f t="shared" si="79"/>
        <v>19429.8593</v>
      </c>
      <c r="P423" s="13">
        <f t="shared" ca="1" si="85"/>
        <v>19432</v>
      </c>
      <c r="Q423" s="13" t="str">
        <f t="shared" ca="1" si="80"/>
        <v>0100101111101000</v>
      </c>
      <c r="R423" s="13">
        <f t="shared" ca="1" si="81"/>
        <v>3.6433888092041018</v>
      </c>
      <c r="S423" s="13">
        <f t="shared" ca="1" si="82"/>
        <v>63.720665710449225</v>
      </c>
      <c r="T423" s="17">
        <f t="shared" ca="1" si="84"/>
        <v>2.6097676496766888E-2</v>
      </c>
      <c r="U423" s="13"/>
      <c r="V423" s="14">
        <f t="shared" ca="1" si="83"/>
        <v>1.6206659999999999</v>
      </c>
      <c r="W423" s="13"/>
      <c r="X423" s="2"/>
    </row>
    <row r="424" spans="8:24" x14ac:dyDescent="0.25">
      <c r="H424" s="13">
        <v>62.2</v>
      </c>
      <c r="I424" s="13">
        <v>3.609246729423214</v>
      </c>
      <c r="J424" s="14">
        <f t="shared" si="74"/>
        <v>1.8E-5</v>
      </c>
      <c r="K424" s="23">
        <f t="shared" si="75"/>
        <v>2.1100000000000001E-4</v>
      </c>
      <c r="L424" s="14">
        <f t="shared" si="76"/>
        <v>1.1370999999999999E-2</v>
      </c>
      <c r="M424" s="10">
        <f t="shared" si="77"/>
        <v>3.6507993088461035</v>
      </c>
      <c r="N424" s="16">
        <f t="shared" si="78"/>
        <v>1.151281210124693E-2</v>
      </c>
      <c r="O424" s="13">
        <f t="shared" si="79"/>
        <v>19477.365300000001</v>
      </c>
      <c r="P424" s="13">
        <f t="shared" ca="1" si="85"/>
        <v>19479</v>
      </c>
      <c r="Q424" s="13" t="str">
        <f t="shared" ca="1" si="80"/>
        <v>0100110000010111</v>
      </c>
      <c r="R424" s="13">
        <f t="shared" ca="1" si="81"/>
        <v>3.6522010402679443</v>
      </c>
      <c r="S424" s="13">
        <f t="shared" ca="1" si="82"/>
        <v>63.826412483215336</v>
      </c>
      <c r="T424" s="17">
        <f t="shared" ca="1" si="84"/>
        <v>2.6148110662625929E-2</v>
      </c>
      <c r="U424" s="13"/>
      <c r="V424" s="14">
        <f t="shared" ca="1" si="83"/>
        <v>1.626412</v>
      </c>
      <c r="W424" s="13"/>
      <c r="X424" s="2"/>
    </row>
    <row r="425" spans="8:24" x14ac:dyDescent="0.25">
      <c r="H425" s="13">
        <v>62.300000000000004</v>
      </c>
      <c r="I425" s="13">
        <v>3.6179552822254895</v>
      </c>
      <c r="J425" s="14">
        <f t="shared" si="74"/>
        <v>1.8E-5</v>
      </c>
      <c r="K425" s="23">
        <f t="shared" si="75"/>
        <v>2.12E-4</v>
      </c>
      <c r="L425" s="14">
        <f t="shared" si="76"/>
        <v>1.1402000000000001E-2</v>
      </c>
      <c r="M425" s="10">
        <f t="shared" si="77"/>
        <v>3.6597227800475927</v>
      </c>
      <c r="N425" s="16">
        <f t="shared" si="78"/>
        <v>1.1544503611556811E-2</v>
      </c>
      <c r="O425" s="13">
        <f t="shared" si="79"/>
        <v>19524.972900000001</v>
      </c>
      <c r="P425" s="13">
        <f t="shared" ca="1" si="85"/>
        <v>19529</v>
      </c>
      <c r="Q425" s="13" t="str">
        <f t="shared" ca="1" si="80"/>
        <v>0100110001001001</v>
      </c>
      <c r="R425" s="13">
        <f t="shared" ca="1" si="81"/>
        <v>3.6615757541656495</v>
      </c>
      <c r="S425" s="13">
        <f t="shared" ca="1" si="82"/>
        <v>63.938909049987792</v>
      </c>
      <c r="T425" s="17">
        <f t="shared" ca="1" si="84"/>
        <v>2.6306726324041539E-2</v>
      </c>
      <c r="U425" s="13"/>
      <c r="V425" s="14">
        <f t="shared" ca="1" si="83"/>
        <v>1.6389089999999999</v>
      </c>
      <c r="W425" s="13"/>
      <c r="X425" s="2"/>
    </row>
    <row r="426" spans="8:24" x14ac:dyDescent="0.25">
      <c r="H426" s="13">
        <v>62.400000000000006</v>
      </c>
      <c r="I426" s="13">
        <v>3.6261384781499664</v>
      </c>
      <c r="J426" s="14">
        <f t="shared" si="74"/>
        <v>1.9000000000000001E-5</v>
      </c>
      <c r="K426" s="23">
        <f t="shared" si="75"/>
        <v>2.12E-4</v>
      </c>
      <c r="L426" s="14">
        <f t="shared" si="76"/>
        <v>1.1431999999999999E-2</v>
      </c>
      <c r="M426" s="10">
        <f t="shared" si="77"/>
        <v>3.6681106561146692</v>
      </c>
      <c r="N426" s="16">
        <f t="shared" si="78"/>
        <v>1.1574896606297513E-2</v>
      </c>
      <c r="O426" s="13">
        <f t="shared" si="79"/>
        <v>19569.723000000002</v>
      </c>
      <c r="P426" s="13">
        <f t="shared" ca="1" si="85"/>
        <v>19569</v>
      </c>
      <c r="Q426" s="13" t="str">
        <f t="shared" ca="1" si="80"/>
        <v>0100110001110001</v>
      </c>
      <c r="R426" s="13">
        <f t="shared" ca="1" si="81"/>
        <v>3.6690755252838136</v>
      </c>
      <c r="S426" s="13">
        <f t="shared" ca="1" si="82"/>
        <v>64.028906303405762</v>
      </c>
      <c r="T426" s="17">
        <f t="shared" ca="1" si="84"/>
        <v>2.6104267682784552E-2</v>
      </c>
      <c r="U426" s="13"/>
      <c r="V426" s="14">
        <f t="shared" ca="1" si="83"/>
        <v>1.628906</v>
      </c>
      <c r="W426" s="13"/>
      <c r="X426" s="2"/>
    </row>
    <row r="427" spans="8:24" x14ac:dyDescent="0.25">
      <c r="H427" s="13">
        <v>62.5</v>
      </c>
      <c r="I427" s="13">
        <v>3.6348749687877162</v>
      </c>
      <c r="J427" s="14">
        <f t="shared" si="74"/>
        <v>1.9000000000000001E-5</v>
      </c>
      <c r="K427" s="23">
        <f t="shared" si="75"/>
        <v>2.13E-4</v>
      </c>
      <c r="L427" s="14">
        <f t="shared" si="76"/>
        <v>1.1462999999999999E-2</v>
      </c>
      <c r="M427" s="10">
        <f t="shared" si="77"/>
        <v>3.6770634826351634</v>
      </c>
      <c r="N427" s="16">
        <f t="shared" si="78"/>
        <v>1.1606592856622421E-2</v>
      </c>
      <c r="O427" s="13">
        <f t="shared" si="79"/>
        <v>19617.4872</v>
      </c>
      <c r="P427" s="13">
        <f t="shared" ca="1" si="85"/>
        <v>19621</v>
      </c>
      <c r="Q427" s="13" t="str">
        <f t="shared" ca="1" si="80"/>
        <v>0100110010100101</v>
      </c>
      <c r="R427" s="13">
        <f t="shared" ca="1" si="81"/>
        <v>3.6788252277374269</v>
      </c>
      <c r="S427" s="13">
        <f t="shared" ca="1" si="82"/>
        <v>64.145902732849137</v>
      </c>
      <c r="T427" s="17">
        <f t="shared" ca="1" si="84"/>
        <v>2.6334443725586198E-2</v>
      </c>
      <c r="U427" s="13"/>
      <c r="V427" s="14">
        <f t="shared" ca="1" si="83"/>
        <v>1.6459029999999999</v>
      </c>
      <c r="W427" s="13"/>
      <c r="X427" s="2"/>
    </row>
    <row r="428" spans="8:24" x14ac:dyDescent="0.25">
      <c r="H428" s="13">
        <v>62.6</v>
      </c>
      <c r="I428" s="13">
        <v>3.6441615076446321</v>
      </c>
      <c r="J428" s="14">
        <f t="shared" si="74"/>
        <v>2.0000000000000002E-5</v>
      </c>
      <c r="K428" s="23">
        <f t="shared" si="75"/>
        <v>2.13E-4</v>
      </c>
      <c r="L428" s="14">
        <f t="shared" si="76"/>
        <v>1.1493E-2</v>
      </c>
      <c r="M428" s="10">
        <f t="shared" si="77"/>
        <v>3.6865685736677958</v>
      </c>
      <c r="N428" s="16">
        <f t="shared" si="78"/>
        <v>1.1636988628029572E-2</v>
      </c>
      <c r="O428" s="13">
        <f t="shared" si="79"/>
        <v>19668.197800000002</v>
      </c>
      <c r="P428" s="13">
        <f t="shared" ca="1" si="85"/>
        <v>19671</v>
      </c>
      <c r="Q428" s="13" t="str">
        <f t="shared" ca="1" si="80"/>
        <v>0100110011010111</v>
      </c>
      <c r="R428" s="13">
        <f t="shared" ca="1" si="81"/>
        <v>3.6881999416351321</v>
      </c>
      <c r="S428" s="13">
        <f t="shared" ca="1" si="82"/>
        <v>64.258399299621587</v>
      </c>
      <c r="T428" s="17">
        <f t="shared" ca="1" si="84"/>
        <v>2.6492001591399129E-2</v>
      </c>
      <c r="U428" s="13"/>
      <c r="V428" s="14">
        <f t="shared" ca="1" si="83"/>
        <v>1.658399</v>
      </c>
      <c r="W428" s="13"/>
      <c r="X428" s="2"/>
    </row>
    <row r="429" spans="8:24" x14ac:dyDescent="0.25">
      <c r="H429" s="13">
        <v>62.7</v>
      </c>
      <c r="I429" s="13">
        <v>3.6529233800713228</v>
      </c>
      <c r="J429" s="14">
        <f t="shared" si="74"/>
        <v>2.0999999999999999E-5</v>
      </c>
      <c r="K429" s="23">
        <f t="shared" si="75"/>
        <v>2.14E-4</v>
      </c>
      <c r="L429" s="14">
        <f t="shared" si="76"/>
        <v>1.1524E-2</v>
      </c>
      <c r="M429" s="10">
        <f t="shared" si="77"/>
        <v>3.6955471975842844</v>
      </c>
      <c r="N429" s="16">
        <f t="shared" si="78"/>
        <v>1.1668412687081711E-2</v>
      </c>
      <c r="O429" s="13">
        <f t="shared" si="79"/>
        <v>19716.099600000001</v>
      </c>
      <c r="P429" s="13">
        <f t="shared" ca="1" si="85"/>
        <v>19721</v>
      </c>
      <c r="Q429" s="13" t="str">
        <f t="shared" ca="1" si="80"/>
        <v>0100110100001001</v>
      </c>
      <c r="R429" s="13">
        <f t="shared" ca="1" si="81"/>
        <v>3.6975746555328368</v>
      </c>
      <c r="S429" s="13">
        <f t="shared" ca="1" si="82"/>
        <v>64.370895866394051</v>
      </c>
      <c r="T429" s="17">
        <f t="shared" ca="1" si="84"/>
        <v>2.6649056880287843E-2</v>
      </c>
      <c r="U429" s="13"/>
      <c r="V429" s="14">
        <f t="shared" ca="1" si="83"/>
        <v>1.6708959999999999</v>
      </c>
      <c r="W429" s="13"/>
      <c r="X429" s="2"/>
    </row>
    <row r="430" spans="8:24" x14ac:dyDescent="0.25">
      <c r="H430" s="13">
        <v>62.800000000000004</v>
      </c>
      <c r="I430" s="13">
        <v>3.6616982888756255</v>
      </c>
      <c r="J430" s="14">
        <f t="shared" si="74"/>
        <v>2.0999999999999999E-5</v>
      </c>
      <c r="K430" s="23">
        <f t="shared" si="75"/>
        <v>2.14E-4</v>
      </c>
      <c r="L430" s="14">
        <f t="shared" si="76"/>
        <v>1.1554E-2</v>
      </c>
      <c r="M430" s="10">
        <f t="shared" si="77"/>
        <v>3.7045368373625123</v>
      </c>
      <c r="N430" s="16">
        <f t="shared" si="78"/>
        <v>1.1699092909165078E-2</v>
      </c>
      <c r="O430" s="13">
        <f t="shared" si="79"/>
        <v>19764.0602</v>
      </c>
      <c r="P430" s="13">
        <f t="shared" ca="1" si="85"/>
        <v>19763</v>
      </c>
      <c r="Q430" s="13" t="str">
        <f t="shared" ca="1" si="80"/>
        <v>0100110100110011</v>
      </c>
      <c r="R430" s="13">
        <f t="shared" ca="1" si="81"/>
        <v>3.7054494152069091</v>
      </c>
      <c r="S430" s="13">
        <f t="shared" ca="1" si="82"/>
        <v>64.465392982482911</v>
      </c>
      <c r="T430" s="17">
        <f t="shared" ca="1" si="84"/>
        <v>2.6518996536352011E-2</v>
      </c>
      <c r="U430" s="13"/>
      <c r="V430" s="14">
        <f t="shared" ca="1" si="83"/>
        <v>1.6653929999999999</v>
      </c>
      <c r="W430" s="13"/>
      <c r="X430" s="2"/>
    </row>
    <row r="431" spans="8:24" x14ac:dyDescent="0.25">
      <c r="H431" s="13">
        <v>62.900000000000006</v>
      </c>
      <c r="I431" s="13">
        <v>3.6699524590375083</v>
      </c>
      <c r="J431" s="14">
        <f t="shared" si="74"/>
        <v>2.1999999999999999E-5</v>
      </c>
      <c r="K431" s="23">
        <f t="shared" si="75"/>
        <v>2.1499999999999999E-4</v>
      </c>
      <c r="L431" s="14">
        <f t="shared" si="76"/>
        <v>1.1585E-2</v>
      </c>
      <c r="M431" s="10">
        <f t="shared" si="77"/>
        <v>3.7130029260052795</v>
      </c>
      <c r="N431" s="16">
        <f t="shared" si="78"/>
        <v>1.1730524427300533E-2</v>
      </c>
      <c r="O431" s="13">
        <f t="shared" si="79"/>
        <v>19809.227599999998</v>
      </c>
      <c r="P431" s="13">
        <f t="shared" ca="1" si="85"/>
        <v>19811</v>
      </c>
      <c r="Q431" s="13" t="str">
        <f t="shared" ca="1" si="80"/>
        <v>0100110101100011</v>
      </c>
      <c r="R431" s="13">
        <f t="shared" ca="1" si="81"/>
        <v>3.7144491405487061</v>
      </c>
      <c r="S431" s="13">
        <f t="shared" ca="1" si="82"/>
        <v>64.573389686584477</v>
      </c>
      <c r="T431" s="17">
        <f t="shared" ca="1" si="84"/>
        <v>2.6603969580039286E-2</v>
      </c>
      <c r="U431" s="13"/>
      <c r="V431" s="14">
        <f t="shared" ca="1" si="83"/>
        <v>1.6733899999999999</v>
      </c>
      <c r="W431" s="13"/>
      <c r="X431" s="2"/>
    </row>
    <row r="432" spans="8:24" x14ac:dyDescent="0.25">
      <c r="H432" s="13">
        <v>63</v>
      </c>
      <c r="I432" s="13">
        <v>3.6787541277532938</v>
      </c>
      <c r="J432" s="14">
        <f t="shared" si="74"/>
        <v>2.1999999999999999E-5</v>
      </c>
      <c r="K432" s="23">
        <f t="shared" si="75"/>
        <v>2.1499999999999999E-4</v>
      </c>
      <c r="L432" s="14">
        <f t="shared" si="76"/>
        <v>1.1615E-2</v>
      </c>
      <c r="M432" s="10">
        <f t="shared" si="77"/>
        <v>3.722020724801868</v>
      </c>
      <c r="N432" s="16">
        <f t="shared" si="78"/>
        <v>1.1761209242597071E-2</v>
      </c>
      <c r="O432" s="13">
        <f t="shared" si="79"/>
        <v>19857.338400000001</v>
      </c>
      <c r="P432" s="13">
        <f t="shared" ca="1" si="85"/>
        <v>19862</v>
      </c>
      <c r="Q432" s="13" t="str">
        <f t="shared" ca="1" si="80"/>
        <v>0100110110010110</v>
      </c>
      <c r="R432" s="13">
        <f t="shared" ca="1" si="81"/>
        <v>3.7240113487243653</v>
      </c>
      <c r="S432" s="13">
        <f t="shared" ca="1" si="82"/>
        <v>64.688136184692382</v>
      </c>
      <c r="T432" s="17">
        <f t="shared" ca="1" si="84"/>
        <v>2.679581245543464E-2</v>
      </c>
      <c r="U432" s="13"/>
      <c r="V432" s="14">
        <f t="shared" ca="1" si="83"/>
        <v>1.6881360000000001</v>
      </c>
      <c r="W432" s="13"/>
      <c r="X432" s="2"/>
    </row>
    <row r="433" spans="8:24" x14ac:dyDescent="0.25">
      <c r="H433" s="13">
        <v>63.1</v>
      </c>
      <c r="I433" s="13">
        <v>3.6875684814934004</v>
      </c>
      <c r="J433" s="14">
        <f t="shared" si="74"/>
        <v>2.3E-5</v>
      </c>
      <c r="K433" s="23">
        <f t="shared" si="75"/>
        <v>2.1599999999999999E-4</v>
      </c>
      <c r="L433" s="14">
        <f t="shared" si="76"/>
        <v>1.1646E-2</v>
      </c>
      <c r="M433" s="10">
        <f t="shared" si="77"/>
        <v>3.7310546686970465</v>
      </c>
      <c r="N433" s="16">
        <f t="shared" si="78"/>
        <v>1.1792645322219186E-2</v>
      </c>
      <c r="O433" s="13">
        <f t="shared" si="79"/>
        <v>19905.535400000001</v>
      </c>
      <c r="P433" s="13">
        <f t="shared" ca="1" si="85"/>
        <v>19904</v>
      </c>
      <c r="Q433" s="13" t="str">
        <f t="shared" ca="1" si="80"/>
        <v>0100110111000000</v>
      </c>
      <c r="R433" s="13">
        <f t="shared" ca="1" si="81"/>
        <v>3.7318861083984376</v>
      </c>
      <c r="S433" s="13">
        <f t="shared" ca="1" si="82"/>
        <v>64.782633300781256</v>
      </c>
      <c r="T433" s="17">
        <f t="shared" ca="1" si="84"/>
        <v>2.6666137888767909E-2</v>
      </c>
      <c r="U433" s="13"/>
      <c r="V433" s="14">
        <f t="shared" ca="1" si="83"/>
        <v>1.682633</v>
      </c>
      <c r="W433" s="13"/>
      <c r="X433" s="2"/>
    </row>
    <row r="434" spans="8:24" x14ac:dyDescent="0.25">
      <c r="H434" s="13">
        <v>63.2</v>
      </c>
      <c r="I434" s="13">
        <v>3.695864857744465</v>
      </c>
      <c r="J434" s="14">
        <f t="shared" si="74"/>
        <v>2.3E-5</v>
      </c>
      <c r="K434" s="23">
        <f t="shared" si="75"/>
        <v>2.1599999999999999E-4</v>
      </c>
      <c r="L434" s="14">
        <f t="shared" si="76"/>
        <v>1.1676000000000001E-2</v>
      </c>
      <c r="M434" s="10">
        <f t="shared" si="77"/>
        <v>3.7395623100688287</v>
      </c>
      <c r="N434" s="16">
        <f t="shared" si="78"/>
        <v>1.182333608135E-2</v>
      </c>
      <c r="O434" s="13">
        <f t="shared" si="79"/>
        <v>19950.924500000001</v>
      </c>
      <c r="P434" s="13">
        <f t="shared" ca="1" si="85"/>
        <v>19954</v>
      </c>
      <c r="Q434" s="13" t="str">
        <f t="shared" ca="1" si="80"/>
        <v>0100110111110010</v>
      </c>
      <c r="R434" s="13">
        <f t="shared" ca="1" si="81"/>
        <v>3.7412608222961428</v>
      </c>
      <c r="S434" s="13">
        <f t="shared" ca="1" si="82"/>
        <v>64.89512986755372</v>
      </c>
      <c r="T434" s="17">
        <f t="shared" ca="1" si="84"/>
        <v>2.6821675119520844E-2</v>
      </c>
      <c r="U434" s="13"/>
      <c r="V434" s="14">
        <f t="shared" ca="1" si="83"/>
        <v>1.69513</v>
      </c>
      <c r="W434" s="13"/>
      <c r="X434" s="2"/>
    </row>
    <row r="435" spans="8:24" x14ac:dyDescent="0.25">
      <c r="H435" s="13">
        <v>63.300000000000004</v>
      </c>
      <c r="I435" s="13">
        <v>3.7041757571574028</v>
      </c>
      <c r="J435" s="14">
        <f t="shared" si="74"/>
        <v>2.4000000000000001E-5</v>
      </c>
      <c r="K435" s="23">
        <f t="shared" si="75"/>
        <v>2.1699999999999999E-4</v>
      </c>
      <c r="L435" s="14">
        <f t="shared" si="76"/>
        <v>1.1707E-2</v>
      </c>
      <c r="M435" s="10">
        <f t="shared" si="77"/>
        <v>3.7480879437083976</v>
      </c>
      <c r="N435" s="16">
        <f t="shared" si="78"/>
        <v>1.1854779424584645E-2</v>
      </c>
      <c r="O435" s="13">
        <f t="shared" si="79"/>
        <v>19996.409500000002</v>
      </c>
      <c r="P435" s="13">
        <f t="shared" ca="1" si="85"/>
        <v>19998</v>
      </c>
      <c r="Q435" s="13" t="str">
        <f t="shared" ca="1" si="80"/>
        <v>0100111000011110</v>
      </c>
      <c r="R435" s="13">
        <f t="shared" ca="1" si="81"/>
        <v>3.7495105705261231</v>
      </c>
      <c r="S435" s="13">
        <f t="shared" ca="1" si="82"/>
        <v>64.994126846313492</v>
      </c>
      <c r="T435" s="17">
        <f t="shared" ca="1" si="84"/>
        <v>2.6763457287732818E-2</v>
      </c>
      <c r="U435" s="13"/>
      <c r="V435" s="14">
        <f t="shared" ca="1" si="83"/>
        <v>1.6941269999999999</v>
      </c>
      <c r="W435" s="13"/>
      <c r="X435" s="2"/>
    </row>
    <row r="436" spans="8:24" x14ac:dyDescent="0.25">
      <c r="H436" s="13">
        <v>63.400000000000006</v>
      </c>
      <c r="I436" s="13">
        <v>3.7135580097832888</v>
      </c>
      <c r="J436" s="14">
        <f t="shared" si="74"/>
        <v>2.5000000000000001E-5</v>
      </c>
      <c r="K436" s="23">
        <f t="shared" si="75"/>
        <v>2.1699999999999999E-4</v>
      </c>
      <c r="L436" s="14">
        <f t="shared" si="76"/>
        <v>1.1736999999999999E-2</v>
      </c>
      <c r="M436" s="10">
        <f t="shared" si="77"/>
        <v>3.7576943880700675</v>
      </c>
      <c r="N436" s="16">
        <f t="shared" si="78"/>
        <v>1.1885199630786002E-2</v>
      </c>
      <c r="O436" s="13">
        <f t="shared" si="79"/>
        <v>20047.660899999999</v>
      </c>
      <c r="P436" s="13">
        <f t="shared" ca="1" si="85"/>
        <v>20049</v>
      </c>
      <c r="Q436" s="13" t="str">
        <f t="shared" ca="1" si="80"/>
        <v>0100111001010001</v>
      </c>
      <c r="R436" s="13">
        <f t="shared" ca="1" si="81"/>
        <v>3.7590727787017824</v>
      </c>
      <c r="S436" s="13">
        <f t="shared" ca="1" si="82"/>
        <v>65.108873344421397</v>
      </c>
      <c r="T436" s="17">
        <f t="shared" ca="1" si="84"/>
        <v>2.6953838240085036E-2</v>
      </c>
      <c r="U436" s="13"/>
      <c r="V436" s="14">
        <f t="shared" ca="1" si="83"/>
        <v>1.7088730000000001</v>
      </c>
      <c r="W436" s="13"/>
      <c r="X436" s="2"/>
    </row>
    <row r="437" spans="8:24" x14ac:dyDescent="0.25">
      <c r="H437" s="13">
        <v>63.5</v>
      </c>
      <c r="I437" s="13">
        <v>3.7218955292168885</v>
      </c>
      <c r="J437" s="14">
        <f t="shared" si="74"/>
        <v>2.5000000000000001E-5</v>
      </c>
      <c r="K437" s="23">
        <f t="shared" si="75"/>
        <v>2.1800000000000001E-4</v>
      </c>
      <c r="L437" s="14">
        <f t="shared" si="76"/>
        <v>1.1768000000000001E-2</v>
      </c>
      <c r="M437" s="10">
        <f t="shared" si="77"/>
        <v>3.7662490656777847</v>
      </c>
      <c r="N437" s="16">
        <f t="shared" si="78"/>
        <v>1.1916921394682057E-2</v>
      </c>
      <c r="O437" s="13">
        <f t="shared" si="79"/>
        <v>20093.300899999998</v>
      </c>
      <c r="P437" s="13">
        <f t="shared" ca="1" si="85"/>
        <v>20092</v>
      </c>
      <c r="Q437" s="13" t="str">
        <f t="shared" ca="1" si="80"/>
        <v>0100111001111100</v>
      </c>
      <c r="R437" s="13">
        <f t="shared" ca="1" si="81"/>
        <v>3.7671350326538087</v>
      </c>
      <c r="S437" s="13">
        <f t="shared" ca="1" si="82"/>
        <v>65.205620391845713</v>
      </c>
      <c r="T437" s="17">
        <f t="shared" ca="1" si="84"/>
        <v>2.686016365111359E-2</v>
      </c>
      <c r="U437" s="13"/>
      <c r="V437" s="14">
        <f t="shared" ca="1" si="83"/>
        <v>1.7056199999999999</v>
      </c>
      <c r="W437" s="13"/>
      <c r="X437" s="2"/>
    </row>
    <row r="438" spans="8:24" x14ac:dyDescent="0.25">
      <c r="H438" s="13">
        <v>63.6</v>
      </c>
      <c r="I438" s="13">
        <v>3.7302472166499641</v>
      </c>
      <c r="J438" s="14">
        <f t="shared" si="74"/>
        <v>2.5999999999999998E-5</v>
      </c>
      <c r="K438" s="23">
        <f t="shared" si="75"/>
        <v>2.1800000000000001E-4</v>
      </c>
      <c r="L438" s="14">
        <f t="shared" si="76"/>
        <v>1.1797999999999999E-2</v>
      </c>
      <c r="M438" s="10">
        <f t="shared" si="77"/>
        <v>3.7748137854061863</v>
      </c>
      <c r="N438" s="16">
        <f t="shared" si="78"/>
        <v>1.1947349912171846E-2</v>
      </c>
      <c r="O438" s="13">
        <f t="shared" si="79"/>
        <v>20138.994500000001</v>
      </c>
      <c r="P438" s="13">
        <f t="shared" ca="1" si="85"/>
        <v>20144</v>
      </c>
      <c r="Q438" s="13" t="str">
        <f t="shared" ca="1" si="80"/>
        <v>0100111010110000</v>
      </c>
      <c r="R438" s="13">
        <f t="shared" ca="1" si="81"/>
        <v>3.776884735107422</v>
      </c>
      <c r="S438" s="13">
        <f t="shared" ca="1" si="82"/>
        <v>65.322616821289074</v>
      </c>
      <c r="T438" s="17">
        <f t="shared" ca="1" si="84"/>
        <v>2.7085170146054601E-2</v>
      </c>
      <c r="U438" s="13"/>
      <c r="V438" s="14">
        <f t="shared" ca="1" si="83"/>
        <v>1.7226170000000001</v>
      </c>
      <c r="W438" s="13"/>
      <c r="X438" s="2"/>
    </row>
    <row r="439" spans="8:24" x14ac:dyDescent="0.25">
      <c r="H439" s="13">
        <v>63.7</v>
      </c>
      <c r="I439" s="13">
        <v>3.7391383300963774</v>
      </c>
      <c r="J439" s="14">
        <f t="shared" si="74"/>
        <v>2.5999999999999998E-5</v>
      </c>
      <c r="K439" s="23">
        <f t="shared" si="75"/>
        <v>2.1900000000000001E-4</v>
      </c>
      <c r="L439" s="14">
        <f t="shared" si="76"/>
        <v>1.1828999999999999E-2</v>
      </c>
      <c r="M439" s="10">
        <f t="shared" si="77"/>
        <v>3.7839297490154813</v>
      </c>
      <c r="N439" s="16">
        <f t="shared" si="78"/>
        <v>1.1979075114332388E-2</v>
      </c>
      <c r="O439" s="13">
        <f t="shared" si="79"/>
        <v>20187.629000000001</v>
      </c>
      <c r="P439" s="13">
        <f t="shared" ca="1" si="85"/>
        <v>20187</v>
      </c>
      <c r="Q439" s="13" t="str">
        <f t="shared" ca="1" si="80"/>
        <v>0100111011011011</v>
      </c>
      <c r="R439" s="13">
        <f t="shared" ca="1" si="81"/>
        <v>3.7849469890594483</v>
      </c>
      <c r="S439" s="13">
        <f t="shared" ca="1" si="82"/>
        <v>65.41936386871339</v>
      </c>
      <c r="T439" s="17">
        <f t="shared" ca="1" si="84"/>
        <v>2.6991583496285509E-2</v>
      </c>
      <c r="U439" s="13"/>
      <c r="V439" s="14">
        <f t="shared" ca="1" si="83"/>
        <v>1.7193639999999999</v>
      </c>
      <c r="W439" s="13"/>
      <c r="X439" s="2"/>
    </row>
    <row r="440" spans="8:24" x14ac:dyDescent="0.25">
      <c r="H440" s="13">
        <v>63.800000000000004</v>
      </c>
      <c r="I440" s="13">
        <v>3.747516966065493</v>
      </c>
      <c r="J440" s="14">
        <f t="shared" si="74"/>
        <v>2.6999999999999999E-5</v>
      </c>
      <c r="K440" s="23">
        <f t="shared" si="75"/>
        <v>2.1900000000000001E-4</v>
      </c>
      <c r="L440" s="14">
        <f t="shared" si="76"/>
        <v>1.1859E-2</v>
      </c>
      <c r="M440" s="10">
        <f t="shared" si="77"/>
        <v>3.7925228062022454</v>
      </c>
      <c r="N440" s="16">
        <f t="shared" si="78"/>
        <v>1.2009509374951237E-2</v>
      </c>
      <c r="O440" s="13">
        <f t="shared" si="79"/>
        <v>20233.4738</v>
      </c>
      <c r="P440" s="13">
        <f t="shared" ca="1" si="85"/>
        <v>20234</v>
      </c>
      <c r="Q440" s="13" t="str">
        <f t="shared" ca="1" si="80"/>
        <v>0100111100001010</v>
      </c>
      <c r="R440" s="13">
        <f t="shared" ca="1" si="81"/>
        <v>3.7937592201232913</v>
      </c>
      <c r="S440" s="13">
        <f t="shared" ca="1" si="82"/>
        <v>65.5251106414795</v>
      </c>
      <c r="T440" s="17">
        <f t="shared" ca="1" si="84"/>
        <v>2.7039351747327522E-2</v>
      </c>
      <c r="U440" s="13"/>
      <c r="V440" s="14">
        <f t="shared" ca="1" si="83"/>
        <v>1.7251110000000001</v>
      </c>
      <c r="W440" s="13"/>
      <c r="X440" s="2"/>
    </row>
    <row r="441" spans="8:24" x14ac:dyDescent="0.25">
      <c r="H441" s="13">
        <v>63.900000000000006</v>
      </c>
      <c r="I441" s="13">
        <v>3.756432732011362</v>
      </c>
      <c r="J441" s="14">
        <f t="shared" si="74"/>
        <v>2.6999999999999999E-5</v>
      </c>
      <c r="K441" s="23">
        <f t="shared" si="75"/>
        <v>2.2000000000000001E-4</v>
      </c>
      <c r="L441" s="14">
        <f t="shared" si="76"/>
        <v>1.189E-2</v>
      </c>
      <c r="M441" s="10">
        <f t="shared" si="77"/>
        <v>3.8016648373069413</v>
      </c>
      <c r="N441" s="16">
        <f t="shared" si="78"/>
        <v>1.204123926142024E-2</v>
      </c>
      <c r="O441" s="13">
        <f t="shared" si="79"/>
        <v>20282.2474</v>
      </c>
      <c r="P441" s="13">
        <f t="shared" ca="1" si="85"/>
        <v>20285</v>
      </c>
      <c r="Q441" s="13" t="str">
        <f t="shared" ca="1" si="80"/>
        <v>0100111100111101</v>
      </c>
      <c r="R441" s="13">
        <f t="shared" ca="1" si="81"/>
        <v>3.8033214282989505</v>
      </c>
      <c r="S441" s="13">
        <f t="shared" ca="1" si="82"/>
        <v>65.63985713958742</v>
      </c>
      <c r="T441" s="17">
        <f t="shared" ca="1" si="84"/>
        <v>2.7227811261148892E-2</v>
      </c>
      <c r="U441" s="13"/>
      <c r="V441" s="14">
        <f t="shared" ca="1" si="83"/>
        <v>1.739857</v>
      </c>
      <c r="W441" s="13"/>
      <c r="X441" s="2"/>
    </row>
    <row r="442" spans="8:24" x14ac:dyDescent="0.25">
      <c r="H442" s="13">
        <v>64</v>
      </c>
      <c r="I442" s="13">
        <v>3.7648378464800953</v>
      </c>
      <c r="J442" s="14">
        <f t="shared" si="74"/>
        <v>2.8E-5</v>
      </c>
      <c r="K442" s="23">
        <f t="shared" si="75"/>
        <v>2.2000000000000001E-4</v>
      </c>
      <c r="L442" s="14">
        <f t="shared" si="76"/>
        <v>1.192E-2</v>
      </c>
      <c r="M442" s="10">
        <f t="shared" si="77"/>
        <v>3.8102857613959351</v>
      </c>
      <c r="N442" s="16">
        <f t="shared" si="78"/>
        <v>1.2071679251293899E-2</v>
      </c>
      <c r="O442" s="13">
        <f t="shared" si="79"/>
        <v>20328.240900000001</v>
      </c>
      <c r="P442" s="13">
        <f t="shared" ca="1" si="85"/>
        <v>20331</v>
      </c>
      <c r="Q442" s="13" t="str">
        <f t="shared" ca="1" si="80"/>
        <v>0100111101101011</v>
      </c>
      <c r="R442" s="13">
        <f t="shared" ca="1" si="81"/>
        <v>3.811946165084839</v>
      </c>
      <c r="S442" s="13">
        <f t="shared" ca="1" si="82"/>
        <v>65.743353981018075</v>
      </c>
      <c r="T442" s="17">
        <f t="shared" ca="1" si="84"/>
        <v>2.7239905953407417E-2</v>
      </c>
      <c r="U442" s="13"/>
      <c r="V442" s="14">
        <f t="shared" ca="1" si="83"/>
        <v>1.7433540000000001</v>
      </c>
      <c r="W442" s="13"/>
      <c r="X442" s="2"/>
    </row>
    <row r="443" spans="8:24" x14ac:dyDescent="0.25">
      <c r="H443" s="13">
        <v>64.099999999999994</v>
      </c>
      <c r="I443" s="13">
        <v>3.7732565386316326</v>
      </c>
      <c r="J443" s="14">
        <f t="shared" si="74"/>
        <v>2.9E-5</v>
      </c>
      <c r="K443" s="23">
        <f t="shared" si="75"/>
        <v>2.2100000000000001E-4</v>
      </c>
      <c r="L443" s="14">
        <f t="shared" si="76"/>
        <v>1.1951E-2</v>
      </c>
      <c r="M443" s="10">
        <f t="shared" si="77"/>
        <v>3.8189248159490399</v>
      </c>
      <c r="N443" s="16">
        <f t="shared" si="78"/>
        <v>1.2103146671805372E-2</v>
      </c>
      <c r="O443" s="13">
        <f t="shared" si="79"/>
        <v>20374.331099999999</v>
      </c>
      <c r="P443" s="13">
        <f t="shared" ca="1" si="85"/>
        <v>20374</v>
      </c>
      <c r="Q443" s="13" t="str">
        <f t="shared" ca="1" si="80"/>
        <v>0100111110010110</v>
      </c>
      <c r="R443" s="13">
        <f t="shared" ca="1" si="81"/>
        <v>3.8200084190368653</v>
      </c>
      <c r="S443" s="13">
        <f t="shared" ca="1" si="82"/>
        <v>65.84010102844239</v>
      </c>
      <c r="T443" s="17">
        <f t="shared" ca="1" si="84"/>
        <v>2.714666191017779E-2</v>
      </c>
      <c r="U443" s="13"/>
      <c r="V443" s="14">
        <f t="shared" ca="1" si="83"/>
        <v>1.7401009999999999</v>
      </c>
      <c r="W443" s="13"/>
      <c r="X443" s="2"/>
    </row>
    <row r="444" spans="8:24" x14ac:dyDescent="0.25">
      <c r="H444" s="13">
        <v>64.2</v>
      </c>
      <c r="I444" s="13">
        <v>3.7822089254954521</v>
      </c>
      <c r="J444" s="14">
        <f t="shared" si="74"/>
        <v>2.9E-5</v>
      </c>
      <c r="K444" s="23">
        <f t="shared" si="75"/>
        <v>2.2100000000000001E-4</v>
      </c>
      <c r="L444" s="14">
        <f t="shared" si="76"/>
        <v>1.1981E-2</v>
      </c>
      <c r="M444" s="10">
        <f t="shared" si="77"/>
        <v>3.828101717272089</v>
      </c>
      <c r="N444" s="16">
        <f t="shared" si="78"/>
        <v>1.2133859519837397E-2</v>
      </c>
      <c r="O444" s="13">
        <f t="shared" si="79"/>
        <v>20423.290700000001</v>
      </c>
      <c r="P444" s="13">
        <f t="shared" ca="1" si="85"/>
        <v>20425</v>
      </c>
      <c r="Q444" s="13" t="str">
        <f t="shared" ca="1" si="80"/>
        <v>0100111111001001</v>
      </c>
      <c r="R444" s="13">
        <f t="shared" ca="1" si="81"/>
        <v>3.8295706272125245</v>
      </c>
      <c r="S444" s="13">
        <f t="shared" ca="1" si="82"/>
        <v>65.954847526550296</v>
      </c>
      <c r="T444" s="17">
        <f t="shared" ca="1" si="84"/>
        <v>2.7334073622278705E-2</v>
      </c>
      <c r="U444" s="13"/>
      <c r="V444" s="14">
        <f t="shared" ca="1" si="83"/>
        <v>1.754848</v>
      </c>
      <c r="W444" s="13"/>
      <c r="X444" s="2"/>
    </row>
    <row r="445" spans="8:24" x14ac:dyDescent="0.25">
      <c r="H445" s="13">
        <v>64.300000000000011</v>
      </c>
      <c r="I445" s="13">
        <v>3.7906533935827107</v>
      </c>
      <c r="J445" s="14">
        <f t="shared" si="74"/>
        <v>3.0000000000000001E-5</v>
      </c>
      <c r="K445" s="23">
        <f t="shared" si="75"/>
        <v>2.22E-4</v>
      </c>
      <c r="L445" s="14">
        <f t="shared" si="76"/>
        <v>1.2012E-2</v>
      </c>
      <c r="M445" s="10">
        <f t="shared" si="77"/>
        <v>3.8367679535446895</v>
      </c>
      <c r="N445" s="16">
        <f t="shared" si="78"/>
        <v>1.216533277351267E-2</v>
      </c>
      <c r="O445" s="13">
        <f t="shared" si="79"/>
        <v>20469.525900000001</v>
      </c>
      <c r="P445" s="13">
        <f t="shared" ca="1" si="85"/>
        <v>20471</v>
      </c>
      <c r="Q445" s="13" t="str">
        <f t="shared" ca="1" si="80"/>
        <v>0100111111110111</v>
      </c>
      <c r="R445" s="13">
        <f t="shared" ca="1" si="81"/>
        <v>3.838195363998413</v>
      </c>
      <c r="S445" s="13">
        <f t="shared" ca="1" si="82"/>
        <v>66.058344367980965</v>
      </c>
      <c r="T445" s="17">
        <f t="shared" ca="1" si="84"/>
        <v>2.7345946624898181E-2</v>
      </c>
      <c r="U445" s="13"/>
      <c r="V445" s="14">
        <f t="shared" ca="1" si="83"/>
        <v>1.7583439999999999</v>
      </c>
      <c r="W445" s="13"/>
      <c r="X445" s="2"/>
    </row>
    <row r="446" spans="8:24" x14ac:dyDescent="0.25">
      <c r="H446" s="13">
        <v>64.400000000000006</v>
      </c>
      <c r="I446" s="13">
        <v>3.7996292732108059</v>
      </c>
      <c r="J446" s="14">
        <f t="shared" si="74"/>
        <v>3.0000000000000001E-5</v>
      </c>
      <c r="K446" s="23">
        <f t="shared" si="75"/>
        <v>2.22E-4</v>
      </c>
      <c r="L446" s="14">
        <f t="shared" si="76"/>
        <v>1.2042000000000001E-2</v>
      </c>
      <c r="M446" s="10">
        <f t="shared" si="77"/>
        <v>3.8459697424129424</v>
      </c>
      <c r="N446" s="16">
        <f t="shared" si="78"/>
        <v>1.2196050159119174E-2</v>
      </c>
      <c r="O446" s="13">
        <f t="shared" si="79"/>
        <v>20518.618399999999</v>
      </c>
      <c r="P446" s="13">
        <f t="shared" ca="1" si="85"/>
        <v>20520</v>
      </c>
      <c r="Q446" s="13" t="str">
        <f t="shared" ca="1" si="80"/>
        <v>0101000000101000</v>
      </c>
      <c r="R446" s="13">
        <f t="shared" ca="1" si="81"/>
        <v>3.8473825836181641</v>
      </c>
      <c r="S446" s="13">
        <f t="shared" ca="1" si="82"/>
        <v>66.168591003417973</v>
      </c>
      <c r="T446" s="17">
        <f t="shared" ca="1" si="84"/>
        <v>2.7462593220775884E-2</v>
      </c>
      <c r="U446" s="13"/>
      <c r="V446" s="14">
        <f t="shared" ca="1" si="83"/>
        <v>1.768591</v>
      </c>
      <c r="W446" s="13"/>
      <c r="X446" s="2"/>
    </row>
    <row r="447" spans="8:24" x14ac:dyDescent="0.25">
      <c r="H447" s="13">
        <v>64.5</v>
      </c>
      <c r="I447" s="13">
        <v>3.8080990513223361</v>
      </c>
      <c r="J447" s="14">
        <f t="shared" si="74"/>
        <v>3.1000000000000001E-5</v>
      </c>
      <c r="K447" s="23">
        <f t="shared" si="75"/>
        <v>2.23E-4</v>
      </c>
      <c r="L447" s="14">
        <f t="shared" si="76"/>
        <v>1.2073E-2</v>
      </c>
      <c r="M447" s="10">
        <f t="shared" si="77"/>
        <v>3.8546626937904684</v>
      </c>
      <c r="N447" s="16">
        <f t="shared" si="78"/>
        <v>1.2227529231930949E-2</v>
      </c>
      <c r="O447" s="13">
        <f t="shared" si="79"/>
        <v>20564.9961</v>
      </c>
      <c r="P447" s="13">
        <f t="shared" ca="1" si="85"/>
        <v>20565</v>
      </c>
      <c r="Q447" s="13" t="str">
        <f t="shared" ca="1" si="80"/>
        <v>0101000001010101</v>
      </c>
      <c r="R447" s="13">
        <f t="shared" ca="1" si="81"/>
        <v>3.8558198261260985</v>
      </c>
      <c r="S447" s="13">
        <f t="shared" ca="1" si="82"/>
        <v>66.269837913513186</v>
      </c>
      <c r="T447" s="17">
        <f t="shared" ca="1" si="84"/>
        <v>2.7439347496328464E-2</v>
      </c>
      <c r="U447" s="13"/>
      <c r="V447" s="14">
        <f t="shared" ca="1" si="83"/>
        <v>1.769838</v>
      </c>
      <c r="W447" s="13"/>
      <c r="X447" s="2"/>
    </row>
    <row r="448" spans="8:24" x14ac:dyDescent="0.25">
      <c r="H448" s="13">
        <v>64.599999999999994</v>
      </c>
      <c r="I448" s="13">
        <v>3.8165818214647791</v>
      </c>
      <c r="J448" s="14">
        <f t="shared" si="74"/>
        <v>3.1000000000000001E-5</v>
      </c>
      <c r="K448" s="23">
        <f t="shared" si="75"/>
        <v>2.23E-4</v>
      </c>
      <c r="L448" s="14">
        <f t="shared" si="76"/>
        <v>1.2102999999999999E-2</v>
      </c>
      <c r="M448" s="10">
        <f t="shared" si="77"/>
        <v>3.8633664435571515</v>
      </c>
      <c r="N448" s="16">
        <f t="shared" si="78"/>
        <v>1.2258252090719441E-2</v>
      </c>
      <c r="O448" s="13">
        <f t="shared" si="79"/>
        <v>20611.431400000001</v>
      </c>
      <c r="P448" s="13">
        <f t="shared" ca="1" si="85"/>
        <v>20610</v>
      </c>
      <c r="Q448" s="13" t="str">
        <f t="shared" ca="1" si="80"/>
        <v>0101000010000010</v>
      </c>
      <c r="R448" s="13">
        <f t="shared" ca="1" si="81"/>
        <v>3.8642570686340334</v>
      </c>
      <c r="S448" s="13">
        <f t="shared" ca="1" si="82"/>
        <v>66.371084823608399</v>
      </c>
      <c r="T448" s="17">
        <f t="shared" ca="1" si="84"/>
        <v>2.7416173740068186E-2</v>
      </c>
      <c r="U448" s="13"/>
      <c r="V448" s="14">
        <f t="shared" ca="1" si="83"/>
        <v>1.771085</v>
      </c>
      <c r="W448" s="13"/>
      <c r="X448" s="2"/>
    </row>
    <row r="449" spans="8:24" x14ac:dyDescent="0.25">
      <c r="H449" s="13">
        <v>64.7</v>
      </c>
      <c r="I449" s="13">
        <v>3.8250774666170155</v>
      </c>
      <c r="J449" s="14">
        <f t="shared" si="74"/>
        <v>3.1999999999999999E-5</v>
      </c>
      <c r="K449" s="23">
        <f t="shared" si="75"/>
        <v>2.24E-4</v>
      </c>
      <c r="L449" s="14">
        <f t="shared" si="76"/>
        <v>1.2134000000000001E-2</v>
      </c>
      <c r="M449" s="10">
        <f t="shared" si="77"/>
        <v>3.8720866624066579</v>
      </c>
      <c r="N449" s="16">
        <f t="shared" si="78"/>
        <v>1.2289736926875456E-2</v>
      </c>
      <c r="O449" s="13">
        <f t="shared" si="79"/>
        <v>20657.954600000001</v>
      </c>
      <c r="P449" s="13">
        <f t="shared" ca="1" si="85"/>
        <v>20659</v>
      </c>
      <c r="Q449" s="13" t="str">
        <f t="shared" ca="1" si="80"/>
        <v>0101000010110011</v>
      </c>
      <c r="R449" s="13">
        <f t="shared" ca="1" si="81"/>
        <v>3.8734442882537841</v>
      </c>
      <c r="S449" s="13">
        <f t="shared" ca="1" si="82"/>
        <v>66.481331459045407</v>
      </c>
      <c r="T449" s="17">
        <f t="shared" ca="1" si="84"/>
        <v>2.7532170928058795E-2</v>
      </c>
      <c r="U449" s="13"/>
      <c r="V449" s="14">
        <f t="shared" ca="1" si="83"/>
        <v>1.781331</v>
      </c>
      <c r="W449" s="13"/>
      <c r="X449" s="2"/>
    </row>
    <row r="450" spans="8:24" x14ac:dyDescent="0.25">
      <c r="H450" s="13">
        <v>64.800000000000011</v>
      </c>
      <c r="I450" s="13">
        <v>3.8330717716177904</v>
      </c>
      <c r="J450" s="14">
        <f t="shared" si="74"/>
        <v>3.3000000000000003E-5</v>
      </c>
      <c r="K450" s="23">
        <f t="shared" si="75"/>
        <v>2.24E-4</v>
      </c>
      <c r="L450" s="14">
        <f t="shared" si="76"/>
        <v>1.2163999999999999E-2</v>
      </c>
      <c r="M450" s="10">
        <f t="shared" si="77"/>
        <v>3.8802959864853985</v>
      </c>
      <c r="N450" s="16">
        <f t="shared" si="78"/>
        <v>1.2320201050573227E-2</v>
      </c>
      <c r="O450" s="13">
        <f t="shared" si="79"/>
        <v>20701.752199999999</v>
      </c>
      <c r="P450" s="13">
        <f t="shared" ca="1" si="85"/>
        <v>20700</v>
      </c>
      <c r="Q450" s="13" t="str">
        <f t="shared" ca="1" si="80"/>
        <v>0101000011011100</v>
      </c>
      <c r="R450" s="13">
        <f t="shared" ca="1" si="81"/>
        <v>3.8811315536499023</v>
      </c>
      <c r="S450" s="13">
        <f t="shared" ca="1" si="82"/>
        <v>66.573578643798825</v>
      </c>
      <c r="T450" s="17">
        <f t="shared" ca="1" si="84"/>
        <v>2.7370040799364406E-2</v>
      </c>
      <c r="U450" s="13"/>
      <c r="V450" s="14">
        <f t="shared" ca="1" si="83"/>
        <v>1.773579</v>
      </c>
      <c r="W450" s="13"/>
      <c r="X450" s="2"/>
    </row>
    <row r="451" spans="8:24" x14ac:dyDescent="0.25">
      <c r="H451" s="13">
        <v>64.900000000000006</v>
      </c>
      <c r="I451" s="13">
        <v>3.8415938356227968</v>
      </c>
      <c r="J451" s="14">
        <f t="shared" ref="J451:J514" si="86">ROUND(H451*0.00000575 -0.00034,6)</f>
        <v>3.3000000000000003E-5</v>
      </c>
      <c r="K451" s="23">
        <f t="shared" ref="K451:K514" si="87">ROUND(H451*0.000005-0.0001,6)</f>
        <v>2.2499999999999999E-4</v>
      </c>
      <c r="L451" s="14">
        <f t="shared" ref="L451:L514" si="88">ROUND(K451+($C$24*(H451-25)),6)</f>
        <v>1.2194999999999999E-2</v>
      </c>
      <c r="M451" s="10">
        <f t="shared" ref="M451:M514" si="89">(I451-J451)/(1-L451)+$C$26+$D$27</f>
        <v>3.8890450324839381</v>
      </c>
      <c r="N451" s="16">
        <f t="shared" ref="N451:N514" si="90">ABS(I451-M451)/I451</f>
        <v>1.2351955696390932E-2</v>
      </c>
      <c r="O451" s="13">
        <f t="shared" ref="O451:O514" si="91">ROUND((M451*(2^($C$12-1)))/$C$44,4)</f>
        <v>20748.429199999999</v>
      </c>
      <c r="P451" s="13">
        <f t="shared" ca="1" si="85"/>
        <v>20750</v>
      </c>
      <c r="Q451" s="13" t="str">
        <f t="shared" ref="Q451:Q514" ca="1" si="92">_xlfn.BASE(IF(P451&lt;0, P451+2^($C$12)-1, P451), 2, 16)</f>
        <v>0101000100001110</v>
      </c>
      <c r="R451" s="13">
        <f t="shared" ref="R451:R514" ca="1" si="93">($C$16/2^($C$12-1)) * P451</f>
        <v>3.8905062675476074</v>
      </c>
      <c r="S451" s="13">
        <f t="shared" ref="S451:S514" ca="1" si="94">(R451+5/3)/(1/12)</f>
        <v>66.686075210571303</v>
      </c>
      <c r="T451" s="17">
        <f t="shared" ca="1" si="84"/>
        <v>2.7520419269203351E-2</v>
      </c>
      <c r="U451" s="13"/>
      <c r="V451" s="14">
        <f t="shared" ref="V451:V514" ca="1" si="95">ROUND(ABS(H451-S451),6)</f>
        <v>1.7860750000000001</v>
      </c>
      <c r="W451" s="13"/>
      <c r="X451" s="2"/>
    </row>
    <row r="452" spans="8:24" x14ac:dyDescent="0.25">
      <c r="H452" s="13">
        <v>65</v>
      </c>
      <c r="I452" s="13">
        <v>3.8501284237216207</v>
      </c>
      <c r="J452" s="14">
        <f t="shared" si="86"/>
        <v>3.4E-5</v>
      </c>
      <c r="K452" s="23">
        <f t="shared" si="87"/>
        <v>2.2499999999999999E-4</v>
      </c>
      <c r="L452" s="14">
        <f t="shared" si="88"/>
        <v>1.2225E-2</v>
      </c>
      <c r="M452" s="10">
        <f t="shared" si="89"/>
        <v>3.8978023483805737</v>
      </c>
      <c r="N452" s="16">
        <f t="shared" si="90"/>
        <v>1.2382424535561426E-2</v>
      </c>
      <c r="O452" s="13">
        <f t="shared" si="91"/>
        <v>20795.150300000001</v>
      </c>
      <c r="P452" s="13">
        <f t="shared" ca="1" si="85"/>
        <v>20795</v>
      </c>
      <c r="Q452" s="13" t="str">
        <f t="shared" ca="1" si="92"/>
        <v>0101000100111011</v>
      </c>
      <c r="R452" s="13">
        <f t="shared" ca="1" si="93"/>
        <v>3.8989435100555419</v>
      </c>
      <c r="S452" s="13">
        <f t="shared" ca="1" si="94"/>
        <v>66.787322120666516</v>
      </c>
      <c r="T452" s="17">
        <f t="shared" ref="T452:T515" ca="1" si="96">ABS(H452-S452)/H452</f>
        <v>2.7497263394869482E-2</v>
      </c>
      <c r="U452" s="13"/>
      <c r="V452" s="14">
        <f t="shared" ca="1" si="95"/>
        <v>1.7873220000000001</v>
      </c>
      <c r="W452" s="13"/>
      <c r="X452" s="2"/>
    </row>
    <row r="453" spans="8:24" x14ac:dyDescent="0.25">
      <c r="H453" s="13">
        <v>65.099999999999994</v>
      </c>
      <c r="I453" s="13">
        <v>3.8586754196973354</v>
      </c>
      <c r="J453" s="14">
        <f t="shared" si="86"/>
        <v>3.4E-5</v>
      </c>
      <c r="K453" s="23">
        <f t="shared" si="87"/>
        <v>2.2599999999999999E-4</v>
      </c>
      <c r="L453" s="14">
        <f t="shared" si="88"/>
        <v>1.2256E-2</v>
      </c>
      <c r="M453" s="10">
        <f t="shared" si="89"/>
        <v>3.9065777254524816</v>
      </c>
      <c r="N453" s="16">
        <f t="shared" si="90"/>
        <v>1.2414183766434425E-2</v>
      </c>
      <c r="O453" s="13">
        <f t="shared" si="91"/>
        <v>20841.967799999999</v>
      </c>
      <c r="P453" s="13">
        <f t="shared" ca="1" si="85"/>
        <v>20842</v>
      </c>
      <c r="Q453" s="13" t="str">
        <f t="shared" ca="1" si="92"/>
        <v>0101000101101010</v>
      </c>
      <c r="R453" s="13">
        <f t="shared" ca="1" si="93"/>
        <v>3.9077557411193848</v>
      </c>
      <c r="S453" s="13">
        <f t="shared" ca="1" si="94"/>
        <v>66.893068893432627</v>
      </c>
      <c r="T453" s="17">
        <f t="shared" ca="1" si="96"/>
        <v>2.7543300974387602E-2</v>
      </c>
      <c r="U453" s="13"/>
      <c r="V453" s="14">
        <f t="shared" ca="1" si="95"/>
        <v>1.793069</v>
      </c>
      <c r="W453" s="13"/>
      <c r="X453" s="2"/>
    </row>
    <row r="454" spans="8:24" x14ac:dyDescent="0.25">
      <c r="H454" s="13">
        <v>65.2</v>
      </c>
      <c r="I454" s="13">
        <v>3.8672347074413636</v>
      </c>
      <c r="J454" s="14">
        <f t="shared" si="86"/>
        <v>3.4999999999999997E-5</v>
      </c>
      <c r="K454" s="23">
        <f t="shared" si="87"/>
        <v>2.2599999999999999E-4</v>
      </c>
      <c r="L454" s="14">
        <f t="shared" si="88"/>
        <v>1.2286E-2</v>
      </c>
      <c r="M454" s="10">
        <f t="shared" si="89"/>
        <v>3.9153611215932584</v>
      </c>
      <c r="N454" s="16">
        <f t="shared" si="90"/>
        <v>1.2444658209983911E-2</v>
      </c>
      <c r="O454" s="13">
        <f t="shared" si="91"/>
        <v>20888.828000000001</v>
      </c>
      <c r="P454" s="13">
        <f t="shared" ca="1" si="85"/>
        <v>20893</v>
      </c>
      <c r="Q454" s="13" t="str">
        <f t="shared" ca="1" si="92"/>
        <v>0101000110011101</v>
      </c>
      <c r="R454" s="13">
        <f t="shared" ca="1" si="93"/>
        <v>3.9173179492950441</v>
      </c>
      <c r="S454" s="13">
        <f t="shared" ca="1" si="94"/>
        <v>67.007815391540532</v>
      </c>
      <c r="T454" s="17">
        <f t="shared" ca="1" si="96"/>
        <v>2.772722993160321E-2</v>
      </c>
      <c r="U454" s="13"/>
      <c r="V454" s="14">
        <f t="shared" ca="1" si="95"/>
        <v>1.8078149999999999</v>
      </c>
      <c r="W454" s="13"/>
      <c r="X454" s="2"/>
    </row>
    <row r="455" spans="8:24" x14ac:dyDescent="0.25">
      <c r="H455" s="13">
        <v>65.300000000000011</v>
      </c>
      <c r="I455" s="13">
        <v>3.8758061712512215</v>
      </c>
      <c r="J455" s="14">
        <f t="shared" si="86"/>
        <v>3.4999999999999997E-5</v>
      </c>
      <c r="K455" s="23">
        <f t="shared" si="87"/>
        <v>2.2699999999999999E-4</v>
      </c>
      <c r="L455" s="14">
        <f t="shared" si="88"/>
        <v>1.2317E-2</v>
      </c>
      <c r="M455" s="10">
        <f t="shared" si="89"/>
        <v>3.9241623647113717</v>
      </c>
      <c r="N455" s="16">
        <f t="shared" si="90"/>
        <v>1.2476422019974084E-2</v>
      </c>
      <c r="O455" s="13">
        <f t="shared" si="91"/>
        <v>20935.783500000001</v>
      </c>
      <c r="P455" s="13">
        <f t="shared" ca="1" si="85"/>
        <v>20938</v>
      </c>
      <c r="Q455" s="13" t="str">
        <f t="shared" ca="1" si="92"/>
        <v>0101000111001010</v>
      </c>
      <c r="R455" s="13">
        <f t="shared" ca="1" si="93"/>
        <v>3.9257551918029785</v>
      </c>
      <c r="S455" s="13">
        <f t="shared" ca="1" si="94"/>
        <v>67.109062301635745</v>
      </c>
      <c r="T455" s="17">
        <f t="shared" ca="1" si="96"/>
        <v>2.7703863731021957E-2</v>
      </c>
      <c r="U455" s="13"/>
      <c r="V455" s="14">
        <f t="shared" ca="1" si="95"/>
        <v>1.8090619999999999</v>
      </c>
      <c r="W455" s="13"/>
      <c r="X455" s="2"/>
    </row>
    <row r="456" spans="8:24" x14ac:dyDescent="0.25">
      <c r="H456" s="13">
        <v>65.400000000000006</v>
      </c>
      <c r="I456" s="13">
        <v>3.8838816964515797</v>
      </c>
      <c r="J456" s="14">
        <f t="shared" si="86"/>
        <v>3.6000000000000001E-5</v>
      </c>
      <c r="K456" s="23">
        <f t="shared" si="87"/>
        <v>2.2699999999999999E-4</v>
      </c>
      <c r="L456" s="14">
        <f t="shared" si="88"/>
        <v>1.2347E-2</v>
      </c>
      <c r="M456" s="10">
        <f t="shared" si="89"/>
        <v>3.9324570272409232</v>
      </c>
      <c r="N456" s="16">
        <f t="shared" si="90"/>
        <v>1.2506902780721477E-2</v>
      </c>
      <c r="O456" s="13">
        <f t="shared" si="91"/>
        <v>20980.0363</v>
      </c>
      <c r="P456" s="13">
        <f t="shared" ca="1" si="85"/>
        <v>20979</v>
      </c>
      <c r="Q456" s="13" t="str">
        <f t="shared" ca="1" si="92"/>
        <v>0101000111110011</v>
      </c>
      <c r="R456" s="13">
        <f t="shared" ca="1" si="93"/>
        <v>3.9334424571990967</v>
      </c>
      <c r="S456" s="13">
        <f t="shared" ca="1" si="94"/>
        <v>67.201309486389164</v>
      </c>
      <c r="T456" s="17">
        <f t="shared" ca="1" si="96"/>
        <v>2.7542958507479478E-2</v>
      </c>
      <c r="U456" s="13"/>
      <c r="V456" s="14">
        <f t="shared" ca="1" si="95"/>
        <v>1.801309</v>
      </c>
      <c r="W456" s="13"/>
      <c r="X456" s="2"/>
    </row>
    <row r="457" spans="8:24" x14ac:dyDescent="0.25">
      <c r="H457" s="13">
        <v>65.5</v>
      </c>
      <c r="I457" s="13">
        <v>3.8924781778137167</v>
      </c>
      <c r="J457" s="14">
        <f t="shared" si="86"/>
        <v>3.6999999999999998E-5</v>
      </c>
      <c r="K457" s="23">
        <f t="shared" si="87"/>
        <v>2.2800000000000001E-4</v>
      </c>
      <c r="L457" s="14">
        <f t="shared" si="88"/>
        <v>1.2378E-2</v>
      </c>
      <c r="M457" s="10">
        <f t="shared" si="89"/>
        <v>3.9412836691464115</v>
      </c>
      <c r="N457" s="16">
        <f t="shared" si="90"/>
        <v>1.2538411033586643E-2</v>
      </c>
      <c r="O457" s="13">
        <f t="shared" si="91"/>
        <v>21027.1273</v>
      </c>
      <c r="P457" s="13">
        <f t="shared" ca="1" si="85"/>
        <v>21029</v>
      </c>
      <c r="Q457" s="13" t="str">
        <f t="shared" ca="1" si="92"/>
        <v>0101001000100101</v>
      </c>
      <c r="R457" s="13">
        <f t="shared" ca="1" si="93"/>
        <v>3.9428171710968019</v>
      </c>
      <c r="S457" s="13">
        <f t="shared" ca="1" si="94"/>
        <v>67.313806053161628</v>
      </c>
      <c r="T457" s="17">
        <f t="shared" ca="1" si="96"/>
        <v>2.7691695468116451E-2</v>
      </c>
      <c r="U457" s="13"/>
      <c r="V457" s="14">
        <f t="shared" ca="1" si="95"/>
        <v>1.813806</v>
      </c>
      <c r="W457" s="13"/>
      <c r="X457" s="2"/>
    </row>
    <row r="458" spans="8:24" x14ac:dyDescent="0.25">
      <c r="H458" s="13">
        <v>65.599999999999994</v>
      </c>
      <c r="I458" s="13">
        <v>3.9010864879744425</v>
      </c>
      <c r="J458" s="14">
        <f t="shared" si="86"/>
        <v>3.6999999999999998E-5</v>
      </c>
      <c r="K458" s="23">
        <f t="shared" si="87"/>
        <v>2.2800000000000001E-4</v>
      </c>
      <c r="L458" s="14">
        <f t="shared" si="88"/>
        <v>1.2408000000000001E-2</v>
      </c>
      <c r="M458" s="10">
        <f t="shared" si="89"/>
        <v>3.9501198554772037</v>
      </c>
      <c r="N458" s="16">
        <f t="shared" si="90"/>
        <v>1.2569156734646189E-2</v>
      </c>
      <c r="O458" s="13">
        <f t="shared" si="91"/>
        <v>21074.269199999999</v>
      </c>
      <c r="P458" s="13">
        <f t="shared" ca="1" si="85"/>
        <v>21073</v>
      </c>
      <c r="Q458" s="13" t="str">
        <f t="shared" ca="1" si="92"/>
        <v>0101001001010001</v>
      </c>
      <c r="R458" s="13">
        <f t="shared" ca="1" si="93"/>
        <v>3.9510669193267822</v>
      </c>
      <c r="S458" s="13">
        <f t="shared" ca="1" si="94"/>
        <v>67.412803031921385</v>
      </c>
      <c r="T458" s="17">
        <f t="shared" ca="1" si="96"/>
        <v>2.7634192559777299E-2</v>
      </c>
      <c r="U458" s="13"/>
      <c r="V458" s="14">
        <f t="shared" ca="1" si="95"/>
        <v>1.8128029999999999</v>
      </c>
      <c r="W458" s="13"/>
      <c r="X458" s="2"/>
    </row>
    <row r="459" spans="8:24" x14ac:dyDescent="0.25">
      <c r="H459" s="13">
        <v>65.7</v>
      </c>
      <c r="I459" s="13">
        <v>3.9097065117456946</v>
      </c>
      <c r="J459" s="14">
        <f t="shared" si="86"/>
        <v>3.8000000000000002E-5</v>
      </c>
      <c r="K459" s="23">
        <f t="shared" si="87"/>
        <v>2.2900000000000001E-4</v>
      </c>
      <c r="L459" s="14">
        <f t="shared" si="88"/>
        <v>1.2439E-2</v>
      </c>
      <c r="M459" s="10">
        <f t="shared" si="89"/>
        <v>3.9589714359757977</v>
      </c>
      <c r="N459" s="16">
        <f t="shared" si="90"/>
        <v>1.2600670685152315E-2</v>
      </c>
      <c r="O459" s="13">
        <f t="shared" si="91"/>
        <v>21121.493299999998</v>
      </c>
      <c r="P459" s="13">
        <f t="shared" ca="1" si="85"/>
        <v>21125</v>
      </c>
      <c r="Q459" s="13" t="str">
        <f t="shared" ca="1" si="92"/>
        <v>0101001010000101</v>
      </c>
      <c r="R459" s="13">
        <f t="shared" ca="1" si="93"/>
        <v>3.9608166217803955</v>
      </c>
      <c r="S459" s="13">
        <f t="shared" ca="1" si="94"/>
        <v>67.52979946136476</v>
      </c>
      <c r="T459" s="17">
        <f t="shared" ca="1" si="96"/>
        <v>2.7850828940102851E-2</v>
      </c>
      <c r="U459" s="13"/>
      <c r="V459" s="14">
        <f t="shared" ca="1" si="95"/>
        <v>1.829799</v>
      </c>
      <c r="W459" s="13"/>
      <c r="X459" s="2"/>
    </row>
    <row r="460" spans="8:24" x14ac:dyDescent="0.25">
      <c r="H460" s="13">
        <v>65.800000000000011</v>
      </c>
      <c r="I460" s="13">
        <v>3.9183381345110626</v>
      </c>
      <c r="J460" s="14">
        <f t="shared" si="86"/>
        <v>3.8000000000000002E-5</v>
      </c>
      <c r="K460" s="23">
        <f t="shared" si="87"/>
        <v>2.2900000000000001E-4</v>
      </c>
      <c r="L460" s="14">
        <f t="shared" si="88"/>
        <v>1.2468999999999999E-2</v>
      </c>
      <c r="M460" s="10">
        <f t="shared" si="89"/>
        <v>3.9678323124125345</v>
      </c>
      <c r="N460" s="16">
        <f t="shared" si="90"/>
        <v>1.2631420822401256E-2</v>
      </c>
      <c r="O460" s="13">
        <f t="shared" si="91"/>
        <v>21168.766899999999</v>
      </c>
      <c r="P460" s="13">
        <f t="shared" ca="1" si="85"/>
        <v>21172</v>
      </c>
      <c r="Q460" s="13" t="str">
        <f t="shared" ca="1" si="92"/>
        <v>0101001010110100</v>
      </c>
      <c r="R460" s="13">
        <f t="shared" ca="1" si="93"/>
        <v>3.9696288528442385</v>
      </c>
      <c r="S460" s="13">
        <f t="shared" ca="1" si="94"/>
        <v>67.635546234130871</v>
      </c>
      <c r="T460" s="17">
        <f t="shared" ca="1" si="96"/>
        <v>2.7895839424481143E-2</v>
      </c>
      <c r="U460" s="13"/>
      <c r="V460" s="14">
        <f t="shared" ca="1" si="95"/>
        <v>1.8355459999999999</v>
      </c>
      <c r="W460" s="13"/>
      <c r="X460" s="2"/>
    </row>
    <row r="461" spans="8:24" x14ac:dyDescent="0.25">
      <c r="H461" s="13">
        <v>65.900000000000006</v>
      </c>
      <c r="I461" s="13">
        <v>3.9264782945199057</v>
      </c>
      <c r="J461" s="14">
        <f t="shared" si="86"/>
        <v>3.8999999999999999E-5</v>
      </c>
      <c r="K461" s="23">
        <f t="shared" si="87"/>
        <v>2.3000000000000001E-4</v>
      </c>
      <c r="L461" s="14">
        <f t="shared" si="88"/>
        <v>1.2500000000000001E-2</v>
      </c>
      <c r="M461" s="10">
        <f t="shared" si="89"/>
        <v>3.9761990577416766</v>
      </c>
      <c r="N461" s="16">
        <f t="shared" si="90"/>
        <v>1.2662941061246918E-2</v>
      </c>
      <c r="O461" s="13">
        <f t="shared" si="91"/>
        <v>21213.404299999998</v>
      </c>
      <c r="P461" s="13">
        <f t="shared" ca="1" si="85"/>
        <v>21215</v>
      </c>
      <c r="Q461" s="13" t="str">
        <f t="shared" ca="1" si="92"/>
        <v>0101001011011111</v>
      </c>
      <c r="R461" s="13">
        <f t="shared" ca="1" si="93"/>
        <v>3.9776911067962648</v>
      </c>
      <c r="S461" s="13">
        <f t="shared" ca="1" si="94"/>
        <v>67.732293281555187</v>
      </c>
      <c r="T461" s="17">
        <f t="shared" ca="1" si="96"/>
        <v>2.7804146912825199E-2</v>
      </c>
      <c r="U461" s="13"/>
      <c r="V461" s="14">
        <f t="shared" ca="1" si="95"/>
        <v>1.8322929999999999</v>
      </c>
      <c r="W461" s="13"/>
      <c r="X461" s="2"/>
    </row>
    <row r="462" spans="8:24" x14ac:dyDescent="0.25">
      <c r="H462" s="13">
        <v>66</v>
      </c>
      <c r="I462" s="13">
        <v>3.9351337781744622</v>
      </c>
      <c r="J462" s="14">
        <f t="shared" si="86"/>
        <v>4.0000000000000003E-5</v>
      </c>
      <c r="K462" s="23">
        <f t="shared" si="87"/>
        <v>2.3000000000000001E-4</v>
      </c>
      <c r="L462" s="14">
        <f t="shared" si="88"/>
        <v>1.2529999999999999E-2</v>
      </c>
      <c r="M462" s="10">
        <f t="shared" si="89"/>
        <v>3.9850841559079897</v>
      </c>
      <c r="N462" s="16">
        <f t="shared" si="90"/>
        <v>1.26934382791682E-2</v>
      </c>
      <c r="O462" s="13">
        <f t="shared" si="91"/>
        <v>21260.807100000002</v>
      </c>
      <c r="P462" s="13">
        <f t="shared" ca="1" si="85"/>
        <v>21265</v>
      </c>
      <c r="Q462" s="13" t="str">
        <f t="shared" ca="1" si="92"/>
        <v>0101001100010001</v>
      </c>
      <c r="R462" s="13">
        <f t="shared" ca="1" si="93"/>
        <v>3.98706582069397</v>
      </c>
      <c r="S462" s="13">
        <f t="shared" ca="1" si="94"/>
        <v>67.84478984832765</v>
      </c>
      <c r="T462" s="17">
        <f t="shared" ca="1" si="96"/>
        <v>2.7951361338297731E-2</v>
      </c>
      <c r="U462" s="13"/>
      <c r="V462" s="14">
        <f t="shared" ca="1" si="95"/>
        <v>1.8447899999999999</v>
      </c>
      <c r="W462" s="13"/>
      <c r="X462" s="2"/>
    </row>
    <row r="463" spans="8:24" x14ac:dyDescent="0.25">
      <c r="H463" s="13">
        <v>66.099999999999994</v>
      </c>
      <c r="I463" s="13">
        <v>3.9432995829260746</v>
      </c>
      <c r="J463" s="14">
        <f t="shared" si="86"/>
        <v>4.0000000000000003E-5</v>
      </c>
      <c r="K463" s="23">
        <f t="shared" si="87"/>
        <v>2.31E-4</v>
      </c>
      <c r="L463" s="14">
        <f t="shared" si="88"/>
        <v>1.2560999999999999E-2</v>
      </c>
      <c r="M463" s="10">
        <f t="shared" si="89"/>
        <v>3.9934789433960733</v>
      </c>
      <c r="N463" s="16">
        <f t="shared" si="90"/>
        <v>1.2725221458513625E-2</v>
      </c>
      <c r="O463" s="13">
        <f t="shared" si="91"/>
        <v>21305.594099999998</v>
      </c>
      <c r="P463" s="13">
        <f t="shared" ref="P463:P526" ca="1" si="97">ROUND(O463+$C$47+$C$49+RANDBETWEEN($B$45,$D$45) + 1,0)</f>
        <v>21304</v>
      </c>
      <c r="Q463" s="13" t="str">
        <f t="shared" ca="1" si="92"/>
        <v>0101001100111000</v>
      </c>
      <c r="R463" s="13">
        <f t="shared" ca="1" si="93"/>
        <v>3.9943780975341796</v>
      </c>
      <c r="S463" s="13">
        <f t="shared" ca="1" si="94"/>
        <v>67.932537170410157</v>
      </c>
      <c r="T463" s="17">
        <f t="shared" ca="1" si="96"/>
        <v>2.7723709083361012E-2</v>
      </c>
      <c r="U463" s="13"/>
      <c r="V463" s="14">
        <f t="shared" ca="1" si="95"/>
        <v>1.8325370000000001</v>
      </c>
      <c r="W463" s="13"/>
      <c r="X463" s="2"/>
    </row>
    <row r="464" spans="8:24" x14ac:dyDescent="0.25">
      <c r="H464" s="13">
        <v>66.2</v>
      </c>
      <c r="I464" s="13">
        <v>3.9519784667340971</v>
      </c>
      <c r="J464" s="14">
        <f t="shared" si="86"/>
        <v>4.1E-5</v>
      </c>
      <c r="K464" s="23">
        <f t="shared" si="87"/>
        <v>2.31E-4</v>
      </c>
      <c r="L464" s="14">
        <f t="shared" si="88"/>
        <v>1.2591E-2</v>
      </c>
      <c r="M464" s="10">
        <f t="shared" si="89"/>
        <v>4.0023888140133392</v>
      </c>
      <c r="N464" s="16">
        <f t="shared" si="90"/>
        <v>1.2755724178047217E-2</v>
      </c>
      <c r="O464" s="13">
        <f t="shared" si="91"/>
        <v>21353.129099999998</v>
      </c>
      <c r="P464" s="13">
        <f t="shared" ca="1" si="97"/>
        <v>21355</v>
      </c>
      <c r="Q464" s="13" t="str">
        <f t="shared" ca="1" si="92"/>
        <v>0101001101101011</v>
      </c>
      <c r="R464" s="13">
        <f t="shared" ca="1" si="93"/>
        <v>4.0039403057098388</v>
      </c>
      <c r="S464" s="13">
        <f t="shared" ca="1" si="94"/>
        <v>68.047283668518077</v>
      </c>
      <c r="T464" s="17">
        <f t="shared" ca="1" si="96"/>
        <v>2.7904587137735252E-2</v>
      </c>
      <c r="U464" s="13"/>
      <c r="V464" s="14">
        <f t="shared" ca="1" si="95"/>
        <v>1.8472839999999999</v>
      </c>
      <c r="W464" s="13"/>
      <c r="X464" s="2"/>
    </row>
    <row r="465" spans="8:24" x14ac:dyDescent="0.25">
      <c r="H465" s="13">
        <v>66.300000000000011</v>
      </c>
      <c r="I465" s="13">
        <v>3.9596705279489512</v>
      </c>
      <c r="J465" s="14">
        <f t="shared" si="86"/>
        <v>4.1E-5</v>
      </c>
      <c r="K465" s="23">
        <f t="shared" si="87"/>
        <v>2.32E-4</v>
      </c>
      <c r="L465" s="14">
        <f t="shared" si="88"/>
        <v>1.2622E-2</v>
      </c>
      <c r="M465" s="10">
        <f t="shared" si="89"/>
        <v>4.0103048638646515</v>
      </c>
      <c r="N465" s="16">
        <f t="shared" si="90"/>
        <v>1.2787512384755917E-2</v>
      </c>
      <c r="O465" s="13">
        <f t="shared" si="91"/>
        <v>21395.362000000001</v>
      </c>
      <c r="P465" s="13">
        <f t="shared" ca="1" si="97"/>
        <v>21397</v>
      </c>
      <c r="Q465" s="13" t="str">
        <f t="shared" ca="1" si="92"/>
        <v>0101001110010101</v>
      </c>
      <c r="R465" s="13">
        <f t="shared" ca="1" si="93"/>
        <v>4.0118150653839111</v>
      </c>
      <c r="S465" s="13">
        <f t="shared" ca="1" si="94"/>
        <v>68.141780784606937</v>
      </c>
      <c r="T465" s="17">
        <f t="shared" ca="1" si="96"/>
        <v>2.7779499013679109E-2</v>
      </c>
      <c r="U465" s="13"/>
      <c r="V465" s="14">
        <f t="shared" ca="1" si="95"/>
        <v>1.8417809999999999</v>
      </c>
      <c r="W465" s="13"/>
      <c r="X465" s="2"/>
    </row>
    <row r="466" spans="8:24" x14ac:dyDescent="0.25">
      <c r="H466" s="13">
        <v>66.400000000000006</v>
      </c>
      <c r="I466" s="13">
        <v>3.9683733541211548</v>
      </c>
      <c r="J466" s="14">
        <f t="shared" si="86"/>
        <v>4.1999999999999998E-5</v>
      </c>
      <c r="K466" s="23">
        <f t="shared" si="87"/>
        <v>2.32E-4</v>
      </c>
      <c r="L466" s="14">
        <f t="shared" si="88"/>
        <v>1.2652E-2</v>
      </c>
      <c r="M466" s="10">
        <f t="shared" si="89"/>
        <v>4.0192400453590373</v>
      </c>
      <c r="N466" s="16">
        <f t="shared" si="90"/>
        <v>1.2818020558740402E-2</v>
      </c>
      <c r="O466" s="13">
        <f t="shared" si="91"/>
        <v>21443.0321</v>
      </c>
      <c r="P466" s="13">
        <f t="shared" ca="1" si="97"/>
        <v>21446</v>
      </c>
      <c r="Q466" s="13" t="str">
        <f t="shared" ca="1" si="92"/>
        <v>0101001111000110</v>
      </c>
      <c r="R466" s="13">
        <f t="shared" ca="1" si="93"/>
        <v>4.0210022850036617</v>
      </c>
      <c r="S466" s="13">
        <f t="shared" ca="1" si="94"/>
        <v>68.252027420043945</v>
      </c>
      <c r="T466" s="17">
        <f t="shared" ca="1" si="96"/>
        <v>2.7891979217529197E-2</v>
      </c>
      <c r="U466" s="13"/>
      <c r="V466" s="14">
        <f t="shared" ca="1" si="95"/>
        <v>1.8520270000000001</v>
      </c>
      <c r="W466" s="13"/>
      <c r="X466" s="2"/>
    </row>
    <row r="467" spans="8:24" x14ac:dyDescent="0.25">
      <c r="H467" s="13">
        <v>66.5</v>
      </c>
      <c r="I467" s="13">
        <v>3.9765900579257334</v>
      </c>
      <c r="J467" s="14">
        <f t="shared" si="86"/>
        <v>4.1999999999999998E-5</v>
      </c>
      <c r="K467" s="23">
        <f t="shared" si="87"/>
        <v>2.33E-4</v>
      </c>
      <c r="L467" s="14">
        <f t="shared" si="88"/>
        <v>1.2683E-2</v>
      </c>
      <c r="M467" s="10">
        <f t="shared" si="89"/>
        <v>4.0276884955001622</v>
      </c>
      <c r="N467" s="16">
        <f t="shared" si="90"/>
        <v>1.284981273656423E-2</v>
      </c>
      <c r="O467" s="13">
        <f t="shared" si="91"/>
        <v>21488.1054</v>
      </c>
      <c r="P467" s="13">
        <f t="shared" ca="1" si="97"/>
        <v>21489</v>
      </c>
      <c r="Q467" s="13" t="str">
        <f t="shared" ca="1" si="92"/>
        <v>0101001111110001</v>
      </c>
      <c r="R467" s="13">
        <f t="shared" ca="1" si="93"/>
        <v>4.0290645389556889</v>
      </c>
      <c r="S467" s="13">
        <f t="shared" ca="1" si="94"/>
        <v>68.348774467468274</v>
      </c>
      <c r="T467" s="17">
        <f t="shared" ca="1" si="96"/>
        <v>2.7801119811552998E-2</v>
      </c>
      <c r="U467" s="13"/>
      <c r="V467" s="14">
        <f t="shared" ca="1" si="95"/>
        <v>1.8487739999999999</v>
      </c>
      <c r="W467" s="13"/>
      <c r="X467" s="2"/>
    </row>
    <row r="468" spans="8:24" x14ac:dyDescent="0.25">
      <c r="H468" s="13">
        <v>66.599999999999994</v>
      </c>
      <c r="I468" s="13">
        <v>3.9853153649246367</v>
      </c>
      <c r="J468" s="14">
        <f t="shared" si="86"/>
        <v>4.3000000000000002E-5</v>
      </c>
      <c r="K468" s="23">
        <f t="shared" si="87"/>
        <v>2.33E-4</v>
      </c>
      <c r="L468" s="14">
        <f t="shared" si="88"/>
        <v>1.2713E-2</v>
      </c>
      <c r="M468" s="10">
        <f t="shared" si="89"/>
        <v>4.0366475275888742</v>
      </c>
      <c r="N468" s="16">
        <f t="shared" si="90"/>
        <v>1.288032638922874E-2</v>
      </c>
      <c r="O468" s="13">
        <f t="shared" si="91"/>
        <v>21535.902699999999</v>
      </c>
      <c r="P468" s="13">
        <f t="shared" ca="1" si="97"/>
        <v>21540</v>
      </c>
      <c r="Q468" s="13" t="str">
        <f t="shared" ca="1" si="92"/>
        <v>0101010000100100</v>
      </c>
      <c r="R468" s="13">
        <f t="shared" ca="1" si="93"/>
        <v>4.0386267471313477</v>
      </c>
      <c r="S468" s="13">
        <f t="shared" ca="1" si="94"/>
        <v>68.46352096557618</v>
      </c>
      <c r="T468" s="17">
        <f t="shared" ca="1" si="96"/>
        <v>2.7980795278921708E-2</v>
      </c>
      <c r="U468" s="13"/>
      <c r="V468" s="14">
        <f t="shared" ca="1" si="95"/>
        <v>1.863521</v>
      </c>
      <c r="W468" s="13"/>
      <c r="X468" s="2"/>
    </row>
    <row r="469" spans="8:24" x14ac:dyDescent="0.25">
      <c r="H469" s="13">
        <v>66.7</v>
      </c>
      <c r="I469" s="13">
        <v>3.9935563216980441</v>
      </c>
      <c r="J469" s="14">
        <f t="shared" si="86"/>
        <v>4.3999999999999999E-5</v>
      </c>
      <c r="K469" s="23">
        <f t="shared" si="87"/>
        <v>2.34E-4</v>
      </c>
      <c r="L469" s="14">
        <f t="shared" si="88"/>
        <v>1.2744E-2</v>
      </c>
      <c r="M469" s="10">
        <f t="shared" si="89"/>
        <v>4.0451205994656343</v>
      </c>
      <c r="N469" s="16">
        <f t="shared" si="90"/>
        <v>1.291186942511062E-2</v>
      </c>
      <c r="O469" s="13">
        <f t="shared" si="91"/>
        <v>21581.1073</v>
      </c>
      <c r="P469" s="13">
        <f t="shared" ca="1" si="97"/>
        <v>21580</v>
      </c>
      <c r="Q469" s="13" t="str">
        <f t="shared" ca="1" si="92"/>
        <v>0101010001001100</v>
      </c>
      <c r="R469" s="13">
        <f t="shared" ca="1" si="93"/>
        <v>4.0461265182495119</v>
      </c>
      <c r="S469" s="13">
        <f t="shared" ca="1" si="94"/>
        <v>68.553518218994157</v>
      </c>
      <c r="T469" s="17">
        <f t="shared" ca="1" si="96"/>
        <v>2.778887884548956E-2</v>
      </c>
      <c r="U469" s="13"/>
      <c r="V469" s="14">
        <f t="shared" ca="1" si="95"/>
        <v>1.853518</v>
      </c>
      <c r="W469" s="13"/>
      <c r="X469" s="2"/>
    </row>
    <row r="470" spans="8:24" x14ac:dyDescent="0.25">
      <c r="H470" s="13">
        <v>66.800000000000011</v>
      </c>
      <c r="I470" s="13">
        <v>4.0018097319800159</v>
      </c>
      <c r="J470" s="14">
        <f t="shared" si="86"/>
        <v>4.3999999999999999E-5</v>
      </c>
      <c r="K470" s="23">
        <f t="shared" si="87"/>
        <v>2.34E-4</v>
      </c>
      <c r="L470" s="14">
        <f t="shared" si="88"/>
        <v>1.2774000000000001E-2</v>
      </c>
      <c r="M470" s="10">
        <f t="shared" si="89"/>
        <v>4.0536037250720867</v>
      </c>
      <c r="N470" s="16">
        <f t="shared" si="90"/>
        <v>1.2942642594465415E-2</v>
      </c>
      <c r="O470" s="13">
        <f t="shared" si="91"/>
        <v>21626.365600000001</v>
      </c>
      <c r="P470" s="13">
        <f t="shared" ca="1" si="97"/>
        <v>21631</v>
      </c>
      <c r="Q470" s="13" t="str">
        <f t="shared" ca="1" si="92"/>
        <v>0101010001111111</v>
      </c>
      <c r="R470" s="13">
        <f t="shared" ca="1" si="93"/>
        <v>4.0556887264251706</v>
      </c>
      <c r="S470" s="13">
        <f t="shared" ca="1" si="94"/>
        <v>68.668264717102062</v>
      </c>
      <c r="T470" s="17">
        <f t="shared" ca="1" si="96"/>
        <v>2.7968034687156442E-2</v>
      </c>
      <c r="U470" s="13"/>
      <c r="V470" s="14">
        <f t="shared" ca="1" si="95"/>
        <v>1.8682650000000001</v>
      </c>
      <c r="W470" s="13"/>
      <c r="X470" s="2"/>
    </row>
    <row r="471" spans="8:24" x14ac:dyDescent="0.25">
      <c r="H471" s="13">
        <v>66.900000000000006</v>
      </c>
      <c r="I471" s="13">
        <v>4.0100754798389682</v>
      </c>
      <c r="J471" s="14">
        <f t="shared" si="86"/>
        <v>4.5000000000000003E-5</v>
      </c>
      <c r="K471" s="23">
        <f t="shared" si="87"/>
        <v>2.3499999999999999E-4</v>
      </c>
      <c r="L471" s="14">
        <f t="shared" si="88"/>
        <v>1.2805E-2</v>
      </c>
      <c r="M471" s="10">
        <f t="shared" si="89"/>
        <v>4.0621029656237804</v>
      </c>
      <c r="N471" s="16">
        <f t="shared" si="90"/>
        <v>1.2974191145873757E-2</v>
      </c>
      <c r="O471" s="13">
        <f t="shared" si="91"/>
        <v>21671.709900000002</v>
      </c>
      <c r="P471" s="13">
        <f t="shared" ca="1" si="97"/>
        <v>21670</v>
      </c>
      <c r="Q471" s="13" t="str">
        <f t="shared" ca="1" si="92"/>
        <v>0101010010100110</v>
      </c>
      <c r="R471" s="13">
        <f t="shared" ca="1" si="93"/>
        <v>4.0630010032653807</v>
      </c>
      <c r="S471" s="13">
        <f t="shared" ca="1" si="94"/>
        <v>68.756012039184583</v>
      </c>
      <c r="T471" s="17">
        <f t="shared" ca="1" si="96"/>
        <v>2.7743079808439118E-2</v>
      </c>
      <c r="U471" s="13"/>
      <c r="V471" s="14">
        <f t="shared" ca="1" si="95"/>
        <v>1.856012</v>
      </c>
      <c r="W471" s="13"/>
      <c r="X471" s="2"/>
    </row>
    <row r="472" spans="8:24" x14ac:dyDescent="0.25">
      <c r="H472" s="13">
        <v>67</v>
      </c>
      <c r="I472" s="13">
        <v>4.0188453778028208</v>
      </c>
      <c r="J472" s="14">
        <f t="shared" si="86"/>
        <v>4.5000000000000003E-5</v>
      </c>
      <c r="K472" s="23">
        <f t="shared" si="87"/>
        <v>2.3499999999999999E-4</v>
      </c>
      <c r="L472" s="14">
        <f t="shared" si="88"/>
        <v>1.2834999999999999E-2</v>
      </c>
      <c r="M472" s="10">
        <f t="shared" si="89"/>
        <v>4.0711103345163382</v>
      </c>
      <c r="N472" s="16">
        <f t="shared" si="90"/>
        <v>1.3004968293179677E-2</v>
      </c>
      <c r="O472" s="13">
        <f t="shared" si="91"/>
        <v>21719.765100000001</v>
      </c>
      <c r="P472" s="13">
        <f t="shared" ca="1" si="97"/>
        <v>21720</v>
      </c>
      <c r="Q472" s="13" t="str">
        <f t="shared" ca="1" si="92"/>
        <v>0101010011011000</v>
      </c>
      <c r="R472" s="13">
        <f t="shared" ca="1" si="93"/>
        <v>4.0723757171630863</v>
      </c>
      <c r="S472" s="13">
        <f t="shared" ca="1" si="94"/>
        <v>68.868508605957047</v>
      </c>
      <c r="T472" s="17">
        <f t="shared" ca="1" si="96"/>
        <v>2.7888188148612637E-2</v>
      </c>
      <c r="U472" s="13"/>
      <c r="V472" s="14">
        <f t="shared" ca="1" si="95"/>
        <v>1.868509</v>
      </c>
      <c r="W472" s="13"/>
      <c r="X472" s="2"/>
    </row>
    <row r="473" spans="8:24" x14ac:dyDescent="0.25">
      <c r="H473" s="13">
        <v>67.099999999999994</v>
      </c>
      <c r="I473" s="13">
        <v>4.0271344590744489</v>
      </c>
      <c r="J473" s="14">
        <f t="shared" si="86"/>
        <v>4.6E-5</v>
      </c>
      <c r="K473" s="23">
        <f t="shared" si="87"/>
        <v>2.3599999999999999E-4</v>
      </c>
      <c r="L473" s="14">
        <f t="shared" si="88"/>
        <v>1.2866000000000001E-2</v>
      </c>
      <c r="M473" s="10">
        <f t="shared" si="89"/>
        <v>4.0796342875905891</v>
      </c>
      <c r="N473" s="16">
        <f t="shared" si="90"/>
        <v>1.3036522383264595E-2</v>
      </c>
      <c r="O473" s="13">
        <f t="shared" si="91"/>
        <v>21765.2412</v>
      </c>
      <c r="P473" s="13">
        <f t="shared" ca="1" si="97"/>
        <v>21766</v>
      </c>
      <c r="Q473" s="13" t="str">
        <f t="shared" ca="1" si="92"/>
        <v>0101010100000110</v>
      </c>
      <c r="R473" s="13">
        <f t="shared" ca="1" si="93"/>
        <v>4.0810004539489748</v>
      </c>
      <c r="S473" s="13">
        <f t="shared" ca="1" si="94"/>
        <v>68.972005447387701</v>
      </c>
      <c r="T473" s="17">
        <f t="shared" ca="1" si="96"/>
        <v>2.7898739901456141E-2</v>
      </c>
      <c r="U473" s="13"/>
      <c r="V473" s="14">
        <f t="shared" ca="1" si="95"/>
        <v>1.8720049999999999</v>
      </c>
      <c r="W473" s="13"/>
      <c r="X473" s="2"/>
    </row>
    <row r="474" spans="8:24" x14ac:dyDescent="0.25">
      <c r="H474" s="13">
        <v>67.2</v>
      </c>
      <c r="I474" s="13">
        <v>4.0354355328034162</v>
      </c>
      <c r="J474" s="14">
        <f t="shared" si="86"/>
        <v>4.6E-5</v>
      </c>
      <c r="K474" s="23">
        <f t="shared" si="87"/>
        <v>2.3599999999999999E-4</v>
      </c>
      <c r="L474" s="14">
        <f t="shared" si="88"/>
        <v>1.2895999999999999E-2</v>
      </c>
      <c r="M474" s="10">
        <f t="shared" si="89"/>
        <v>4.0881677967422032</v>
      </c>
      <c r="N474" s="16">
        <f t="shared" si="90"/>
        <v>1.3067304262485382E-2</v>
      </c>
      <c r="O474" s="13">
        <f t="shared" si="91"/>
        <v>21810.7683</v>
      </c>
      <c r="P474" s="13">
        <f t="shared" ca="1" si="97"/>
        <v>21811</v>
      </c>
      <c r="Q474" s="13" t="str">
        <f t="shared" ca="1" si="92"/>
        <v>0101010100110011</v>
      </c>
      <c r="R474" s="13">
        <f t="shared" ca="1" si="93"/>
        <v>4.0894376964569092</v>
      </c>
      <c r="S474" s="13">
        <f t="shared" ca="1" si="94"/>
        <v>69.073252357482914</v>
      </c>
      <c r="T474" s="17">
        <f t="shared" ca="1" si="96"/>
        <v>2.7875779129209993E-2</v>
      </c>
      <c r="U474" s="13"/>
      <c r="V474" s="14">
        <f t="shared" ca="1" si="95"/>
        <v>1.8732519999999999</v>
      </c>
      <c r="W474" s="13"/>
      <c r="X474" s="2"/>
    </row>
    <row r="475" spans="8:24" x14ac:dyDescent="0.25">
      <c r="H475" s="13">
        <v>67.300000000000011</v>
      </c>
      <c r="I475" s="13">
        <v>4.0437484839725473</v>
      </c>
      <c r="J475" s="14">
        <f t="shared" si="86"/>
        <v>4.6999999999999997E-5</v>
      </c>
      <c r="K475" s="23">
        <f t="shared" si="87"/>
        <v>2.3699999999999999E-4</v>
      </c>
      <c r="L475" s="14">
        <f t="shared" si="88"/>
        <v>1.2926999999999999E-2</v>
      </c>
      <c r="M475" s="10">
        <f t="shared" si="89"/>
        <v>4.0967169947983049</v>
      </c>
      <c r="N475" s="16">
        <f t="shared" si="90"/>
        <v>1.3098863847664862E-2</v>
      </c>
      <c r="O475" s="13">
        <f t="shared" si="91"/>
        <v>21856.379099999998</v>
      </c>
      <c r="P475" s="13">
        <f t="shared" ca="1" si="97"/>
        <v>21856</v>
      </c>
      <c r="Q475" s="13" t="str">
        <f t="shared" ca="1" si="92"/>
        <v>0101010101100000</v>
      </c>
      <c r="R475" s="13">
        <f t="shared" ca="1" si="93"/>
        <v>4.0978749389648437</v>
      </c>
      <c r="S475" s="13">
        <f t="shared" ca="1" si="94"/>
        <v>69.174499267578128</v>
      </c>
      <c r="T475" s="17">
        <f t="shared" ca="1" si="96"/>
        <v>2.78528865910567E-2</v>
      </c>
      <c r="U475" s="13"/>
      <c r="V475" s="14">
        <f t="shared" ca="1" si="95"/>
        <v>1.8744989999999999</v>
      </c>
      <c r="W475" s="13"/>
      <c r="X475" s="2"/>
    </row>
    <row r="476" spans="8:24" x14ac:dyDescent="0.25">
      <c r="H476" s="13">
        <v>67.400000000000006</v>
      </c>
      <c r="I476" s="13">
        <v>4.0515852421422265</v>
      </c>
      <c r="J476" s="14">
        <f t="shared" si="86"/>
        <v>4.8000000000000001E-5</v>
      </c>
      <c r="K476" s="23">
        <f t="shared" si="87"/>
        <v>2.3699999999999999E-4</v>
      </c>
      <c r="L476" s="14">
        <f t="shared" si="88"/>
        <v>1.2957E-2</v>
      </c>
      <c r="M476" s="10">
        <f t="shared" si="89"/>
        <v>4.1047801267383761</v>
      </c>
      <c r="N476" s="16">
        <f t="shared" si="90"/>
        <v>1.3129400325296742E-2</v>
      </c>
      <c r="O476" s="13">
        <f t="shared" si="91"/>
        <v>21899.3966</v>
      </c>
      <c r="P476" s="13">
        <f t="shared" ca="1" si="97"/>
        <v>21899</v>
      </c>
      <c r="Q476" s="13" t="str">
        <f t="shared" ca="1" si="92"/>
        <v>0101010110001011</v>
      </c>
      <c r="R476" s="13">
        <f t="shared" ca="1" si="93"/>
        <v>4.10593719291687</v>
      </c>
      <c r="S476" s="13">
        <f t="shared" ca="1" si="94"/>
        <v>69.271246315002443</v>
      </c>
      <c r="T476" s="17">
        <f t="shared" ca="1" si="96"/>
        <v>2.7763298442172662E-2</v>
      </c>
      <c r="U476" s="13"/>
      <c r="V476" s="14">
        <f t="shared" ca="1" si="95"/>
        <v>1.871246</v>
      </c>
      <c r="W476" s="13"/>
      <c r="X476" s="2"/>
    </row>
    <row r="477" spans="8:24" x14ac:dyDescent="0.25">
      <c r="H477" s="13">
        <v>67.5</v>
      </c>
      <c r="I477" s="13">
        <v>4.0599225945307129</v>
      </c>
      <c r="J477" s="14">
        <f t="shared" si="86"/>
        <v>4.8000000000000001E-5</v>
      </c>
      <c r="K477" s="23">
        <f t="shared" si="87"/>
        <v>2.3800000000000001E-4</v>
      </c>
      <c r="L477" s="14">
        <f t="shared" si="88"/>
        <v>1.2988E-2</v>
      </c>
      <c r="M477" s="10">
        <f t="shared" si="89"/>
        <v>4.1133561103884384</v>
      </c>
      <c r="N477" s="16">
        <f t="shared" si="90"/>
        <v>1.3161215420635841E-2</v>
      </c>
      <c r="O477" s="13">
        <f t="shared" si="91"/>
        <v>21945.150300000001</v>
      </c>
      <c r="P477" s="13">
        <f t="shared" ca="1" si="97"/>
        <v>21950</v>
      </c>
      <c r="Q477" s="13" t="str">
        <f t="shared" ca="1" si="92"/>
        <v>0101010110111110</v>
      </c>
      <c r="R477" s="13">
        <f t="shared" ca="1" si="93"/>
        <v>4.1154994010925297</v>
      </c>
      <c r="S477" s="13">
        <f t="shared" ca="1" si="94"/>
        <v>69.385992813110363</v>
      </c>
      <c r="T477" s="17">
        <f t="shared" ca="1" si="96"/>
        <v>2.7940634268301671E-2</v>
      </c>
      <c r="U477" s="13"/>
      <c r="V477" s="14">
        <f t="shared" ca="1" si="95"/>
        <v>1.885993</v>
      </c>
      <c r="W477" s="13"/>
      <c r="X477" s="2"/>
    </row>
    <row r="478" spans="8:24" x14ac:dyDescent="0.25">
      <c r="H478" s="13">
        <v>67.599999999999994</v>
      </c>
      <c r="I478" s="13">
        <v>4.0682714802271889</v>
      </c>
      <c r="J478" s="14">
        <f t="shared" si="86"/>
        <v>4.8999999999999998E-5</v>
      </c>
      <c r="K478" s="23">
        <f t="shared" si="87"/>
        <v>2.3800000000000001E-4</v>
      </c>
      <c r="L478" s="14">
        <f t="shared" si="88"/>
        <v>1.3018E-2</v>
      </c>
      <c r="M478" s="10">
        <f t="shared" si="89"/>
        <v>4.1219391287614053</v>
      </c>
      <c r="N478" s="16">
        <f t="shared" si="90"/>
        <v>1.3191756940276621E-2</v>
      </c>
      <c r="O478" s="13">
        <f t="shared" si="91"/>
        <v>21990.941599999998</v>
      </c>
      <c r="P478" s="13">
        <f t="shared" ca="1" si="97"/>
        <v>21993</v>
      </c>
      <c r="Q478" s="13" t="str">
        <f t="shared" ca="1" si="92"/>
        <v>0101010111101001</v>
      </c>
      <c r="R478" s="13">
        <f t="shared" ca="1" si="93"/>
        <v>4.123561655044556</v>
      </c>
      <c r="S478" s="13">
        <f t="shared" ca="1" si="94"/>
        <v>69.482739860534679</v>
      </c>
      <c r="T478" s="17">
        <f t="shared" ca="1" si="96"/>
        <v>2.7851181368856278E-2</v>
      </c>
      <c r="U478" s="13"/>
      <c r="V478" s="14">
        <f t="shared" ca="1" si="95"/>
        <v>1.8827400000000001</v>
      </c>
      <c r="W478" s="13"/>
      <c r="X478" s="2"/>
    </row>
    <row r="479" spans="8:24" x14ac:dyDescent="0.25">
      <c r="H479" s="13">
        <v>67.7</v>
      </c>
      <c r="I479" s="13">
        <v>4.0771167744436054</v>
      </c>
      <c r="J479" s="14">
        <f t="shared" si="86"/>
        <v>4.8999999999999998E-5</v>
      </c>
      <c r="K479" s="23">
        <f t="shared" si="87"/>
        <v>2.3900000000000001E-4</v>
      </c>
      <c r="L479" s="14">
        <f t="shared" si="88"/>
        <v>1.3049E-2</v>
      </c>
      <c r="M479" s="10">
        <f t="shared" si="89"/>
        <v>4.131030839019977</v>
      </c>
      <c r="N479" s="16">
        <f t="shared" si="90"/>
        <v>1.3223576257201788E-2</v>
      </c>
      <c r="O479" s="13">
        <f t="shared" si="91"/>
        <v>22039.4467</v>
      </c>
      <c r="P479" s="13">
        <f t="shared" ca="1" si="97"/>
        <v>22044</v>
      </c>
      <c r="Q479" s="13" t="str">
        <f t="shared" ca="1" si="92"/>
        <v>0101011000011100</v>
      </c>
      <c r="R479" s="13">
        <f t="shared" ca="1" si="93"/>
        <v>4.1331238632202147</v>
      </c>
      <c r="S479" s="13">
        <f t="shared" ca="1" si="94"/>
        <v>69.597486358642584</v>
      </c>
      <c r="T479" s="17">
        <f t="shared" ca="1" si="96"/>
        <v>2.8027863495459101E-2</v>
      </c>
      <c r="U479" s="13"/>
      <c r="V479" s="14">
        <f t="shared" ca="1" si="95"/>
        <v>1.897486</v>
      </c>
      <c r="W479" s="13"/>
      <c r="X479" s="2"/>
    </row>
    <row r="480" spans="8:24" x14ac:dyDescent="0.25">
      <c r="H480" s="13">
        <v>67.800000000000011</v>
      </c>
      <c r="I480" s="13">
        <v>4.084519392237425</v>
      </c>
      <c r="J480" s="14">
        <f t="shared" si="86"/>
        <v>5.0000000000000002E-5</v>
      </c>
      <c r="K480" s="23">
        <f t="shared" si="87"/>
        <v>2.3900000000000001E-4</v>
      </c>
      <c r="L480" s="14">
        <f t="shared" si="88"/>
        <v>1.3079E-2</v>
      </c>
      <c r="M480" s="10">
        <f t="shared" si="89"/>
        <v>4.1386561170097957</v>
      </c>
      <c r="N480" s="16">
        <f t="shared" si="90"/>
        <v>1.3254123575776596E-2</v>
      </c>
      <c r="O480" s="13">
        <f t="shared" si="91"/>
        <v>22080.1283</v>
      </c>
      <c r="P480" s="13">
        <f t="shared" ca="1" si="97"/>
        <v>22081</v>
      </c>
      <c r="Q480" s="13" t="str">
        <f t="shared" ca="1" si="92"/>
        <v>0101011001000001</v>
      </c>
      <c r="R480" s="13">
        <f t="shared" ca="1" si="93"/>
        <v>4.1400611515045167</v>
      </c>
      <c r="S480" s="13">
        <f t="shared" ca="1" si="94"/>
        <v>69.680733818054208</v>
      </c>
      <c r="T480" s="17">
        <f t="shared" ca="1" si="96"/>
        <v>2.7739436844457167E-2</v>
      </c>
      <c r="U480" s="13"/>
      <c r="V480" s="14">
        <f t="shared" ca="1" si="95"/>
        <v>1.8807339999999999</v>
      </c>
      <c r="W480" s="13"/>
      <c r="X480" s="2"/>
    </row>
    <row r="481" spans="8:24" x14ac:dyDescent="0.25">
      <c r="H481" s="13">
        <v>67.900000000000006</v>
      </c>
      <c r="I481" s="13">
        <v>4.0929031784983714</v>
      </c>
      <c r="J481" s="14">
        <f t="shared" si="86"/>
        <v>5.0000000000000002E-5</v>
      </c>
      <c r="K481" s="23">
        <f t="shared" si="87"/>
        <v>2.4000000000000001E-4</v>
      </c>
      <c r="L481" s="14">
        <f t="shared" si="88"/>
        <v>1.311E-2</v>
      </c>
      <c r="M481" s="10">
        <f t="shared" si="89"/>
        <v>4.1472812756420385</v>
      </c>
      <c r="N481" s="16">
        <f t="shared" si="90"/>
        <v>1.3285947595666729E-2</v>
      </c>
      <c r="O481" s="13">
        <f t="shared" si="91"/>
        <v>22126.144400000001</v>
      </c>
      <c r="P481" s="13">
        <f t="shared" ca="1" si="97"/>
        <v>22128</v>
      </c>
      <c r="Q481" s="13" t="str">
        <f t="shared" ca="1" si="92"/>
        <v>0101011001110000</v>
      </c>
      <c r="R481" s="13">
        <f t="shared" ca="1" si="93"/>
        <v>4.1488733825683592</v>
      </c>
      <c r="S481" s="13">
        <f t="shared" ca="1" si="94"/>
        <v>69.786480590820318</v>
      </c>
      <c r="T481" s="17">
        <f t="shared" ca="1" si="96"/>
        <v>2.7783219305159236E-2</v>
      </c>
      <c r="U481" s="13"/>
      <c r="V481" s="14">
        <f t="shared" ca="1" si="95"/>
        <v>1.8864810000000001</v>
      </c>
      <c r="W481" s="13"/>
      <c r="X481" s="2"/>
    </row>
    <row r="482" spans="8:24" x14ac:dyDescent="0.25">
      <c r="H482" s="13">
        <v>68</v>
      </c>
      <c r="I482" s="13">
        <v>4.1008160103986908</v>
      </c>
      <c r="J482" s="14">
        <f t="shared" si="86"/>
        <v>5.1E-5</v>
      </c>
      <c r="K482" s="23">
        <f t="shared" si="87"/>
        <v>2.4000000000000001E-4</v>
      </c>
      <c r="L482" s="14">
        <f t="shared" si="88"/>
        <v>1.3140000000000001E-2</v>
      </c>
      <c r="M482" s="10">
        <f t="shared" si="89"/>
        <v>4.1554245265576588</v>
      </c>
      <c r="N482" s="16">
        <f t="shared" si="90"/>
        <v>1.331649994062007E-2</v>
      </c>
      <c r="O482" s="13">
        <f t="shared" si="91"/>
        <v>22169.589400000001</v>
      </c>
      <c r="P482" s="13">
        <f t="shared" ca="1" si="97"/>
        <v>22174</v>
      </c>
      <c r="Q482" s="13" t="str">
        <f t="shared" ca="1" si="92"/>
        <v>0101011010011110</v>
      </c>
      <c r="R482" s="13">
        <f t="shared" ca="1" si="93"/>
        <v>4.1574981193542477</v>
      </c>
      <c r="S482" s="13">
        <f t="shared" ca="1" si="94"/>
        <v>69.889977432250987</v>
      </c>
      <c r="T482" s="17">
        <f t="shared" ca="1" si="96"/>
        <v>2.7793785768396868E-2</v>
      </c>
      <c r="U482" s="13"/>
      <c r="V482" s="14">
        <f t="shared" ca="1" si="95"/>
        <v>1.889977</v>
      </c>
      <c r="W482" s="13"/>
      <c r="X482" s="2"/>
    </row>
    <row r="483" spans="8:24" x14ac:dyDescent="0.25">
      <c r="H483" s="13">
        <v>68.099999999999994</v>
      </c>
      <c r="I483" s="13">
        <v>4.1092228205153196</v>
      </c>
      <c r="J483" s="14">
        <f t="shared" si="86"/>
        <v>5.1999999999999997E-5</v>
      </c>
      <c r="K483" s="23">
        <f t="shared" si="87"/>
        <v>2.41E-4</v>
      </c>
      <c r="L483" s="14">
        <f t="shared" si="88"/>
        <v>1.3171E-2</v>
      </c>
      <c r="M483" s="10">
        <f t="shared" si="89"/>
        <v>4.1640730629088925</v>
      </c>
      <c r="N483" s="16">
        <f t="shared" si="90"/>
        <v>1.3348081812388628E-2</v>
      </c>
      <c r="O483" s="13">
        <f t="shared" si="91"/>
        <v>22215.730200000002</v>
      </c>
      <c r="P483" s="13">
        <f t="shared" ca="1" si="97"/>
        <v>22216</v>
      </c>
      <c r="Q483" s="13" t="str">
        <f t="shared" ca="1" si="92"/>
        <v>0101011011001000</v>
      </c>
      <c r="R483" s="13">
        <f t="shared" ca="1" si="93"/>
        <v>4.16537287902832</v>
      </c>
      <c r="S483" s="13">
        <f t="shared" ca="1" si="94"/>
        <v>69.984474548339847</v>
      </c>
      <c r="T483" s="17">
        <f t="shared" ca="1" si="96"/>
        <v>2.7672166642288588E-2</v>
      </c>
      <c r="U483" s="13"/>
      <c r="V483" s="14">
        <f t="shared" ca="1" si="95"/>
        <v>1.8844749999999999</v>
      </c>
      <c r="W483" s="13"/>
      <c r="X483" s="2"/>
    </row>
    <row r="484" spans="8:24" x14ac:dyDescent="0.25">
      <c r="H484" s="13">
        <v>68.2</v>
      </c>
      <c r="I484" s="13">
        <v>4.1171604147544647</v>
      </c>
      <c r="J484" s="14">
        <f t="shared" si="86"/>
        <v>5.1999999999999997E-5</v>
      </c>
      <c r="K484" s="23">
        <f t="shared" si="87"/>
        <v>2.41E-4</v>
      </c>
      <c r="L484" s="14">
        <f t="shared" si="88"/>
        <v>1.3200999999999999E-2</v>
      </c>
      <c r="M484" s="10">
        <f t="shared" si="89"/>
        <v>4.172243434677644</v>
      </c>
      <c r="N484" s="16">
        <f t="shared" si="90"/>
        <v>1.3378886021973062E-2</v>
      </c>
      <c r="O484" s="13">
        <f t="shared" si="91"/>
        <v>22259.319899999999</v>
      </c>
      <c r="P484" s="13">
        <f t="shared" ca="1" si="97"/>
        <v>22263</v>
      </c>
      <c r="Q484" s="13" t="str">
        <f t="shared" ca="1" si="92"/>
        <v>0101011011110111</v>
      </c>
      <c r="R484" s="13">
        <f t="shared" ca="1" si="93"/>
        <v>4.1741851100921634</v>
      </c>
      <c r="S484" s="13">
        <f t="shared" ca="1" si="94"/>
        <v>70.090221321105972</v>
      </c>
      <c r="T484" s="17">
        <f t="shared" ca="1" si="96"/>
        <v>2.7715855148181361E-2</v>
      </c>
      <c r="U484" s="13"/>
      <c r="V484" s="14">
        <f t="shared" ca="1" si="95"/>
        <v>1.8902209999999999</v>
      </c>
      <c r="W484" s="13"/>
      <c r="X484" s="2"/>
    </row>
    <row r="485" spans="8:24" x14ac:dyDescent="0.25">
      <c r="H485" s="13">
        <v>68.300000000000011</v>
      </c>
      <c r="I485" s="13">
        <v>4.126068879039555</v>
      </c>
      <c r="J485" s="14">
        <f t="shared" si="86"/>
        <v>5.3000000000000001E-5</v>
      </c>
      <c r="K485" s="23">
        <f t="shared" si="87"/>
        <v>2.42E-4</v>
      </c>
      <c r="L485" s="14">
        <f t="shared" si="88"/>
        <v>1.3232000000000001E-2</v>
      </c>
      <c r="M485" s="10">
        <f t="shared" si="89"/>
        <v>4.1814014151082679</v>
      </c>
      <c r="N485" s="16">
        <f t="shared" si="90"/>
        <v>1.3410473186669859E-2</v>
      </c>
      <c r="O485" s="13">
        <f t="shared" si="91"/>
        <v>22308.178599999999</v>
      </c>
      <c r="P485" s="13">
        <f t="shared" ca="1" si="97"/>
        <v>22310</v>
      </c>
      <c r="Q485" s="13" t="str">
        <f t="shared" ca="1" si="92"/>
        <v>0101011100100110</v>
      </c>
      <c r="R485" s="13">
        <f t="shared" ca="1" si="93"/>
        <v>4.182997341156006</v>
      </c>
      <c r="S485" s="13">
        <f t="shared" ca="1" si="94"/>
        <v>70.195968093872082</v>
      </c>
      <c r="T485" s="17">
        <f t="shared" ca="1" si="96"/>
        <v>2.7759415722870724E-2</v>
      </c>
      <c r="U485" s="13"/>
      <c r="V485" s="14">
        <f t="shared" ca="1" si="95"/>
        <v>1.8959680000000001</v>
      </c>
      <c r="W485" s="13"/>
      <c r="X485" s="2"/>
    </row>
    <row r="486" spans="8:24" x14ac:dyDescent="0.25">
      <c r="H486" s="13">
        <v>68.400000000000006</v>
      </c>
      <c r="I486" s="13">
        <v>4.1340297949208029</v>
      </c>
      <c r="J486" s="14">
        <f t="shared" si="86"/>
        <v>5.3000000000000001E-5</v>
      </c>
      <c r="K486" s="23">
        <f t="shared" si="87"/>
        <v>2.42E-4</v>
      </c>
      <c r="L486" s="14">
        <f t="shared" si="88"/>
        <v>1.3261999999999999E-2</v>
      </c>
      <c r="M486" s="10">
        <f t="shared" si="89"/>
        <v>4.1895964538963764</v>
      </c>
      <c r="N486" s="16">
        <f t="shared" si="90"/>
        <v>1.3441281686901329E-2</v>
      </c>
      <c r="O486" s="13">
        <f t="shared" si="91"/>
        <v>22351.8999</v>
      </c>
      <c r="P486" s="13">
        <f t="shared" ca="1" si="97"/>
        <v>22356</v>
      </c>
      <c r="Q486" s="13" t="str">
        <f t="shared" ca="1" si="92"/>
        <v>0101011101010100</v>
      </c>
      <c r="R486" s="13">
        <f t="shared" ca="1" si="93"/>
        <v>4.1916220779418945</v>
      </c>
      <c r="S486" s="13">
        <f t="shared" ca="1" si="94"/>
        <v>70.299464935302737</v>
      </c>
      <c r="T486" s="17">
        <f t="shared" ca="1" si="96"/>
        <v>2.7769955194484372E-2</v>
      </c>
      <c r="U486" s="13"/>
      <c r="V486" s="14">
        <f t="shared" ca="1" si="95"/>
        <v>1.899465</v>
      </c>
      <c r="W486" s="13"/>
      <c r="X486" s="2"/>
    </row>
    <row r="487" spans="8:24" x14ac:dyDescent="0.25">
      <c r="H487" s="13">
        <v>68.5</v>
      </c>
      <c r="I487" s="13">
        <v>4.1424803090526412</v>
      </c>
      <c r="J487" s="14">
        <f t="shared" si="86"/>
        <v>5.3999999999999998E-5</v>
      </c>
      <c r="K487" s="23">
        <f t="shared" si="87"/>
        <v>2.43E-4</v>
      </c>
      <c r="L487" s="14">
        <f t="shared" si="88"/>
        <v>1.3292999999999999E-2</v>
      </c>
      <c r="M487" s="10">
        <f t="shared" si="89"/>
        <v>4.1982914259842499</v>
      </c>
      <c r="N487" s="16">
        <f t="shared" si="90"/>
        <v>1.3472874405617228E-2</v>
      </c>
      <c r="O487" s="13">
        <f t="shared" si="91"/>
        <v>22398.288400000001</v>
      </c>
      <c r="P487" s="13">
        <f t="shared" ca="1" si="97"/>
        <v>22398</v>
      </c>
      <c r="Q487" s="13" t="str">
        <f t="shared" ca="1" si="92"/>
        <v>0101011101111110</v>
      </c>
      <c r="R487" s="13">
        <f t="shared" ca="1" si="93"/>
        <v>4.1994968376159667</v>
      </c>
      <c r="S487" s="13">
        <f t="shared" ca="1" si="94"/>
        <v>70.393962051391611</v>
      </c>
      <c r="T487" s="17">
        <f t="shared" ca="1" si="96"/>
        <v>2.7649081042213301E-2</v>
      </c>
      <c r="U487" s="13"/>
      <c r="V487" s="14">
        <f t="shared" ca="1" si="95"/>
        <v>1.8939619999999999</v>
      </c>
      <c r="W487" s="13"/>
      <c r="X487" s="2"/>
    </row>
    <row r="488" spans="8:24" x14ac:dyDescent="0.25">
      <c r="H488" s="13">
        <v>68.599999999999994</v>
      </c>
      <c r="I488" s="13">
        <v>4.1504650714895979</v>
      </c>
      <c r="J488" s="14">
        <f t="shared" si="86"/>
        <v>5.3999999999999998E-5</v>
      </c>
      <c r="K488" s="23">
        <f t="shared" si="87"/>
        <v>2.43E-4</v>
      </c>
      <c r="L488" s="14">
        <f t="shared" si="88"/>
        <v>1.3323E-2</v>
      </c>
      <c r="M488" s="10">
        <f t="shared" si="89"/>
        <v>4.206511653515383</v>
      </c>
      <c r="N488" s="16">
        <f t="shared" si="90"/>
        <v>1.3503687191775379E-2</v>
      </c>
      <c r="O488" s="13">
        <f t="shared" si="91"/>
        <v>22442.144100000001</v>
      </c>
      <c r="P488" s="13">
        <f t="shared" ca="1" si="97"/>
        <v>22444</v>
      </c>
      <c r="Q488" s="13" t="str">
        <f t="shared" ca="1" si="92"/>
        <v>0101011110101100</v>
      </c>
      <c r="R488" s="13">
        <f t="shared" ca="1" si="93"/>
        <v>4.2081215744018552</v>
      </c>
      <c r="S488" s="13">
        <f t="shared" ca="1" si="94"/>
        <v>70.497458892822266</v>
      </c>
      <c r="T488" s="17">
        <f t="shared" ca="1" si="96"/>
        <v>2.7659750624231365E-2</v>
      </c>
      <c r="U488" s="13"/>
      <c r="V488" s="14">
        <f t="shared" ca="1" si="95"/>
        <v>1.897459</v>
      </c>
      <c r="W488" s="13"/>
      <c r="X488" s="2"/>
    </row>
    <row r="489" spans="8:24" x14ac:dyDescent="0.25">
      <c r="H489" s="13">
        <v>68.7</v>
      </c>
      <c r="I489" s="13">
        <v>4.1584620741309548</v>
      </c>
      <c r="J489" s="14">
        <f t="shared" si="86"/>
        <v>5.5000000000000002E-5</v>
      </c>
      <c r="K489" s="23">
        <f t="shared" si="87"/>
        <v>2.4399999999999999E-4</v>
      </c>
      <c r="L489" s="14">
        <f t="shared" si="88"/>
        <v>1.3354E-2</v>
      </c>
      <c r="M489" s="10">
        <f t="shared" si="89"/>
        <v>4.2147480449917749</v>
      </c>
      <c r="N489" s="16">
        <f t="shared" si="90"/>
        <v>1.3535285366906437E-2</v>
      </c>
      <c r="O489" s="13">
        <f t="shared" si="91"/>
        <v>22486.0861</v>
      </c>
      <c r="P489" s="13">
        <f t="shared" ca="1" si="97"/>
        <v>22486</v>
      </c>
      <c r="Q489" s="13" t="str">
        <f t="shared" ca="1" si="92"/>
        <v>0101011111010110</v>
      </c>
      <c r="R489" s="13">
        <f t="shared" ca="1" si="93"/>
        <v>4.2159963340759274</v>
      </c>
      <c r="S489" s="13">
        <f t="shared" ca="1" si="94"/>
        <v>70.59195600891114</v>
      </c>
      <c r="T489" s="17">
        <f t="shared" ca="1" si="96"/>
        <v>2.7539388775999082E-2</v>
      </c>
      <c r="U489" s="13"/>
      <c r="V489" s="14">
        <f t="shared" ca="1" si="95"/>
        <v>1.891956</v>
      </c>
      <c r="W489" s="13"/>
      <c r="X489" s="2"/>
    </row>
    <row r="490" spans="8:24" x14ac:dyDescent="0.25">
      <c r="H490" s="13">
        <v>68.800000000000011</v>
      </c>
      <c r="I490" s="13">
        <v>4.166471201876103</v>
      </c>
      <c r="J490" s="14">
        <f t="shared" si="86"/>
        <v>5.5999999999999999E-5</v>
      </c>
      <c r="K490" s="23">
        <f t="shared" si="87"/>
        <v>2.4399999999999999E-4</v>
      </c>
      <c r="L490" s="14">
        <f t="shared" si="88"/>
        <v>1.3384E-2</v>
      </c>
      <c r="M490" s="10">
        <f t="shared" si="89"/>
        <v>4.2229929634266048</v>
      </c>
      <c r="N490" s="16">
        <f t="shared" si="90"/>
        <v>1.3565859167597479E-2</v>
      </c>
      <c r="O490" s="13">
        <f t="shared" si="91"/>
        <v>22530.073499999999</v>
      </c>
      <c r="P490" s="13">
        <f t="shared" ca="1" si="97"/>
        <v>22534</v>
      </c>
      <c r="Q490" s="13" t="str">
        <f t="shared" ca="1" si="92"/>
        <v>0101100000000110</v>
      </c>
      <c r="R490" s="13">
        <f t="shared" ca="1" si="93"/>
        <v>4.2249960594177249</v>
      </c>
      <c r="S490" s="13">
        <f t="shared" ca="1" si="94"/>
        <v>70.699952713012706</v>
      </c>
      <c r="T490" s="17">
        <f t="shared" ca="1" si="96"/>
        <v>2.7615591758905447E-2</v>
      </c>
      <c r="U490" s="13"/>
      <c r="V490" s="14">
        <f t="shared" ca="1" si="95"/>
        <v>1.899953</v>
      </c>
      <c r="W490" s="13"/>
      <c r="X490" s="2"/>
    </row>
    <row r="491" spans="8:24" x14ac:dyDescent="0.25">
      <c r="H491" s="13">
        <v>68.900000000000006</v>
      </c>
      <c r="I491" s="13">
        <v>4.1749655669899424</v>
      </c>
      <c r="J491" s="14">
        <f t="shared" si="86"/>
        <v>5.5999999999999999E-5</v>
      </c>
      <c r="K491" s="23">
        <f t="shared" si="87"/>
        <v>2.4499999999999999E-4</v>
      </c>
      <c r="L491" s="14">
        <f t="shared" si="88"/>
        <v>1.3415E-2</v>
      </c>
      <c r="M491" s="10">
        <f t="shared" si="89"/>
        <v>4.2317355209332623</v>
      </c>
      <c r="N491" s="16">
        <f t="shared" si="90"/>
        <v>1.3597705904973448E-2</v>
      </c>
      <c r="O491" s="13">
        <f t="shared" si="91"/>
        <v>22576.715899999999</v>
      </c>
      <c r="P491" s="13">
        <f t="shared" ca="1" si="97"/>
        <v>22576</v>
      </c>
      <c r="Q491" s="13" t="str">
        <f t="shared" ca="1" si="92"/>
        <v>0101100000110000</v>
      </c>
      <c r="R491" s="13">
        <f t="shared" ca="1" si="93"/>
        <v>4.2328708190917972</v>
      </c>
      <c r="S491" s="13">
        <f t="shared" ca="1" si="94"/>
        <v>70.79444982910158</v>
      </c>
      <c r="T491" s="17">
        <f t="shared" ca="1" si="96"/>
        <v>2.7495643383186861E-2</v>
      </c>
      <c r="U491" s="13"/>
      <c r="V491" s="14">
        <f t="shared" ca="1" si="95"/>
        <v>1.89445</v>
      </c>
      <c r="W491" s="13"/>
      <c r="X491" s="2"/>
    </row>
    <row r="492" spans="8:24" x14ac:dyDescent="0.25">
      <c r="H492" s="13">
        <v>69</v>
      </c>
      <c r="I492" s="13">
        <v>4.1834698843066587</v>
      </c>
      <c r="J492" s="14">
        <f t="shared" si="86"/>
        <v>5.7000000000000003E-5</v>
      </c>
      <c r="K492" s="23">
        <f t="shared" si="87"/>
        <v>2.4499999999999999E-4</v>
      </c>
      <c r="L492" s="14">
        <f t="shared" si="88"/>
        <v>1.3445E-2</v>
      </c>
      <c r="M492" s="10">
        <f t="shared" si="89"/>
        <v>4.2404834038615782</v>
      </c>
      <c r="N492" s="16">
        <f t="shared" si="90"/>
        <v>1.362828492414702E-2</v>
      </c>
      <c r="O492" s="13">
        <f t="shared" si="91"/>
        <v>22623.386699999999</v>
      </c>
      <c r="P492" s="13">
        <f t="shared" ca="1" si="97"/>
        <v>22628</v>
      </c>
      <c r="Q492" s="13" t="str">
        <f t="shared" ca="1" si="92"/>
        <v>0101100001100100</v>
      </c>
      <c r="R492" s="13">
        <f t="shared" ca="1" si="93"/>
        <v>4.24262052154541</v>
      </c>
      <c r="S492" s="13">
        <f t="shared" ca="1" si="94"/>
        <v>70.911446258544927</v>
      </c>
      <c r="T492" s="17">
        <f t="shared" ca="1" si="96"/>
        <v>2.770211968905692E-2</v>
      </c>
      <c r="U492" s="13"/>
      <c r="V492" s="14">
        <f t="shared" ca="1" si="95"/>
        <v>1.911446</v>
      </c>
      <c r="W492" s="13"/>
      <c r="X492" s="2"/>
    </row>
    <row r="493" spans="8:24" x14ac:dyDescent="0.25">
      <c r="H493" s="13">
        <v>69.099999999999994</v>
      </c>
      <c r="I493" s="13">
        <v>4.1915127573436717</v>
      </c>
      <c r="J493" s="14">
        <f t="shared" si="86"/>
        <v>5.7000000000000003E-5</v>
      </c>
      <c r="K493" s="23">
        <f t="shared" si="87"/>
        <v>2.4600000000000002E-4</v>
      </c>
      <c r="L493" s="14">
        <f t="shared" si="88"/>
        <v>1.3476E-2</v>
      </c>
      <c r="M493" s="10">
        <f t="shared" si="89"/>
        <v>4.2487693920631147</v>
      </c>
      <c r="N493" s="16">
        <f t="shared" si="90"/>
        <v>1.3660136097433421E-2</v>
      </c>
      <c r="O493" s="13">
        <f t="shared" si="91"/>
        <v>22667.593199999999</v>
      </c>
      <c r="P493" s="13">
        <f t="shared" ca="1" si="97"/>
        <v>22670</v>
      </c>
      <c r="Q493" s="13" t="str">
        <f t="shared" ca="1" si="92"/>
        <v>0101100010001110</v>
      </c>
      <c r="R493" s="13">
        <f t="shared" ca="1" si="93"/>
        <v>4.2504952812194823</v>
      </c>
      <c r="S493" s="13">
        <f t="shared" ca="1" si="94"/>
        <v>71.005943374633802</v>
      </c>
      <c r="T493" s="17">
        <f t="shared" ca="1" si="96"/>
        <v>2.7582393265322826E-2</v>
      </c>
      <c r="U493" s="13"/>
      <c r="V493" s="14">
        <f t="shared" ca="1" si="95"/>
        <v>1.9059429999999999</v>
      </c>
      <c r="W493" s="13"/>
      <c r="X493" s="2"/>
    </row>
    <row r="494" spans="8:24" x14ac:dyDescent="0.25">
      <c r="H494" s="13">
        <v>69.2</v>
      </c>
      <c r="I494" s="13">
        <v>4.1995673004697718</v>
      </c>
      <c r="J494" s="14">
        <f t="shared" si="86"/>
        <v>5.8E-5</v>
      </c>
      <c r="K494" s="23">
        <f t="shared" si="87"/>
        <v>2.4600000000000002E-4</v>
      </c>
      <c r="L494" s="14">
        <f t="shared" si="88"/>
        <v>1.3506000000000001E-2</v>
      </c>
      <c r="M494" s="10">
        <f t="shared" si="89"/>
        <v>4.2570624019221324</v>
      </c>
      <c r="N494" s="16">
        <f t="shared" si="90"/>
        <v>1.3690720338242722E-2</v>
      </c>
      <c r="O494" s="13">
        <f t="shared" si="91"/>
        <v>22711.837200000002</v>
      </c>
      <c r="P494" s="13">
        <f t="shared" ca="1" si="97"/>
        <v>22716</v>
      </c>
      <c r="Q494" s="13" t="str">
        <f t="shared" ca="1" si="92"/>
        <v>0101100010111100</v>
      </c>
      <c r="R494" s="13">
        <f t="shared" ca="1" si="93"/>
        <v>4.2591200180053708</v>
      </c>
      <c r="S494" s="13">
        <f t="shared" ca="1" si="94"/>
        <v>71.109440216064456</v>
      </c>
      <c r="T494" s="17">
        <f t="shared" ca="1" si="96"/>
        <v>2.759306670613372E-2</v>
      </c>
      <c r="U494" s="13"/>
      <c r="V494" s="14">
        <f t="shared" ca="1" si="95"/>
        <v>1.90944</v>
      </c>
      <c r="W494" s="13"/>
      <c r="X494" s="2"/>
    </row>
    <row r="495" spans="8:24" x14ac:dyDescent="0.25">
      <c r="H495" s="13">
        <v>69.300000000000011</v>
      </c>
      <c r="I495" s="13">
        <v>4.2076334000333553</v>
      </c>
      <c r="J495" s="14">
        <f t="shared" si="86"/>
        <v>5.8E-5</v>
      </c>
      <c r="K495" s="23">
        <f t="shared" si="87"/>
        <v>2.4699999999999999E-4</v>
      </c>
      <c r="L495" s="14">
        <f t="shared" si="88"/>
        <v>1.3537E-2</v>
      </c>
      <c r="M495" s="10">
        <f t="shared" si="89"/>
        <v>4.2653729687655346</v>
      </c>
      <c r="N495" s="16">
        <f t="shared" si="90"/>
        <v>1.3722575909707727E-2</v>
      </c>
      <c r="O495" s="13">
        <f t="shared" si="91"/>
        <v>22756.174900000002</v>
      </c>
      <c r="P495" s="13">
        <f t="shared" ca="1" si="97"/>
        <v>22755</v>
      </c>
      <c r="Q495" s="13" t="str">
        <f t="shared" ca="1" si="92"/>
        <v>0101100011100011</v>
      </c>
      <c r="R495" s="13">
        <f t="shared" ca="1" si="93"/>
        <v>4.2664322948455808</v>
      </c>
      <c r="S495" s="13">
        <f t="shared" ca="1" si="94"/>
        <v>71.197187538146977</v>
      </c>
      <c r="T495" s="17">
        <f t="shared" ca="1" si="96"/>
        <v>2.7376443551904266E-2</v>
      </c>
      <c r="U495" s="13"/>
      <c r="V495" s="14">
        <f t="shared" ca="1" si="95"/>
        <v>1.8971880000000001</v>
      </c>
      <c r="W495" s="13"/>
      <c r="X495" s="2"/>
    </row>
    <row r="496" spans="8:24" x14ac:dyDescent="0.25">
      <c r="H496" s="13">
        <v>69.400000000000006</v>
      </c>
      <c r="I496" s="13">
        <v>4.215242563756421</v>
      </c>
      <c r="J496" s="14">
        <f t="shared" si="86"/>
        <v>5.8999999999999998E-5</v>
      </c>
      <c r="K496" s="23">
        <f t="shared" si="87"/>
        <v>2.4699999999999999E-4</v>
      </c>
      <c r="L496" s="14">
        <f t="shared" si="88"/>
        <v>1.3566999999999999E-2</v>
      </c>
      <c r="M496" s="10">
        <f t="shared" si="89"/>
        <v>4.2732154914428255</v>
      </c>
      <c r="N496" s="16">
        <f t="shared" si="90"/>
        <v>1.3753165282792603E-2</v>
      </c>
      <c r="O496" s="13">
        <f t="shared" si="91"/>
        <v>22798.015500000001</v>
      </c>
      <c r="P496" s="13">
        <f t="shared" ca="1" si="97"/>
        <v>22797</v>
      </c>
      <c r="Q496" s="13" t="str">
        <f t="shared" ca="1" si="92"/>
        <v>0101100100001101</v>
      </c>
      <c r="R496" s="13">
        <f t="shared" ca="1" si="93"/>
        <v>4.2743070545196531</v>
      </c>
      <c r="S496" s="13">
        <f t="shared" ca="1" si="94"/>
        <v>71.291684654235851</v>
      </c>
      <c r="T496" s="17">
        <f t="shared" ca="1" si="96"/>
        <v>2.7257703951525152E-2</v>
      </c>
      <c r="U496" s="13"/>
      <c r="V496" s="14">
        <f t="shared" ca="1" si="95"/>
        <v>1.8916850000000001</v>
      </c>
      <c r="W496" s="13"/>
      <c r="X496" s="2"/>
    </row>
    <row r="497" spans="8:24" x14ac:dyDescent="0.25">
      <c r="H497" s="13">
        <v>69.5</v>
      </c>
      <c r="I497" s="13">
        <v>4.2233324015312235</v>
      </c>
      <c r="J497" s="14">
        <f t="shared" si="86"/>
        <v>6.0000000000000002E-5</v>
      </c>
      <c r="K497" s="23">
        <f t="shared" si="87"/>
        <v>2.4800000000000001E-4</v>
      </c>
      <c r="L497" s="14">
        <f t="shared" si="88"/>
        <v>1.3598000000000001E-2</v>
      </c>
      <c r="M497" s="10">
        <f t="shared" si="89"/>
        <v>4.2815501315358473</v>
      </c>
      <c r="N497" s="16">
        <f t="shared" si="90"/>
        <v>1.3784785205047142E-2</v>
      </c>
      <c r="O497" s="13">
        <f t="shared" si="91"/>
        <v>22842.481599999999</v>
      </c>
      <c r="P497" s="13">
        <f t="shared" ca="1" si="97"/>
        <v>22842</v>
      </c>
      <c r="Q497" s="13" t="str">
        <f t="shared" ca="1" si="92"/>
        <v>0101100100111010</v>
      </c>
      <c r="R497" s="13">
        <f t="shared" ca="1" si="93"/>
        <v>4.2827442970275884</v>
      </c>
      <c r="S497" s="13">
        <f t="shared" ca="1" si="94"/>
        <v>71.392931564331064</v>
      </c>
      <c r="T497" s="17">
        <f t="shared" ca="1" si="96"/>
        <v>2.7236425386058482E-2</v>
      </c>
      <c r="U497" s="13"/>
      <c r="V497" s="14">
        <f t="shared" ca="1" si="95"/>
        <v>1.8929320000000001</v>
      </c>
      <c r="W497" s="13"/>
      <c r="X497" s="2"/>
    </row>
    <row r="498" spans="8:24" x14ac:dyDescent="0.25">
      <c r="H498" s="13">
        <v>69.599999999999994</v>
      </c>
      <c r="I498" s="13">
        <v>4.2314334547854582</v>
      </c>
      <c r="J498" s="14">
        <f t="shared" si="86"/>
        <v>6.0000000000000002E-5</v>
      </c>
      <c r="K498" s="23">
        <f t="shared" si="87"/>
        <v>2.4800000000000001E-4</v>
      </c>
      <c r="L498" s="14">
        <f t="shared" si="88"/>
        <v>1.3627999999999999E-2</v>
      </c>
      <c r="M498" s="10">
        <f t="shared" si="89"/>
        <v>4.2898933306718536</v>
      </c>
      <c r="N498" s="16">
        <f t="shared" si="90"/>
        <v>1.3815619815616237E-2</v>
      </c>
      <c r="O498" s="13">
        <f t="shared" si="91"/>
        <v>22886.993399999999</v>
      </c>
      <c r="P498" s="13">
        <f t="shared" ca="1" si="97"/>
        <v>22890</v>
      </c>
      <c r="Q498" s="13" t="str">
        <f t="shared" ca="1" si="92"/>
        <v>0101100101101010</v>
      </c>
      <c r="R498" s="13">
        <f t="shared" ca="1" si="93"/>
        <v>4.291744022369385</v>
      </c>
      <c r="S498" s="13">
        <f t="shared" ca="1" si="94"/>
        <v>71.500928268432631</v>
      </c>
      <c r="T498" s="17">
        <f t="shared" ca="1" si="96"/>
        <v>2.7312187764836734E-2</v>
      </c>
      <c r="U498" s="13"/>
      <c r="V498" s="14">
        <f t="shared" ca="1" si="95"/>
        <v>1.900928</v>
      </c>
      <c r="W498" s="13"/>
      <c r="X498" s="2"/>
    </row>
    <row r="499" spans="8:24" x14ac:dyDescent="0.25">
      <c r="H499" s="13">
        <v>69.7</v>
      </c>
      <c r="I499" s="13">
        <v>4.239545610370131</v>
      </c>
      <c r="J499" s="14">
        <f t="shared" si="86"/>
        <v>6.0999999999999999E-5</v>
      </c>
      <c r="K499" s="23">
        <f t="shared" si="87"/>
        <v>2.4899999999999998E-4</v>
      </c>
      <c r="L499" s="14">
        <f t="shared" si="88"/>
        <v>1.3658999999999999E-2</v>
      </c>
      <c r="M499" s="10">
        <f t="shared" si="89"/>
        <v>4.2982516372614858</v>
      </c>
      <c r="N499" s="16">
        <f t="shared" si="90"/>
        <v>1.3847245032051808E-2</v>
      </c>
      <c r="O499" s="13">
        <f t="shared" si="91"/>
        <v>22931.585800000001</v>
      </c>
      <c r="P499" s="13">
        <f t="shared" ca="1" si="97"/>
        <v>22934</v>
      </c>
      <c r="Q499" s="13" t="str">
        <f t="shared" ca="1" si="92"/>
        <v>0101100110010110</v>
      </c>
      <c r="R499" s="13">
        <f t="shared" ca="1" si="93"/>
        <v>4.2999937705993654</v>
      </c>
      <c r="S499" s="13">
        <f t="shared" ca="1" si="94"/>
        <v>71.599925247192388</v>
      </c>
      <c r="T499" s="17">
        <f t="shared" ca="1" si="96"/>
        <v>2.7258611867896489E-2</v>
      </c>
      <c r="U499" s="13"/>
      <c r="V499" s="14">
        <f t="shared" ca="1" si="95"/>
        <v>1.8999250000000001</v>
      </c>
      <c r="W499" s="13"/>
      <c r="X499" s="2"/>
    </row>
    <row r="500" spans="8:24" x14ac:dyDescent="0.25">
      <c r="H500" s="13">
        <v>69.800000000000011</v>
      </c>
      <c r="I500" s="13">
        <v>4.2476687561702047</v>
      </c>
      <c r="J500" s="14">
        <f t="shared" si="86"/>
        <v>6.0999999999999999E-5</v>
      </c>
      <c r="K500" s="23">
        <f t="shared" si="87"/>
        <v>2.4899999999999998E-4</v>
      </c>
      <c r="L500" s="14">
        <f t="shared" si="88"/>
        <v>1.3689E-2</v>
      </c>
      <c r="M500" s="10">
        <f t="shared" si="89"/>
        <v>4.3066182595633675</v>
      </c>
      <c r="N500" s="16">
        <f t="shared" si="90"/>
        <v>1.3878083903678277E-2</v>
      </c>
      <c r="O500" s="13">
        <f t="shared" si="91"/>
        <v>22976.2225</v>
      </c>
      <c r="P500" s="13">
        <f t="shared" ca="1" si="97"/>
        <v>22977</v>
      </c>
      <c r="Q500" s="13" t="str">
        <f t="shared" ca="1" si="92"/>
        <v>0101100111000001</v>
      </c>
      <c r="R500" s="13">
        <f t="shared" ca="1" si="93"/>
        <v>4.3080560245513917</v>
      </c>
      <c r="S500" s="13">
        <f t="shared" ca="1" si="94"/>
        <v>71.696672294616704</v>
      </c>
      <c r="T500" s="17">
        <f t="shared" ca="1" si="96"/>
        <v>2.7172955510267795E-2</v>
      </c>
      <c r="U500" s="13"/>
      <c r="V500" s="14">
        <f t="shared" ca="1" si="95"/>
        <v>1.8966719999999999</v>
      </c>
      <c r="W500" s="13"/>
      <c r="X500" s="2"/>
    </row>
    <row r="501" spans="8:24" x14ac:dyDescent="0.25">
      <c r="H501" s="13">
        <v>69.900000000000006</v>
      </c>
      <c r="I501" s="13">
        <v>4.2553392200218143</v>
      </c>
      <c r="J501" s="14">
        <f t="shared" si="86"/>
        <v>6.2000000000000003E-5</v>
      </c>
      <c r="K501" s="23">
        <f t="shared" si="87"/>
        <v>2.5000000000000001E-4</v>
      </c>
      <c r="L501" s="14">
        <f t="shared" si="88"/>
        <v>1.372E-2</v>
      </c>
      <c r="M501" s="10">
        <f t="shared" si="89"/>
        <v>4.3145297727438603</v>
      </c>
      <c r="N501" s="16">
        <f t="shared" si="90"/>
        <v>1.3909714281660148E-2</v>
      </c>
      <c r="O501" s="13">
        <f t="shared" si="91"/>
        <v>23018.431199999999</v>
      </c>
      <c r="P501" s="13">
        <f t="shared" ca="1" si="97"/>
        <v>23018</v>
      </c>
      <c r="Q501" s="13" t="str">
        <f t="shared" ca="1" si="92"/>
        <v>0101100111101010</v>
      </c>
      <c r="R501" s="13">
        <f t="shared" ca="1" si="93"/>
        <v>4.3157432899475099</v>
      </c>
      <c r="S501" s="13">
        <f t="shared" ca="1" si="94"/>
        <v>71.788919479370122</v>
      </c>
      <c r="T501" s="17">
        <f t="shared" ca="1" si="96"/>
        <v>2.7023168517455169E-2</v>
      </c>
      <c r="U501" s="13"/>
      <c r="V501" s="14">
        <f t="shared" ca="1" si="95"/>
        <v>1.888919</v>
      </c>
      <c r="W501" s="13"/>
      <c r="X501" s="2"/>
    </row>
    <row r="502" spans="8:24" x14ac:dyDescent="0.25">
      <c r="H502" s="13">
        <v>70</v>
      </c>
      <c r="I502" s="13">
        <v>4.263947569409801</v>
      </c>
      <c r="J502" s="14">
        <f t="shared" si="86"/>
        <v>6.3E-5</v>
      </c>
      <c r="K502" s="23">
        <f t="shared" si="87"/>
        <v>2.5000000000000001E-4</v>
      </c>
      <c r="L502" s="14">
        <f t="shared" si="88"/>
        <v>1.375E-2</v>
      </c>
      <c r="M502" s="10">
        <f t="shared" si="89"/>
        <v>4.3233883618857298</v>
      </c>
      <c r="N502" s="16">
        <f t="shared" si="90"/>
        <v>1.3940319740881894E-2</v>
      </c>
      <c r="O502" s="13">
        <f t="shared" si="91"/>
        <v>23065.692599999998</v>
      </c>
      <c r="P502" s="13">
        <f t="shared" ca="1" si="97"/>
        <v>23066</v>
      </c>
      <c r="Q502" s="13" t="str">
        <f t="shared" ca="1" si="92"/>
        <v>0101101000011010</v>
      </c>
      <c r="R502" s="13">
        <f t="shared" ca="1" si="93"/>
        <v>4.3247430152893065</v>
      </c>
      <c r="S502" s="13">
        <f t="shared" ca="1" si="94"/>
        <v>71.896916183471689</v>
      </c>
      <c r="T502" s="17">
        <f t="shared" ca="1" si="96"/>
        <v>2.7098802621024123E-2</v>
      </c>
      <c r="U502" s="13"/>
      <c r="V502" s="14">
        <f t="shared" ca="1" si="95"/>
        <v>1.896916</v>
      </c>
      <c r="W502" s="13"/>
      <c r="X502" s="2"/>
    </row>
    <row r="503" spans="8:24" x14ac:dyDescent="0.25">
      <c r="H503" s="13">
        <v>70.099999999999994</v>
      </c>
      <c r="I503" s="13">
        <v>4.2721030134116686</v>
      </c>
      <c r="J503" s="14">
        <f t="shared" si="86"/>
        <v>6.3E-5</v>
      </c>
      <c r="K503" s="23">
        <f t="shared" si="87"/>
        <v>2.5099999999999998E-4</v>
      </c>
      <c r="L503" s="14">
        <f t="shared" si="88"/>
        <v>1.3781E-2</v>
      </c>
      <c r="M503" s="10">
        <f t="shared" si="89"/>
        <v>4.3317936625776516</v>
      </c>
      <c r="N503" s="16">
        <f t="shared" si="90"/>
        <v>1.3972193315234338E-2</v>
      </c>
      <c r="O503" s="13">
        <f t="shared" si="91"/>
        <v>23110.5357</v>
      </c>
      <c r="P503" s="13">
        <f t="shared" ca="1" si="97"/>
        <v>23113</v>
      </c>
      <c r="Q503" s="13" t="str">
        <f t="shared" ca="1" si="92"/>
        <v>0101101001001001</v>
      </c>
      <c r="R503" s="13">
        <f t="shared" ca="1" si="93"/>
        <v>4.3335552463531499</v>
      </c>
      <c r="S503" s="13">
        <f t="shared" ca="1" si="94"/>
        <v>72.002662956237813</v>
      </c>
      <c r="T503" s="17">
        <f t="shared" ca="1" si="96"/>
        <v>2.7142124910667892E-2</v>
      </c>
      <c r="U503" s="13"/>
      <c r="V503" s="14">
        <f t="shared" ca="1" si="95"/>
        <v>1.902663</v>
      </c>
      <c r="W503" s="13"/>
      <c r="X503" s="2"/>
    </row>
    <row r="504" spans="8:24" x14ac:dyDescent="0.25">
      <c r="H504" s="13">
        <v>70.2</v>
      </c>
      <c r="I504" s="13">
        <v>4.2798083148477017</v>
      </c>
      <c r="J504" s="14">
        <f t="shared" si="86"/>
        <v>6.3999999999999997E-5</v>
      </c>
      <c r="K504" s="23">
        <f t="shared" si="87"/>
        <v>2.5099999999999998E-4</v>
      </c>
      <c r="L504" s="14">
        <f t="shared" si="88"/>
        <v>1.3811E-2</v>
      </c>
      <c r="M504" s="10">
        <f t="shared" si="89"/>
        <v>4.3397376302206796</v>
      </c>
      <c r="N504" s="16">
        <f t="shared" si="90"/>
        <v>1.4002803622084756E-2</v>
      </c>
      <c r="O504" s="13">
        <f t="shared" si="91"/>
        <v>23152.9175</v>
      </c>
      <c r="P504" s="13">
        <f t="shared" ca="1" si="97"/>
        <v>23155</v>
      </c>
      <c r="Q504" s="13" t="str">
        <f t="shared" ca="1" si="92"/>
        <v>0101101001110011</v>
      </c>
      <c r="R504" s="13">
        <f t="shared" ca="1" si="93"/>
        <v>4.3414300060272222</v>
      </c>
      <c r="S504" s="13">
        <f t="shared" ca="1" si="94"/>
        <v>72.097160072326673</v>
      </c>
      <c r="T504" s="17">
        <f t="shared" ca="1" si="96"/>
        <v>2.7025072255365674E-2</v>
      </c>
      <c r="U504" s="13"/>
      <c r="V504" s="14">
        <f t="shared" ca="1" si="95"/>
        <v>1.89716</v>
      </c>
      <c r="W504" s="13"/>
      <c r="X504" s="2"/>
    </row>
    <row r="505" spans="8:24" x14ac:dyDescent="0.25">
      <c r="H505" s="13">
        <v>70.300000000000011</v>
      </c>
      <c r="I505" s="13">
        <v>4.287985689050255</v>
      </c>
      <c r="J505" s="14">
        <f t="shared" si="86"/>
        <v>6.3999999999999997E-5</v>
      </c>
      <c r="K505" s="23">
        <f t="shared" si="87"/>
        <v>2.52E-4</v>
      </c>
      <c r="L505" s="14">
        <f t="shared" si="88"/>
        <v>1.3842E-2</v>
      </c>
      <c r="M505" s="10">
        <f t="shared" si="89"/>
        <v>4.3481662027933199</v>
      </c>
      <c r="N505" s="16">
        <f t="shared" si="90"/>
        <v>1.4034681574787216E-2</v>
      </c>
      <c r="O505" s="13">
        <f t="shared" si="91"/>
        <v>23197.8848</v>
      </c>
      <c r="P505" s="13">
        <f t="shared" ca="1" si="97"/>
        <v>23199</v>
      </c>
      <c r="Q505" s="13" t="str">
        <f t="shared" ca="1" si="92"/>
        <v>0101101010011111</v>
      </c>
      <c r="R505" s="13">
        <f t="shared" ca="1" si="93"/>
        <v>4.3496797542572025</v>
      </c>
      <c r="S505" s="13">
        <f t="shared" ca="1" si="94"/>
        <v>72.196157051086445</v>
      </c>
      <c r="T505" s="17">
        <f t="shared" ca="1" si="96"/>
        <v>2.6972362035368892E-2</v>
      </c>
      <c r="U505" s="13"/>
      <c r="V505" s="14">
        <f t="shared" ca="1" si="95"/>
        <v>1.8961570000000001</v>
      </c>
      <c r="W505" s="13"/>
      <c r="X505" s="2"/>
    </row>
    <row r="506" spans="8:24" x14ac:dyDescent="0.25">
      <c r="H506" s="13">
        <v>70.400000000000006</v>
      </c>
      <c r="I506" s="13">
        <v>4.2957146088844418</v>
      </c>
      <c r="J506" s="14">
        <f t="shared" si="86"/>
        <v>6.4999999999999994E-5</v>
      </c>
      <c r="K506" s="23">
        <f t="shared" si="87"/>
        <v>2.52E-4</v>
      </c>
      <c r="L506" s="14">
        <f t="shared" si="88"/>
        <v>1.3872000000000001E-2</v>
      </c>
      <c r="M506" s="10">
        <f t="shared" si="89"/>
        <v>4.3561351105621595</v>
      </c>
      <c r="N506" s="16">
        <f t="shared" si="90"/>
        <v>1.4065296971254892E-2</v>
      </c>
      <c r="O506" s="13">
        <f t="shared" si="91"/>
        <v>23240.399600000001</v>
      </c>
      <c r="P506" s="13">
        <f t="shared" ca="1" si="97"/>
        <v>23244</v>
      </c>
      <c r="Q506" s="13" t="str">
        <f t="shared" ca="1" si="92"/>
        <v>0101101011001100</v>
      </c>
      <c r="R506" s="13">
        <f t="shared" ca="1" si="93"/>
        <v>4.358116996765137</v>
      </c>
      <c r="S506" s="13">
        <f t="shared" ca="1" si="94"/>
        <v>72.297403961181658</v>
      </c>
      <c r="T506" s="17">
        <f t="shared" ca="1" si="96"/>
        <v>2.6951760812239375E-2</v>
      </c>
      <c r="U506" s="13"/>
      <c r="V506" s="14">
        <f t="shared" ca="1" si="95"/>
        <v>1.8974040000000001</v>
      </c>
      <c r="W506" s="13"/>
      <c r="X506" s="2"/>
    </row>
    <row r="507" spans="8:24" x14ac:dyDescent="0.25">
      <c r="H507" s="13">
        <v>70.5</v>
      </c>
      <c r="I507" s="13">
        <v>4.3039134648603588</v>
      </c>
      <c r="J507" s="14">
        <f t="shared" si="86"/>
        <v>6.4999999999999994E-5</v>
      </c>
      <c r="K507" s="23">
        <f t="shared" si="87"/>
        <v>2.5300000000000002E-4</v>
      </c>
      <c r="L507" s="14">
        <f t="shared" si="88"/>
        <v>1.3903E-2</v>
      </c>
      <c r="M507" s="10">
        <f t="shared" si="89"/>
        <v>4.3645865046606556</v>
      </c>
      <c r="N507" s="16">
        <f t="shared" si="90"/>
        <v>1.4097179298716537E-2</v>
      </c>
      <c r="O507" s="13">
        <f t="shared" si="91"/>
        <v>23285.488600000001</v>
      </c>
      <c r="P507" s="13">
        <f t="shared" ca="1" si="97"/>
        <v>23284</v>
      </c>
      <c r="Q507" s="13" t="str">
        <f t="shared" ca="1" si="92"/>
        <v>0101101011110100</v>
      </c>
      <c r="R507" s="13">
        <f t="shared" ca="1" si="93"/>
        <v>4.3656167678833011</v>
      </c>
      <c r="S507" s="13">
        <f t="shared" ca="1" si="94"/>
        <v>72.38740121459962</v>
      </c>
      <c r="T507" s="17">
        <f t="shared" ca="1" si="96"/>
        <v>2.6771648434037169E-2</v>
      </c>
      <c r="U507" s="13"/>
      <c r="V507" s="14">
        <f t="shared" ca="1" si="95"/>
        <v>1.8874010000000001</v>
      </c>
      <c r="W507" s="13"/>
      <c r="X507" s="2"/>
    </row>
    <row r="508" spans="8:24" x14ac:dyDescent="0.25">
      <c r="H508" s="13">
        <v>70.599999999999994</v>
      </c>
      <c r="I508" s="13">
        <v>4.3121224184563642</v>
      </c>
      <c r="J508" s="14">
        <f t="shared" si="86"/>
        <v>6.6000000000000005E-5</v>
      </c>
      <c r="K508" s="23">
        <f t="shared" si="87"/>
        <v>2.5300000000000002E-4</v>
      </c>
      <c r="L508" s="14">
        <f t="shared" si="88"/>
        <v>1.3932999999999999E-2</v>
      </c>
      <c r="M508" s="10">
        <f t="shared" si="89"/>
        <v>4.3730432215481949</v>
      </c>
      <c r="N508" s="16">
        <f t="shared" si="90"/>
        <v>1.4127799997301295E-2</v>
      </c>
      <c r="O508" s="13">
        <f t="shared" si="91"/>
        <v>23330.606</v>
      </c>
      <c r="P508" s="13">
        <f t="shared" ca="1" si="97"/>
        <v>23335</v>
      </c>
      <c r="Q508" s="13" t="str">
        <f t="shared" ca="1" si="92"/>
        <v>0101101100100111</v>
      </c>
      <c r="R508" s="13">
        <f t="shared" ca="1" si="93"/>
        <v>4.3751789760589599</v>
      </c>
      <c r="S508" s="13">
        <f t="shared" ca="1" si="94"/>
        <v>72.502147712707526</v>
      </c>
      <c r="T508" s="17">
        <f t="shared" ca="1" si="96"/>
        <v>2.6942602162996199E-2</v>
      </c>
      <c r="U508" s="13"/>
      <c r="V508" s="14">
        <f t="shared" ca="1" si="95"/>
        <v>1.9021479999999999</v>
      </c>
      <c r="W508" s="13"/>
      <c r="X508" s="2"/>
    </row>
    <row r="509" spans="8:24" x14ac:dyDescent="0.25">
      <c r="H509" s="13">
        <v>70.7</v>
      </c>
      <c r="I509" s="13">
        <v>4.3198854412528149</v>
      </c>
      <c r="J509" s="14">
        <f t="shared" si="86"/>
        <v>6.7000000000000002E-5</v>
      </c>
      <c r="K509" s="23">
        <f t="shared" si="87"/>
        <v>2.5399999999999999E-4</v>
      </c>
      <c r="L509" s="14">
        <f t="shared" si="88"/>
        <v>1.3964000000000001E-2</v>
      </c>
      <c r="M509" s="10">
        <f t="shared" si="89"/>
        <v>4.3810526505531397</v>
      </c>
      <c r="N509" s="16">
        <f t="shared" si="90"/>
        <v>1.4159451710503149E-2</v>
      </c>
      <c r="O509" s="13">
        <f t="shared" si="91"/>
        <v>23373.337100000001</v>
      </c>
      <c r="P509" s="13">
        <f t="shared" ca="1" si="97"/>
        <v>23374</v>
      </c>
      <c r="Q509" s="13" t="str">
        <f t="shared" ca="1" si="92"/>
        <v>0101101101001110</v>
      </c>
      <c r="R509" s="13">
        <f t="shared" ca="1" si="93"/>
        <v>4.38249125289917</v>
      </c>
      <c r="S509" s="13">
        <f t="shared" ca="1" si="94"/>
        <v>72.589895034790047</v>
      </c>
      <c r="T509" s="17">
        <f t="shared" ca="1" si="96"/>
        <v>2.6731188610891708E-2</v>
      </c>
      <c r="U509" s="13"/>
      <c r="V509" s="14">
        <f t="shared" ca="1" si="95"/>
        <v>1.8898950000000001</v>
      </c>
      <c r="W509" s="13"/>
      <c r="X509" s="2"/>
    </row>
    <row r="510" spans="8:24" x14ac:dyDescent="0.25">
      <c r="H510" s="13">
        <v>70.800000000000011</v>
      </c>
      <c r="I510" s="13">
        <v>4.3276602411631337</v>
      </c>
      <c r="J510" s="14">
        <f t="shared" si="86"/>
        <v>6.7000000000000002E-5</v>
      </c>
      <c r="K510" s="23">
        <f t="shared" si="87"/>
        <v>2.5399999999999999E-4</v>
      </c>
      <c r="L510" s="14">
        <f t="shared" si="88"/>
        <v>1.3993999999999999E-2</v>
      </c>
      <c r="M510" s="10">
        <f t="shared" si="89"/>
        <v>4.3890710903494847</v>
      </c>
      <c r="N510" s="16">
        <f t="shared" si="90"/>
        <v>1.4190312031021583E-2</v>
      </c>
      <c r="O510" s="13">
        <f t="shared" si="91"/>
        <v>23416.116300000002</v>
      </c>
      <c r="P510" s="13">
        <f t="shared" ca="1" si="97"/>
        <v>23419</v>
      </c>
      <c r="Q510" s="13" t="str">
        <f t="shared" ca="1" si="92"/>
        <v>0101101101111011</v>
      </c>
      <c r="R510" s="13">
        <f t="shared" ca="1" si="93"/>
        <v>4.3909284954071044</v>
      </c>
      <c r="S510" s="13">
        <f t="shared" ca="1" si="94"/>
        <v>72.69114194488526</v>
      </c>
      <c r="T510" s="17">
        <f t="shared" ca="1" si="96"/>
        <v>2.6711044419283167E-2</v>
      </c>
      <c r="U510" s="13"/>
      <c r="V510" s="14">
        <f t="shared" ca="1" si="95"/>
        <v>1.8911420000000001</v>
      </c>
      <c r="W510" s="13"/>
      <c r="X510" s="2"/>
    </row>
    <row r="511" spans="8:24" x14ac:dyDescent="0.25">
      <c r="H511" s="13">
        <v>70.900000000000006</v>
      </c>
      <c r="I511" s="13">
        <v>4.335446704598656</v>
      </c>
      <c r="J511" s="14">
        <f t="shared" si="86"/>
        <v>6.7999999999999999E-5</v>
      </c>
      <c r="K511" s="23">
        <f t="shared" si="87"/>
        <v>2.5500000000000002E-4</v>
      </c>
      <c r="L511" s="14">
        <f t="shared" si="88"/>
        <v>1.4024999999999999E-2</v>
      </c>
      <c r="M511" s="10">
        <f t="shared" si="89"/>
        <v>4.3971052928813164</v>
      </c>
      <c r="N511" s="16">
        <f t="shared" si="90"/>
        <v>1.4221968918971697E-2</v>
      </c>
      <c r="O511" s="13">
        <f t="shared" si="91"/>
        <v>23458.979500000001</v>
      </c>
      <c r="P511" s="13">
        <f t="shared" ca="1" si="97"/>
        <v>23461</v>
      </c>
      <c r="Q511" s="13" t="str">
        <f t="shared" ca="1" si="92"/>
        <v>0101101110100101</v>
      </c>
      <c r="R511" s="13">
        <f t="shared" ca="1" si="93"/>
        <v>4.3988032550811766</v>
      </c>
      <c r="S511" s="13">
        <f t="shared" ca="1" si="94"/>
        <v>72.785639060974134</v>
      </c>
      <c r="T511" s="17">
        <f t="shared" ca="1" si="96"/>
        <v>2.6595755443922821E-2</v>
      </c>
      <c r="U511" s="13"/>
      <c r="V511" s="14">
        <f t="shared" ca="1" si="95"/>
        <v>1.8856390000000001</v>
      </c>
      <c r="W511" s="13"/>
      <c r="X511" s="2"/>
    </row>
    <row r="512" spans="8:24" x14ac:dyDescent="0.25">
      <c r="H512" s="13">
        <v>71</v>
      </c>
      <c r="I512" s="13">
        <v>4.3436977897586635</v>
      </c>
      <c r="J512" s="14">
        <f t="shared" si="86"/>
        <v>6.7999999999999999E-5</v>
      </c>
      <c r="K512" s="23">
        <f t="shared" si="87"/>
        <v>2.5500000000000002E-4</v>
      </c>
      <c r="L512" s="14">
        <f t="shared" si="88"/>
        <v>1.4055E-2</v>
      </c>
      <c r="M512" s="10">
        <f t="shared" si="89"/>
        <v>4.4056077920864389</v>
      </c>
      <c r="N512" s="16">
        <f t="shared" si="90"/>
        <v>1.4252833720095238E-2</v>
      </c>
      <c r="O512" s="13">
        <f t="shared" si="91"/>
        <v>23504.341199999999</v>
      </c>
      <c r="P512" s="13">
        <f t="shared" ca="1" si="97"/>
        <v>23506</v>
      </c>
      <c r="Q512" s="13" t="str">
        <f t="shared" ca="1" si="92"/>
        <v>0101101111010010</v>
      </c>
      <c r="R512" s="13">
        <f t="shared" ca="1" si="93"/>
        <v>4.4072404975891111</v>
      </c>
      <c r="S512" s="13">
        <f t="shared" ca="1" si="94"/>
        <v>72.886885971069347</v>
      </c>
      <c r="T512" s="17">
        <f t="shared" ca="1" si="96"/>
        <v>2.6575858747455591E-2</v>
      </c>
      <c r="U512" s="13"/>
      <c r="V512" s="14">
        <f t="shared" ca="1" si="95"/>
        <v>1.8868860000000001</v>
      </c>
      <c r="W512" s="13"/>
      <c r="X512" s="2"/>
    </row>
    <row r="513" spans="8:24" x14ac:dyDescent="0.25">
      <c r="H513" s="13">
        <v>71.099999999999994</v>
      </c>
      <c r="I513" s="13">
        <v>4.3515062949055716</v>
      </c>
      <c r="J513" s="14">
        <f t="shared" si="86"/>
        <v>6.8999999999999997E-5</v>
      </c>
      <c r="K513" s="23">
        <f t="shared" si="87"/>
        <v>2.5599999999999999E-4</v>
      </c>
      <c r="L513" s="14">
        <f t="shared" si="88"/>
        <v>1.4086E-2</v>
      </c>
      <c r="M513" s="10">
        <f t="shared" si="89"/>
        <v>4.4136653682953808</v>
      </c>
      <c r="N513" s="16">
        <f t="shared" si="90"/>
        <v>1.4284495799208779E-2</v>
      </c>
      <c r="O513" s="13">
        <f t="shared" si="91"/>
        <v>23547.329099999999</v>
      </c>
      <c r="P513" s="13">
        <f t="shared" ca="1" si="97"/>
        <v>23547</v>
      </c>
      <c r="Q513" s="13" t="str">
        <f t="shared" ca="1" si="92"/>
        <v>0101101111111011</v>
      </c>
      <c r="R513" s="13">
        <f t="shared" ca="1" si="93"/>
        <v>4.4149277629852293</v>
      </c>
      <c r="S513" s="13">
        <f t="shared" ca="1" si="94"/>
        <v>72.979133155822765</v>
      </c>
      <c r="T513" s="17">
        <f t="shared" ca="1" si="96"/>
        <v>2.6429439603695797E-2</v>
      </c>
      <c r="U513" s="13"/>
      <c r="V513" s="14">
        <f t="shared" ca="1" si="95"/>
        <v>1.8791329999999999</v>
      </c>
      <c r="W513" s="13"/>
      <c r="X513" s="2"/>
    </row>
    <row r="514" spans="8:24" x14ac:dyDescent="0.25">
      <c r="H514" s="13">
        <v>71.2</v>
      </c>
      <c r="I514" s="13">
        <v>4.359326125996148</v>
      </c>
      <c r="J514" s="14">
        <f t="shared" si="86"/>
        <v>6.8999999999999997E-5</v>
      </c>
      <c r="K514" s="23">
        <f t="shared" si="87"/>
        <v>2.5599999999999999E-4</v>
      </c>
      <c r="L514" s="14">
        <f t="shared" si="88"/>
        <v>1.4116E-2</v>
      </c>
      <c r="M514" s="10">
        <f t="shared" si="89"/>
        <v>4.4217314686800355</v>
      </c>
      <c r="N514" s="16">
        <f t="shared" si="90"/>
        <v>1.4315364549521358E-2</v>
      </c>
      <c r="O514" s="13">
        <f t="shared" si="91"/>
        <v>23590.362499999999</v>
      </c>
      <c r="P514" s="13">
        <f t="shared" ca="1" si="97"/>
        <v>23593</v>
      </c>
      <c r="Q514" s="13" t="str">
        <f t="shared" ca="1" si="92"/>
        <v>0101110000101001</v>
      </c>
      <c r="R514" s="13">
        <f t="shared" ca="1" si="93"/>
        <v>4.4235524997711186</v>
      </c>
      <c r="S514" s="13">
        <f t="shared" ca="1" si="94"/>
        <v>73.082629997253434</v>
      </c>
      <c r="T514" s="17">
        <f t="shared" ca="1" si="96"/>
        <v>2.6441432545694261E-2</v>
      </c>
      <c r="U514" s="13"/>
      <c r="V514" s="14">
        <f t="shared" ca="1" si="95"/>
        <v>1.88263</v>
      </c>
      <c r="W514" s="13"/>
      <c r="X514" s="2"/>
    </row>
    <row r="515" spans="8:24" x14ac:dyDescent="0.25">
      <c r="H515" s="13">
        <v>71.300000000000011</v>
      </c>
      <c r="I515" s="13">
        <v>4.3671571711917627</v>
      </c>
      <c r="J515" s="14">
        <f t="shared" ref="J515:J578" si="98">ROUND(H515*0.00000575 -0.00034,6)</f>
        <v>6.9999999999999994E-5</v>
      </c>
      <c r="K515" s="23">
        <f t="shared" ref="K515:K578" si="99">ROUND(H515*0.000005-0.0001,6)</f>
        <v>2.5700000000000001E-4</v>
      </c>
      <c r="L515" s="14">
        <f t="shared" ref="L515:L578" si="100">ROUND(K515+($C$24*(H515-25)),6)</f>
        <v>1.4147E-2</v>
      </c>
      <c r="M515" s="10">
        <f t="shared" ref="M515:M578" si="101">(I515-J515)/(1-L515)+$C$26+$D$27</f>
        <v>4.429812913959549</v>
      </c>
      <c r="N515" s="16">
        <f t="shared" ref="N515:N578" si="102">ABS(I515-M515)/I515</f>
        <v>1.4347031790176682E-2</v>
      </c>
      <c r="O515" s="13">
        <f t="shared" ref="O515:O578" si="103">ROUND((M515*(2^($C$12-1)))/$C$44,4)</f>
        <v>23633.477800000001</v>
      </c>
      <c r="P515" s="13">
        <f t="shared" ca="1" si="97"/>
        <v>23634</v>
      </c>
      <c r="Q515" s="13" t="str">
        <f t="shared" ref="Q515:Q578" ca="1" si="104">_xlfn.BASE(IF(P515&lt;0, P515+2^($C$12)-1, P515), 2, 16)</f>
        <v>0101110001010010</v>
      </c>
      <c r="R515" s="13">
        <f t="shared" ref="R515:R578" ca="1" si="105">($C$16/2^($C$12-1)) * P515</f>
        <v>4.4312397651672368</v>
      </c>
      <c r="S515" s="13">
        <f t="shared" ref="S515:S578" ca="1" si="106">(R515+5/3)/(1/12)</f>
        <v>73.174877182006853</v>
      </c>
      <c r="T515" s="17">
        <f t="shared" ca="1" si="96"/>
        <v>2.6295612650867335E-2</v>
      </c>
      <c r="U515" s="13"/>
      <c r="V515" s="14">
        <f t="shared" ref="V515:V578" ca="1" si="107">ROUND(ABS(H515-S515),6)</f>
        <v>1.8748769999999999</v>
      </c>
      <c r="W515" s="13"/>
      <c r="X515" s="2"/>
    </row>
    <row r="516" spans="8:24" x14ac:dyDescent="0.25">
      <c r="H516" s="13">
        <v>71.400000000000006</v>
      </c>
      <c r="I516" s="13">
        <v>4.3749993180478519</v>
      </c>
      <c r="J516" s="14">
        <f t="shared" si="98"/>
        <v>7.1000000000000005E-5</v>
      </c>
      <c r="K516" s="23">
        <f t="shared" si="99"/>
        <v>2.5700000000000001E-4</v>
      </c>
      <c r="L516" s="14">
        <f t="shared" si="100"/>
        <v>1.4177E-2</v>
      </c>
      <c r="M516" s="10">
        <f t="shared" si="101"/>
        <v>4.437901627149957</v>
      </c>
      <c r="N516" s="16">
        <f t="shared" si="102"/>
        <v>1.4377672893026274E-2</v>
      </c>
      <c r="O516" s="13">
        <f t="shared" si="103"/>
        <v>23676.6319</v>
      </c>
      <c r="P516" s="13">
        <f t="shared" ca="1" si="97"/>
        <v>23676</v>
      </c>
      <c r="Q516" s="13" t="str">
        <f t="shared" ca="1" si="104"/>
        <v>0101110001111100</v>
      </c>
      <c r="R516" s="13">
        <f t="shared" ca="1" si="105"/>
        <v>4.4391145248413091</v>
      </c>
      <c r="S516" s="13">
        <f t="shared" ca="1" si="106"/>
        <v>73.269374298095713</v>
      </c>
      <c r="T516" s="17">
        <f t="shared" ref="T516:T579" ca="1" si="108">ABS(H516-S516)/H516</f>
        <v>2.6181712858483287E-2</v>
      </c>
      <c r="U516" s="13"/>
      <c r="V516" s="14">
        <f t="shared" ca="1" si="107"/>
        <v>1.8693740000000001</v>
      </c>
      <c r="W516" s="13"/>
      <c r="X516" s="2"/>
    </row>
    <row r="517" spans="8:24" x14ac:dyDescent="0.25">
      <c r="H517" s="13">
        <v>71.5</v>
      </c>
      <c r="I517" s="13">
        <v>4.3833008106340143</v>
      </c>
      <c r="J517" s="14">
        <f t="shared" si="98"/>
        <v>7.1000000000000005E-5</v>
      </c>
      <c r="K517" s="23">
        <f t="shared" si="99"/>
        <v>2.5799999999999998E-4</v>
      </c>
      <c r="L517" s="14">
        <f t="shared" si="100"/>
        <v>1.4208E-2</v>
      </c>
      <c r="M517" s="10">
        <f t="shared" si="101"/>
        <v>4.446462323258876</v>
      </c>
      <c r="N517" s="16">
        <f t="shared" si="102"/>
        <v>1.4409577474498224E-2</v>
      </c>
      <c r="O517" s="13">
        <f t="shared" si="103"/>
        <v>23722.304</v>
      </c>
      <c r="P517" s="13">
        <f t="shared" ca="1" si="97"/>
        <v>23721</v>
      </c>
      <c r="Q517" s="13" t="str">
        <f t="shared" ca="1" si="104"/>
        <v>0101110010101001</v>
      </c>
      <c r="R517" s="13">
        <f t="shared" ca="1" si="105"/>
        <v>4.4475517673492435</v>
      </c>
      <c r="S517" s="13">
        <f t="shared" ca="1" si="106"/>
        <v>73.370621208190926</v>
      </c>
      <c r="T517" s="17">
        <f t="shared" ca="1" si="108"/>
        <v>2.6162534380292667E-2</v>
      </c>
      <c r="U517" s="13"/>
      <c r="V517" s="14">
        <f t="shared" ca="1" si="107"/>
        <v>1.8706210000000001</v>
      </c>
      <c r="W517" s="13"/>
      <c r="X517" s="2"/>
    </row>
    <row r="518" spans="8:24" x14ac:dyDescent="0.25">
      <c r="H518" s="13">
        <v>71.599999999999994</v>
      </c>
      <c r="I518" s="13">
        <v>4.3911638866705509</v>
      </c>
      <c r="J518" s="14">
        <f t="shared" si="98"/>
        <v>7.2000000000000002E-5</v>
      </c>
      <c r="K518" s="23">
        <f t="shared" si="99"/>
        <v>2.5799999999999998E-4</v>
      </c>
      <c r="L518" s="14">
        <f t="shared" si="100"/>
        <v>1.4238000000000001E-2</v>
      </c>
      <c r="M518" s="10">
        <f t="shared" si="101"/>
        <v>4.4545732751582534</v>
      </c>
      <c r="N518" s="16">
        <f t="shared" si="102"/>
        <v>1.4440223622758132E-2</v>
      </c>
      <c r="O518" s="13">
        <f t="shared" si="103"/>
        <v>23765.576700000001</v>
      </c>
      <c r="P518" s="13">
        <f t="shared" ca="1" si="97"/>
        <v>23766</v>
      </c>
      <c r="Q518" s="13" t="str">
        <f t="shared" ca="1" si="104"/>
        <v>0101110011010110</v>
      </c>
      <c r="R518" s="13">
        <f t="shared" ca="1" si="105"/>
        <v>4.4559890098571779</v>
      </c>
      <c r="S518" s="13">
        <f t="shared" ca="1" si="106"/>
        <v>73.471868118286139</v>
      </c>
      <c r="T518" s="17">
        <f t="shared" ca="1" si="108"/>
        <v>2.6143409473270176E-2</v>
      </c>
      <c r="U518" s="13"/>
      <c r="V518" s="14">
        <f t="shared" ca="1" si="107"/>
        <v>1.8718680000000001</v>
      </c>
      <c r="W518" s="13"/>
      <c r="X518" s="2"/>
    </row>
    <row r="519" spans="8:24" x14ac:dyDescent="0.25">
      <c r="H519" s="13">
        <v>71.7</v>
      </c>
      <c r="I519" s="13">
        <v>4.3990377315560751</v>
      </c>
      <c r="J519" s="14">
        <f t="shared" si="98"/>
        <v>7.2000000000000002E-5</v>
      </c>
      <c r="K519" s="23">
        <f t="shared" si="99"/>
        <v>2.5900000000000001E-4</v>
      </c>
      <c r="L519" s="14">
        <f t="shared" si="100"/>
        <v>1.4269E-2</v>
      </c>
      <c r="M519" s="10">
        <f t="shared" si="101"/>
        <v>4.4627011871941482</v>
      </c>
      <c r="N519" s="16">
        <f t="shared" si="102"/>
        <v>1.4472132207775665E-2</v>
      </c>
      <c r="O519" s="13">
        <f t="shared" si="103"/>
        <v>23808.939900000001</v>
      </c>
      <c r="P519" s="13">
        <f t="shared" ca="1" si="97"/>
        <v>23809</v>
      </c>
      <c r="Q519" s="13" t="str">
        <f t="shared" ca="1" si="104"/>
        <v>0101110100000001</v>
      </c>
      <c r="R519" s="13">
        <f t="shared" ca="1" si="105"/>
        <v>4.4640512638092043</v>
      </c>
      <c r="S519" s="13">
        <f t="shared" ca="1" si="106"/>
        <v>73.568615165710455</v>
      </c>
      <c r="T519" s="17">
        <f t="shared" ca="1" si="108"/>
        <v>2.6061578322321501E-2</v>
      </c>
      <c r="U519" s="13"/>
      <c r="V519" s="14">
        <f t="shared" ca="1" si="107"/>
        <v>1.8686149999999999</v>
      </c>
      <c r="W519" s="13"/>
      <c r="X519" s="2"/>
    </row>
    <row r="520" spans="8:24" x14ac:dyDescent="0.25">
      <c r="H520" s="13">
        <v>71.800000000000011</v>
      </c>
      <c r="I520" s="13">
        <v>4.4064766929377859</v>
      </c>
      <c r="J520" s="14">
        <f t="shared" si="98"/>
        <v>7.2999999999999999E-5</v>
      </c>
      <c r="K520" s="23">
        <f t="shared" si="99"/>
        <v>2.5900000000000001E-4</v>
      </c>
      <c r="L520" s="14">
        <f t="shared" si="100"/>
        <v>1.4298999999999999E-2</v>
      </c>
      <c r="M520" s="10">
        <f t="shared" si="101"/>
        <v>4.4703828682285858</v>
      </c>
      <c r="N520" s="16">
        <f t="shared" si="102"/>
        <v>1.4502783004213243E-2</v>
      </c>
      <c r="O520" s="13">
        <f t="shared" si="103"/>
        <v>23849.922399999999</v>
      </c>
      <c r="P520" s="13">
        <f t="shared" ca="1" si="97"/>
        <v>23851</v>
      </c>
      <c r="Q520" s="13" t="str">
        <f t="shared" ca="1" si="104"/>
        <v>0101110100101011</v>
      </c>
      <c r="R520" s="13">
        <f t="shared" ca="1" si="105"/>
        <v>4.4719260234832765</v>
      </c>
      <c r="S520" s="13">
        <f t="shared" ca="1" si="106"/>
        <v>73.663112281799329</v>
      </c>
      <c r="T520" s="17">
        <f t="shared" ca="1" si="108"/>
        <v>2.5948639022274612E-2</v>
      </c>
      <c r="U520" s="13"/>
      <c r="V520" s="14">
        <f t="shared" ca="1" si="107"/>
        <v>1.8631120000000001</v>
      </c>
      <c r="W520" s="13"/>
      <c r="X520" s="2"/>
    </row>
    <row r="521" spans="8:24" x14ac:dyDescent="0.25">
      <c r="H521" s="13">
        <v>71.900000000000006</v>
      </c>
      <c r="I521" s="13">
        <v>4.414372678189622</v>
      </c>
      <c r="J521" s="14">
        <f t="shared" si="98"/>
        <v>7.2999999999999999E-5</v>
      </c>
      <c r="K521" s="23">
        <f t="shared" si="99"/>
        <v>2.5999999999999998E-4</v>
      </c>
      <c r="L521" s="14">
        <f t="shared" si="100"/>
        <v>1.4330000000000001E-2</v>
      </c>
      <c r="M521" s="10">
        <f t="shared" si="101"/>
        <v>4.4785342427482036</v>
      </c>
      <c r="N521" s="16">
        <f t="shared" si="102"/>
        <v>1.4534695920801791E-2</v>
      </c>
      <c r="O521" s="13">
        <f t="shared" si="103"/>
        <v>23893.410800000001</v>
      </c>
      <c r="P521" s="13">
        <f t="shared" ca="1" si="97"/>
        <v>23898</v>
      </c>
      <c r="Q521" s="13" t="str">
        <f t="shared" ca="1" si="104"/>
        <v>0101110101011010</v>
      </c>
      <c r="R521" s="13">
        <f t="shared" ca="1" si="105"/>
        <v>4.480738254547119</v>
      </c>
      <c r="S521" s="13">
        <f t="shared" ca="1" si="106"/>
        <v>73.768859054565439</v>
      </c>
      <c r="T521" s="17">
        <f t="shared" ca="1" si="108"/>
        <v>2.5992476419547057E-2</v>
      </c>
      <c r="U521" s="13"/>
      <c r="V521" s="14">
        <f t="shared" ca="1" si="107"/>
        <v>1.868859</v>
      </c>
      <c r="W521" s="13"/>
      <c r="X521" s="2"/>
    </row>
    <row r="522" spans="8:24" x14ac:dyDescent="0.25">
      <c r="H522" s="13">
        <v>72</v>
      </c>
      <c r="I522" s="13">
        <v>4.4227227711117836</v>
      </c>
      <c r="J522" s="14">
        <f t="shared" si="98"/>
        <v>7.3999999999999996E-5</v>
      </c>
      <c r="K522" s="23">
        <f t="shared" si="99"/>
        <v>2.5999999999999998E-4</v>
      </c>
      <c r="L522" s="14">
        <f t="shared" si="100"/>
        <v>1.436E-2</v>
      </c>
      <c r="M522" s="10">
        <f t="shared" si="101"/>
        <v>4.4871412871147518</v>
      </c>
      <c r="N522" s="16">
        <f t="shared" si="102"/>
        <v>1.4565352462002653E-2</v>
      </c>
      <c r="O522" s="13">
        <f t="shared" si="103"/>
        <v>23939.3302</v>
      </c>
      <c r="P522" s="13">
        <f t="shared" ca="1" si="97"/>
        <v>23943</v>
      </c>
      <c r="Q522" s="13" t="str">
        <f t="shared" ca="1" si="104"/>
        <v>0101110110000111</v>
      </c>
      <c r="R522" s="13">
        <f t="shared" ca="1" si="105"/>
        <v>4.4891754970550535</v>
      </c>
      <c r="S522" s="13">
        <f t="shared" ca="1" si="106"/>
        <v>73.870105964660652</v>
      </c>
      <c r="T522" s="17">
        <f t="shared" ca="1" si="108"/>
        <v>2.5973693953620171E-2</v>
      </c>
      <c r="U522" s="13"/>
      <c r="V522" s="14">
        <f t="shared" ca="1" si="107"/>
        <v>1.870106</v>
      </c>
      <c r="W522" s="13"/>
      <c r="X522" s="2"/>
    </row>
    <row r="523" spans="8:24" x14ac:dyDescent="0.25">
      <c r="H523" s="13">
        <v>72.099999999999994</v>
      </c>
      <c r="I523" s="13">
        <v>4.43019584531379</v>
      </c>
      <c r="J523" s="14">
        <f t="shared" si="98"/>
        <v>7.4999999999999993E-5</v>
      </c>
      <c r="K523" s="23">
        <f t="shared" si="99"/>
        <v>2.61E-4</v>
      </c>
      <c r="L523" s="14">
        <f t="shared" si="100"/>
        <v>1.4390999999999999E-2</v>
      </c>
      <c r="M523" s="10">
        <f t="shared" si="101"/>
        <v>4.4948635925968521</v>
      </c>
      <c r="N523" s="16">
        <f t="shared" si="102"/>
        <v>1.4597040298222239E-2</v>
      </c>
      <c r="O523" s="13">
        <f t="shared" si="103"/>
        <v>23980.529399999999</v>
      </c>
      <c r="P523" s="13">
        <f t="shared" ca="1" si="97"/>
        <v>23981</v>
      </c>
      <c r="Q523" s="13" t="str">
        <f t="shared" ca="1" si="104"/>
        <v>0101110110101101</v>
      </c>
      <c r="R523" s="13">
        <f t="shared" ca="1" si="105"/>
        <v>4.4963002796173095</v>
      </c>
      <c r="S523" s="13">
        <f t="shared" ca="1" si="106"/>
        <v>73.955603355407717</v>
      </c>
      <c r="T523" s="17">
        <f t="shared" ca="1" si="108"/>
        <v>2.573652365336648E-2</v>
      </c>
      <c r="U523" s="13"/>
      <c r="V523" s="14">
        <f t="shared" ca="1" si="107"/>
        <v>1.8556029999999999</v>
      </c>
      <c r="W523" s="13"/>
      <c r="X523" s="2"/>
    </row>
    <row r="524" spans="8:24" x14ac:dyDescent="0.25">
      <c r="H524" s="13">
        <v>72.2</v>
      </c>
      <c r="I524" s="13">
        <v>4.4381228073844001</v>
      </c>
      <c r="J524" s="14">
        <f t="shared" si="98"/>
        <v>7.4999999999999993E-5</v>
      </c>
      <c r="K524" s="23">
        <f t="shared" si="99"/>
        <v>2.61E-4</v>
      </c>
      <c r="L524" s="14">
        <f t="shared" si="100"/>
        <v>1.4421E-2</v>
      </c>
      <c r="M524" s="10">
        <f t="shared" si="101"/>
        <v>4.5030433592501469</v>
      </c>
      <c r="N524" s="16">
        <f t="shared" si="102"/>
        <v>1.4627930474958523E-2</v>
      </c>
      <c r="O524" s="13">
        <f t="shared" si="103"/>
        <v>24024.169300000001</v>
      </c>
      <c r="P524" s="13">
        <f t="shared" ca="1" si="97"/>
        <v>24028</v>
      </c>
      <c r="Q524" s="13" t="str">
        <f t="shared" ca="1" si="104"/>
        <v>0101110111011100</v>
      </c>
      <c r="R524" s="13">
        <f t="shared" ca="1" si="105"/>
        <v>4.505112510681152</v>
      </c>
      <c r="S524" s="13">
        <f t="shared" ca="1" si="106"/>
        <v>74.061350128173828</v>
      </c>
      <c r="T524" s="17">
        <f t="shared" ca="1" si="108"/>
        <v>2.578047268938816E-2</v>
      </c>
      <c r="U524" s="13"/>
      <c r="V524" s="14">
        <f t="shared" ca="1" si="107"/>
        <v>1.8613500000000001</v>
      </c>
      <c r="W524" s="13"/>
      <c r="X524" s="2"/>
    </row>
    <row r="525" spans="8:24" x14ac:dyDescent="0.25">
      <c r="H525" s="13">
        <v>72.300000000000011</v>
      </c>
      <c r="I525" s="13">
        <v>4.4456189984368697</v>
      </c>
      <c r="J525" s="14">
        <f t="shared" si="98"/>
        <v>7.6000000000000004E-5</v>
      </c>
      <c r="K525" s="23">
        <f t="shared" si="99"/>
        <v>2.6200000000000003E-4</v>
      </c>
      <c r="L525" s="14">
        <f t="shared" si="100"/>
        <v>1.4452E-2</v>
      </c>
      <c r="M525" s="10">
        <f t="shared" si="101"/>
        <v>4.5107900987276821</v>
      </c>
      <c r="N525" s="16">
        <f t="shared" si="102"/>
        <v>1.4659623398614976E-2</v>
      </c>
      <c r="O525" s="13">
        <f t="shared" si="103"/>
        <v>24065.498899999999</v>
      </c>
      <c r="P525" s="13">
        <f t="shared" ca="1" si="97"/>
        <v>24066</v>
      </c>
      <c r="Q525" s="13" t="str">
        <f t="shared" ca="1" si="104"/>
        <v>0101111000000010</v>
      </c>
      <c r="R525" s="13">
        <f t="shared" ca="1" si="105"/>
        <v>4.5122372932434081</v>
      </c>
      <c r="S525" s="13">
        <f t="shared" ca="1" si="106"/>
        <v>74.146847518920907</v>
      </c>
      <c r="T525" s="17">
        <f t="shared" ca="1" si="108"/>
        <v>2.5544225711215708E-2</v>
      </c>
      <c r="U525" s="13"/>
      <c r="V525" s="14">
        <f t="shared" ca="1" si="107"/>
        <v>1.846848</v>
      </c>
      <c r="W525" s="13"/>
      <c r="X525" s="2"/>
    </row>
    <row r="526" spans="8:24" x14ac:dyDescent="0.25">
      <c r="H526" s="13">
        <v>72.400000000000006</v>
      </c>
      <c r="I526" s="13">
        <v>4.4540069417300252</v>
      </c>
      <c r="J526" s="14">
        <f t="shared" si="98"/>
        <v>7.6000000000000004E-5</v>
      </c>
      <c r="K526" s="23">
        <f t="shared" si="99"/>
        <v>2.6200000000000003E-4</v>
      </c>
      <c r="L526" s="14">
        <f t="shared" si="100"/>
        <v>1.4482E-2</v>
      </c>
      <c r="M526" s="10">
        <f t="shared" si="101"/>
        <v>4.5194386117493801</v>
      </c>
      <c r="N526" s="16">
        <f t="shared" si="102"/>
        <v>1.4690518195272489E-2</v>
      </c>
      <c r="O526" s="13">
        <f t="shared" si="103"/>
        <v>24111.639500000001</v>
      </c>
      <c r="P526" s="13">
        <f t="shared" ca="1" si="97"/>
        <v>24115</v>
      </c>
      <c r="Q526" s="13" t="str">
        <f t="shared" ca="1" si="104"/>
        <v>0101111000110011</v>
      </c>
      <c r="R526" s="13">
        <f t="shared" ca="1" si="105"/>
        <v>4.5214245128631596</v>
      </c>
      <c r="S526" s="13">
        <f t="shared" ca="1" si="106"/>
        <v>74.257094154357929</v>
      </c>
      <c r="T526" s="17">
        <f t="shared" ca="1" si="108"/>
        <v>2.565047174527519E-2</v>
      </c>
      <c r="U526" s="13"/>
      <c r="V526" s="14">
        <f t="shared" ca="1" si="107"/>
        <v>1.857094</v>
      </c>
      <c r="W526" s="13"/>
      <c r="X526" s="2"/>
    </row>
    <row r="527" spans="8:24" x14ac:dyDescent="0.25">
      <c r="H527" s="13">
        <v>72.5</v>
      </c>
      <c r="I527" s="13">
        <v>4.4610858528690676</v>
      </c>
      <c r="J527" s="14">
        <f t="shared" si="98"/>
        <v>7.7000000000000001E-5</v>
      </c>
      <c r="K527" s="23">
        <f t="shared" si="99"/>
        <v>2.63E-4</v>
      </c>
      <c r="L527" s="14">
        <f t="shared" si="100"/>
        <v>1.4513E-2</v>
      </c>
      <c r="M527" s="10">
        <f t="shared" si="101"/>
        <v>4.5267629213932477</v>
      </c>
      <c r="N527" s="16">
        <f t="shared" si="102"/>
        <v>1.4722215776668154E-2</v>
      </c>
      <c r="O527" s="13">
        <f t="shared" si="103"/>
        <v>24150.715400000001</v>
      </c>
      <c r="P527" s="13">
        <f t="shared" ref="P527:P590" ca="1" si="109">ROUND(O527+$C$47+$C$49+RANDBETWEEN($B$45,$D$45) + 1,0)</f>
        <v>24149</v>
      </c>
      <c r="Q527" s="13" t="str">
        <f t="shared" ca="1" si="104"/>
        <v>0101111001010101</v>
      </c>
      <c r="R527" s="13">
        <f t="shared" ca="1" si="105"/>
        <v>4.5277993183135985</v>
      </c>
      <c r="S527" s="13">
        <f t="shared" ca="1" si="106"/>
        <v>74.333591819763186</v>
      </c>
      <c r="T527" s="17">
        <f t="shared" ca="1" si="108"/>
        <v>2.5290921651906006E-2</v>
      </c>
      <c r="U527" s="13"/>
      <c r="V527" s="14">
        <f t="shared" ca="1" si="107"/>
        <v>1.8335920000000001</v>
      </c>
      <c r="W527" s="13"/>
      <c r="X527" s="2"/>
    </row>
    <row r="528" spans="8:24" x14ac:dyDescent="0.25">
      <c r="H528" s="13">
        <v>72.599999999999994</v>
      </c>
      <c r="I528" s="13">
        <v>4.4690544378456609</v>
      </c>
      <c r="J528" s="14">
        <f t="shared" si="98"/>
        <v>7.7000000000000001E-5</v>
      </c>
      <c r="K528" s="23">
        <f t="shared" si="99"/>
        <v>2.63E-4</v>
      </c>
      <c r="L528" s="14">
        <f t="shared" si="100"/>
        <v>1.4543E-2</v>
      </c>
      <c r="M528" s="10">
        <f t="shared" si="101"/>
        <v>4.5349869089687944</v>
      </c>
      <c r="N528" s="16">
        <f t="shared" si="102"/>
        <v>1.4753114342217927E-2</v>
      </c>
      <c r="O528" s="13">
        <f t="shared" si="103"/>
        <v>24194.591199999999</v>
      </c>
      <c r="P528" s="13">
        <f t="shared" ca="1" si="109"/>
        <v>24195</v>
      </c>
      <c r="Q528" s="13" t="str">
        <f t="shared" ca="1" si="104"/>
        <v>0101111010000011</v>
      </c>
      <c r="R528" s="13">
        <f t="shared" ca="1" si="105"/>
        <v>4.536424055099487</v>
      </c>
      <c r="S528" s="13">
        <f t="shared" ca="1" si="106"/>
        <v>74.437088661193854</v>
      </c>
      <c r="T528" s="17">
        <f t="shared" ca="1" si="108"/>
        <v>2.5304251531595871E-2</v>
      </c>
      <c r="U528" s="13"/>
      <c r="V528" s="14">
        <f t="shared" ca="1" si="107"/>
        <v>1.837089</v>
      </c>
      <c r="W528" s="13"/>
      <c r="X528" s="2"/>
    </row>
    <row r="529" spans="8:24" x14ac:dyDescent="0.25">
      <c r="H529" s="13">
        <v>72.7</v>
      </c>
      <c r="I529" s="13">
        <v>4.4765955223265737</v>
      </c>
      <c r="J529" s="14">
        <f t="shared" si="98"/>
        <v>7.7999999999999999E-5</v>
      </c>
      <c r="K529" s="23">
        <f t="shared" si="99"/>
        <v>2.6400000000000002E-4</v>
      </c>
      <c r="L529" s="14">
        <f t="shared" si="100"/>
        <v>1.4574E-2</v>
      </c>
      <c r="M529" s="10">
        <f t="shared" si="101"/>
        <v>4.5427811698032867</v>
      </c>
      <c r="N529" s="16">
        <f t="shared" si="102"/>
        <v>1.4784817423557424E-2</v>
      </c>
      <c r="O529" s="13">
        <f t="shared" si="103"/>
        <v>24236.174299999999</v>
      </c>
      <c r="P529" s="13">
        <f t="shared" ca="1" si="109"/>
        <v>24237</v>
      </c>
      <c r="Q529" s="13" t="str">
        <f t="shared" ca="1" si="104"/>
        <v>0101111010101101</v>
      </c>
      <c r="R529" s="13">
        <f t="shared" ca="1" si="105"/>
        <v>4.5442988147735592</v>
      </c>
      <c r="S529" s="13">
        <f t="shared" ca="1" si="106"/>
        <v>74.531585777282714</v>
      </c>
      <c r="T529" s="17">
        <f t="shared" ca="1" si="108"/>
        <v>2.5193752094672787E-2</v>
      </c>
      <c r="U529" s="13"/>
      <c r="V529" s="14">
        <f t="shared" ca="1" si="107"/>
        <v>1.8315859999999999</v>
      </c>
      <c r="W529" s="13"/>
      <c r="X529" s="2"/>
    </row>
    <row r="530" spans="8:24" x14ac:dyDescent="0.25">
      <c r="H530" s="13">
        <v>72.800000000000011</v>
      </c>
      <c r="I530" s="13">
        <v>4.4841480144403816</v>
      </c>
      <c r="J530" s="14">
        <f t="shared" si="98"/>
        <v>7.8999999999999996E-5</v>
      </c>
      <c r="K530" s="23">
        <f t="shared" si="99"/>
        <v>2.6400000000000002E-4</v>
      </c>
      <c r="L530" s="14">
        <f t="shared" si="100"/>
        <v>1.4604000000000001E-2</v>
      </c>
      <c r="M530" s="10">
        <f t="shared" si="101"/>
        <v>4.5505828797847574</v>
      </c>
      <c r="N530" s="16">
        <f t="shared" si="102"/>
        <v>1.4815493407094154E-2</v>
      </c>
      <c r="O530" s="13">
        <f t="shared" si="103"/>
        <v>24277.797200000001</v>
      </c>
      <c r="P530" s="13">
        <f t="shared" ca="1" si="109"/>
        <v>24278</v>
      </c>
      <c r="Q530" s="13" t="str">
        <f t="shared" ca="1" si="104"/>
        <v>0101111011010110</v>
      </c>
      <c r="R530" s="13">
        <f t="shared" ca="1" si="105"/>
        <v>4.5519860801696774</v>
      </c>
      <c r="S530" s="13">
        <f t="shared" ca="1" si="106"/>
        <v>74.623832962036133</v>
      </c>
      <c r="T530" s="17">
        <f t="shared" ca="1" si="108"/>
        <v>2.5052650577419244E-2</v>
      </c>
      <c r="U530" s="13"/>
      <c r="V530" s="14">
        <f t="shared" ca="1" si="107"/>
        <v>1.823833</v>
      </c>
      <c r="W530" s="13"/>
      <c r="X530" s="2"/>
    </row>
    <row r="531" spans="8:24" x14ac:dyDescent="0.25">
      <c r="H531" s="13">
        <v>72.900000000000006</v>
      </c>
      <c r="I531" s="13">
        <v>4.4921471253300682</v>
      </c>
      <c r="J531" s="14">
        <f t="shared" si="98"/>
        <v>7.8999999999999996E-5</v>
      </c>
      <c r="K531" s="23">
        <f t="shared" si="99"/>
        <v>2.6499999999999999E-4</v>
      </c>
      <c r="L531" s="14">
        <f t="shared" si="100"/>
        <v>1.4635E-2</v>
      </c>
      <c r="M531" s="10">
        <f t="shared" si="101"/>
        <v>4.5588439578228046</v>
      </c>
      <c r="N531" s="16">
        <f t="shared" si="102"/>
        <v>1.4847428330352321E-2</v>
      </c>
      <c r="O531" s="13">
        <f t="shared" si="103"/>
        <v>24321.870800000001</v>
      </c>
      <c r="P531" s="13">
        <f t="shared" ca="1" si="109"/>
        <v>24324</v>
      </c>
      <c r="Q531" s="13" t="str">
        <f t="shared" ca="1" si="104"/>
        <v>0101111100000100</v>
      </c>
      <c r="R531" s="13">
        <f t="shared" ca="1" si="105"/>
        <v>4.5606108169555668</v>
      </c>
      <c r="S531" s="13">
        <f t="shared" ca="1" si="106"/>
        <v>74.727329803466816</v>
      </c>
      <c r="T531" s="17">
        <f t="shared" ca="1" si="108"/>
        <v>2.5066252448104391E-2</v>
      </c>
      <c r="U531" s="13"/>
      <c r="V531" s="14">
        <f t="shared" ca="1" si="107"/>
        <v>1.8273299999999999</v>
      </c>
      <c r="W531" s="13"/>
      <c r="X531" s="2"/>
    </row>
    <row r="532" spans="8:24" x14ac:dyDescent="0.25">
      <c r="H532" s="13">
        <v>73</v>
      </c>
      <c r="I532" s="13">
        <v>4.5001555793284576</v>
      </c>
      <c r="J532" s="14">
        <f t="shared" si="98"/>
        <v>8.0000000000000007E-5</v>
      </c>
      <c r="K532" s="23">
        <f t="shared" si="99"/>
        <v>2.6499999999999999E-4</v>
      </c>
      <c r="L532" s="14">
        <f t="shared" si="100"/>
        <v>1.4664999999999999E-2</v>
      </c>
      <c r="M532" s="10">
        <f t="shared" si="101"/>
        <v>4.5671093879324882</v>
      </c>
      <c r="N532" s="16">
        <f t="shared" si="102"/>
        <v>1.4878109750601543E-2</v>
      </c>
      <c r="O532" s="13">
        <f t="shared" si="103"/>
        <v>24365.967700000001</v>
      </c>
      <c r="P532" s="13">
        <f t="shared" ca="1" si="109"/>
        <v>24371</v>
      </c>
      <c r="Q532" s="13" t="str">
        <f t="shared" ca="1" si="104"/>
        <v>0101111100110011</v>
      </c>
      <c r="R532" s="13">
        <f t="shared" ca="1" si="105"/>
        <v>4.5694230480194094</v>
      </c>
      <c r="S532" s="13">
        <f t="shared" ca="1" si="106"/>
        <v>74.833076576232926</v>
      </c>
      <c r="T532" s="17">
        <f t="shared" ca="1" si="108"/>
        <v>2.5110638030588033E-2</v>
      </c>
      <c r="U532" s="13"/>
      <c r="V532" s="14">
        <f t="shared" ca="1" si="107"/>
        <v>1.8330770000000001</v>
      </c>
      <c r="W532" s="13"/>
      <c r="X532" s="2"/>
    </row>
    <row r="533" spans="8:24" x14ac:dyDescent="0.25">
      <c r="H533" s="13">
        <v>73.099999999999994</v>
      </c>
      <c r="I533" s="13">
        <v>4.5077397854368897</v>
      </c>
      <c r="J533" s="14">
        <f t="shared" si="98"/>
        <v>8.0000000000000007E-5</v>
      </c>
      <c r="K533" s="23">
        <f t="shared" si="99"/>
        <v>2.6600000000000001E-4</v>
      </c>
      <c r="L533" s="14">
        <f t="shared" si="100"/>
        <v>1.4696000000000001E-2</v>
      </c>
      <c r="M533" s="10">
        <f t="shared" si="101"/>
        <v>4.5749504042091482</v>
      </c>
      <c r="N533" s="16">
        <f t="shared" si="102"/>
        <v>1.4910048488023913E-2</v>
      </c>
      <c r="O533" s="13">
        <f t="shared" si="103"/>
        <v>24407.800299999999</v>
      </c>
      <c r="P533" s="13">
        <f t="shared" ca="1" si="109"/>
        <v>24409</v>
      </c>
      <c r="Q533" s="13" t="str">
        <f t="shared" ca="1" si="104"/>
        <v>0101111101011001</v>
      </c>
      <c r="R533" s="13">
        <f t="shared" ca="1" si="105"/>
        <v>4.5765478305816654</v>
      </c>
      <c r="S533" s="13">
        <f t="shared" ca="1" si="106"/>
        <v>74.918573966979991</v>
      </c>
      <c r="T533" s="17">
        <f t="shared" ca="1" si="108"/>
        <v>2.4877892845143603E-2</v>
      </c>
      <c r="U533" s="13"/>
      <c r="V533" s="14">
        <f t="shared" ca="1" si="107"/>
        <v>1.8185739999999999</v>
      </c>
      <c r="W533" s="13"/>
      <c r="X533" s="2"/>
    </row>
    <row r="534" spans="8:24" x14ac:dyDescent="0.25">
      <c r="H534" s="13">
        <v>73.2</v>
      </c>
      <c r="I534" s="13">
        <v>4.5153349564503644</v>
      </c>
      <c r="J534" s="14">
        <f t="shared" si="98"/>
        <v>8.1000000000000004E-5</v>
      </c>
      <c r="K534" s="23">
        <f t="shared" si="99"/>
        <v>2.6600000000000001E-4</v>
      </c>
      <c r="L534" s="14">
        <f t="shared" si="100"/>
        <v>1.4726E-2</v>
      </c>
      <c r="M534" s="10">
        <f t="shared" si="101"/>
        <v>4.5827973765088341</v>
      </c>
      <c r="N534" s="16">
        <f t="shared" si="102"/>
        <v>1.4940734343992911E-2</v>
      </c>
      <c r="O534" s="13">
        <f t="shared" si="103"/>
        <v>24449.6646</v>
      </c>
      <c r="P534" s="13">
        <f t="shared" ca="1" si="109"/>
        <v>24451</v>
      </c>
      <c r="Q534" s="13" t="str">
        <f t="shared" ca="1" si="104"/>
        <v>0101111110000011</v>
      </c>
      <c r="R534" s="13">
        <f t="shared" ca="1" si="105"/>
        <v>4.5844225902557376</v>
      </c>
      <c r="S534" s="13">
        <f t="shared" ca="1" si="106"/>
        <v>75.013071083068866</v>
      </c>
      <c r="T534" s="17">
        <f t="shared" ca="1" si="108"/>
        <v>2.476873064301725E-2</v>
      </c>
      <c r="U534" s="13"/>
      <c r="V534" s="14">
        <f t="shared" ca="1" si="107"/>
        <v>1.8130710000000001</v>
      </c>
      <c r="W534" s="13"/>
      <c r="X534" s="2"/>
    </row>
    <row r="535" spans="8:24" x14ac:dyDescent="0.25">
      <c r="H535" s="13">
        <v>73.300000000000011</v>
      </c>
      <c r="I535" s="13">
        <v>4.5233726306441122</v>
      </c>
      <c r="J535" s="14">
        <f t="shared" si="98"/>
        <v>8.1000000000000004E-5</v>
      </c>
      <c r="K535" s="23">
        <f t="shared" si="99"/>
        <v>2.6699999999999998E-4</v>
      </c>
      <c r="L535" s="14">
        <f t="shared" si="100"/>
        <v>1.4756999999999999E-2</v>
      </c>
      <c r="M535" s="10">
        <f t="shared" si="101"/>
        <v>4.5910996320076496</v>
      </c>
      <c r="N535" s="16">
        <f t="shared" si="102"/>
        <v>1.4972677887449059E-2</v>
      </c>
      <c r="O535" s="13">
        <f t="shared" si="103"/>
        <v>24493.957999999999</v>
      </c>
      <c r="P535" s="13">
        <f t="shared" ca="1" si="109"/>
        <v>24496</v>
      </c>
      <c r="Q535" s="13" t="str">
        <f t="shared" ca="1" si="104"/>
        <v>0101111110110000</v>
      </c>
      <c r="R535" s="13">
        <f t="shared" ca="1" si="105"/>
        <v>4.592859832763672</v>
      </c>
      <c r="S535" s="13">
        <f t="shared" ca="1" si="106"/>
        <v>75.114317993164079</v>
      </c>
      <c r="T535" s="17">
        <f t="shared" ca="1" si="108"/>
        <v>2.4751950793507053E-2</v>
      </c>
      <c r="U535" s="13"/>
      <c r="V535" s="14">
        <f t="shared" ca="1" si="107"/>
        <v>1.8143180000000001</v>
      </c>
      <c r="W535" s="13"/>
      <c r="X535" s="2"/>
    </row>
    <row r="536" spans="8:24" x14ac:dyDescent="0.25">
      <c r="H536" s="13">
        <v>73.400000000000006</v>
      </c>
      <c r="I536" s="13">
        <v>4.5309884848637472</v>
      </c>
      <c r="J536" s="14">
        <f t="shared" si="98"/>
        <v>8.2000000000000001E-5</v>
      </c>
      <c r="K536" s="23">
        <f t="shared" si="99"/>
        <v>2.6699999999999998E-4</v>
      </c>
      <c r="L536" s="14">
        <f t="shared" si="100"/>
        <v>1.4787E-2</v>
      </c>
      <c r="M536" s="10">
        <f t="shared" si="101"/>
        <v>4.5989685755443208</v>
      </c>
      <c r="N536" s="16">
        <f t="shared" si="102"/>
        <v>1.5003368670582242E-2</v>
      </c>
      <c r="O536" s="13">
        <f t="shared" si="103"/>
        <v>24535.9395</v>
      </c>
      <c r="P536" s="13">
        <f t="shared" ca="1" si="109"/>
        <v>24538</v>
      </c>
      <c r="Q536" s="13" t="str">
        <f t="shared" ca="1" si="104"/>
        <v>0101111111011010</v>
      </c>
      <c r="R536" s="13">
        <f t="shared" ca="1" si="105"/>
        <v>4.6007345924377443</v>
      </c>
      <c r="S536" s="13">
        <f t="shared" ca="1" si="106"/>
        <v>75.208815109252939</v>
      </c>
      <c r="T536" s="17">
        <f t="shared" ca="1" si="108"/>
        <v>2.4643257619249768E-2</v>
      </c>
      <c r="U536" s="13"/>
      <c r="V536" s="14">
        <f t="shared" ca="1" si="107"/>
        <v>1.8088150000000001</v>
      </c>
      <c r="W536" s="13"/>
      <c r="X536" s="2"/>
    </row>
    <row r="537" spans="8:24" x14ac:dyDescent="0.25">
      <c r="H537" s="13">
        <v>73.5</v>
      </c>
      <c r="I537" s="13">
        <v>4.5386149746132105</v>
      </c>
      <c r="J537" s="14">
        <f t="shared" si="98"/>
        <v>8.2999999999999998E-5</v>
      </c>
      <c r="K537" s="23">
        <f t="shared" si="99"/>
        <v>2.6800000000000001E-4</v>
      </c>
      <c r="L537" s="14">
        <f t="shared" si="100"/>
        <v>1.4818E-2</v>
      </c>
      <c r="M537" s="10">
        <f t="shared" si="101"/>
        <v>4.6068534698859809</v>
      </c>
      <c r="N537" s="16">
        <f t="shared" si="102"/>
        <v>1.503509234743707E-2</v>
      </c>
      <c r="O537" s="13">
        <f t="shared" si="103"/>
        <v>24578.0062</v>
      </c>
      <c r="P537" s="13">
        <f t="shared" ca="1" si="109"/>
        <v>24577</v>
      </c>
      <c r="Q537" s="13" t="str">
        <f t="shared" ca="1" si="104"/>
        <v>0110000000000001</v>
      </c>
      <c r="R537" s="13">
        <f t="shared" ca="1" si="105"/>
        <v>4.6080468692779544</v>
      </c>
      <c r="S537" s="13">
        <f t="shared" ca="1" si="106"/>
        <v>75.29656243133546</v>
      </c>
      <c r="T537" s="17">
        <f t="shared" ca="1" si="108"/>
        <v>2.444302627667292E-2</v>
      </c>
      <c r="U537" s="13"/>
      <c r="V537" s="14">
        <f t="shared" ca="1" si="107"/>
        <v>1.796562</v>
      </c>
      <c r="W537" s="13"/>
      <c r="X537" s="2"/>
    </row>
    <row r="538" spans="8:24" x14ac:dyDescent="0.25">
      <c r="H538" s="13">
        <v>73.599999999999994</v>
      </c>
      <c r="I538" s="13">
        <v>4.5462519902498624</v>
      </c>
      <c r="J538" s="14">
        <f t="shared" si="98"/>
        <v>8.2999999999999998E-5</v>
      </c>
      <c r="K538" s="23">
        <f t="shared" si="99"/>
        <v>2.6800000000000001E-4</v>
      </c>
      <c r="L538" s="14">
        <f t="shared" si="100"/>
        <v>1.4848E-2</v>
      </c>
      <c r="M538" s="10">
        <f t="shared" si="101"/>
        <v>4.6147458758301889</v>
      </c>
      <c r="N538" s="16">
        <f t="shared" si="102"/>
        <v>1.5066011678899944E-2</v>
      </c>
      <c r="O538" s="13">
        <f t="shared" si="103"/>
        <v>24620.1129</v>
      </c>
      <c r="P538" s="13">
        <f t="shared" ca="1" si="109"/>
        <v>24619</v>
      </c>
      <c r="Q538" s="13" t="str">
        <f t="shared" ca="1" si="104"/>
        <v>0110000000101011</v>
      </c>
      <c r="R538" s="13">
        <f t="shared" ca="1" si="105"/>
        <v>4.6159216289520266</v>
      </c>
      <c r="S538" s="13">
        <f t="shared" ca="1" si="106"/>
        <v>75.391059547424334</v>
      </c>
      <c r="T538" s="17">
        <f t="shared" ca="1" si="108"/>
        <v>2.4335048198700266E-2</v>
      </c>
      <c r="U538" s="13"/>
      <c r="V538" s="14">
        <f t="shared" ca="1" si="107"/>
        <v>1.7910600000000001</v>
      </c>
      <c r="W538" s="13"/>
      <c r="X538" s="2"/>
    </row>
    <row r="539" spans="8:24" x14ac:dyDescent="0.25">
      <c r="H539" s="13">
        <v>73.7</v>
      </c>
      <c r="I539" s="13">
        <v>4.5534714282509094</v>
      </c>
      <c r="J539" s="14">
        <f t="shared" si="98"/>
        <v>8.3999999999999995E-5</v>
      </c>
      <c r="K539" s="23">
        <f t="shared" si="99"/>
        <v>2.6899999999999998E-4</v>
      </c>
      <c r="L539" s="14">
        <f t="shared" si="100"/>
        <v>1.4879E-2</v>
      </c>
      <c r="M539" s="10">
        <f t="shared" si="101"/>
        <v>4.6222185551510009</v>
      </c>
      <c r="N539" s="16">
        <f t="shared" si="102"/>
        <v>1.5097739819682749E-2</v>
      </c>
      <c r="O539" s="13">
        <f t="shared" si="103"/>
        <v>24659.9804</v>
      </c>
      <c r="P539" s="13">
        <f t="shared" ca="1" si="109"/>
        <v>24660</v>
      </c>
      <c r="Q539" s="13" t="str">
        <f t="shared" ca="1" si="104"/>
        <v>0110000001010100</v>
      </c>
      <c r="R539" s="13">
        <f t="shared" ca="1" si="105"/>
        <v>4.6236088943481448</v>
      </c>
      <c r="S539" s="13">
        <f t="shared" ca="1" si="106"/>
        <v>75.483306732177752</v>
      </c>
      <c r="T539" s="17">
        <f t="shared" ca="1" si="108"/>
        <v>2.4196834900647883E-2</v>
      </c>
      <c r="U539" s="13"/>
      <c r="V539" s="14">
        <f t="shared" ca="1" si="107"/>
        <v>1.783307</v>
      </c>
      <c r="W539" s="13"/>
      <c r="X539" s="2"/>
    </row>
    <row r="540" spans="8:24" x14ac:dyDescent="0.25">
      <c r="H540" s="13">
        <v>73.800000000000011</v>
      </c>
      <c r="I540" s="13">
        <v>4.5615571618248492</v>
      </c>
      <c r="J540" s="14">
        <f t="shared" si="98"/>
        <v>8.3999999999999995E-5</v>
      </c>
      <c r="K540" s="23">
        <f t="shared" si="99"/>
        <v>2.6899999999999998E-4</v>
      </c>
      <c r="L540" s="14">
        <f t="shared" si="100"/>
        <v>1.4909E-2</v>
      </c>
      <c r="M540" s="10">
        <f t="shared" si="101"/>
        <v>4.6305674268700541</v>
      </c>
      <c r="N540" s="16">
        <f t="shared" si="102"/>
        <v>1.5128663874420765E-2</v>
      </c>
      <c r="O540" s="13">
        <f t="shared" si="103"/>
        <v>24704.522400000002</v>
      </c>
      <c r="P540" s="13">
        <f t="shared" ca="1" si="109"/>
        <v>24705</v>
      </c>
      <c r="Q540" s="13" t="str">
        <f t="shared" ca="1" si="104"/>
        <v>0110000010000001</v>
      </c>
      <c r="R540" s="13">
        <f t="shared" ca="1" si="105"/>
        <v>4.6320461368560792</v>
      </c>
      <c r="S540" s="13">
        <f t="shared" ca="1" si="106"/>
        <v>75.584553642272965</v>
      </c>
      <c r="T540" s="17">
        <f t="shared" ca="1" si="108"/>
        <v>2.4180943662235142E-2</v>
      </c>
      <c r="U540" s="13"/>
      <c r="V540" s="14">
        <f t="shared" ca="1" si="107"/>
        <v>1.784554</v>
      </c>
      <c r="W540" s="13"/>
      <c r="X540" s="2"/>
    </row>
    <row r="541" spans="8:24" x14ac:dyDescent="0.25">
      <c r="H541" s="13">
        <v>73.900000000000006</v>
      </c>
      <c r="I541" s="13">
        <v>4.5692250997961583</v>
      </c>
      <c r="J541" s="14">
        <f t="shared" si="98"/>
        <v>8.5000000000000006E-5</v>
      </c>
      <c r="K541" s="23">
        <f t="shared" si="99"/>
        <v>2.7E-4</v>
      </c>
      <c r="L541" s="14">
        <f t="shared" si="100"/>
        <v>1.494E-2</v>
      </c>
      <c r="M541" s="10">
        <f t="shared" si="101"/>
        <v>4.6384963690294576</v>
      </c>
      <c r="N541" s="16">
        <f t="shared" si="102"/>
        <v>1.5160397599231785E-2</v>
      </c>
      <c r="O541" s="13">
        <f t="shared" si="103"/>
        <v>24746.824100000002</v>
      </c>
      <c r="P541" s="13">
        <f t="shared" ca="1" si="109"/>
        <v>24749</v>
      </c>
      <c r="Q541" s="13" t="str">
        <f t="shared" ca="1" si="104"/>
        <v>0110000010101101</v>
      </c>
      <c r="R541" s="13">
        <f t="shared" ca="1" si="105"/>
        <v>4.6402958850860596</v>
      </c>
      <c r="S541" s="13">
        <f t="shared" ca="1" si="106"/>
        <v>75.683550621032722</v>
      </c>
      <c r="T541" s="17">
        <f t="shared" ca="1" si="108"/>
        <v>2.413464981099752E-2</v>
      </c>
      <c r="U541" s="13"/>
      <c r="V541" s="14">
        <f t="shared" ca="1" si="107"/>
        <v>1.7835510000000001</v>
      </c>
      <c r="W541" s="13"/>
      <c r="X541" s="2"/>
    </row>
    <row r="542" spans="8:24" x14ac:dyDescent="0.25">
      <c r="H542" s="13">
        <v>74</v>
      </c>
      <c r="I542" s="13">
        <v>4.5764778597259523</v>
      </c>
      <c r="J542" s="14">
        <f t="shared" si="98"/>
        <v>8.6000000000000003E-5</v>
      </c>
      <c r="K542" s="23">
        <f t="shared" si="99"/>
        <v>2.7E-4</v>
      </c>
      <c r="L542" s="14">
        <f t="shared" si="100"/>
        <v>1.4970000000000001E-2</v>
      </c>
      <c r="M542" s="10">
        <f t="shared" si="101"/>
        <v>4.6459996055612045</v>
      </c>
      <c r="N542" s="16">
        <f t="shared" si="102"/>
        <v>1.5191102845063311E-2</v>
      </c>
      <c r="O542" s="13">
        <f t="shared" si="103"/>
        <v>24786.854599999999</v>
      </c>
      <c r="P542" s="13">
        <f t="shared" ca="1" si="109"/>
        <v>24786</v>
      </c>
      <c r="Q542" s="13" t="str">
        <f t="shared" ca="1" si="104"/>
        <v>0110000011010010</v>
      </c>
      <c r="R542" s="13">
        <f t="shared" ca="1" si="105"/>
        <v>4.6472331733703616</v>
      </c>
      <c r="S542" s="13">
        <f t="shared" ca="1" si="106"/>
        <v>75.766798080444346</v>
      </c>
      <c r="T542" s="17">
        <f t="shared" ca="1" si="108"/>
        <v>2.3875649735734406E-2</v>
      </c>
      <c r="U542" s="13"/>
      <c r="V542" s="14">
        <f t="shared" ca="1" si="107"/>
        <v>1.7667980000000001</v>
      </c>
      <c r="W542" s="13"/>
      <c r="X542" s="2"/>
    </row>
    <row r="543" spans="8:24" x14ac:dyDescent="0.25">
      <c r="H543" s="13">
        <v>74.099999999999994</v>
      </c>
      <c r="I543" s="13">
        <v>4.5837424146951813</v>
      </c>
      <c r="J543" s="14">
        <f t="shared" si="98"/>
        <v>8.6000000000000003E-5</v>
      </c>
      <c r="K543" s="23">
        <f t="shared" si="99"/>
        <v>2.7099999999999997E-4</v>
      </c>
      <c r="L543" s="14">
        <f t="shared" si="100"/>
        <v>1.5001E-2</v>
      </c>
      <c r="M543" s="10">
        <f t="shared" si="101"/>
        <v>4.6535210133585743</v>
      </c>
      <c r="N543" s="16">
        <f t="shared" si="102"/>
        <v>1.5223062805555415E-2</v>
      </c>
      <c r="O543" s="13">
        <f t="shared" si="103"/>
        <v>24826.982</v>
      </c>
      <c r="P543" s="13">
        <f t="shared" ca="1" si="109"/>
        <v>24831</v>
      </c>
      <c r="Q543" s="13" t="str">
        <f t="shared" ca="1" si="104"/>
        <v>0110000011111111</v>
      </c>
      <c r="R543" s="13">
        <f t="shared" ca="1" si="105"/>
        <v>4.655670415878296</v>
      </c>
      <c r="S543" s="13">
        <f t="shared" ca="1" si="106"/>
        <v>75.868044990539559</v>
      </c>
      <c r="T543" s="17">
        <f t="shared" ca="1" si="108"/>
        <v>2.3860256282585222E-2</v>
      </c>
      <c r="U543" s="13"/>
      <c r="V543" s="14">
        <f t="shared" ca="1" si="107"/>
        <v>1.7680450000000001</v>
      </c>
      <c r="W543" s="13"/>
      <c r="X543" s="2"/>
    </row>
    <row r="544" spans="8:24" x14ac:dyDescent="0.25">
      <c r="H544" s="13">
        <v>74.2</v>
      </c>
      <c r="I544" s="13">
        <v>4.591865564355226</v>
      </c>
      <c r="J544" s="14">
        <f t="shared" si="98"/>
        <v>8.7000000000000001E-5</v>
      </c>
      <c r="K544" s="23">
        <f t="shared" si="99"/>
        <v>2.7099999999999997E-4</v>
      </c>
      <c r="L544" s="14">
        <f t="shared" si="100"/>
        <v>1.5030999999999999E-2</v>
      </c>
      <c r="M544" s="10">
        <f t="shared" si="101"/>
        <v>4.6619088443973631</v>
      </c>
      <c r="N544" s="16">
        <f t="shared" si="102"/>
        <v>1.525377410563899E-2</v>
      </c>
      <c r="O544" s="13">
        <f t="shared" si="103"/>
        <v>24871.731899999999</v>
      </c>
      <c r="P544" s="13">
        <f t="shared" ca="1" si="109"/>
        <v>24872</v>
      </c>
      <c r="Q544" s="13" t="str">
        <f t="shared" ca="1" si="104"/>
        <v>0110000100101000</v>
      </c>
      <c r="R544" s="13">
        <f t="shared" ca="1" si="105"/>
        <v>4.6633576812744142</v>
      </c>
      <c r="S544" s="13">
        <f t="shared" ca="1" si="106"/>
        <v>75.960292175292977</v>
      </c>
      <c r="T544" s="17">
        <f t="shared" ca="1" si="108"/>
        <v>2.3723614222277284E-2</v>
      </c>
      <c r="U544" s="13"/>
      <c r="V544" s="14">
        <f t="shared" ca="1" si="107"/>
        <v>1.760292</v>
      </c>
      <c r="W544" s="13"/>
      <c r="X544" s="2"/>
    </row>
    <row r="545" spans="8:24" x14ac:dyDescent="0.25">
      <c r="H545" s="13">
        <v>74.300000000000011</v>
      </c>
      <c r="I545" s="13">
        <v>4.5991515642161991</v>
      </c>
      <c r="J545" s="14">
        <f t="shared" si="98"/>
        <v>8.7000000000000001E-5</v>
      </c>
      <c r="K545" s="23">
        <f t="shared" si="99"/>
        <v>2.72E-4</v>
      </c>
      <c r="L545" s="14">
        <f t="shared" si="100"/>
        <v>1.5062000000000001E-2</v>
      </c>
      <c r="M545" s="10">
        <f t="shared" si="101"/>
        <v>4.6694529915793677</v>
      </c>
      <c r="N545" s="16">
        <f t="shared" si="102"/>
        <v>1.5285738332728669E-2</v>
      </c>
      <c r="O545" s="13">
        <f t="shared" si="103"/>
        <v>24911.9807</v>
      </c>
      <c r="P545" s="13">
        <f t="shared" ca="1" si="109"/>
        <v>24916</v>
      </c>
      <c r="Q545" s="13" t="str">
        <f t="shared" ca="1" si="104"/>
        <v>0110000101010100</v>
      </c>
      <c r="R545" s="13">
        <f t="shared" ca="1" si="105"/>
        <v>4.6716074295043946</v>
      </c>
      <c r="S545" s="13">
        <f t="shared" ca="1" si="106"/>
        <v>76.059289154052749</v>
      </c>
      <c r="T545" s="17">
        <f t="shared" ca="1" si="108"/>
        <v>2.3678185115110866E-2</v>
      </c>
      <c r="U545" s="13"/>
      <c r="V545" s="14">
        <f t="shared" ca="1" si="107"/>
        <v>1.7592890000000001</v>
      </c>
      <c r="W545" s="13"/>
      <c r="X545" s="2"/>
    </row>
    <row r="546" spans="8:24" x14ac:dyDescent="0.25">
      <c r="H546" s="13">
        <v>74.400000000000006</v>
      </c>
      <c r="I546" s="13">
        <v>4.6068706772637524</v>
      </c>
      <c r="J546" s="14">
        <f t="shared" si="98"/>
        <v>8.7999999999999998E-5</v>
      </c>
      <c r="K546" s="23">
        <f t="shared" si="99"/>
        <v>2.72E-4</v>
      </c>
      <c r="L546" s="14">
        <f t="shared" si="100"/>
        <v>1.5092E-2</v>
      </c>
      <c r="M546" s="10">
        <f t="shared" si="101"/>
        <v>4.6774315996293589</v>
      </c>
      <c r="N546" s="16">
        <f t="shared" si="102"/>
        <v>1.5316453903046423E-2</v>
      </c>
      <c r="O546" s="13">
        <f t="shared" si="103"/>
        <v>24954.547299999998</v>
      </c>
      <c r="P546" s="13">
        <f t="shared" ca="1" si="109"/>
        <v>24957</v>
      </c>
      <c r="Q546" s="13" t="str">
        <f t="shared" ca="1" si="104"/>
        <v>0110000101111101</v>
      </c>
      <c r="R546" s="13">
        <f t="shared" ca="1" si="105"/>
        <v>4.6792946949005128</v>
      </c>
      <c r="S546" s="13">
        <f t="shared" ca="1" si="106"/>
        <v>76.151536338806167</v>
      </c>
      <c r="T546" s="17">
        <f t="shared" ca="1" si="108"/>
        <v>2.3542155091480665E-2</v>
      </c>
      <c r="U546" s="13"/>
      <c r="V546" s="14">
        <f t="shared" ca="1" si="107"/>
        <v>1.751536</v>
      </c>
      <c r="W546" s="13"/>
      <c r="X546" s="2"/>
    </row>
    <row r="547" spans="8:24" x14ac:dyDescent="0.25">
      <c r="H547" s="13">
        <v>74.5</v>
      </c>
      <c r="I547" s="13">
        <v>4.6141785892032905</v>
      </c>
      <c r="J547" s="14">
        <f t="shared" si="98"/>
        <v>8.7999999999999998E-5</v>
      </c>
      <c r="K547" s="23">
        <f t="shared" si="99"/>
        <v>2.7300000000000002E-4</v>
      </c>
      <c r="L547" s="14">
        <f t="shared" si="100"/>
        <v>1.5122999999999999E-2</v>
      </c>
      <c r="M547" s="10">
        <f t="shared" si="101"/>
        <v>4.6849989512084154</v>
      </c>
      <c r="N547" s="16">
        <f t="shared" si="102"/>
        <v>1.5348422397615327E-2</v>
      </c>
      <c r="O547" s="13">
        <f t="shared" si="103"/>
        <v>24994.919900000001</v>
      </c>
      <c r="P547" s="13">
        <f t="shared" ca="1" si="109"/>
        <v>24998</v>
      </c>
      <c r="Q547" s="13" t="str">
        <f t="shared" ca="1" si="104"/>
        <v>0110000110100110</v>
      </c>
      <c r="R547" s="13">
        <f t="shared" ca="1" si="105"/>
        <v>4.6869819602966309</v>
      </c>
      <c r="S547" s="13">
        <f t="shared" ca="1" si="106"/>
        <v>76.243783523559586</v>
      </c>
      <c r="T547" s="17">
        <f t="shared" ca="1" si="108"/>
        <v>2.3406490249121954E-2</v>
      </c>
      <c r="U547" s="13"/>
      <c r="V547" s="14">
        <f t="shared" ca="1" si="107"/>
        <v>1.743784</v>
      </c>
      <c r="W547" s="13"/>
      <c r="X547" s="2"/>
    </row>
    <row r="548" spans="8:24" x14ac:dyDescent="0.25">
      <c r="H548" s="13">
        <v>74.599999999999994</v>
      </c>
      <c r="I548" s="13">
        <v>4.6219175935658265</v>
      </c>
      <c r="J548" s="14">
        <f t="shared" si="98"/>
        <v>8.8999999999999995E-5</v>
      </c>
      <c r="K548" s="23">
        <f t="shared" si="99"/>
        <v>2.7300000000000002E-4</v>
      </c>
      <c r="L548" s="14">
        <f t="shared" si="100"/>
        <v>1.5153E-2</v>
      </c>
      <c r="M548" s="10">
        <f t="shared" si="101"/>
        <v>4.6929987243620852</v>
      </c>
      <c r="N548" s="16">
        <f t="shared" si="102"/>
        <v>1.537914282487657E-2</v>
      </c>
      <c r="O548" s="13">
        <f t="shared" si="103"/>
        <v>25037.599399999999</v>
      </c>
      <c r="P548" s="13">
        <f t="shared" ca="1" si="109"/>
        <v>25037</v>
      </c>
      <c r="Q548" s="13" t="str">
        <f t="shared" ca="1" si="104"/>
        <v>0110000111001101</v>
      </c>
      <c r="R548" s="13">
        <f t="shared" ca="1" si="105"/>
        <v>4.694294237136841</v>
      </c>
      <c r="S548" s="13">
        <f t="shared" ca="1" si="106"/>
        <v>76.331530845642106</v>
      </c>
      <c r="T548" s="17">
        <f t="shared" ca="1" si="108"/>
        <v>2.3210869244532337E-2</v>
      </c>
      <c r="U548" s="13"/>
      <c r="V548" s="14">
        <f t="shared" ca="1" si="107"/>
        <v>1.7315309999999999</v>
      </c>
      <c r="W548" s="13"/>
      <c r="X548" s="2"/>
    </row>
    <row r="549" spans="8:24" x14ac:dyDescent="0.25">
      <c r="H549" s="13">
        <v>74.7</v>
      </c>
      <c r="I549" s="13">
        <v>4.629665933178277</v>
      </c>
      <c r="J549" s="14">
        <f t="shared" si="98"/>
        <v>9.0000000000000006E-5</v>
      </c>
      <c r="K549" s="23">
        <f t="shared" si="99"/>
        <v>2.7399999999999999E-4</v>
      </c>
      <c r="L549" s="14">
        <f t="shared" si="100"/>
        <v>1.5184E-2</v>
      </c>
      <c r="M549" s="10">
        <f t="shared" si="101"/>
        <v>4.7010132375045455</v>
      </c>
      <c r="N549" s="16">
        <f t="shared" si="102"/>
        <v>1.5410896888901087E-2</v>
      </c>
      <c r="O549" s="13">
        <f t="shared" si="103"/>
        <v>25080.357599999999</v>
      </c>
      <c r="P549" s="13">
        <f t="shared" ca="1" si="109"/>
        <v>25080</v>
      </c>
      <c r="Q549" s="13" t="str">
        <f t="shared" ca="1" si="104"/>
        <v>0110000111111000</v>
      </c>
      <c r="R549" s="13">
        <f t="shared" ca="1" si="105"/>
        <v>4.7023564910888673</v>
      </c>
      <c r="S549" s="13">
        <f t="shared" ca="1" si="106"/>
        <v>76.428277893066422</v>
      </c>
      <c r="T549" s="17">
        <f t="shared" ca="1" si="108"/>
        <v>2.3136250241853003E-2</v>
      </c>
      <c r="U549" s="13"/>
      <c r="V549" s="14">
        <f t="shared" ca="1" si="107"/>
        <v>1.728278</v>
      </c>
      <c r="W549" s="13"/>
      <c r="X549" s="2"/>
    </row>
    <row r="550" spans="8:24" x14ac:dyDescent="0.25">
      <c r="H550" s="13">
        <v>74.800000000000011</v>
      </c>
      <c r="I550" s="13">
        <v>4.6370054440495485</v>
      </c>
      <c r="J550" s="14">
        <f t="shared" si="98"/>
        <v>9.0000000000000006E-5</v>
      </c>
      <c r="K550" s="23">
        <f t="shared" si="99"/>
        <v>2.7399999999999999E-4</v>
      </c>
      <c r="L550" s="14">
        <f t="shared" si="100"/>
        <v>1.5214E-2</v>
      </c>
      <c r="M550" s="10">
        <f t="shared" si="101"/>
        <v>4.7086093442002106</v>
      </c>
      <c r="N550" s="16">
        <f t="shared" si="102"/>
        <v>1.5441840863600455E-2</v>
      </c>
      <c r="O550" s="13">
        <f t="shared" si="103"/>
        <v>25120.883600000001</v>
      </c>
      <c r="P550" s="13">
        <f t="shared" ca="1" si="109"/>
        <v>25123</v>
      </c>
      <c r="Q550" s="13" t="str">
        <f t="shared" ca="1" si="104"/>
        <v>0110001000100011</v>
      </c>
      <c r="R550" s="13">
        <f t="shared" ca="1" si="105"/>
        <v>4.7104187450408936</v>
      </c>
      <c r="S550" s="13">
        <f t="shared" ca="1" si="106"/>
        <v>76.525024940490738</v>
      </c>
      <c r="T550" s="17">
        <f t="shared" ca="1" si="108"/>
        <v>2.3061830755223615E-2</v>
      </c>
      <c r="U550" s="13"/>
      <c r="V550" s="14">
        <f t="shared" ca="1" si="107"/>
        <v>1.725025</v>
      </c>
      <c r="W550" s="13"/>
      <c r="X550" s="2"/>
    </row>
    <row r="551" spans="8:24" x14ac:dyDescent="0.25">
      <c r="H551" s="13">
        <v>74.900000000000006</v>
      </c>
      <c r="I551" s="13">
        <v>4.6443558686926592</v>
      </c>
      <c r="J551" s="14">
        <f t="shared" si="98"/>
        <v>9.1000000000000003E-5</v>
      </c>
      <c r="K551" s="23">
        <f t="shared" si="99"/>
        <v>2.7500000000000002E-4</v>
      </c>
      <c r="L551" s="14">
        <f t="shared" si="100"/>
        <v>1.5245E-2</v>
      </c>
      <c r="M551" s="10">
        <f t="shared" si="101"/>
        <v>4.7162207701231864</v>
      </c>
      <c r="N551" s="16">
        <f t="shared" si="102"/>
        <v>1.5473599237940509E-2</v>
      </c>
      <c r="O551" s="13">
        <f t="shared" si="103"/>
        <v>25161.491300000002</v>
      </c>
      <c r="P551" s="13">
        <f t="shared" ca="1" si="109"/>
        <v>25166</v>
      </c>
      <c r="Q551" s="13" t="str">
        <f t="shared" ca="1" si="104"/>
        <v>0110001001001110</v>
      </c>
      <c r="R551" s="13">
        <f t="shared" ca="1" si="105"/>
        <v>4.71848099899292</v>
      </c>
      <c r="S551" s="13">
        <f t="shared" ca="1" si="106"/>
        <v>76.621771987915054</v>
      </c>
      <c r="T551" s="17">
        <f t="shared" ca="1" si="108"/>
        <v>2.2987609985514659E-2</v>
      </c>
      <c r="U551" s="13"/>
      <c r="V551" s="14">
        <f t="shared" ca="1" si="107"/>
        <v>1.7217720000000001</v>
      </c>
      <c r="W551" s="13"/>
      <c r="X551" s="2"/>
    </row>
    <row r="552" spans="8:24" x14ac:dyDescent="0.25">
      <c r="H552" s="13">
        <v>75</v>
      </c>
      <c r="I552" s="13">
        <v>4.6521333655818342</v>
      </c>
      <c r="J552" s="14">
        <f t="shared" si="98"/>
        <v>9.1000000000000003E-5</v>
      </c>
      <c r="K552" s="23">
        <f t="shared" si="99"/>
        <v>2.7500000000000002E-4</v>
      </c>
      <c r="L552" s="14">
        <f t="shared" si="100"/>
        <v>1.5275E-2</v>
      </c>
      <c r="M552" s="10">
        <f t="shared" si="101"/>
        <v>4.7242625907048508</v>
      </c>
      <c r="N552" s="16">
        <f t="shared" si="102"/>
        <v>1.5504548011597145E-2</v>
      </c>
      <c r="O552" s="13">
        <f t="shared" si="103"/>
        <v>25204.395100000002</v>
      </c>
      <c r="P552" s="13">
        <f t="shared" ca="1" si="109"/>
        <v>25203</v>
      </c>
      <c r="Q552" s="13" t="str">
        <f t="shared" ca="1" si="104"/>
        <v>0110001001110011</v>
      </c>
      <c r="R552" s="13">
        <f t="shared" ca="1" si="105"/>
        <v>4.7254182872772219</v>
      </c>
      <c r="S552" s="13">
        <f t="shared" ca="1" si="106"/>
        <v>76.705019447326677</v>
      </c>
      <c r="T552" s="17">
        <f t="shared" ca="1" si="108"/>
        <v>2.273359263102236E-2</v>
      </c>
      <c r="U552" s="13"/>
      <c r="V552" s="14">
        <f t="shared" ca="1" si="107"/>
        <v>1.7050190000000001</v>
      </c>
      <c r="W552" s="13"/>
      <c r="X552" s="2"/>
    </row>
    <row r="553" spans="8:24" x14ac:dyDescent="0.25">
      <c r="H553" s="13">
        <v>75.099999999999994</v>
      </c>
      <c r="I553" s="13">
        <v>4.659504396111644</v>
      </c>
      <c r="J553" s="14">
        <f t="shared" si="98"/>
        <v>9.2E-5</v>
      </c>
      <c r="K553" s="23">
        <f t="shared" si="99"/>
        <v>2.7599999999999999E-4</v>
      </c>
      <c r="L553" s="14">
        <f t="shared" si="100"/>
        <v>1.5306E-2</v>
      </c>
      <c r="M553" s="10">
        <f t="shared" si="101"/>
        <v>4.731895907117992</v>
      </c>
      <c r="N553" s="16">
        <f t="shared" si="102"/>
        <v>1.5536311343918616E-2</v>
      </c>
      <c r="O553" s="13">
        <f t="shared" si="103"/>
        <v>25245.119600000002</v>
      </c>
      <c r="P553" s="13">
        <f t="shared" ca="1" si="109"/>
        <v>25244</v>
      </c>
      <c r="Q553" s="13" t="str">
        <f t="shared" ca="1" si="104"/>
        <v>0110001010011100</v>
      </c>
      <c r="R553" s="13">
        <f t="shared" ca="1" si="105"/>
        <v>4.7331055526733401</v>
      </c>
      <c r="S553" s="13">
        <f t="shared" ca="1" si="106"/>
        <v>76.797266632080095</v>
      </c>
      <c r="T553" s="17">
        <f t="shared" ca="1" si="108"/>
        <v>2.2600088309988033E-2</v>
      </c>
      <c r="U553" s="13"/>
      <c r="V553" s="14">
        <f t="shared" ca="1" si="107"/>
        <v>1.6972670000000001</v>
      </c>
      <c r="W553" s="13"/>
      <c r="X553" s="2"/>
    </row>
    <row r="554" spans="8:24" x14ac:dyDescent="0.25">
      <c r="H554" s="13">
        <v>75.2</v>
      </c>
      <c r="I554" s="13">
        <v>4.6668860139456037</v>
      </c>
      <c r="J554" s="14">
        <f t="shared" si="98"/>
        <v>9.2E-5</v>
      </c>
      <c r="K554" s="23">
        <f t="shared" si="99"/>
        <v>2.7599999999999999E-4</v>
      </c>
      <c r="L554" s="14">
        <f t="shared" si="100"/>
        <v>1.5336000000000001E-2</v>
      </c>
      <c r="M554" s="10">
        <f t="shared" si="101"/>
        <v>4.7395366586547327</v>
      </c>
      <c r="N554" s="16">
        <f t="shared" si="102"/>
        <v>1.5567263586904455E-2</v>
      </c>
      <c r="O554" s="13">
        <f t="shared" si="103"/>
        <v>25285.8838</v>
      </c>
      <c r="P554" s="13">
        <f t="shared" ca="1" si="109"/>
        <v>25284</v>
      </c>
      <c r="Q554" s="13" t="str">
        <f t="shared" ca="1" si="104"/>
        <v>0110001011000100</v>
      </c>
      <c r="R554" s="13">
        <f t="shared" ca="1" si="105"/>
        <v>4.7406053237915042</v>
      </c>
      <c r="S554" s="13">
        <f t="shared" ca="1" si="106"/>
        <v>76.887263885498058</v>
      </c>
      <c r="T554" s="17">
        <f t="shared" ca="1" si="108"/>
        <v>2.2437019753963498E-2</v>
      </c>
      <c r="U554" s="13"/>
      <c r="V554" s="14">
        <f t="shared" ca="1" si="107"/>
        <v>1.6872640000000001</v>
      </c>
      <c r="W554" s="13"/>
      <c r="X554" s="2"/>
    </row>
    <row r="555" spans="8:24" x14ac:dyDescent="0.25">
      <c r="H555" s="13">
        <v>75.300000000000011</v>
      </c>
      <c r="I555" s="13">
        <v>4.6742781100211355</v>
      </c>
      <c r="J555" s="14">
        <f t="shared" si="98"/>
        <v>9.2999999999999997E-5</v>
      </c>
      <c r="K555" s="23">
        <f t="shared" si="99"/>
        <v>2.7700000000000001E-4</v>
      </c>
      <c r="L555" s="14">
        <f t="shared" si="100"/>
        <v>1.5367E-2</v>
      </c>
      <c r="M555" s="10">
        <f t="shared" si="101"/>
        <v>4.7471923231652156</v>
      </c>
      <c r="N555" s="16">
        <f t="shared" si="102"/>
        <v>1.5599031856440052E-2</v>
      </c>
      <c r="O555" s="13">
        <f t="shared" si="103"/>
        <v>25326.727500000001</v>
      </c>
      <c r="P555" s="13">
        <f t="shared" ca="1" si="109"/>
        <v>25327</v>
      </c>
      <c r="Q555" s="13" t="str">
        <f t="shared" ca="1" si="104"/>
        <v>0110001011101111</v>
      </c>
      <c r="R555" s="13">
        <f t="shared" ca="1" si="105"/>
        <v>4.7486675777435305</v>
      </c>
      <c r="S555" s="13">
        <f t="shared" ca="1" si="106"/>
        <v>76.984010932922374</v>
      </c>
      <c r="T555" s="17">
        <f t="shared" ca="1" si="108"/>
        <v>2.2364023013577185E-2</v>
      </c>
      <c r="U555" s="13"/>
      <c r="V555" s="14">
        <f t="shared" ca="1" si="107"/>
        <v>1.6840109999999999</v>
      </c>
      <c r="W555" s="13"/>
      <c r="X555" s="2"/>
    </row>
    <row r="556" spans="8:24" x14ac:dyDescent="0.25">
      <c r="H556" s="13">
        <v>75.400000000000006</v>
      </c>
      <c r="I556" s="13">
        <v>4.6820932836606888</v>
      </c>
      <c r="J556" s="14">
        <f t="shared" si="98"/>
        <v>9.3999999999999994E-5</v>
      </c>
      <c r="K556" s="23">
        <f t="shared" si="99"/>
        <v>2.7700000000000001E-4</v>
      </c>
      <c r="L556" s="14">
        <f t="shared" si="100"/>
        <v>1.5396999999999999E-2</v>
      </c>
      <c r="M556" s="10">
        <f t="shared" si="101"/>
        <v>4.755273334160762</v>
      </c>
      <c r="N556" s="16">
        <f t="shared" si="102"/>
        <v>1.5629771998659867E-2</v>
      </c>
      <c r="O556" s="13">
        <f t="shared" si="103"/>
        <v>25369.840400000001</v>
      </c>
      <c r="P556" s="13">
        <f t="shared" ca="1" si="109"/>
        <v>25373</v>
      </c>
      <c r="Q556" s="13" t="str">
        <f t="shared" ca="1" si="104"/>
        <v>0110001100011101</v>
      </c>
      <c r="R556" s="13">
        <f t="shared" ca="1" si="105"/>
        <v>4.757292314529419</v>
      </c>
      <c r="S556" s="13">
        <f t="shared" ca="1" si="106"/>
        <v>77.087507774353043</v>
      </c>
      <c r="T556" s="17">
        <f t="shared" ca="1" si="108"/>
        <v>2.2380739712904996E-2</v>
      </c>
      <c r="U556" s="13"/>
      <c r="V556" s="14">
        <f t="shared" ca="1" si="107"/>
        <v>1.687508</v>
      </c>
      <c r="W556" s="13"/>
      <c r="X556" s="2"/>
    </row>
    <row r="557" spans="8:24" x14ac:dyDescent="0.25">
      <c r="H557" s="13">
        <v>75.5</v>
      </c>
      <c r="I557" s="13">
        <v>4.6895051251873499</v>
      </c>
      <c r="J557" s="14">
        <f t="shared" si="98"/>
        <v>9.3999999999999994E-5</v>
      </c>
      <c r="K557" s="23">
        <f t="shared" si="99"/>
        <v>2.7799999999999998E-4</v>
      </c>
      <c r="L557" s="14">
        <f t="shared" si="100"/>
        <v>1.5428000000000001E-2</v>
      </c>
      <c r="M557" s="10">
        <f t="shared" si="101"/>
        <v>4.7629510389929335</v>
      </c>
      <c r="N557" s="16">
        <f t="shared" si="102"/>
        <v>1.5661762135860638E-2</v>
      </c>
      <c r="O557" s="13">
        <f t="shared" si="103"/>
        <v>25410.8017</v>
      </c>
      <c r="P557" s="13">
        <f t="shared" ca="1" si="109"/>
        <v>25411</v>
      </c>
      <c r="Q557" s="13" t="str">
        <f t="shared" ca="1" si="104"/>
        <v>0110001101000011</v>
      </c>
      <c r="R557" s="13">
        <f t="shared" ca="1" si="105"/>
        <v>4.764417097091675</v>
      </c>
      <c r="S557" s="13">
        <f t="shared" ca="1" si="106"/>
        <v>77.173005165100108</v>
      </c>
      <c r="T557" s="17">
        <f t="shared" ca="1" si="108"/>
        <v>2.2159008809272948E-2</v>
      </c>
      <c r="U557" s="13"/>
      <c r="V557" s="14">
        <f t="shared" ca="1" si="107"/>
        <v>1.6730050000000001</v>
      </c>
      <c r="W557" s="13"/>
      <c r="X557" s="2"/>
    </row>
    <row r="558" spans="8:24" x14ac:dyDescent="0.25">
      <c r="H558" s="13">
        <v>75.599999999999994</v>
      </c>
      <c r="I558" s="13">
        <v>4.6969271225260814</v>
      </c>
      <c r="J558" s="14">
        <f t="shared" si="98"/>
        <v>9.5000000000000005E-5</v>
      </c>
      <c r="K558" s="23">
        <f t="shared" si="99"/>
        <v>2.7799999999999998E-4</v>
      </c>
      <c r="L558" s="14">
        <f t="shared" si="100"/>
        <v>1.5458E-2</v>
      </c>
      <c r="M558" s="10">
        <f t="shared" si="101"/>
        <v>4.770633681409306</v>
      </c>
      <c r="N558" s="16">
        <f t="shared" si="102"/>
        <v>1.569250638991905E-2</v>
      </c>
      <c r="O558" s="13">
        <f t="shared" si="103"/>
        <v>25451.789400000001</v>
      </c>
      <c r="P558" s="13">
        <f t="shared" ca="1" si="109"/>
        <v>25450</v>
      </c>
      <c r="Q558" s="13" t="str">
        <f t="shared" ca="1" si="104"/>
        <v>0110001101101010</v>
      </c>
      <c r="R558" s="13">
        <f t="shared" ca="1" si="105"/>
        <v>4.7717293739318851</v>
      </c>
      <c r="S558" s="13">
        <f t="shared" ca="1" si="106"/>
        <v>77.260752487182629</v>
      </c>
      <c r="T558" s="17">
        <f t="shared" ca="1" si="108"/>
        <v>2.1967625491833787E-2</v>
      </c>
      <c r="U558" s="13"/>
      <c r="V558" s="14">
        <f t="shared" ca="1" si="107"/>
        <v>1.660752</v>
      </c>
      <c r="W558" s="13"/>
      <c r="X558" s="2"/>
    </row>
    <row r="559" spans="8:24" x14ac:dyDescent="0.25">
      <c r="H559" s="13">
        <v>75.7</v>
      </c>
      <c r="I559" s="13">
        <v>4.7043591682548174</v>
      </c>
      <c r="J559" s="14">
        <f t="shared" si="98"/>
        <v>9.5000000000000005E-5</v>
      </c>
      <c r="K559" s="23">
        <f t="shared" si="99"/>
        <v>2.7900000000000001E-4</v>
      </c>
      <c r="L559" s="14">
        <f t="shared" si="100"/>
        <v>1.5488999999999999E-2</v>
      </c>
      <c r="M559" s="10">
        <f t="shared" si="101"/>
        <v>4.7783328676803176</v>
      </c>
      <c r="N559" s="16">
        <f t="shared" si="102"/>
        <v>1.5724500783162433E-2</v>
      </c>
      <c r="O559" s="13">
        <f t="shared" si="103"/>
        <v>25492.865300000001</v>
      </c>
      <c r="P559" s="13">
        <f t="shared" ca="1" si="109"/>
        <v>25496</v>
      </c>
      <c r="Q559" s="13" t="str">
        <f t="shared" ca="1" si="104"/>
        <v>0110001110011000</v>
      </c>
      <c r="R559" s="13">
        <f t="shared" ca="1" si="105"/>
        <v>4.7803541107177736</v>
      </c>
      <c r="S559" s="13">
        <f t="shared" ca="1" si="106"/>
        <v>77.364249328613298</v>
      </c>
      <c r="T559" s="17">
        <f t="shared" ca="1" si="108"/>
        <v>2.1984799585380379E-2</v>
      </c>
      <c r="U559" s="13"/>
      <c r="V559" s="14">
        <f t="shared" ca="1" si="107"/>
        <v>1.6642490000000001</v>
      </c>
      <c r="W559" s="13"/>
      <c r="X559" s="2"/>
    </row>
    <row r="560" spans="8:24" x14ac:dyDescent="0.25">
      <c r="H560" s="13">
        <v>75.800000000000011</v>
      </c>
      <c r="I560" s="13">
        <v>4.7113919869401686</v>
      </c>
      <c r="J560" s="14">
        <f t="shared" si="98"/>
        <v>9.6000000000000002E-5</v>
      </c>
      <c r="K560" s="23">
        <f t="shared" si="99"/>
        <v>2.7900000000000001E-4</v>
      </c>
      <c r="L560" s="14">
        <f t="shared" si="100"/>
        <v>1.5519E-2</v>
      </c>
      <c r="M560" s="10">
        <f t="shared" si="101"/>
        <v>4.7856211413304761</v>
      </c>
      <c r="N560" s="16">
        <f t="shared" si="102"/>
        <v>1.5755249106011223E-2</v>
      </c>
      <c r="O560" s="13">
        <f t="shared" si="103"/>
        <v>25531.748899999999</v>
      </c>
      <c r="P560" s="13">
        <f t="shared" ca="1" si="109"/>
        <v>25535</v>
      </c>
      <c r="Q560" s="13" t="str">
        <f t="shared" ca="1" si="104"/>
        <v>0110001110111111</v>
      </c>
      <c r="R560" s="13">
        <f t="shared" ca="1" si="105"/>
        <v>4.7876663875579837</v>
      </c>
      <c r="S560" s="13">
        <f t="shared" ca="1" si="106"/>
        <v>77.451996650695818</v>
      </c>
      <c r="T560" s="17">
        <f t="shared" ca="1" si="108"/>
        <v>2.1794151064588482E-2</v>
      </c>
      <c r="U560" s="13"/>
      <c r="V560" s="14">
        <f t="shared" ca="1" si="107"/>
        <v>1.6519969999999999</v>
      </c>
      <c r="W560" s="13"/>
      <c r="X560" s="2"/>
    </row>
    <row r="561" spans="8:24" x14ac:dyDescent="0.25">
      <c r="H561" s="13">
        <v>75.900000000000006</v>
      </c>
      <c r="I561" s="13">
        <v>4.7188446898353797</v>
      </c>
      <c r="J561" s="14">
        <f t="shared" si="98"/>
        <v>9.6000000000000002E-5</v>
      </c>
      <c r="K561" s="23">
        <f t="shared" si="99"/>
        <v>2.7999999999999998E-4</v>
      </c>
      <c r="L561" s="14">
        <f t="shared" si="100"/>
        <v>1.555E-2</v>
      </c>
      <c r="M561" s="10">
        <f t="shared" si="101"/>
        <v>4.7933422600796174</v>
      </c>
      <c r="N561" s="16">
        <f t="shared" si="102"/>
        <v>1.5787247756788653E-2</v>
      </c>
      <c r="O561" s="13">
        <f t="shared" si="103"/>
        <v>25572.941800000001</v>
      </c>
      <c r="P561" s="13">
        <f t="shared" ca="1" si="109"/>
        <v>25572</v>
      </c>
      <c r="Q561" s="13" t="str">
        <f t="shared" ca="1" si="104"/>
        <v>0110001111100100</v>
      </c>
      <c r="R561" s="13">
        <f t="shared" ca="1" si="105"/>
        <v>4.7946036758422856</v>
      </c>
      <c r="S561" s="13">
        <f t="shared" ca="1" si="106"/>
        <v>77.535244110107442</v>
      </c>
      <c r="T561" s="17">
        <f t="shared" ca="1" si="108"/>
        <v>2.1544718183233676E-2</v>
      </c>
      <c r="U561" s="13"/>
      <c r="V561" s="14">
        <f t="shared" ca="1" si="107"/>
        <v>1.6352439999999999</v>
      </c>
      <c r="W561" s="13"/>
      <c r="X561" s="2"/>
    </row>
    <row r="562" spans="8:24" x14ac:dyDescent="0.25">
      <c r="H562" s="13">
        <v>76</v>
      </c>
      <c r="I562" s="13">
        <v>4.7263071194598503</v>
      </c>
      <c r="J562" s="14">
        <f t="shared" si="98"/>
        <v>9.7E-5</v>
      </c>
      <c r="K562" s="23">
        <f t="shared" si="99"/>
        <v>2.7999999999999998E-4</v>
      </c>
      <c r="L562" s="14">
        <f t="shared" si="100"/>
        <v>1.558E-2</v>
      </c>
      <c r="M562" s="10">
        <f t="shared" si="101"/>
        <v>4.8010678529691093</v>
      </c>
      <c r="N562" s="16">
        <f t="shared" si="102"/>
        <v>1.5818001585517605E-2</v>
      </c>
      <c r="O562" s="13">
        <f t="shared" si="103"/>
        <v>25614.158599999999</v>
      </c>
      <c r="P562" s="13">
        <f t="shared" ca="1" si="109"/>
        <v>25613</v>
      </c>
      <c r="Q562" s="13" t="str">
        <f t="shared" ca="1" si="104"/>
        <v>0110010000001101</v>
      </c>
      <c r="R562" s="13">
        <f t="shared" ca="1" si="105"/>
        <v>4.8022909412384038</v>
      </c>
      <c r="S562" s="13">
        <f t="shared" ca="1" si="106"/>
        <v>77.62749129486086</v>
      </c>
      <c r="T562" s="17">
        <f t="shared" ca="1" si="108"/>
        <v>2.1414359142906056E-2</v>
      </c>
      <c r="U562" s="13"/>
      <c r="V562" s="14">
        <f t="shared" ca="1" si="107"/>
        <v>1.627491</v>
      </c>
      <c r="W562" s="13"/>
      <c r="X562" s="2"/>
    </row>
    <row r="563" spans="8:24" x14ac:dyDescent="0.25">
      <c r="H563" s="13">
        <v>76.099999999999994</v>
      </c>
      <c r="I563" s="13">
        <v>4.7337791697788552</v>
      </c>
      <c r="J563" s="14">
        <f t="shared" si="98"/>
        <v>9.7999999999999997E-5</v>
      </c>
      <c r="K563" s="23">
        <f t="shared" si="99"/>
        <v>2.81E-4</v>
      </c>
      <c r="L563" s="14">
        <f t="shared" si="100"/>
        <v>1.5611E-2</v>
      </c>
      <c r="M563" s="10">
        <f t="shared" si="101"/>
        <v>4.808808575005262</v>
      </c>
      <c r="N563" s="16">
        <f t="shared" si="102"/>
        <v>1.5849789889947907E-2</v>
      </c>
      <c r="O563" s="13">
        <f t="shared" si="103"/>
        <v>25655.456099999999</v>
      </c>
      <c r="P563" s="13">
        <f t="shared" ca="1" si="109"/>
        <v>25658</v>
      </c>
      <c r="Q563" s="13" t="str">
        <f t="shared" ca="1" si="104"/>
        <v>0110010000111010</v>
      </c>
      <c r="R563" s="13">
        <f t="shared" ca="1" si="105"/>
        <v>4.8107281837463383</v>
      </c>
      <c r="S563" s="13">
        <f t="shared" ca="1" si="106"/>
        <v>77.728738204956073</v>
      </c>
      <c r="T563" s="17">
        <f t="shared" ca="1" si="108"/>
        <v>2.1402604532931396E-2</v>
      </c>
      <c r="U563" s="13"/>
      <c r="V563" s="14">
        <f t="shared" ca="1" si="107"/>
        <v>1.628738</v>
      </c>
      <c r="W563" s="13"/>
      <c r="X563" s="2"/>
    </row>
    <row r="564" spans="8:24" x14ac:dyDescent="0.25">
      <c r="H564" s="13">
        <v>76.2</v>
      </c>
      <c r="I564" s="13">
        <v>4.7412607351131504</v>
      </c>
      <c r="J564" s="14">
        <f t="shared" si="98"/>
        <v>9.7999999999999997E-5</v>
      </c>
      <c r="K564" s="23">
        <f t="shared" si="99"/>
        <v>2.81E-4</v>
      </c>
      <c r="L564" s="14">
        <f t="shared" si="100"/>
        <v>1.5640999999999999E-2</v>
      </c>
      <c r="M564" s="10">
        <f t="shared" si="101"/>
        <v>4.8165555736628098</v>
      </c>
      <c r="N564" s="16">
        <f t="shared" si="102"/>
        <v>1.5880763104217373E-2</v>
      </c>
      <c r="O564" s="13">
        <f t="shared" si="103"/>
        <v>25696.787100000001</v>
      </c>
      <c r="P564" s="13">
        <f t="shared" ca="1" si="109"/>
        <v>25698</v>
      </c>
      <c r="Q564" s="13" t="str">
        <f t="shared" ca="1" si="104"/>
        <v>0110010001100010</v>
      </c>
      <c r="R564" s="13">
        <f t="shared" ca="1" si="105"/>
        <v>4.8182279548645024</v>
      </c>
      <c r="S564" s="13">
        <f t="shared" ca="1" si="106"/>
        <v>77.818735458374036</v>
      </c>
      <c r="T564" s="17">
        <f t="shared" ca="1" si="108"/>
        <v>2.1243247485223528E-2</v>
      </c>
      <c r="U564" s="13"/>
      <c r="V564" s="14">
        <f t="shared" ca="1" si="107"/>
        <v>1.618735</v>
      </c>
      <c r="W564" s="13"/>
      <c r="X564" s="2"/>
    </row>
    <row r="565" spans="8:24" x14ac:dyDescent="0.25">
      <c r="H565" s="13">
        <v>76.300000000000011</v>
      </c>
      <c r="I565" s="13">
        <v>4.7483469338353119</v>
      </c>
      <c r="J565" s="14">
        <f t="shared" si="98"/>
        <v>9.8999999999999994E-5</v>
      </c>
      <c r="K565" s="23">
        <f t="shared" si="99"/>
        <v>2.8200000000000002E-4</v>
      </c>
      <c r="L565" s="14">
        <f t="shared" si="100"/>
        <v>1.5671999999999998E-2</v>
      </c>
      <c r="M565" s="10">
        <f t="shared" si="101"/>
        <v>4.8239052682229016</v>
      </c>
      <c r="N565" s="16">
        <f t="shared" si="102"/>
        <v>1.5912555556794588E-2</v>
      </c>
      <c r="O565" s="13">
        <f t="shared" si="103"/>
        <v>25735.9984</v>
      </c>
      <c r="P565" s="13">
        <f t="shared" ca="1" si="109"/>
        <v>25741</v>
      </c>
      <c r="Q565" s="13" t="str">
        <f t="shared" ca="1" si="104"/>
        <v>0110010010001101</v>
      </c>
      <c r="R565" s="13">
        <f t="shared" ca="1" si="105"/>
        <v>4.8262902088165287</v>
      </c>
      <c r="S565" s="13">
        <f t="shared" ca="1" si="106"/>
        <v>77.915482505798352</v>
      </c>
      <c r="T565" s="17">
        <f t="shared" ca="1" si="108"/>
        <v>2.1172772028811796E-2</v>
      </c>
      <c r="U565" s="13"/>
      <c r="V565" s="14">
        <f t="shared" ca="1" si="107"/>
        <v>1.615483</v>
      </c>
      <c r="W565" s="13"/>
      <c r="X565" s="2"/>
    </row>
    <row r="566" spans="8:24" x14ac:dyDescent="0.25">
      <c r="H566" s="13">
        <v>76.400000000000006</v>
      </c>
      <c r="I566" s="13">
        <v>4.7554441858165868</v>
      </c>
      <c r="J566" s="14">
        <f t="shared" si="98"/>
        <v>9.8999999999999994E-5</v>
      </c>
      <c r="K566" s="23">
        <f t="shared" si="99"/>
        <v>2.8200000000000002E-4</v>
      </c>
      <c r="L566" s="14">
        <f t="shared" si="100"/>
        <v>1.5702000000000001E-2</v>
      </c>
      <c r="M566" s="10">
        <f t="shared" si="101"/>
        <v>4.831262763005296</v>
      </c>
      <c r="N566" s="16">
        <f t="shared" si="102"/>
        <v>1.5943532134146988E-2</v>
      </c>
      <c r="O566" s="13">
        <f t="shared" si="103"/>
        <v>25775.251400000001</v>
      </c>
      <c r="P566" s="13">
        <f t="shared" ca="1" si="109"/>
        <v>25777</v>
      </c>
      <c r="Q566" s="13" t="str">
        <f t="shared" ca="1" si="104"/>
        <v>0110010010110001</v>
      </c>
      <c r="R566" s="13">
        <f t="shared" ca="1" si="105"/>
        <v>4.8330400028228757</v>
      </c>
      <c r="S566" s="13">
        <f t="shared" ca="1" si="106"/>
        <v>77.996480033874519</v>
      </c>
      <c r="T566" s="17">
        <f t="shared" ca="1" si="108"/>
        <v>2.0896335521917716E-2</v>
      </c>
      <c r="U566" s="13"/>
      <c r="V566" s="14">
        <f t="shared" ca="1" si="107"/>
        <v>1.5964799999999999</v>
      </c>
      <c r="W566" s="13"/>
      <c r="X566" s="2"/>
    </row>
    <row r="567" spans="8:24" x14ac:dyDescent="0.25">
      <c r="H567" s="13">
        <v>76.5</v>
      </c>
      <c r="I567" s="13">
        <v>4.7633584380051044</v>
      </c>
      <c r="J567" s="14">
        <f t="shared" si="98"/>
        <v>1E-4</v>
      </c>
      <c r="K567" s="23">
        <f t="shared" si="99"/>
        <v>2.8299999999999999E-4</v>
      </c>
      <c r="L567" s="14">
        <f t="shared" si="100"/>
        <v>1.5733E-2</v>
      </c>
      <c r="M567" s="10">
        <f t="shared" si="101"/>
        <v>4.839454665747307</v>
      </c>
      <c r="N567" s="16">
        <f t="shared" si="102"/>
        <v>1.5975331004918394E-2</v>
      </c>
      <c r="O567" s="13">
        <f t="shared" si="103"/>
        <v>25818.955900000001</v>
      </c>
      <c r="P567" s="13">
        <f t="shared" ca="1" si="109"/>
        <v>25821</v>
      </c>
      <c r="Q567" s="13" t="str">
        <f t="shared" ca="1" si="104"/>
        <v>0110010011011101</v>
      </c>
      <c r="R567" s="13">
        <f t="shared" ca="1" si="105"/>
        <v>4.841289751052857</v>
      </c>
      <c r="S567" s="13">
        <f t="shared" ca="1" si="106"/>
        <v>78.095477012634291</v>
      </c>
      <c r="T567" s="17">
        <f t="shared" ca="1" si="108"/>
        <v>2.0855908661886153E-2</v>
      </c>
      <c r="U567" s="13"/>
      <c r="V567" s="14">
        <f t="shared" ca="1" si="107"/>
        <v>1.595477</v>
      </c>
      <c r="W567" s="13"/>
      <c r="X567" s="2"/>
    </row>
    <row r="568" spans="8:24" x14ac:dyDescent="0.25">
      <c r="H568" s="13">
        <v>76.599999999999994</v>
      </c>
      <c r="I568" s="13">
        <v>4.7704757251781489</v>
      </c>
      <c r="J568" s="14">
        <f t="shared" si="98"/>
        <v>1E-4</v>
      </c>
      <c r="K568" s="23">
        <f t="shared" si="99"/>
        <v>2.8299999999999999E-4</v>
      </c>
      <c r="L568" s="14">
        <f t="shared" si="100"/>
        <v>1.5762999999999999E-2</v>
      </c>
      <c r="M568" s="10">
        <f t="shared" si="101"/>
        <v>4.8468334465419902</v>
      </c>
      <c r="N568" s="16">
        <f t="shared" si="102"/>
        <v>1.6006311689383941E-2</v>
      </c>
      <c r="O568" s="13">
        <f t="shared" si="103"/>
        <v>25858.322400000001</v>
      </c>
      <c r="P568" s="13">
        <f t="shared" ca="1" si="109"/>
        <v>25861</v>
      </c>
      <c r="Q568" s="13" t="str">
        <f t="shared" ca="1" si="104"/>
        <v>0110010100000101</v>
      </c>
      <c r="R568" s="13">
        <f t="shared" ca="1" si="105"/>
        <v>4.8487895221710202</v>
      </c>
      <c r="S568" s="13">
        <f t="shared" ca="1" si="106"/>
        <v>78.185474266052253</v>
      </c>
      <c r="T568" s="17">
        <f t="shared" ca="1" si="108"/>
        <v>2.0698097468045157E-2</v>
      </c>
      <c r="U568" s="13"/>
      <c r="V568" s="14">
        <f t="shared" ca="1" si="107"/>
        <v>1.585474</v>
      </c>
      <c r="W568" s="13"/>
      <c r="X568" s="2"/>
    </row>
    <row r="569" spans="8:24" x14ac:dyDescent="0.25">
      <c r="H569" s="13">
        <v>76.7</v>
      </c>
      <c r="I569" s="13">
        <v>4.7776037421726789</v>
      </c>
      <c r="J569" s="14">
        <f t="shared" si="98"/>
        <v>1.01E-4</v>
      </c>
      <c r="K569" s="23">
        <f t="shared" si="99"/>
        <v>2.8400000000000002E-4</v>
      </c>
      <c r="L569" s="14">
        <f t="shared" si="100"/>
        <v>1.5793999999999999E-2</v>
      </c>
      <c r="M569" s="10">
        <f t="shared" si="101"/>
        <v>4.8542274951795443</v>
      </c>
      <c r="N569" s="16">
        <f t="shared" si="102"/>
        <v>1.6038113904360711E-2</v>
      </c>
      <c r="O569" s="13">
        <f t="shared" si="103"/>
        <v>25897.770400000001</v>
      </c>
      <c r="P569" s="13">
        <f t="shared" ca="1" si="109"/>
        <v>25897</v>
      </c>
      <c r="Q569" s="13" t="str">
        <f t="shared" ca="1" si="104"/>
        <v>0110010100101001</v>
      </c>
      <c r="R569" s="13">
        <f t="shared" ca="1" si="105"/>
        <v>4.8555393161773681</v>
      </c>
      <c r="S569" s="13">
        <f t="shared" ca="1" si="106"/>
        <v>78.266471794128421</v>
      </c>
      <c r="T569" s="17">
        <f t="shared" ca="1" si="108"/>
        <v>2.0423361070774682E-2</v>
      </c>
      <c r="U569" s="13"/>
      <c r="V569" s="14">
        <f t="shared" ca="1" si="107"/>
        <v>1.5664720000000001</v>
      </c>
      <c r="W569" s="13"/>
      <c r="X569" s="2"/>
    </row>
    <row r="570" spans="8:24" x14ac:dyDescent="0.25">
      <c r="H570" s="13">
        <v>76.800000000000011</v>
      </c>
      <c r="I570" s="13">
        <v>4.7851427985445838</v>
      </c>
      <c r="J570" s="14">
        <f t="shared" si="98"/>
        <v>1.02E-4</v>
      </c>
      <c r="K570" s="23">
        <f t="shared" si="99"/>
        <v>2.8400000000000002E-4</v>
      </c>
      <c r="L570" s="14">
        <f t="shared" si="100"/>
        <v>1.5824000000000001E-2</v>
      </c>
      <c r="M570" s="10">
        <f t="shared" si="101"/>
        <v>4.8620347181323096</v>
      </c>
      <c r="N570" s="16">
        <f t="shared" si="102"/>
        <v>1.6068887141907805E-2</v>
      </c>
      <c r="O570" s="13">
        <f t="shared" si="103"/>
        <v>25939.422699999999</v>
      </c>
      <c r="P570" s="13">
        <f t="shared" ca="1" si="109"/>
        <v>25943</v>
      </c>
      <c r="Q570" s="13" t="str">
        <f t="shared" ca="1" si="104"/>
        <v>0110010101010111</v>
      </c>
      <c r="R570" s="13">
        <f t="shared" ca="1" si="105"/>
        <v>4.8641640529632566</v>
      </c>
      <c r="S570" s="13">
        <f t="shared" ca="1" si="106"/>
        <v>78.36996863555909</v>
      </c>
      <c r="T570" s="17">
        <f t="shared" ca="1" si="108"/>
        <v>2.0442299942175498E-2</v>
      </c>
      <c r="U570" s="13"/>
      <c r="V570" s="14">
        <f t="shared" ca="1" si="107"/>
        <v>1.5699689999999999</v>
      </c>
      <c r="W570" s="13"/>
      <c r="X570" s="2"/>
    </row>
    <row r="571" spans="8:24" x14ac:dyDescent="0.25">
      <c r="H571" s="13">
        <v>76.900000000000006</v>
      </c>
      <c r="I571" s="13">
        <v>4.7922910831067096</v>
      </c>
      <c r="J571" s="14">
        <f t="shared" si="98"/>
        <v>1.02E-4</v>
      </c>
      <c r="K571" s="23">
        <f t="shared" si="99"/>
        <v>2.8499999999999999E-4</v>
      </c>
      <c r="L571" s="14">
        <f t="shared" si="100"/>
        <v>1.5855000000000001E-2</v>
      </c>
      <c r="M571" s="10">
        <f t="shared" si="101"/>
        <v>4.8694513141017932</v>
      </c>
      <c r="N571" s="16">
        <f t="shared" si="102"/>
        <v>1.6100906572032093E-2</v>
      </c>
      <c r="O571" s="13">
        <f t="shared" si="103"/>
        <v>25978.990900000001</v>
      </c>
      <c r="P571" s="13">
        <f t="shared" ca="1" si="109"/>
        <v>25982</v>
      </c>
      <c r="Q571" s="13" t="str">
        <f t="shared" ca="1" si="104"/>
        <v>0110010101111110</v>
      </c>
      <c r="R571" s="13">
        <f t="shared" ca="1" si="105"/>
        <v>4.8714763298034667</v>
      </c>
      <c r="S571" s="13">
        <f t="shared" ca="1" si="106"/>
        <v>78.457715957641611</v>
      </c>
      <c r="T571" s="17">
        <f t="shared" ca="1" si="108"/>
        <v>2.025638436465026E-2</v>
      </c>
      <c r="U571" s="13"/>
      <c r="V571" s="14">
        <f t="shared" ca="1" si="107"/>
        <v>1.5577160000000001</v>
      </c>
      <c r="W571" s="13"/>
      <c r="X571" s="2"/>
    </row>
    <row r="572" spans="8:24" x14ac:dyDescent="0.25">
      <c r="H572" s="13">
        <v>77</v>
      </c>
      <c r="I572" s="13">
        <v>4.7994497753499195</v>
      </c>
      <c r="J572" s="14">
        <f t="shared" si="98"/>
        <v>1.03E-4</v>
      </c>
      <c r="K572" s="23">
        <f t="shared" si="99"/>
        <v>2.8499999999999999E-4</v>
      </c>
      <c r="L572" s="14">
        <f t="shared" si="100"/>
        <v>1.5885E-2</v>
      </c>
      <c r="M572" s="10">
        <f t="shared" si="101"/>
        <v>4.8768729813283196</v>
      </c>
      <c r="N572" s="16">
        <f t="shared" si="102"/>
        <v>1.6131683755927072E-2</v>
      </c>
      <c r="O572" s="13">
        <f t="shared" si="103"/>
        <v>26018.586299999999</v>
      </c>
      <c r="P572" s="13">
        <f t="shared" ca="1" si="109"/>
        <v>26017</v>
      </c>
      <c r="Q572" s="13" t="str">
        <f t="shared" ca="1" si="104"/>
        <v>0110010110100001</v>
      </c>
      <c r="R572" s="13">
        <f t="shared" ca="1" si="105"/>
        <v>4.8780386295318605</v>
      </c>
      <c r="S572" s="13">
        <f t="shared" ca="1" si="106"/>
        <v>78.536463554382337</v>
      </c>
      <c r="T572" s="17">
        <f t="shared" ca="1" si="108"/>
        <v>1.9954072134835542E-2</v>
      </c>
      <c r="U572" s="13"/>
      <c r="V572" s="14">
        <f t="shared" ca="1" si="107"/>
        <v>1.5364640000000001</v>
      </c>
      <c r="W572" s="13"/>
      <c r="X572" s="2"/>
    </row>
    <row r="573" spans="8:24" x14ac:dyDescent="0.25">
      <c r="H573" s="13">
        <v>77.099999999999994</v>
      </c>
      <c r="I573" s="13">
        <v>4.8066187680884758</v>
      </c>
      <c r="J573" s="14">
        <f t="shared" si="98"/>
        <v>1.03E-4</v>
      </c>
      <c r="K573" s="23">
        <f t="shared" si="99"/>
        <v>2.8600000000000001E-4</v>
      </c>
      <c r="L573" s="14">
        <f t="shared" si="100"/>
        <v>1.5916E-2</v>
      </c>
      <c r="M573" s="10">
        <f t="shared" si="101"/>
        <v>4.8843115475513024</v>
      </c>
      <c r="N573" s="16">
        <f t="shared" si="102"/>
        <v>1.616370742332118E-2</v>
      </c>
      <c r="O573" s="13">
        <f t="shared" si="103"/>
        <v>26058.271700000001</v>
      </c>
      <c r="P573" s="13">
        <f t="shared" ca="1" si="109"/>
        <v>26063</v>
      </c>
      <c r="Q573" s="13" t="str">
        <f t="shared" ca="1" si="104"/>
        <v>0110010111001111</v>
      </c>
      <c r="R573" s="13">
        <f t="shared" ca="1" si="105"/>
        <v>4.886663366317749</v>
      </c>
      <c r="S573" s="13">
        <f t="shared" ca="1" si="106"/>
        <v>78.639960395812992</v>
      </c>
      <c r="T573" s="17">
        <f t="shared" ca="1" si="108"/>
        <v>1.9973545989792445E-2</v>
      </c>
      <c r="U573" s="13"/>
      <c r="V573" s="14">
        <f t="shared" ca="1" si="107"/>
        <v>1.53996</v>
      </c>
      <c r="W573" s="13"/>
      <c r="X573" s="2"/>
    </row>
    <row r="574" spans="8:24" x14ac:dyDescent="0.25">
      <c r="H574" s="13">
        <v>77.2</v>
      </c>
      <c r="I574" s="13">
        <v>4.814194911632967</v>
      </c>
      <c r="J574" s="14">
        <f t="shared" si="98"/>
        <v>1.0399999999999999E-4</v>
      </c>
      <c r="K574" s="23">
        <f t="shared" si="99"/>
        <v>2.8600000000000001E-4</v>
      </c>
      <c r="L574" s="14">
        <f t="shared" si="100"/>
        <v>1.5945999999999998E-2</v>
      </c>
      <c r="M574" s="10">
        <f t="shared" si="101"/>
        <v>4.8921583437138274</v>
      </c>
      <c r="N574" s="16">
        <f t="shared" si="102"/>
        <v>1.6194490150880776E-2</v>
      </c>
      <c r="O574" s="13">
        <f t="shared" si="103"/>
        <v>26100.1351</v>
      </c>
      <c r="P574" s="13">
        <f t="shared" ca="1" si="109"/>
        <v>26100</v>
      </c>
      <c r="Q574" s="13" t="str">
        <f t="shared" ca="1" si="104"/>
        <v>0110010111110100</v>
      </c>
      <c r="R574" s="13">
        <f t="shared" ca="1" si="105"/>
        <v>4.893600654602051</v>
      </c>
      <c r="S574" s="13">
        <f t="shared" ca="1" si="106"/>
        <v>78.723207855224615</v>
      </c>
      <c r="T574" s="17">
        <f t="shared" ca="1" si="108"/>
        <v>1.9730671699800674E-2</v>
      </c>
      <c r="U574" s="13"/>
      <c r="V574" s="14">
        <f t="shared" ca="1" si="107"/>
        <v>1.5232079999999999</v>
      </c>
      <c r="W574" s="13"/>
      <c r="X574" s="2"/>
    </row>
    <row r="575" spans="8:24" x14ac:dyDescent="0.25">
      <c r="H575" s="13">
        <v>77.300000000000011</v>
      </c>
      <c r="I575" s="13">
        <v>4.8213833233845174</v>
      </c>
      <c r="J575" s="14">
        <f t="shared" si="98"/>
        <v>1.0399999999999999E-4</v>
      </c>
      <c r="K575" s="23">
        <f t="shared" si="99"/>
        <v>2.8699999999999998E-4</v>
      </c>
      <c r="L575" s="14">
        <f t="shared" si="100"/>
        <v>1.5977000000000002E-2</v>
      </c>
      <c r="M575" s="10">
        <f t="shared" si="101"/>
        <v>4.8996175869044905</v>
      </c>
      <c r="N575" s="16">
        <f t="shared" si="102"/>
        <v>1.6226518049399598E-2</v>
      </c>
      <c r="O575" s="13">
        <f t="shared" si="103"/>
        <v>26139.930899999999</v>
      </c>
      <c r="P575" s="13">
        <f t="shared" ca="1" si="109"/>
        <v>26139</v>
      </c>
      <c r="Q575" s="13" t="str">
        <f t="shared" ca="1" si="104"/>
        <v>0110011000011011</v>
      </c>
      <c r="R575" s="13">
        <f t="shared" ca="1" si="105"/>
        <v>4.900912931442261</v>
      </c>
      <c r="S575" s="13">
        <f t="shared" ca="1" si="106"/>
        <v>78.810955177307136</v>
      </c>
      <c r="T575" s="17">
        <f t="shared" ca="1" si="108"/>
        <v>1.9546638774995139E-2</v>
      </c>
      <c r="U575" s="13"/>
      <c r="V575" s="14">
        <f t="shared" ca="1" si="107"/>
        <v>1.510955</v>
      </c>
      <c r="W575" s="13"/>
      <c r="X575" s="2"/>
    </row>
    <row r="576" spans="8:24" x14ac:dyDescent="0.25">
      <c r="H576" s="13">
        <v>77.400000000000006</v>
      </c>
      <c r="I576" s="13">
        <v>4.8285817177871975</v>
      </c>
      <c r="J576" s="14">
        <f t="shared" si="98"/>
        <v>1.05E-4</v>
      </c>
      <c r="K576" s="23">
        <f t="shared" si="99"/>
        <v>2.8699999999999998E-4</v>
      </c>
      <c r="L576" s="14">
        <f t="shared" si="100"/>
        <v>1.6007E-2</v>
      </c>
      <c r="M576" s="10">
        <f t="shared" si="101"/>
        <v>4.9070814420236708</v>
      </c>
      <c r="N576" s="16">
        <f t="shared" si="102"/>
        <v>1.6257304696180547E-2</v>
      </c>
      <c r="O576" s="13">
        <f t="shared" si="103"/>
        <v>26179.7513</v>
      </c>
      <c r="P576" s="13">
        <f t="shared" ca="1" si="109"/>
        <v>26183</v>
      </c>
      <c r="Q576" s="13" t="str">
        <f t="shared" ca="1" si="104"/>
        <v>0110011001000111</v>
      </c>
      <c r="R576" s="13">
        <f t="shared" ca="1" si="105"/>
        <v>4.9091626796722414</v>
      </c>
      <c r="S576" s="13">
        <f t="shared" ca="1" si="106"/>
        <v>78.909952156066907</v>
      </c>
      <c r="T576" s="17">
        <f t="shared" ca="1" si="108"/>
        <v>1.9508425788978059E-2</v>
      </c>
      <c r="U576" s="13"/>
      <c r="V576" s="14">
        <f t="shared" ca="1" si="107"/>
        <v>1.509952</v>
      </c>
      <c r="W576" s="13"/>
      <c r="X576" s="2"/>
    </row>
    <row r="577" spans="8:24" x14ac:dyDescent="0.25">
      <c r="H577" s="13">
        <v>77.5</v>
      </c>
      <c r="I577" s="13">
        <v>4.8357899887336204</v>
      </c>
      <c r="J577" s="14">
        <f t="shared" si="98"/>
        <v>1.06E-4</v>
      </c>
      <c r="K577" s="23">
        <f t="shared" si="99"/>
        <v>2.8800000000000001E-4</v>
      </c>
      <c r="L577" s="14">
        <f t="shared" si="100"/>
        <v>1.6038E-2</v>
      </c>
      <c r="M577" s="10">
        <f t="shared" si="101"/>
        <v>4.9145607843896624</v>
      </c>
      <c r="N577" s="16">
        <f t="shared" si="102"/>
        <v>1.6289126665872882E-2</v>
      </c>
      <c r="O577" s="13">
        <f t="shared" si="103"/>
        <v>26219.654299999998</v>
      </c>
      <c r="P577" s="13">
        <f t="shared" ca="1" si="109"/>
        <v>26222</v>
      </c>
      <c r="Q577" s="13" t="str">
        <f t="shared" ca="1" si="104"/>
        <v>0110011001101110</v>
      </c>
      <c r="R577" s="13">
        <f t="shared" ca="1" si="105"/>
        <v>4.9164749565124515</v>
      </c>
      <c r="S577" s="13">
        <f t="shared" ca="1" si="106"/>
        <v>78.997699478149428</v>
      </c>
      <c r="T577" s="17">
        <f t="shared" ca="1" si="108"/>
        <v>1.9325154556766817E-2</v>
      </c>
      <c r="U577" s="13"/>
      <c r="V577" s="14">
        <f t="shared" ca="1" si="107"/>
        <v>1.4976989999999999</v>
      </c>
      <c r="W577" s="13"/>
      <c r="X577" s="2"/>
    </row>
    <row r="578" spans="8:24" x14ac:dyDescent="0.25">
      <c r="H578" s="13">
        <v>77.599999999999994</v>
      </c>
      <c r="I578" s="13">
        <v>4.8430080307885239</v>
      </c>
      <c r="J578" s="14">
        <f t="shared" si="98"/>
        <v>1.06E-4</v>
      </c>
      <c r="K578" s="23">
        <f t="shared" si="99"/>
        <v>2.8800000000000001E-4</v>
      </c>
      <c r="L578" s="14">
        <f t="shared" si="100"/>
        <v>1.6067999999999999E-2</v>
      </c>
      <c r="M578" s="10">
        <f t="shared" si="101"/>
        <v>4.9220465426925077</v>
      </c>
      <c r="N578" s="16">
        <f t="shared" si="102"/>
        <v>1.6320128193368904E-2</v>
      </c>
      <c r="O578" s="13">
        <f t="shared" si="103"/>
        <v>26259.591499999999</v>
      </c>
      <c r="P578" s="13">
        <f t="shared" ca="1" si="109"/>
        <v>26263</v>
      </c>
      <c r="Q578" s="13" t="str">
        <f t="shared" ca="1" si="104"/>
        <v>0110011010010111</v>
      </c>
      <c r="R578" s="13">
        <f t="shared" ca="1" si="105"/>
        <v>4.9241622219085697</v>
      </c>
      <c r="S578" s="13">
        <f t="shared" ca="1" si="106"/>
        <v>79.089946662902847</v>
      </c>
      <c r="T578" s="17">
        <f t="shared" ca="1" si="108"/>
        <v>1.9200343594108923E-2</v>
      </c>
      <c r="U578" s="13"/>
      <c r="V578" s="14">
        <f t="shared" ca="1" si="107"/>
        <v>1.4899469999999999</v>
      </c>
      <c r="W578" s="13"/>
      <c r="X578" s="2"/>
    </row>
    <row r="579" spans="8:24" x14ac:dyDescent="0.25">
      <c r="H579" s="13">
        <v>77.7</v>
      </c>
      <c r="I579" s="13">
        <v>4.849843076238451</v>
      </c>
      <c r="J579" s="14">
        <f t="shared" ref="J579:J602" si="110">ROUND(H579*0.00000575 -0.00034,6)</f>
        <v>1.07E-4</v>
      </c>
      <c r="K579" s="23">
        <f t="shared" ref="K579:K602" si="111">ROUND(H579*0.000005-0.0001,6)</f>
        <v>2.8899999999999998E-4</v>
      </c>
      <c r="L579" s="14">
        <f t="shared" ref="L579:L602" si="112">ROUND(K579+($C$24*(H579-25)),6)</f>
        <v>1.6098999999999999E-2</v>
      </c>
      <c r="M579" s="10">
        <f t="shared" ref="M579:M602" si="113">(I579-J579)/(1-L579)+$C$26+$D$27</f>
        <v>4.9291474879042214</v>
      </c>
      <c r="N579" s="16">
        <f t="shared" ref="N579:N602" si="114">ABS(I579-M579)/I579</f>
        <v>1.6351954159984715E-2</v>
      </c>
      <c r="O579" s="13">
        <f t="shared" ref="O579:O602" si="115">ROUND((M579*(2^($C$12-1)))/$C$44,4)</f>
        <v>26297.4758</v>
      </c>
      <c r="P579" s="13">
        <f t="shared" ca="1" si="109"/>
        <v>26300</v>
      </c>
      <c r="Q579" s="13" t="str">
        <f t="shared" ref="Q579:Q602" ca="1" si="116">_xlfn.BASE(IF(P579&lt;0, P579+2^($C$12)-1, P579), 2, 16)</f>
        <v>0110011010111100</v>
      </c>
      <c r="R579" s="13">
        <f t="shared" ref="R579:R602" ca="1" si="117">($C$16/2^($C$12-1)) * P579</f>
        <v>4.9310995101928716</v>
      </c>
      <c r="S579" s="13">
        <f t="shared" ref="S579:S602" ca="1" si="118">(R579+5/3)/(1/12)</f>
        <v>79.17319412231447</v>
      </c>
      <c r="T579" s="17">
        <f t="shared" ca="1" si="108"/>
        <v>1.8960027314214509E-2</v>
      </c>
      <c r="U579" s="13"/>
      <c r="V579" s="14">
        <f t="shared" ref="V579:V602" ca="1" si="119">ROUND(ABS(H579-S579),6)</f>
        <v>1.4731939999999999</v>
      </c>
      <c r="W579" s="13"/>
      <c r="X579" s="2"/>
    </row>
    <row r="580" spans="8:24" x14ac:dyDescent="0.25">
      <c r="H580" s="13">
        <v>77.800000000000011</v>
      </c>
      <c r="I580" s="13">
        <v>4.8570811998797021</v>
      </c>
      <c r="J580" s="14">
        <f t="shared" si="110"/>
        <v>1.07E-4</v>
      </c>
      <c r="K580" s="23">
        <f t="shared" si="111"/>
        <v>2.8899999999999998E-4</v>
      </c>
      <c r="L580" s="14">
        <f t="shared" si="112"/>
        <v>1.6129000000000001E-2</v>
      </c>
      <c r="M580" s="10">
        <f t="shared" si="113"/>
        <v>4.9366545658909571</v>
      </c>
      <c r="N580" s="16">
        <f t="shared" si="114"/>
        <v>1.6382959793471399E-2</v>
      </c>
      <c r="O580" s="13">
        <f t="shared" si="115"/>
        <v>26337.5268</v>
      </c>
      <c r="P580" s="13">
        <f t="shared" ca="1" si="109"/>
        <v>26342</v>
      </c>
      <c r="Q580" s="13" t="str">
        <f t="shared" ca="1" si="116"/>
        <v>0110011011100110</v>
      </c>
      <c r="R580" s="13">
        <f t="shared" ca="1" si="117"/>
        <v>4.9389742698669439</v>
      </c>
      <c r="S580" s="13">
        <f t="shared" ca="1" si="118"/>
        <v>79.26769123840333</v>
      </c>
      <c r="T580" s="17">
        <f t="shared" ref="T580:T602" ca="1" si="120">ABS(H580-S580)/H580</f>
        <v>1.8864925943487383E-2</v>
      </c>
      <c r="U580" s="13"/>
      <c r="V580" s="14">
        <f t="shared" ca="1" si="119"/>
        <v>1.4676910000000001</v>
      </c>
      <c r="W580" s="13"/>
      <c r="X580" s="2"/>
    </row>
    <row r="581" spans="8:24" x14ac:dyDescent="0.25">
      <c r="H581" s="13">
        <v>77.900000000000006</v>
      </c>
      <c r="I581" s="13">
        <v>4.8643287787194209</v>
      </c>
      <c r="J581" s="14">
        <f t="shared" si="110"/>
        <v>1.08E-4</v>
      </c>
      <c r="K581" s="23">
        <f t="shared" si="111"/>
        <v>2.9E-4</v>
      </c>
      <c r="L581" s="14">
        <f t="shared" si="112"/>
        <v>1.6160000000000001E-2</v>
      </c>
      <c r="M581" s="10">
        <f t="shared" si="113"/>
        <v>4.9441757210922717</v>
      </c>
      <c r="N581" s="16">
        <f t="shared" si="114"/>
        <v>1.6414791434774513E-2</v>
      </c>
      <c r="O581" s="13">
        <f t="shared" si="115"/>
        <v>26377.6528</v>
      </c>
      <c r="P581" s="13">
        <f t="shared" ca="1" si="109"/>
        <v>26382</v>
      </c>
      <c r="Q581" s="13" t="str">
        <f t="shared" ca="1" si="116"/>
        <v>0110011100001110</v>
      </c>
      <c r="R581" s="13">
        <f t="shared" ca="1" si="117"/>
        <v>4.9464740409851071</v>
      </c>
      <c r="S581" s="13">
        <f t="shared" ca="1" si="118"/>
        <v>79.357688491821293</v>
      </c>
      <c r="T581" s="17">
        <f t="shared" ca="1" si="120"/>
        <v>1.8712304131210358E-2</v>
      </c>
      <c r="U581" s="13"/>
      <c r="V581" s="14">
        <f t="shared" ca="1" si="119"/>
        <v>1.4576880000000001</v>
      </c>
      <c r="W581" s="13"/>
      <c r="X581" s="2"/>
    </row>
    <row r="582" spans="8:24" x14ac:dyDescent="0.25">
      <c r="H582" s="13">
        <v>78</v>
      </c>
      <c r="I582" s="13">
        <v>4.8715857087206409</v>
      </c>
      <c r="J582" s="14">
        <f t="shared" si="110"/>
        <v>1.0900000000000001E-4</v>
      </c>
      <c r="K582" s="23">
        <f t="shared" si="111"/>
        <v>2.9E-4</v>
      </c>
      <c r="L582" s="14">
        <f t="shared" si="112"/>
        <v>1.619E-2</v>
      </c>
      <c r="M582" s="10">
        <f t="shared" si="113"/>
        <v>4.951701822202093</v>
      </c>
      <c r="N582" s="16">
        <f t="shared" si="114"/>
        <v>1.6445592517860454E-2</v>
      </c>
      <c r="O582" s="13">
        <f t="shared" si="115"/>
        <v>26417.8053</v>
      </c>
      <c r="P582" s="13">
        <f t="shared" ca="1" si="109"/>
        <v>26417</v>
      </c>
      <c r="Q582" s="13" t="str">
        <f t="shared" ca="1" si="116"/>
        <v>0110011100110001</v>
      </c>
      <c r="R582" s="13">
        <f t="shared" ca="1" si="117"/>
        <v>4.953036340713501</v>
      </c>
      <c r="S582" s="13">
        <f t="shared" ca="1" si="118"/>
        <v>79.436436088562019</v>
      </c>
      <c r="T582" s="17">
        <f t="shared" ca="1" si="120"/>
        <v>1.8415847289256649E-2</v>
      </c>
      <c r="U582" s="13"/>
      <c r="V582" s="14">
        <f t="shared" ca="1" si="119"/>
        <v>1.436436</v>
      </c>
      <c r="W582" s="13"/>
      <c r="X582" s="2"/>
    </row>
    <row r="583" spans="8:24" x14ac:dyDescent="0.25">
      <c r="H583" s="13">
        <v>78.099999999999994</v>
      </c>
      <c r="I583" s="13">
        <v>4.8784626332513552</v>
      </c>
      <c r="J583" s="14">
        <f t="shared" si="110"/>
        <v>1.0900000000000001E-4</v>
      </c>
      <c r="K583" s="23">
        <f t="shared" si="111"/>
        <v>2.9100000000000003E-4</v>
      </c>
      <c r="L583" s="14">
        <f t="shared" si="112"/>
        <v>1.6220999999999999E-2</v>
      </c>
      <c r="M583" s="10">
        <f t="shared" si="113"/>
        <v>4.9588481685758241</v>
      </c>
      <c r="N583" s="16">
        <f t="shared" si="114"/>
        <v>1.6477636781834743E-2</v>
      </c>
      <c r="O583" s="13">
        <f t="shared" si="115"/>
        <v>26455.931799999998</v>
      </c>
      <c r="P583" s="13">
        <f t="shared" ca="1" si="109"/>
        <v>26455</v>
      </c>
      <c r="Q583" s="13" t="str">
        <f t="shared" ca="1" si="116"/>
        <v>0110011101010111</v>
      </c>
      <c r="R583" s="13">
        <f t="shared" ca="1" si="117"/>
        <v>4.960161123275757</v>
      </c>
      <c r="S583" s="13">
        <f t="shared" ca="1" si="118"/>
        <v>79.521933479309098</v>
      </c>
      <c r="T583" s="17">
        <f t="shared" ca="1" si="120"/>
        <v>1.8206574639041021E-2</v>
      </c>
      <c r="U583" s="13"/>
      <c r="V583" s="14">
        <f t="shared" ca="1" si="119"/>
        <v>1.4219329999999999</v>
      </c>
      <c r="W583" s="13"/>
      <c r="X583" s="2"/>
    </row>
    <row r="584" spans="8:24" x14ac:dyDescent="0.25">
      <c r="H584" s="13">
        <v>78.2</v>
      </c>
      <c r="I584" s="13">
        <v>4.8861272069549395</v>
      </c>
      <c r="J584" s="14">
        <f t="shared" si="110"/>
        <v>1.1E-4</v>
      </c>
      <c r="K584" s="23">
        <f t="shared" si="111"/>
        <v>2.9100000000000003E-4</v>
      </c>
      <c r="L584" s="14">
        <f t="shared" si="112"/>
        <v>1.6251000000000002E-2</v>
      </c>
      <c r="M584" s="10">
        <f t="shared" si="113"/>
        <v>4.9667895615618818</v>
      </c>
      <c r="N584" s="16">
        <f t="shared" si="114"/>
        <v>1.6508443433917774E-2</v>
      </c>
      <c r="O584" s="13">
        <f t="shared" si="115"/>
        <v>26498.299900000002</v>
      </c>
      <c r="P584" s="13">
        <f t="shared" ca="1" si="109"/>
        <v>26501</v>
      </c>
      <c r="Q584" s="13" t="str">
        <f t="shared" ca="1" si="116"/>
        <v>0110011110000101</v>
      </c>
      <c r="R584" s="13">
        <f t="shared" ca="1" si="117"/>
        <v>4.9687858600616455</v>
      </c>
      <c r="S584" s="13">
        <f t="shared" ca="1" si="118"/>
        <v>79.625430320739753</v>
      </c>
      <c r="T584" s="17">
        <f t="shared" ca="1" si="120"/>
        <v>1.8228009216620843E-2</v>
      </c>
      <c r="U584" s="13"/>
      <c r="V584" s="14">
        <f t="shared" ca="1" si="119"/>
        <v>1.42543</v>
      </c>
      <c r="W584" s="13"/>
      <c r="X584" s="2"/>
    </row>
    <row r="585" spans="8:24" x14ac:dyDescent="0.25">
      <c r="H585" s="13">
        <v>78.300000000000011</v>
      </c>
      <c r="I585" s="13">
        <v>4.8930240114988024</v>
      </c>
      <c r="J585" s="14">
        <f t="shared" si="110"/>
        <v>1.1E-4</v>
      </c>
      <c r="K585" s="23">
        <f t="shared" si="111"/>
        <v>2.92E-4</v>
      </c>
      <c r="L585" s="14">
        <f t="shared" si="112"/>
        <v>1.6282000000000001E-2</v>
      </c>
      <c r="M585" s="10">
        <f t="shared" si="113"/>
        <v>4.9739570355963822</v>
      </c>
      <c r="N585" s="16">
        <f t="shared" si="114"/>
        <v>1.6540491914076857E-2</v>
      </c>
      <c r="O585" s="13">
        <f t="shared" si="115"/>
        <v>26536.539000000001</v>
      </c>
      <c r="P585" s="13">
        <f t="shared" ca="1" si="109"/>
        <v>26540</v>
      </c>
      <c r="Q585" s="13" t="str">
        <f t="shared" ca="1" si="116"/>
        <v>0110011110101100</v>
      </c>
      <c r="R585" s="13">
        <f t="shared" ca="1" si="117"/>
        <v>4.9760981369018555</v>
      </c>
      <c r="S585" s="13">
        <f t="shared" ca="1" si="118"/>
        <v>79.713177642822274</v>
      </c>
      <c r="T585" s="17">
        <f t="shared" ca="1" si="120"/>
        <v>1.8048245757627868E-2</v>
      </c>
      <c r="U585" s="13"/>
      <c r="V585" s="14">
        <f t="shared" ca="1" si="119"/>
        <v>1.413178</v>
      </c>
      <c r="W585" s="13"/>
      <c r="X585" s="2"/>
    </row>
    <row r="586" spans="8:24" x14ac:dyDescent="0.25">
      <c r="H586" s="13">
        <v>78.400000000000006</v>
      </c>
      <c r="I586" s="13">
        <v>4.8999314462357582</v>
      </c>
      <c r="J586" s="14">
        <f t="shared" si="110"/>
        <v>1.11E-4</v>
      </c>
      <c r="K586" s="23">
        <f t="shared" si="111"/>
        <v>2.92E-4</v>
      </c>
      <c r="L586" s="14">
        <f t="shared" si="112"/>
        <v>1.6312E-2</v>
      </c>
      <c r="M586" s="10">
        <f t="shared" si="113"/>
        <v>4.9811296876039535</v>
      </c>
      <c r="N586" s="16">
        <f t="shared" si="114"/>
        <v>1.6571301508835127E-2</v>
      </c>
      <c r="O586" s="13">
        <f t="shared" si="115"/>
        <v>26574.805799999998</v>
      </c>
      <c r="P586" s="13">
        <f t="shared" ca="1" si="109"/>
        <v>26579</v>
      </c>
      <c r="Q586" s="13" t="str">
        <f t="shared" ca="1" si="116"/>
        <v>0110011111010011</v>
      </c>
      <c r="R586" s="13">
        <f t="shared" ca="1" si="117"/>
        <v>4.9834104137420656</v>
      </c>
      <c r="S586" s="13">
        <f t="shared" ca="1" si="118"/>
        <v>79.800924964904794</v>
      </c>
      <c r="T586" s="17">
        <f t="shared" ca="1" si="120"/>
        <v>1.7868940878887612E-2</v>
      </c>
      <c r="U586" s="13"/>
      <c r="V586" s="14">
        <f t="shared" ca="1" si="119"/>
        <v>1.400925</v>
      </c>
      <c r="W586" s="13"/>
      <c r="X586" s="2"/>
    </row>
    <row r="587" spans="8:24" x14ac:dyDescent="0.25">
      <c r="H587" s="13">
        <v>78.5</v>
      </c>
      <c r="I587" s="13">
        <v>4.9072352694253274</v>
      </c>
      <c r="J587" s="14">
        <f t="shared" si="110"/>
        <v>1.11E-4</v>
      </c>
      <c r="K587" s="23">
        <f t="shared" si="111"/>
        <v>2.9300000000000002E-4</v>
      </c>
      <c r="L587" s="14">
        <f t="shared" si="112"/>
        <v>1.6343E-2</v>
      </c>
      <c r="M587" s="10">
        <f t="shared" si="113"/>
        <v>4.9887118391180332</v>
      </c>
      <c r="N587" s="16">
        <f t="shared" si="114"/>
        <v>1.6603355090869177E-2</v>
      </c>
      <c r="O587" s="13">
        <f t="shared" si="115"/>
        <v>26615.257300000001</v>
      </c>
      <c r="P587" s="13">
        <f t="shared" ca="1" si="109"/>
        <v>26615</v>
      </c>
      <c r="Q587" s="13" t="str">
        <f t="shared" ca="1" si="116"/>
        <v>0110011111110111</v>
      </c>
      <c r="R587" s="13">
        <f t="shared" ca="1" si="117"/>
        <v>4.9901602077484135</v>
      </c>
      <c r="S587" s="13">
        <f t="shared" ca="1" si="118"/>
        <v>79.881922492980976</v>
      </c>
      <c r="T587" s="17">
        <f t="shared" ca="1" si="120"/>
        <v>1.7604108190840462E-2</v>
      </c>
      <c r="U587" s="13"/>
      <c r="V587" s="14">
        <f t="shared" ca="1" si="119"/>
        <v>1.3819220000000001</v>
      </c>
      <c r="W587" s="13"/>
      <c r="X587" s="2"/>
    </row>
    <row r="588" spans="8:24" x14ac:dyDescent="0.25">
      <c r="H588" s="13">
        <v>78.599999999999994</v>
      </c>
      <c r="I588" s="13">
        <v>4.9145478231693867</v>
      </c>
      <c r="J588" s="14">
        <f t="shared" si="110"/>
        <v>1.12E-4</v>
      </c>
      <c r="K588" s="23">
        <f t="shared" si="111"/>
        <v>2.9300000000000002E-4</v>
      </c>
      <c r="L588" s="14">
        <f t="shared" si="112"/>
        <v>1.6372999999999999E-2</v>
      </c>
      <c r="M588" s="10">
        <f t="shared" si="113"/>
        <v>4.9962972483831649</v>
      </c>
      <c r="N588" s="16">
        <f t="shared" si="114"/>
        <v>1.6634170254356817E-2</v>
      </c>
      <c r="O588" s="13">
        <f t="shared" si="115"/>
        <v>26655.726200000001</v>
      </c>
      <c r="P588" s="13">
        <f t="shared" ca="1" si="109"/>
        <v>26656</v>
      </c>
      <c r="Q588" s="13" t="str">
        <f t="shared" ca="1" si="116"/>
        <v>0110100000100000</v>
      </c>
      <c r="R588" s="13">
        <f t="shared" ca="1" si="117"/>
        <v>4.9978474731445317</v>
      </c>
      <c r="S588" s="13">
        <f t="shared" ca="1" si="118"/>
        <v>79.974169677734395</v>
      </c>
      <c r="T588" s="17">
        <f t="shared" ca="1" si="120"/>
        <v>1.7483074780335884E-2</v>
      </c>
      <c r="U588" s="13"/>
      <c r="V588" s="14">
        <f t="shared" ca="1" si="119"/>
        <v>1.3741699999999999</v>
      </c>
      <c r="W588" s="13"/>
      <c r="X588" s="2"/>
    </row>
    <row r="589" spans="8:24" x14ac:dyDescent="0.25">
      <c r="H589" s="13">
        <v>78.7</v>
      </c>
      <c r="I589" s="13">
        <v>4.9214848237975453</v>
      </c>
      <c r="J589" s="14">
        <f t="shared" si="110"/>
        <v>1.13E-4</v>
      </c>
      <c r="K589" s="23">
        <f t="shared" si="111"/>
        <v>2.9399999999999999E-4</v>
      </c>
      <c r="L589" s="14">
        <f t="shared" si="112"/>
        <v>1.6403999999999998E-2</v>
      </c>
      <c r="M589" s="10">
        <f t="shared" si="113"/>
        <v>5.0035063912069031</v>
      </c>
      <c r="N589" s="16">
        <f t="shared" si="114"/>
        <v>1.6666020590523304E-2</v>
      </c>
      <c r="O589" s="13">
        <f t="shared" si="115"/>
        <v>26694.187699999999</v>
      </c>
      <c r="P589" s="13">
        <f t="shared" ca="1" si="109"/>
        <v>26694</v>
      </c>
      <c r="Q589" s="13" t="str">
        <f t="shared" ca="1" si="116"/>
        <v>0110100001000110</v>
      </c>
      <c r="R589" s="13">
        <f t="shared" ca="1" si="117"/>
        <v>5.0049722557067868</v>
      </c>
      <c r="S589" s="13">
        <f t="shared" ca="1" si="118"/>
        <v>80.059667068481446</v>
      </c>
      <c r="T589" s="17">
        <f t="shared" ca="1" si="120"/>
        <v>1.7276582826956068E-2</v>
      </c>
      <c r="U589" s="13"/>
      <c r="V589" s="14">
        <f t="shared" ca="1" si="119"/>
        <v>1.359667</v>
      </c>
      <c r="W589" s="13"/>
      <c r="X589" s="2"/>
    </row>
    <row r="590" spans="8:24" x14ac:dyDescent="0.25">
      <c r="H590" s="13">
        <v>78.800000000000011</v>
      </c>
      <c r="I590" s="13">
        <v>4.9288153731309823</v>
      </c>
      <c r="J590" s="14">
        <f t="shared" si="110"/>
        <v>1.13E-4</v>
      </c>
      <c r="K590" s="23">
        <f t="shared" si="111"/>
        <v>2.9399999999999999E-4</v>
      </c>
      <c r="L590" s="14">
        <f t="shared" si="112"/>
        <v>1.6434000000000001E-2</v>
      </c>
      <c r="M590" s="10">
        <f t="shared" si="113"/>
        <v>5.0111120351445475</v>
      </c>
      <c r="N590" s="16">
        <f t="shared" si="114"/>
        <v>1.6697047015028901E-2</v>
      </c>
      <c r="O590" s="13">
        <f t="shared" si="115"/>
        <v>26734.764500000001</v>
      </c>
      <c r="P590" s="13">
        <f t="shared" ca="1" si="109"/>
        <v>26733</v>
      </c>
      <c r="Q590" s="13" t="str">
        <f t="shared" ca="1" si="116"/>
        <v>0110100001101101</v>
      </c>
      <c r="R590" s="13">
        <f t="shared" ca="1" si="117"/>
        <v>5.0122845325469969</v>
      </c>
      <c r="S590" s="13">
        <f t="shared" ca="1" si="118"/>
        <v>80.147414390563966</v>
      </c>
      <c r="T590" s="17">
        <f t="shared" ca="1" si="120"/>
        <v>1.7099167392943589E-2</v>
      </c>
      <c r="U590" s="13"/>
      <c r="V590" s="14">
        <f t="shared" ca="1" si="119"/>
        <v>1.3474139999999999</v>
      </c>
      <c r="W590" s="13"/>
      <c r="X590" s="2"/>
    </row>
    <row r="591" spans="8:24" x14ac:dyDescent="0.25">
      <c r="H591" s="13">
        <v>78.900000000000006</v>
      </c>
      <c r="I591" s="13">
        <v>4.935771844210878</v>
      </c>
      <c r="J591" s="14">
        <f t="shared" si="110"/>
        <v>1.1400000000000001E-4</v>
      </c>
      <c r="K591" s="23">
        <f t="shared" si="111"/>
        <v>2.9500000000000001E-4</v>
      </c>
      <c r="L591" s="14">
        <f t="shared" si="112"/>
        <v>1.6465E-2</v>
      </c>
      <c r="M591" s="10">
        <f t="shared" si="113"/>
        <v>5.0183418884339428</v>
      </c>
      <c r="N591" s="16">
        <f t="shared" si="114"/>
        <v>1.6728902151324207E-2</v>
      </c>
      <c r="O591" s="13">
        <f t="shared" si="115"/>
        <v>26773.336500000001</v>
      </c>
      <c r="P591" s="13">
        <f t="shared" ref="P591:P602" ca="1" si="121">ROUND(O591+$C$47+$C$49+RANDBETWEEN($B$45,$D$45) + 1,0)</f>
        <v>26778</v>
      </c>
      <c r="Q591" s="13" t="str">
        <f t="shared" ca="1" si="116"/>
        <v>0110100010011010</v>
      </c>
      <c r="R591" s="13">
        <f t="shared" ca="1" si="117"/>
        <v>5.0207217750549313</v>
      </c>
      <c r="S591" s="13">
        <f t="shared" ca="1" si="118"/>
        <v>80.24866130065918</v>
      </c>
      <c r="T591" s="17">
        <f t="shared" ca="1" si="120"/>
        <v>1.7093299121155561E-2</v>
      </c>
      <c r="U591" s="13"/>
      <c r="V591" s="14">
        <f t="shared" ca="1" si="119"/>
        <v>1.3486610000000001</v>
      </c>
      <c r="W591" s="13"/>
      <c r="X591" s="2"/>
    </row>
    <row r="592" spans="8:24" x14ac:dyDescent="0.25">
      <c r="H592" s="13">
        <v>79</v>
      </c>
      <c r="I592" s="13">
        <v>4.9427383137941874</v>
      </c>
      <c r="J592" s="14">
        <f t="shared" si="110"/>
        <v>1.1400000000000001E-4</v>
      </c>
      <c r="K592" s="23">
        <f t="shared" si="111"/>
        <v>2.9500000000000001E-4</v>
      </c>
      <c r="L592" s="14">
        <f t="shared" si="112"/>
        <v>1.6494999999999999E-2</v>
      </c>
      <c r="M592" s="10">
        <f t="shared" si="113"/>
        <v>5.0255782706587029</v>
      </c>
      <c r="N592" s="16">
        <f t="shared" si="114"/>
        <v>1.6759931763598707E-2</v>
      </c>
      <c r="O592" s="13">
        <f t="shared" si="115"/>
        <v>26811.943299999999</v>
      </c>
      <c r="P592" s="13">
        <f t="shared" ca="1" si="121"/>
        <v>26816</v>
      </c>
      <c r="Q592" s="13" t="str">
        <f t="shared" ca="1" si="116"/>
        <v>0110100011000000</v>
      </c>
      <c r="R592" s="13">
        <f t="shared" ca="1" si="117"/>
        <v>5.0278465576171874</v>
      </c>
      <c r="S592" s="13">
        <f t="shared" ca="1" si="118"/>
        <v>80.334158691406259</v>
      </c>
      <c r="T592" s="17">
        <f t="shared" ca="1" si="120"/>
        <v>1.6888084701345049E-2</v>
      </c>
      <c r="U592" s="13"/>
      <c r="V592" s="14">
        <f t="shared" ca="1" si="119"/>
        <v>1.3341590000000001</v>
      </c>
      <c r="W592" s="13"/>
      <c r="X592" s="2"/>
    </row>
    <row r="593" spans="8:24" x14ac:dyDescent="0.25">
      <c r="H593" s="13">
        <v>79.099999999999994</v>
      </c>
      <c r="I593" s="13">
        <v>4.9497146770709239</v>
      </c>
      <c r="J593" s="14">
        <f t="shared" si="110"/>
        <v>1.15E-4</v>
      </c>
      <c r="K593" s="23">
        <f t="shared" si="111"/>
        <v>2.9599999999999998E-4</v>
      </c>
      <c r="L593" s="14">
        <f t="shared" si="112"/>
        <v>1.6525999999999999E-2</v>
      </c>
      <c r="M593" s="10">
        <f t="shared" si="113"/>
        <v>5.032829254828215</v>
      </c>
      <c r="N593" s="16">
        <f t="shared" si="114"/>
        <v>1.6791791684945254E-2</v>
      </c>
      <c r="O593" s="13">
        <f t="shared" si="115"/>
        <v>26850.628000000001</v>
      </c>
      <c r="P593" s="13">
        <f t="shared" ca="1" si="121"/>
        <v>26853</v>
      </c>
      <c r="Q593" s="13" t="str">
        <f t="shared" ca="1" si="116"/>
        <v>0110100011100101</v>
      </c>
      <c r="R593" s="13">
        <f t="shared" ca="1" si="117"/>
        <v>5.0347838459014893</v>
      </c>
      <c r="S593" s="13">
        <f t="shared" ca="1" si="118"/>
        <v>80.417406150817882</v>
      </c>
      <c r="T593" s="17">
        <f t="shared" ca="1" si="120"/>
        <v>1.6654945016661038E-2</v>
      </c>
      <c r="U593" s="13"/>
      <c r="V593" s="14">
        <f t="shared" ca="1" si="119"/>
        <v>1.3174060000000001</v>
      </c>
      <c r="W593" s="13"/>
      <c r="X593" s="2"/>
    </row>
    <row r="594" spans="8:24" x14ac:dyDescent="0.25">
      <c r="H594" s="13">
        <v>79.2</v>
      </c>
      <c r="I594" s="13">
        <v>4.9563208365979774</v>
      </c>
      <c r="J594" s="14">
        <f t="shared" si="110"/>
        <v>1.15E-4</v>
      </c>
      <c r="K594" s="23">
        <f t="shared" si="111"/>
        <v>2.9599999999999998E-4</v>
      </c>
      <c r="L594" s="14">
        <f t="shared" si="112"/>
        <v>1.6556000000000001E-2</v>
      </c>
      <c r="M594" s="10">
        <f t="shared" si="113"/>
        <v>5.039700152067609</v>
      </c>
      <c r="N594" s="16">
        <f t="shared" si="114"/>
        <v>1.6822824473740738E-2</v>
      </c>
      <c r="O594" s="13">
        <f t="shared" si="115"/>
        <v>26887.284899999999</v>
      </c>
      <c r="P594" s="13">
        <f t="shared" ca="1" si="121"/>
        <v>26888</v>
      </c>
      <c r="Q594" s="13" t="str">
        <f t="shared" ca="1" si="116"/>
        <v>0110100100001000</v>
      </c>
      <c r="R594" s="13">
        <f t="shared" ca="1" si="117"/>
        <v>5.0413461456298831</v>
      </c>
      <c r="S594" s="13">
        <f t="shared" ca="1" si="118"/>
        <v>80.496153747558608</v>
      </c>
      <c r="T594" s="17">
        <f t="shared" ca="1" si="120"/>
        <v>1.6365577620689464E-2</v>
      </c>
      <c r="U594" s="13"/>
      <c r="V594" s="14">
        <f t="shared" ca="1" si="119"/>
        <v>1.296154</v>
      </c>
      <c r="W594" s="13"/>
      <c r="X594" s="2"/>
    </row>
    <row r="595" spans="8:24" x14ac:dyDescent="0.25">
      <c r="H595" s="13">
        <v>79.300000000000011</v>
      </c>
      <c r="I595" s="13">
        <v>4.9633175073774254</v>
      </c>
      <c r="J595" s="14">
        <f t="shared" si="110"/>
        <v>1.16E-4</v>
      </c>
      <c r="K595" s="23">
        <f t="shared" si="111"/>
        <v>2.9700000000000001E-4</v>
      </c>
      <c r="L595" s="14">
        <f t="shared" si="112"/>
        <v>1.6587000000000001E-2</v>
      </c>
      <c r="M595" s="10">
        <f t="shared" si="113"/>
        <v>5.0469726811943971</v>
      </c>
      <c r="N595" s="16">
        <f t="shared" si="114"/>
        <v>1.6854689165588847E-2</v>
      </c>
      <c r="O595" s="13">
        <f t="shared" si="115"/>
        <v>26926.084500000001</v>
      </c>
      <c r="P595" s="13">
        <f t="shared" ca="1" si="121"/>
        <v>26926</v>
      </c>
      <c r="Q595" s="13" t="str">
        <f t="shared" ca="1" si="116"/>
        <v>0110100100101110</v>
      </c>
      <c r="R595" s="13">
        <f t="shared" ca="1" si="117"/>
        <v>5.0484709281921392</v>
      </c>
      <c r="S595" s="13">
        <f t="shared" ca="1" si="118"/>
        <v>80.581651138305673</v>
      </c>
      <c r="T595" s="17">
        <f t="shared" ca="1" si="120"/>
        <v>1.6162057229579595E-2</v>
      </c>
      <c r="U595" s="13"/>
      <c r="V595" s="14">
        <f t="shared" ca="1" si="119"/>
        <v>1.2816510000000001</v>
      </c>
      <c r="W595" s="13"/>
      <c r="X595" s="2"/>
    </row>
    <row r="596" spans="8:24" x14ac:dyDescent="0.25">
      <c r="H596" s="13">
        <v>79.400000000000006</v>
      </c>
      <c r="I596" s="13">
        <v>4.9707020852789245</v>
      </c>
      <c r="J596" s="14">
        <f t="shared" si="110"/>
        <v>1.17E-4</v>
      </c>
      <c r="K596" s="23">
        <f t="shared" si="111"/>
        <v>2.9700000000000001E-4</v>
      </c>
      <c r="L596" s="14">
        <f t="shared" si="112"/>
        <v>1.6617E-2</v>
      </c>
      <c r="M596" s="10">
        <f t="shared" si="113"/>
        <v>5.0546349911407091</v>
      </c>
      <c r="N596" s="16">
        <f t="shared" si="114"/>
        <v>1.6885523296670233E-2</v>
      </c>
      <c r="O596" s="13">
        <f t="shared" si="115"/>
        <v>26966.9637</v>
      </c>
      <c r="P596" s="13">
        <f t="shared" ca="1" si="121"/>
        <v>26966</v>
      </c>
      <c r="Q596" s="13" t="str">
        <f t="shared" ca="1" si="116"/>
        <v>0110100101010110</v>
      </c>
      <c r="R596" s="13">
        <f t="shared" ca="1" si="117"/>
        <v>5.0559706993103024</v>
      </c>
      <c r="S596" s="13">
        <f t="shared" ca="1" si="118"/>
        <v>80.671648391723636</v>
      </c>
      <c r="T596" s="17">
        <f t="shared" ca="1" si="120"/>
        <v>1.6015722817677963E-2</v>
      </c>
      <c r="U596" s="13"/>
      <c r="V596" s="14">
        <f t="shared" ca="1" si="119"/>
        <v>1.2716479999999999</v>
      </c>
      <c r="W596" s="13"/>
      <c r="X596" s="2"/>
    </row>
    <row r="597" spans="8:24" x14ac:dyDescent="0.25">
      <c r="H597" s="13">
        <v>79.5</v>
      </c>
      <c r="I597" s="13">
        <v>4.9773394842116119</v>
      </c>
      <c r="J597" s="14">
        <f t="shared" si="110"/>
        <v>1.17E-4</v>
      </c>
      <c r="K597" s="23">
        <f t="shared" si="111"/>
        <v>2.9799999999999998E-4</v>
      </c>
      <c r="L597" s="14">
        <f t="shared" si="112"/>
        <v>1.6648E-2</v>
      </c>
      <c r="M597" s="10">
        <f t="shared" si="113"/>
        <v>5.0615441048857495</v>
      </c>
      <c r="N597" s="16">
        <f t="shared" si="114"/>
        <v>1.6917596427014705E-2</v>
      </c>
      <c r="O597" s="13">
        <f t="shared" si="115"/>
        <v>27003.824499999999</v>
      </c>
      <c r="P597" s="13">
        <f t="shared" ca="1" si="121"/>
        <v>27006</v>
      </c>
      <c r="Q597" s="13" t="str">
        <f t="shared" ca="1" si="116"/>
        <v>0110100101111110</v>
      </c>
      <c r="R597" s="13">
        <f t="shared" ca="1" si="117"/>
        <v>5.0634704704284665</v>
      </c>
      <c r="S597" s="13">
        <f t="shared" ca="1" si="118"/>
        <v>80.761645645141613</v>
      </c>
      <c r="T597" s="17">
        <f t="shared" ca="1" si="120"/>
        <v>1.5869756542661796E-2</v>
      </c>
      <c r="U597" s="13"/>
      <c r="V597" s="14">
        <f t="shared" ca="1" si="119"/>
        <v>1.261646</v>
      </c>
      <c r="W597" s="13"/>
      <c r="X597" s="2"/>
    </row>
    <row r="598" spans="8:24" x14ac:dyDescent="0.25">
      <c r="H598" s="13">
        <v>79.599999999999994</v>
      </c>
      <c r="I598" s="13">
        <v>4.9843645842172117</v>
      </c>
      <c r="J598" s="14">
        <f t="shared" si="110"/>
        <v>1.18E-4</v>
      </c>
      <c r="K598" s="23">
        <f t="shared" si="111"/>
        <v>2.9799999999999998E-4</v>
      </c>
      <c r="L598" s="14">
        <f t="shared" si="112"/>
        <v>1.6677999999999998E-2</v>
      </c>
      <c r="M598" s="10">
        <f t="shared" si="113"/>
        <v>5.0688417597625319</v>
      </c>
      <c r="N598" s="16">
        <f t="shared" si="114"/>
        <v>1.6948434272407307E-2</v>
      </c>
      <c r="O598" s="13">
        <f t="shared" si="115"/>
        <v>27042.758099999999</v>
      </c>
      <c r="P598" s="13">
        <f t="shared" ca="1" si="121"/>
        <v>27047</v>
      </c>
      <c r="Q598" s="13" t="str">
        <f t="shared" ca="1" si="116"/>
        <v>0110100110100111</v>
      </c>
      <c r="R598" s="13">
        <f t="shared" ca="1" si="117"/>
        <v>5.0711577358245847</v>
      </c>
      <c r="S598" s="13">
        <f t="shared" ca="1" si="118"/>
        <v>80.853892829895031</v>
      </c>
      <c r="T598" s="17">
        <f t="shared" ca="1" si="120"/>
        <v>1.5752422486118554E-2</v>
      </c>
      <c r="U598" s="13"/>
      <c r="V598" s="14">
        <f t="shared" ca="1" si="119"/>
        <v>1.2538929999999999</v>
      </c>
      <c r="W598" s="13"/>
      <c r="X598" s="2"/>
    </row>
    <row r="599" spans="8:24" x14ac:dyDescent="0.25">
      <c r="H599" s="13">
        <v>79.7</v>
      </c>
      <c r="I599" s="13">
        <v>4.9913989544315562</v>
      </c>
      <c r="J599" s="14">
        <f t="shared" si="110"/>
        <v>1.18E-4</v>
      </c>
      <c r="K599" s="23">
        <f t="shared" si="111"/>
        <v>2.99E-4</v>
      </c>
      <c r="L599" s="14">
        <f t="shared" si="112"/>
        <v>1.6709000000000002E-2</v>
      </c>
      <c r="M599" s="10">
        <f t="shared" si="113"/>
        <v>5.0761554670077897</v>
      </c>
      <c r="N599" s="16">
        <f t="shared" si="114"/>
        <v>1.6980512547686337E-2</v>
      </c>
      <c r="O599" s="13">
        <f t="shared" si="115"/>
        <v>27081.7775</v>
      </c>
      <c r="P599" s="13">
        <f t="shared" ca="1" si="121"/>
        <v>27085</v>
      </c>
      <c r="Q599" s="13" t="str">
        <f t="shared" ca="1" si="116"/>
        <v>0110100111001101</v>
      </c>
      <c r="R599" s="13">
        <f t="shared" ca="1" si="117"/>
        <v>5.0782825183868407</v>
      </c>
      <c r="S599" s="13">
        <f t="shared" ca="1" si="118"/>
        <v>80.939390220642096</v>
      </c>
      <c r="T599" s="17">
        <f t="shared" ca="1" si="120"/>
        <v>1.5550692856237055E-2</v>
      </c>
      <c r="U599" s="13"/>
      <c r="V599" s="14">
        <f t="shared" ca="1" si="119"/>
        <v>1.23939</v>
      </c>
      <c r="W599" s="13"/>
      <c r="X599" s="2"/>
    </row>
    <row r="600" spans="8:24" x14ac:dyDescent="0.25">
      <c r="H600" s="13">
        <v>79.800000000000011</v>
      </c>
      <c r="I600" s="13">
        <v>4.9984424928422904</v>
      </c>
      <c r="J600" s="14">
        <f t="shared" si="110"/>
        <v>1.1900000000000001E-4</v>
      </c>
      <c r="K600" s="23">
        <f t="shared" si="111"/>
        <v>2.99E-4</v>
      </c>
      <c r="L600" s="14">
        <f t="shared" si="112"/>
        <v>1.6739E-2</v>
      </c>
      <c r="M600" s="10">
        <f t="shared" si="113"/>
        <v>5.0834727727228994</v>
      </c>
      <c r="N600" s="16">
        <f t="shared" si="114"/>
        <v>1.7011355037568485E-2</v>
      </c>
      <c r="O600" s="13">
        <f t="shared" si="115"/>
        <v>27120.815999999999</v>
      </c>
      <c r="P600" s="13">
        <f t="shared" ca="1" si="121"/>
        <v>27122</v>
      </c>
      <c r="Q600" s="13" t="str">
        <f t="shared" ca="1" si="116"/>
        <v>0110100111110010</v>
      </c>
      <c r="R600" s="13">
        <f t="shared" ca="1" si="117"/>
        <v>5.0852198066711427</v>
      </c>
      <c r="S600" s="13">
        <f t="shared" ca="1" si="118"/>
        <v>81.02263768005372</v>
      </c>
      <c r="T600" s="17">
        <f t="shared" ca="1" si="120"/>
        <v>1.5321274186136692E-2</v>
      </c>
      <c r="U600" s="13"/>
      <c r="V600" s="14">
        <f t="shared" ca="1" si="119"/>
        <v>1.2226379999999999</v>
      </c>
      <c r="W600" s="13"/>
      <c r="X600" s="2"/>
    </row>
    <row r="601" spans="8:24" x14ac:dyDescent="0.25">
      <c r="H601" s="13">
        <v>79.900000000000006</v>
      </c>
      <c r="I601" s="13">
        <v>5.0051209072772203</v>
      </c>
      <c r="J601" s="14">
        <f t="shared" si="110"/>
        <v>1.1900000000000001E-4</v>
      </c>
      <c r="K601" s="23">
        <f t="shared" si="111"/>
        <v>2.9999999999999997E-4</v>
      </c>
      <c r="L601" s="14">
        <f t="shared" si="112"/>
        <v>1.677E-2</v>
      </c>
      <c r="M601" s="10">
        <f t="shared" si="113"/>
        <v>5.090425368039238</v>
      </c>
      <c r="N601" s="16">
        <f t="shared" si="114"/>
        <v>1.7043436580720529E-2</v>
      </c>
      <c r="O601" s="13">
        <f t="shared" si="115"/>
        <v>27157.908800000001</v>
      </c>
      <c r="P601" s="13">
        <f t="shared" ca="1" si="121"/>
        <v>27158</v>
      </c>
      <c r="Q601" s="13" t="str">
        <f t="shared" ca="1" si="116"/>
        <v>0110101000010110</v>
      </c>
      <c r="R601" s="13">
        <f t="shared" ca="1" si="117"/>
        <v>5.0919696006774906</v>
      </c>
      <c r="S601" s="13">
        <f t="shared" ca="1" si="118"/>
        <v>81.103635208129901</v>
      </c>
      <c r="T601" s="17">
        <f t="shared" ca="1" si="120"/>
        <v>1.5064270439673288E-2</v>
      </c>
      <c r="U601" s="13"/>
      <c r="V601" s="14">
        <f t="shared" ca="1" si="119"/>
        <v>1.203635</v>
      </c>
      <c r="W601" s="13"/>
      <c r="X601" s="2"/>
    </row>
    <row r="602" spans="8:24" x14ac:dyDescent="0.25">
      <c r="H602" s="13">
        <v>80</v>
      </c>
      <c r="I602" s="13">
        <v>5.0121832986734915</v>
      </c>
      <c r="J602" s="14">
        <f t="shared" si="110"/>
        <v>1.2E-4</v>
      </c>
      <c r="K602" s="23">
        <f t="shared" si="111"/>
        <v>2.9999999999999997E-4</v>
      </c>
      <c r="L602" s="14">
        <f t="shared" si="112"/>
        <v>1.6799999999999999E-2</v>
      </c>
      <c r="M602" s="10">
        <f t="shared" si="113"/>
        <v>5.097762738276538</v>
      </c>
      <c r="N602" s="16">
        <f t="shared" si="114"/>
        <v>1.7074283701016213E-2</v>
      </c>
      <c r="O602" s="13">
        <f t="shared" si="115"/>
        <v>27197.0543</v>
      </c>
      <c r="P602" s="13">
        <f t="shared" ca="1" si="121"/>
        <v>27198</v>
      </c>
      <c r="Q602" s="13" t="str">
        <f t="shared" ca="1" si="116"/>
        <v>0110101000111110</v>
      </c>
      <c r="R602" s="13">
        <f t="shared" ca="1" si="117"/>
        <v>5.0994693717956547</v>
      </c>
      <c r="S602" s="13">
        <f t="shared" ca="1" si="118"/>
        <v>81.193632461547864</v>
      </c>
      <c r="T602" s="17">
        <f t="shared" ca="1" si="120"/>
        <v>1.49204057693483E-2</v>
      </c>
      <c r="U602" s="13"/>
      <c r="V602" s="14">
        <f t="shared" ca="1" si="119"/>
        <v>1.193632</v>
      </c>
      <c r="W602" s="13"/>
      <c r="X602" s="2"/>
    </row>
  </sheetData>
  <mergeCells count="5">
    <mergeCell ref="A43:E43"/>
    <mergeCell ref="A2:E2"/>
    <mergeCell ref="A8:E8"/>
    <mergeCell ref="E23:E24"/>
    <mergeCell ref="A32:E32"/>
  </mergeCells>
  <pageMargins left="0.7" right="0.7" top="0.75" bottom="0.75" header="0.3" footer="0.3"/>
  <pageSetup scale="3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Cal_NTC</vt:lpstr>
      <vt:lpstr>Cal_Error</vt:lpstr>
      <vt:lpstr>ADC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dong</dc:creator>
  <cp:lastModifiedBy>nguyen dong</cp:lastModifiedBy>
  <cp:lastPrinted>2025-11-30T16:13:36Z</cp:lastPrinted>
  <dcterms:created xsi:type="dcterms:W3CDTF">2025-11-26T07:35:39Z</dcterms:created>
  <dcterms:modified xsi:type="dcterms:W3CDTF">2025-11-30T16:22:16Z</dcterms:modified>
</cp:coreProperties>
</file>