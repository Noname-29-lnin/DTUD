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BigProject1\00_spec\test\"/>
    </mc:Choice>
  </mc:AlternateContent>
  <xr:revisionPtr revIDLastSave="0" documentId="13_ncr:1_{8398201B-4805-466D-B019-2ECBDECDBB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3" i="1" l="1"/>
  <c r="AD2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3" i="1"/>
  <c r="V17" i="1"/>
  <c r="V25" i="1"/>
  <c r="V26" i="1"/>
  <c r="V35" i="1"/>
  <c r="V43" i="1"/>
  <c r="V49" i="1"/>
  <c r="V58" i="1"/>
  <c r="V66" i="1"/>
  <c r="V67" i="1"/>
  <c r="V81" i="1"/>
  <c r="V89" i="1"/>
  <c r="V90" i="1"/>
  <c r="V99" i="1"/>
  <c r="V107" i="1"/>
  <c r="V113" i="1"/>
  <c r="V122" i="1"/>
  <c r="V130" i="1"/>
  <c r="V131" i="1"/>
  <c r="V145" i="1"/>
  <c r="V153" i="1"/>
  <c r="V154" i="1"/>
  <c r="V163" i="1"/>
  <c r="V171" i="1"/>
  <c r="V177" i="1"/>
  <c r="V186" i="1"/>
  <c r="V194" i="1"/>
  <c r="V195" i="1"/>
  <c r="V209" i="1"/>
  <c r="V217" i="1"/>
  <c r="V218" i="1"/>
  <c r="V227" i="1"/>
  <c r="V235" i="1"/>
  <c r="V241" i="1"/>
  <c r="V250" i="1"/>
  <c r="V258" i="1"/>
  <c r="V259" i="1"/>
  <c r="V273" i="1"/>
  <c r="V281" i="1"/>
  <c r="V282" i="1"/>
  <c r="V291" i="1"/>
  <c r="V299" i="1"/>
  <c r="V305" i="1"/>
  <c r="V314" i="1"/>
  <c r="V322" i="1"/>
  <c r="V323" i="1"/>
  <c r="V337" i="1"/>
  <c r="V345" i="1"/>
  <c r="V346" i="1"/>
  <c r="V355" i="1"/>
  <c r="V363" i="1"/>
  <c r="V369" i="1"/>
  <c r="V378" i="1"/>
  <c r="V386" i="1"/>
  <c r="V387" i="1"/>
  <c r="V401" i="1"/>
  <c r="V409" i="1"/>
  <c r="V410" i="1"/>
  <c r="V419" i="1"/>
  <c r="V427" i="1"/>
  <c r="V433" i="1"/>
  <c r="V442" i="1"/>
  <c r="V450" i="1"/>
  <c r="V451" i="1"/>
  <c r="V465" i="1"/>
  <c r="V473" i="1"/>
  <c r="V474" i="1"/>
  <c r="V483" i="1"/>
  <c r="V491" i="1"/>
  <c r="V497" i="1"/>
  <c r="V506" i="1"/>
  <c r="V514" i="1"/>
  <c r="V515" i="1"/>
  <c r="V529" i="1"/>
  <c r="V537" i="1"/>
  <c r="V538" i="1"/>
  <c r="V547" i="1"/>
  <c r="V555" i="1"/>
  <c r="V561" i="1"/>
  <c r="V570" i="1"/>
  <c r="V578" i="1"/>
  <c r="V579" i="1"/>
  <c r="V593" i="1"/>
  <c r="V601" i="1"/>
  <c r="V602" i="1"/>
  <c r="Z251" i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Z312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 s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AD20" i="1"/>
  <c r="AD21" i="1" s="1"/>
  <c r="V19" i="1" s="1"/>
  <c r="AD18" i="1"/>
  <c r="V595" i="1" l="1"/>
  <c r="V577" i="1"/>
  <c r="V554" i="1"/>
  <c r="V531" i="1"/>
  <c r="V513" i="1"/>
  <c r="V490" i="1"/>
  <c r="V467" i="1"/>
  <c r="V449" i="1"/>
  <c r="V426" i="1"/>
  <c r="V403" i="1"/>
  <c r="V385" i="1"/>
  <c r="V362" i="1"/>
  <c r="V339" i="1"/>
  <c r="V321" i="1"/>
  <c r="V298" i="1"/>
  <c r="V275" i="1"/>
  <c r="V257" i="1"/>
  <c r="V234" i="1"/>
  <c r="V211" i="1"/>
  <c r="V193" i="1"/>
  <c r="V170" i="1"/>
  <c r="V147" i="1"/>
  <c r="V129" i="1"/>
  <c r="V106" i="1"/>
  <c r="V83" i="1"/>
  <c r="V65" i="1"/>
  <c r="V42" i="1"/>
  <c r="V4" i="1"/>
  <c r="V12" i="1"/>
  <c r="V20" i="1"/>
  <c r="V28" i="1"/>
  <c r="V36" i="1"/>
  <c r="V44" i="1"/>
  <c r="V52" i="1"/>
  <c r="V60" i="1"/>
  <c r="V68" i="1"/>
  <c r="V76" i="1"/>
  <c r="V84" i="1"/>
  <c r="V92" i="1"/>
  <c r="V100" i="1"/>
  <c r="V108" i="1"/>
  <c r="V116" i="1"/>
  <c r="V124" i="1"/>
  <c r="V132" i="1"/>
  <c r="V140" i="1"/>
  <c r="V148" i="1"/>
  <c r="V156" i="1"/>
  <c r="V164" i="1"/>
  <c r="V172" i="1"/>
  <c r="V180" i="1"/>
  <c r="V188" i="1"/>
  <c r="V196" i="1"/>
  <c r="V204" i="1"/>
  <c r="V212" i="1"/>
  <c r="V220" i="1"/>
  <c r="V228" i="1"/>
  <c r="V236" i="1"/>
  <c r="V244" i="1"/>
  <c r="V252" i="1"/>
  <c r="V260" i="1"/>
  <c r="V268" i="1"/>
  <c r="V276" i="1"/>
  <c r="V284" i="1"/>
  <c r="V292" i="1"/>
  <c r="V300" i="1"/>
  <c r="V308" i="1"/>
  <c r="V316" i="1"/>
  <c r="V324" i="1"/>
  <c r="V332" i="1"/>
  <c r="V340" i="1"/>
  <c r="V348" i="1"/>
  <c r="V356" i="1"/>
  <c r="V364" i="1"/>
  <c r="V372" i="1"/>
  <c r="V380" i="1"/>
  <c r="V388" i="1"/>
  <c r="V396" i="1"/>
  <c r="V404" i="1"/>
  <c r="V412" i="1"/>
  <c r="V420" i="1"/>
  <c r="V428" i="1"/>
  <c r="V436" i="1"/>
  <c r="V444" i="1"/>
  <c r="V452" i="1"/>
  <c r="V460" i="1"/>
  <c r="V468" i="1"/>
  <c r="V476" i="1"/>
  <c r="V484" i="1"/>
  <c r="V492" i="1"/>
  <c r="V500" i="1"/>
  <c r="V508" i="1"/>
  <c r="V516" i="1"/>
  <c r="V524" i="1"/>
  <c r="V532" i="1"/>
  <c r="V540" i="1"/>
  <c r="V548" i="1"/>
  <c r="V556" i="1"/>
  <c r="V564" i="1"/>
  <c r="V572" i="1"/>
  <c r="V580" i="1"/>
  <c r="V588" i="1"/>
  <c r="V596" i="1"/>
  <c r="V3" i="1"/>
  <c r="V5" i="1"/>
  <c r="V13" i="1"/>
  <c r="V21" i="1"/>
  <c r="V29" i="1"/>
  <c r="V37" i="1"/>
  <c r="V45" i="1"/>
  <c r="V53" i="1"/>
  <c r="V61" i="1"/>
  <c r="V69" i="1"/>
  <c r="V77" i="1"/>
  <c r="V85" i="1"/>
  <c r="V93" i="1"/>
  <c r="V101" i="1"/>
  <c r="V109" i="1"/>
  <c r="V117" i="1"/>
  <c r="V125" i="1"/>
  <c r="V133" i="1"/>
  <c r="V141" i="1"/>
  <c r="V149" i="1"/>
  <c r="V157" i="1"/>
  <c r="V165" i="1"/>
  <c r="V173" i="1"/>
  <c r="V181" i="1"/>
  <c r="V189" i="1"/>
  <c r="V197" i="1"/>
  <c r="V205" i="1"/>
  <c r="V213" i="1"/>
  <c r="V221" i="1"/>
  <c r="V229" i="1"/>
  <c r="V237" i="1"/>
  <c r="V245" i="1"/>
  <c r="V253" i="1"/>
  <c r="V261" i="1"/>
  <c r="V269" i="1"/>
  <c r="V277" i="1"/>
  <c r="V285" i="1"/>
  <c r="V293" i="1"/>
  <c r="V301" i="1"/>
  <c r="V309" i="1"/>
  <c r="V317" i="1"/>
  <c r="V325" i="1"/>
  <c r="V333" i="1"/>
  <c r="V341" i="1"/>
  <c r="V349" i="1"/>
  <c r="V357" i="1"/>
  <c r="V365" i="1"/>
  <c r="V373" i="1"/>
  <c r="V381" i="1"/>
  <c r="V389" i="1"/>
  <c r="V397" i="1"/>
  <c r="V405" i="1"/>
  <c r="V413" i="1"/>
  <c r="V421" i="1"/>
  <c r="V429" i="1"/>
  <c r="V437" i="1"/>
  <c r="V445" i="1"/>
  <c r="V453" i="1"/>
  <c r="V461" i="1"/>
  <c r="V469" i="1"/>
  <c r="V477" i="1"/>
  <c r="V485" i="1"/>
  <c r="V493" i="1"/>
  <c r="V501" i="1"/>
  <c r="V509" i="1"/>
  <c r="V517" i="1"/>
  <c r="V525" i="1"/>
  <c r="V533" i="1"/>
  <c r="V541" i="1"/>
  <c r="V549" i="1"/>
  <c r="V557" i="1"/>
  <c r="V565" i="1"/>
  <c r="V573" i="1"/>
  <c r="V581" i="1"/>
  <c r="V589" i="1"/>
  <c r="V597" i="1"/>
  <c r="V6" i="1"/>
  <c r="V14" i="1"/>
  <c r="V22" i="1"/>
  <c r="V30" i="1"/>
  <c r="V38" i="1"/>
  <c r="V46" i="1"/>
  <c r="V54" i="1"/>
  <c r="V62" i="1"/>
  <c r="V70" i="1"/>
  <c r="V78" i="1"/>
  <c r="V86" i="1"/>
  <c r="V94" i="1"/>
  <c r="V102" i="1"/>
  <c r="V110" i="1"/>
  <c r="V118" i="1"/>
  <c r="V126" i="1"/>
  <c r="V134" i="1"/>
  <c r="V142" i="1"/>
  <c r="V150" i="1"/>
  <c r="V158" i="1"/>
  <c r="V166" i="1"/>
  <c r="V174" i="1"/>
  <c r="V182" i="1"/>
  <c r="V190" i="1"/>
  <c r="V198" i="1"/>
  <c r="V206" i="1"/>
  <c r="V214" i="1"/>
  <c r="V222" i="1"/>
  <c r="V230" i="1"/>
  <c r="V238" i="1"/>
  <c r="V246" i="1"/>
  <c r="V254" i="1"/>
  <c r="V262" i="1"/>
  <c r="V270" i="1"/>
  <c r="V278" i="1"/>
  <c r="V286" i="1"/>
  <c r="V294" i="1"/>
  <c r="V302" i="1"/>
  <c r="V310" i="1"/>
  <c r="V318" i="1"/>
  <c r="V326" i="1"/>
  <c r="V334" i="1"/>
  <c r="V342" i="1"/>
  <c r="V350" i="1"/>
  <c r="V358" i="1"/>
  <c r="V366" i="1"/>
  <c r="V374" i="1"/>
  <c r="V382" i="1"/>
  <c r="V390" i="1"/>
  <c r="V398" i="1"/>
  <c r="V406" i="1"/>
  <c r="V414" i="1"/>
  <c r="V422" i="1"/>
  <c r="V430" i="1"/>
  <c r="V438" i="1"/>
  <c r="V446" i="1"/>
  <c r="V454" i="1"/>
  <c r="V462" i="1"/>
  <c r="V470" i="1"/>
  <c r="V478" i="1"/>
  <c r="V486" i="1"/>
  <c r="V494" i="1"/>
  <c r="V502" i="1"/>
  <c r="V510" i="1"/>
  <c r="V518" i="1"/>
  <c r="V526" i="1"/>
  <c r="V534" i="1"/>
  <c r="V542" i="1"/>
  <c r="V550" i="1"/>
  <c r="V558" i="1"/>
  <c r="V566" i="1"/>
  <c r="V574" i="1"/>
  <c r="V582" i="1"/>
  <c r="V590" i="1"/>
  <c r="V598" i="1"/>
  <c r="V7" i="1"/>
  <c r="V15" i="1"/>
  <c r="V23" i="1"/>
  <c r="V31" i="1"/>
  <c r="V39" i="1"/>
  <c r="V47" i="1"/>
  <c r="V55" i="1"/>
  <c r="V63" i="1"/>
  <c r="V71" i="1"/>
  <c r="V79" i="1"/>
  <c r="V87" i="1"/>
  <c r="V95" i="1"/>
  <c r="V103" i="1"/>
  <c r="V111" i="1"/>
  <c r="V119" i="1"/>
  <c r="V127" i="1"/>
  <c r="V135" i="1"/>
  <c r="V143" i="1"/>
  <c r="V151" i="1"/>
  <c r="V159" i="1"/>
  <c r="V167" i="1"/>
  <c r="V175" i="1"/>
  <c r="V183" i="1"/>
  <c r="V191" i="1"/>
  <c r="V199" i="1"/>
  <c r="V207" i="1"/>
  <c r="V215" i="1"/>
  <c r="V223" i="1"/>
  <c r="V231" i="1"/>
  <c r="V239" i="1"/>
  <c r="V247" i="1"/>
  <c r="V255" i="1"/>
  <c r="V263" i="1"/>
  <c r="V271" i="1"/>
  <c r="V279" i="1"/>
  <c r="V287" i="1"/>
  <c r="V295" i="1"/>
  <c r="V303" i="1"/>
  <c r="V311" i="1"/>
  <c r="V319" i="1"/>
  <c r="V327" i="1"/>
  <c r="V335" i="1"/>
  <c r="V343" i="1"/>
  <c r="V351" i="1"/>
  <c r="V359" i="1"/>
  <c r="V367" i="1"/>
  <c r="V375" i="1"/>
  <c r="V383" i="1"/>
  <c r="V391" i="1"/>
  <c r="V399" i="1"/>
  <c r="V407" i="1"/>
  <c r="V415" i="1"/>
  <c r="V423" i="1"/>
  <c r="V431" i="1"/>
  <c r="V439" i="1"/>
  <c r="V447" i="1"/>
  <c r="V455" i="1"/>
  <c r="V463" i="1"/>
  <c r="V471" i="1"/>
  <c r="V479" i="1"/>
  <c r="V487" i="1"/>
  <c r="V495" i="1"/>
  <c r="V503" i="1"/>
  <c r="V511" i="1"/>
  <c r="V519" i="1"/>
  <c r="V527" i="1"/>
  <c r="V535" i="1"/>
  <c r="V543" i="1"/>
  <c r="V551" i="1"/>
  <c r="V559" i="1"/>
  <c r="V567" i="1"/>
  <c r="V575" i="1"/>
  <c r="V583" i="1"/>
  <c r="V591" i="1"/>
  <c r="V599" i="1"/>
  <c r="V8" i="1"/>
  <c r="V16" i="1"/>
  <c r="V24" i="1"/>
  <c r="V32" i="1"/>
  <c r="V40" i="1"/>
  <c r="V48" i="1"/>
  <c r="V56" i="1"/>
  <c r="V64" i="1"/>
  <c r="V72" i="1"/>
  <c r="V80" i="1"/>
  <c r="V88" i="1"/>
  <c r="V96" i="1"/>
  <c r="V104" i="1"/>
  <c r="V112" i="1"/>
  <c r="V120" i="1"/>
  <c r="V128" i="1"/>
  <c r="V136" i="1"/>
  <c r="V144" i="1"/>
  <c r="V152" i="1"/>
  <c r="V160" i="1"/>
  <c r="V168" i="1"/>
  <c r="V176" i="1"/>
  <c r="V184" i="1"/>
  <c r="V192" i="1"/>
  <c r="V200" i="1"/>
  <c r="V208" i="1"/>
  <c r="V216" i="1"/>
  <c r="V224" i="1"/>
  <c r="V232" i="1"/>
  <c r="V240" i="1"/>
  <c r="V248" i="1"/>
  <c r="V256" i="1"/>
  <c r="V264" i="1"/>
  <c r="V272" i="1"/>
  <c r="V280" i="1"/>
  <c r="V288" i="1"/>
  <c r="V296" i="1"/>
  <c r="V304" i="1"/>
  <c r="V312" i="1"/>
  <c r="V320" i="1"/>
  <c r="V328" i="1"/>
  <c r="V336" i="1"/>
  <c r="V344" i="1"/>
  <c r="V352" i="1"/>
  <c r="V360" i="1"/>
  <c r="V368" i="1"/>
  <c r="V376" i="1"/>
  <c r="V384" i="1"/>
  <c r="V392" i="1"/>
  <c r="V400" i="1"/>
  <c r="V408" i="1"/>
  <c r="V416" i="1"/>
  <c r="V424" i="1"/>
  <c r="V432" i="1"/>
  <c r="V440" i="1"/>
  <c r="V448" i="1"/>
  <c r="V456" i="1"/>
  <c r="V464" i="1"/>
  <c r="V472" i="1"/>
  <c r="V480" i="1"/>
  <c r="V488" i="1"/>
  <c r="V496" i="1"/>
  <c r="V504" i="1"/>
  <c r="V512" i="1"/>
  <c r="V520" i="1"/>
  <c r="V528" i="1"/>
  <c r="V536" i="1"/>
  <c r="V544" i="1"/>
  <c r="V552" i="1"/>
  <c r="V560" i="1"/>
  <c r="V568" i="1"/>
  <c r="V576" i="1"/>
  <c r="V584" i="1"/>
  <c r="V592" i="1"/>
  <c r="V600" i="1"/>
  <c r="V594" i="1"/>
  <c r="V571" i="1"/>
  <c r="V553" i="1"/>
  <c r="V530" i="1"/>
  <c r="V507" i="1"/>
  <c r="V489" i="1"/>
  <c r="V466" i="1"/>
  <c r="V443" i="1"/>
  <c r="V425" i="1"/>
  <c r="V402" i="1"/>
  <c r="V379" i="1"/>
  <c r="V361" i="1"/>
  <c r="V338" i="1"/>
  <c r="V315" i="1"/>
  <c r="V297" i="1"/>
  <c r="V274" i="1"/>
  <c r="V251" i="1"/>
  <c r="V233" i="1"/>
  <c r="V210" i="1"/>
  <c r="V187" i="1"/>
  <c r="V169" i="1"/>
  <c r="V146" i="1"/>
  <c r="V123" i="1"/>
  <c r="V105" i="1"/>
  <c r="V82" i="1"/>
  <c r="V59" i="1"/>
  <c r="V41" i="1"/>
  <c r="V18" i="1"/>
  <c r="V587" i="1"/>
  <c r="V569" i="1"/>
  <c r="V546" i="1"/>
  <c r="V523" i="1"/>
  <c r="V505" i="1"/>
  <c r="V482" i="1"/>
  <c r="V459" i="1"/>
  <c r="V441" i="1"/>
  <c r="V418" i="1"/>
  <c r="V395" i="1"/>
  <c r="V377" i="1"/>
  <c r="V354" i="1"/>
  <c r="V331" i="1"/>
  <c r="V313" i="1"/>
  <c r="V290" i="1"/>
  <c r="V267" i="1"/>
  <c r="V249" i="1"/>
  <c r="V226" i="1"/>
  <c r="V203" i="1"/>
  <c r="V185" i="1"/>
  <c r="V162" i="1"/>
  <c r="V139" i="1"/>
  <c r="V121" i="1"/>
  <c r="V98" i="1"/>
  <c r="V75" i="1"/>
  <c r="V57" i="1"/>
  <c r="V34" i="1"/>
  <c r="V11" i="1"/>
  <c r="V586" i="1"/>
  <c r="V563" i="1"/>
  <c r="V545" i="1"/>
  <c r="V522" i="1"/>
  <c r="V499" i="1"/>
  <c r="V481" i="1"/>
  <c r="V458" i="1"/>
  <c r="V435" i="1"/>
  <c r="V417" i="1"/>
  <c r="V394" i="1"/>
  <c r="V371" i="1"/>
  <c r="V353" i="1"/>
  <c r="V330" i="1"/>
  <c r="V307" i="1"/>
  <c r="V289" i="1"/>
  <c r="V266" i="1"/>
  <c r="V243" i="1"/>
  <c r="V225" i="1"/>
  <c r="V202" i="1"/>
  <c r="V179" i="1"/>
  <c r="V161" i="1"/>
  <c r="V138" i="1"/>
  <c r="V115" i="1"/>
  <c r="V97" i="1"/>
  <c r="V74" i="1"/>
  <c r="V51" i="1"/>
  <c r="V33" i="1"/>
  <c r="V10" i="1"/>
  <c r="V603" i="1"/>
  <c r="V585" i="1"/>
  <c r="V562" i="1"/>
  <c r="V539" i="1"/>
  <c r="V521" i="1"/>
  <c r="V498" i="1"/>
  <c r="V475" i="1"/>
  <c r="V457" i="1"/>
  <c r="V434" i="1"/>
  <c r="V411" i="1"/>
  <c r="V393" i="1"/>
  <c r="V370" i="1"/>
  <c r="V347" i="1"/>
  <c r="V329" i="1"/>
  <c r="V306" i="1"/>
  <c r="V283" i="1"/>
  <c r="V265" i="1"/>
  <c r="V242" i="1"/>
  <c r="V219" i="1"/>
  <c r="V201" i="1"/>
  <c r="V178" i="1"/>
  <c r="V155" i="1"/>
  <c r="V137" i="1"/>
  <c r="V114" i="1"/>
  <c r="V91" i="1"/>
  <c r="V73" i="1"/>
  <c r="V50" i="1"/>
  <c r="V27" i="1"/>
  <c r="V9" i="1"/>
  <c r="AD19" i="1"/>
  <c r="P603" i="1" l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A3" i="1"/>
  <c r="Z3" i="1" s="1"/>
  <c r="AD25" i="1" l="1"/>
  <c r="AD24" i="1"/>
  <c r="U6" i="1"/>
  <c r="U46" i="1"/>
  <c r="U78" i="1"/>
  <c r="U134" i="1"/>
  <c r="U150" i="1"/>
  <c r="U182" i="1"/>
  <c r="U198" i="1"/>
  <c r="U206" i="1"/>
  <c r="U214" i="1"/>
  <c r="U222" i="1"/>
  <c r="U230" i="1"/>
  <c r="U238" i="1"/>
  <c r="U246" i="1"/>
  <c r="U254" i="1"/>
  <c r="U262" i="1"/>
  <c r="U270" i="1"/>
  <c r="U278" i="1"/>
  <c r="U286" i="1"/>
  <c r="U294" i="1"/>
  <c r="U302" i="1"/>
  <c r="U310" i="1"/>
  <c r="U318" i="1"/>
  <c r="U326" i="1"/>
  <c r="U334" i="1"/>
  <c r="U342" i="1"/>
  <c r="U350" i="1"/>
  <c r="U358" i="1"/>
  <c r="U366" i="1"/>
  <c r="U374" i="1"/>
  <c r="U382" i="1"/>
  <c r="U390" i="1"/>
  <c r="U398" i="1"/>
  <c r="U406" i="1"/>
  <c r="U414" i="1"/>
  <c r="U422" i="1"/>
  <c r="U430" i="1"/>
  <c r="U438" i="1"/>
  <c r="U446" i="1"/>
  <c r="U454" i="1"/>
  <c r="U462" i="1"/>
  <c r="U470" i="1"/>
  <c r="U478" i="1"/>
  <c r="U486" i="1"/>
  <c r="U494" i="1"/>
  <c r="U502" i="1"/>
  <c r="U510" i="1"/>
  <c r="U518" i="1"/>
  <c r="U526" i="1"/>
  <c r="U534" i="1"/>
  <c r="U542" i="1"/>
  <c r="U550" i="1"/>
  <c r="U558" i="1"/>
  <c r="U566" i="1"/>
  <c r="U574" i="1"/>
  <c r="U582" i="1"/>
  <c r="U590" i="1"/>
  <c r="U598" i="1"/>
  <c r="U7" i="1"/>
  <c r="U15" i="1"/>
  <c r="U23" i="1"/>
  <c r="U31" i="1"/>
  <c r="U39" i="1"/>
  <c r="U47" i="1"/>
  <c r="U55" i="1"/>
  <c r="U63" i="1"/>
  <c r="U71" i="1"/>
  <c r="U79" i="1"/>
  <c r="U87" i="1"/>
  <c r="U95" i="1"/>
  <c r="U103" i="1"/>
  <c r="U111" i="1"/>
  <c r="U119" i="1"/>
  <c r="U127" i="1"/>
  <c r="U135" i="1"/>
  <c r="U143" i="1"/>
  <c r="U151" i="1"/>
  <c r="U159" i="1"/>
  <c r="U167" i="1"/>
  <c r="U175" i="1"/>
  <c r="U183" i="1"/>
  <c r="U191" i="1"/>
  <c r="U199" i="1"/>
  <c r="U207" i="1"/>
  <c r="U215" i="1"/>
  <c r="U223" i="1"/>
  <c r="U231" i="1"/>
  <c r="U239" i="1"/>
  <c r="U247" i="1"/>
  <c r="U255" i="1"/>
  <c r="U263" i="1"/>
  <c r="U271" i="1"/>
  <c r="U279" i="1"/>
  <c r="U287" i="1"/>
  <c r="U295" i="1"/>
  <c r="U303" i="1"/>
  <c r="U311" i="1"/>
  <c r="U319" i="1"/>
  <c r="U327" i="1"/>
  <c r="U335" i="1"/>
  <c r="U343" i="1"/>
  <c r="U351" i="1"/>
  <c r="U359" i="1"/>
  <c r="U367" i="1"/>
  <c r="U375" i="1"/>
  <c r="U383" i="1"/>
  <c r="U391" i="1"/>
  <c r="U399" i="1"/>
  <c r="U407" i="1"/>
  <c r="U415" i="1"/>
  <c r="U423" i="1"/>
  <c r="U431" i="1"/>
  <c r="U439" i="1"/>
  <c r="U447" i="1"/>
  <c r="U455" i="1"/>
  <c r="U463" i="1"/>
  <c r="U471" i="1"/>
  <c r="U479" i="1"/>
  <c r="U487" i="1"/>
  <c r="U495" i="1"/>
  <c r="U503" i="1"/>
  <c r="U511" i="1"/>
  <c r="U519" i="1"/>
  <c r="U527" i="1"/>
  <c r="U535" i="1"/>
  <c r="U543" i="1"/>
  <c r="U551" i="1"/>
  <c r="U559" i="1"/>
  <c r="U567" i="1"/>
  <c r="U575" i="1"/>
  <c r="U583" i="1"/>
  <c r="U591" i="1"/>
  <c r="U599" i="1"/>
  <c r="U457" i="1"/>
  <c r="U465" i="1"/>
  <c r="U473" i="1"/>
  <c r="U481" i="1"/>
  <c r="U489" i="1"/>
  <c r="U497" i="1"/>
  <c r="U505" i="1"/>
  <c r="U513" i="1"/>
  <c r="U521" i="1"/>
  <c r="U529" i="1"/>
  <c r="U537" i="1"/>
  <c r="U545" i="1"/>
  <c r="U553" i="1"/>
  <c r="U561" i="1"/>
  <c r="U569" i="1"/>
  <c r="U577" i="1"/>
  <c r="U585" i="1"/>
  <c r="U593" i="1"/>
  <c r="U601" i="1"/>
  <c r="U30" i="1"/>
  <c r="U70" i="1"/>
  <c r="U110" i="1"/>
  <c r="U166" i="1"/>
  <c r="U8" i="1"/>
  <c r="U40" i="1"/>
  <c r="U72" i="1"/>
  <c r="U104" i="1"/>
  <c r="U144" i="1"/>
  <c r="U192" i="1"/>
  <c r="U224" i="1"/>
  <c r="U256" i="1"/>
  <c r="U288" i="1"/>
  <c r="U320" i="1"/>
  <c r="U352" i="1"/>
  <c r="U392" i="1"/>
  <c r="U424" i="1"/>
  <c r="U456" i="1"/>
  <c r="U488" i="1"/>
  <c r="U520" i="1"/>
  <c r="U552" i="1"/>
  <c r="U592" i="1"/>
  <c r="U25" i="1"/>
  <c r="U49" i="1"/>
  <c r="U73" i="1"/>
  <c r="U105" i="1"/>
  <c r="U137" i="1"/>
  <c r="U201" i="1"/>
  <c r="U233" i="1"/>
  <c r="U265" i="1"/>
  <c r="U297" i="1"/>
  <c r="U329" i="1"/>
  <c r="U361" i="1"/>
  <c r="U401" i="1"/>
  <c r="U449" i="1"/>
  <c r="U10" i="1"/>
  <c r="U18" i="1"/>
  <c r="U26" i="1"/>
  <c r="U34" i="1"/>
  <c r="U42" i="1"/>
  <c r="U50" i="1"/>
  <c r="U58" i="1"/>
  <c r="U66" i="1"/>
  <c r="U74" i="1"/>
  <c r="U82" i="1"/>
  <c r="U90" i="1"/>
  <c r="U98" i="1"/>
  <c r="U106" i="1"/>
  <c r="U114" i="1"/>
  <c r="U122" i="1"/>
  <c r="U130" i="1"/>
  <c r="U138" i="1"/>
  <c r="U146" i="1"/>
  <c r="U154" i="1"/>
  <c r="U162" i="1"/>
  <c r="U170" i="1"/>
  <c r="U178" i="1"/>
  <c r="U186" i="1"/>
  <c r="U194" i="1"/>
  <c r="U202" i="1"/>
  <c r="U210" i="1"/>
  <c r="U218" i="1"/>
  <c r="U226" i="1"/>
  <c r="U234" i="1"/>
  <c r="U242" i="1"/>
  <c r="U250" i="1"/>
  <c r="U258" i="1"/>
  <c r="U266" i="1"/>
  <c r="U274" i="1"/>
  <c r="U282" i="1"/>
  <c r="U290" i="1"/>
  <c r="U298" i="1"/>
  <c r="U306" i="1"/>
  <c r="U314" i="1"/>
  <c r="U322" i="1"/>
  <c r="U330" i="1"/>
  <c r="U338" i="1"/>
  <c r="U346" i="1"/>
  <c r="U354" i="1"/>
  <c r="U362" i="1"/>
  <c r="U370" i="1"/>
  <c r="U378" i="1"/>
  <c r="U386" i="1"/>
  <c r="U394" i="1"/>
  <c r="U402" i="1"/>
  <c r="U410" i="1"/>
  <c r="U418" i="1"/>
  <c r="U426" i="1"/>
  <c r="U434" i="1"/>
  <c r="U442" i="1"/>
  <c r="U450" i="1"/>
  <c r="U458" i="1"/>
  <c r="U466" i="1"/>
  <c r="U474" i="1"/>
  <c r="U482" i="1"/>
  <c r="U490" i="1"/>
  <c r="U498" i="1"/>
  <c r="U506" i="1"/>
  <c r="U514" i="1"/>
  <c r="U522" i="1"/>
  <c r="U530" i="1"/>
  <c r="U538" i="1"/>
  <c r="U546" i="1"/>
  <c r="U554" i="1"/>
  <c r="U562" i="1"/>
  <c r="U570" i="1"/>
  <c r="U578" i="1"/>
  <c r="U586" i="1"/>
  <c r="U594" i="1"/>
  <c r="U602" i="1"/>
  <c r="U14" i="1"/>
  <c r="U54" i="1"/>
  <c r="U86" i="1"/>
  <c r="U118" i="1"/>
  <c r="U174" i="1"/>
  <c r="U24" i="1"/>
  <c r="U64" i="1"/>
  <c r="U88" i="1"/>
  <c r="U120" i="1"/>
  <c r="U152" i="1"/>
  <c r="U184" i="1"/>
  <c r="U208" i="1"/>
  <c r="U240" i="1"/>
  <c r="U264" i="1"/>
  <c r="U296" i="1"/>
  <c r="U328" i="1"/>
  <c r="U368" i="1"/>
  <c r="U416" i="1"/>
  <c r="U448" i="1"/>
  <c r="U472" i="1"/>
  <c r="U504" i="1"/>
  <c r="U528" i="1"/>
  <c r="U560" i="1"/>
  <c r="U576" i="1"/>
  <c r="U9" i="1"/>
  <c r="U41" i="1"/>
  <c r="U81" i="1"/>
  <c r="U113" i="1"/>
  <c r="U161" i="1"/>
  <c r="U185" i="1"/>
  <c r="U217" i="1"/>
  <c r="U249" i="1"/>
  <c r="U281" i="1"/>
  <c r="U313" i="1"/>
  <c r="U345" i="1"/>
  <c r="U377" i="1"/>
  <c r="U425" i="1"/>
  <c r="U11" i="1"/>
  <c r="U19" i="1"/>
  <c r="U27" i="1"/>
  <c r="U35" i="1"/>
  <c r="U43" i="1"/>
  <c r="U51" i="1"/>
  <c r="U59" i="1"/>
  <c r="U67" i="1"/>
  <c r="U75" i="1"/>
  <c r="U83" i="1"/>
  <c r="U91" i="1"/>
  <c r="U99" i="1"/>
  <c r="U107" i="1"/>
  <c r="U115" i="1"/>
  <c r="U123" i="1"/>
  <c r="U131" i="1"/>
  <c r="U139" i="1"/>
  <c r="U147" i="1"/>
  <c r="U155" i="1"/>
  <c r="U163" i="1"/>
  <c r="U171" i="1"/>
  <c r="U179" i="1"/>
  <c r="U187" i="1"/>
  <c r="U195" i="1"/>
  <c r="U203" i="1"/>
  <c r="U211" i="1"/>
  <c r="U219" i="1"/>
  <c r="U227" i="1"/>
  <c r="U235" i="1"/>
  <c r="U243" i="1"/>
  <c r="U251" i="1"/>
  <c r="U259" i="1"/>
  <c r="U267" i="1"/>
  <c r="U275" i="1"/>
  <c r="U283" i="1"/>
  <c r="U291" i="1"/>
  <c r="U299" i="1"/>
  <c r="U307" i="1"/>
  <c r="U315" i="1"/>
  <c r="U323" i="1"/>
  <c r="U331" i="1"/>
  <c r="U339" i="1"/>
  <c r="U347" i="1"/>
  <c r="U355" i="1"/>
  <c r="U363" i="1"/>
  <c r="U371" i="1"/>
  <c r="U379" i="1"/>
  <c r="U387" i="1"/>
  <c r="U395" i="1"/>
  <c r="U403" i="1"/>
  <c r="U411" i="1"/>
  <c r="U419" i="1"/>
  <c r="U427" i="1"/>
  <c r="U435" i="1"/>
  <c r="U443" i="1"/>
  <c r="U451" i="1"/>
  <c r="U459" i="1"/>
  <c r="U467" i="1"/>
  <c r="U475" i="1"/>
  <c r="U483" i="1"/>
  <c r="U491" i="1"/>
  <c r="U499" i="1"/>
  <c r="U507" i="1"/>
  <c r="U515" i="1"/>
  <c r="U523" i="1"/>
  <c r="U531" i="1"/>
  <c r="U539" i="1"/>
  <c r="U547" i="1"/>
  <c r="U555" i="1"/>
  <c r="U563" i="1"/>
  <c r="U571" i="1"/>
  <c r="U579" i="1"/>
  <c r="U587" i="1"/>
  <c r="U595" i="1"/>
  <c r="U603" i="1"/>
  <c r="U38" i="1"/>
  <c r="U94" i="1"/>
  <c r="U126" i="1"/>
  <c r="U158" i="1"/>
  <c r="U16" i="1"/>
  <c r="U48" i="1"/>
  <c r="U80" i="1"/>
  <c r="U112" i="1"/>
  <c r="U136" i="1"/>
  <c r="U168" i="1"/>
  <c r="U216" i="1"/>
  <c r="U248" i="1"/>
  <c r="U280" i="1"/>
  <c r="U312" i="1"/>
  <c r="U344" i="1"/>
  <c r="U376" i="1"/>
  <c r="U400" i="1"/>
  <c r="U432" i="1"/>
  <c r="U464" i="1"/>
  <c r="U496" i="1"/>
  <c r="U536" i="1"/>
  <c r="U600" i="1"/>
  <c r="U57" i="1"/>
  <c r="U89" i="1"/>
  <c r="U121" i="1"/>
  <c r="U145" i="1"/>
  <c r="U177" i="1"/>
  <c r="U209" i="1"/>
  <c r="U241" i="1"/>
  <c r="U273" i="1"/>
  <c r="U305" i="1"/>
  <c r="U337" i="1"/>
  <c r="U369" i="1"/>
  <c r="U393" i="1"/>
  <c r="U433" i="1"/>
  <c r="U4" i="1"/>
  <c r="U12" i="1"/>
  <c r="U20" i="1"/>
  <c r="U28" i="1"/>
  <c r="U36" i="1"/>
  <c r="U44" i="1"/>
  <c r="U52" i="1"/>
  <c r="U60" i="1"/>
  <c r="U68" i="1"/>
  <c r="U76" i="1"/>
  <c r="U84" i="1"/>
  <c r="U92" i="1"/>
  <c r="U100" i="1"/>
  <c r="U108" i="1"/>
  <c r="U116" i="1"/>
  <c r="U124" i="1"/>
  <c r="U132" i="1"/>
  <c r="U140" i="1"/>
  <c r="U148" i="1"/>
  <c r="U156" i="1"/>
  <c r="U164" i="1"/>
  <c r="U172" i="1"/>
  <c r="U180" i="1"/>
  <c r="U188" i="1"/>
  <c r="U196" i="1"/>
  <c r="U204" i="1"/>
  <c r="U212" i="1"/>
  <c r="U220" i="1"/>
  <c r="U228" i="1"/>
  <c r="U236" i="1"/>
  <c r="U244" i="1"/>
  <c r="U252" i="1"/>
  <c r="U260" i="1"/>
  <c r="U268" i="1"/>
  <c r="U276" i="1"/>
  <c r="U284" i="1"/>
  <c r="U292" i="1"/>
  <c r="U300" i="1"/>
  <c r="U308" i="1"/>
  <c r="U316" i="1"/>
  <c r="U324" i="1"/>
  <c r="U332" i="1"/>
  <c r="U340" i="1"/>
  <c r="U348" i="1"/>
  <c r="U356" i="1"/>
  <c r="U364" i="1"/>
  <c r="U372" i="1"/>
  <c r="U380" i="1"/>
  <c r="U388" i="1"/>
  <c r="U396" i="1"/>
  <c r="U404" i="1"/>
  <c r="U412" i="1"/>
  <c r="U420" i="1"/>
  <c r="U428" i="1"/>
  <c r="U436" i="1"/>
  <c r="U444" i="1"/>
  <c r="U452" i="1"/>
  <c r="U460" i="1"/>
  <c r="U468" i="1"/>
  <c r="U476" i="1"/>
  <c r="U484" i="1"/>
  <c r="U492" i="1"/>
  <c r="U500" i="1"/>
  <c r="U508" i="1"/>
  <c r="U516" i="1"/>
  <c r="U524" i="1"/>
  <c r="U532" i="1"/>
  <c r="U540" i="1"/>
  <c r="U548" i="1"/>
  <c r="U556" i="1"/>
  <c r="U564" i="1"/>
  <c r="U572" i="1"/>
  <c r="U580" i="1"/>
  <c r="U588" i="1"/>
  <c r="U596" i="1"/>
  <c r="U22" i="1"/>
  <c r="U62" i="1"/>
  <c r="U102" i="1"/>
  <c r="U142" i="1"/>
  <c r="U190" i="1"/>
  <c r="U32" i="1"/>
  <c r="U56" i="1"/>
  <c r="U96" i="1"/>
  <c r="U128" i="1"/>
  <c r="U160" i="1"/>
  <c r="U176" i="1"/>
  <c r="U200" i="1"/>
  <c r="U232" i="1"/>
  <c r="U272" i="1"/>
  <c r="U304" i="1"/>
  <c r="U336" i="1"/>
  <c r="U360" i="1"/>
  <c r="U384" i="1"/>
  <c r="U408" i="1"/>
  <c r="U440" i="1"/>
  <c r="U480" i="1"/>
  <c r="U512" i="1"/>
  <c r="U544" i="1"/>
  <c r="U568" i="1"/>
  <c r="U584" i="1"/>
  <c r="U17" i="1"/>
  <c r="U33" i="1"/>
  <c r="U65" i="1"/>
  <c r="U97" i="1"/>
  <c r="U129" i="1"/>
  <c r="U153" i="1"/>
  <c r="U169" i="1"/>
  <c r="U193" i="1"/>
  <c r="U225" i="1"/>
  <c r="U257" i="1"/>
  <c r="U289" i="1"/>
  <c r="U321" i="1"/>
  <c r="U353" i="1"/>
  <c r="U385" i="1"/>
  <c r="U409" i="1"/>
  <c r="U417" i="1"/>
  <c r="U441" i="1"/>
  <c r="U5" i="1"/>
  <c r="U13" i="1"/>
  <c r="U21" i="1"/>
  <c r="U29" i="1"/>
  <c r="U37" i="1"/>
  <c r="U45" i="1"/>
  <c r="U53" i="1"/>
  <c r="U61" i="1"/>
  <c r="U69" i="1"/>
  <c r="U77" i="1"/>
  <c r="U85" i="1"/>
  <c r="U93" i="1"/>
  <c r="U101" i="1"/>
  <c r="U109" i="1"/>
  <c r="U117" i="1"/>
  <c r="U125" i="1"/>
  <c r="U133" i="1"/>
  <c r="U141" i="1"/>
  <c r="U149" i="1"/>
  <c r="U157" i="1"/>
  <c r="U165" i="1"/>
  <c r="U173" i="1"/>
  <c r="U181" i="1"/>
  <c r="U189" i="1"/>
  <c r="U197" i="1"/>
  <c r="U205" i="1"/>
  <c r="U213" i="1"/>
  <c r="U221" i="1"/>
  <c r="U229" i="1"/>
  <c r="U237" i="1"/>
  <c r="U245" i="1"/>
  <c r="U253" i="1"/>
  <c r="U261" i="1"/>
  <c r="U269" i="1"/>
  <c r="U277" i="1"/>
  <c r="U285" i="1"/>
  <c r="U293" i="1"/>
  <c r="U301" i="1"/>
  <c r="U309" i="1"/>
  <c r="U317" i="1"/>
  <c r="U325" i="1"/>
  <c r="U333" i="1"/>
  <c r="U341" i="1"/>
  <c r="U349" i="1"/>
  <c r="U357" i="1"/>
  <c r="U365" i="1"/>
  <c r="U373" i="1"/>
  <c r="U381" i="1"/>
  <c r="U389" i="1"/>
  <c r="U397" i="1"/>
  <c r="U405" i="1"/>
  <c r="U413" i="1"/>
  <c r="U421" i="1"/>
  <c r="U429" i="1"/>
  <c r="U437" i="1"/>
  <c r="U445" i="1"/>
  <c r="U453" i="1"/>
  <c r="U461" i="1"/>
  <c r="U469" i="1"/>
  <c r="U477" i="1"/>
  <c r="U485" i="1"/>
  <c r="U493" i="1"/>
  <c r="U501" i="1"/>
  <c r="U509" i="1"/>
  <c r="U517" i="1"/>
  <c r="U525" i="1"/>
  <c r="U533" i="1"/>
  <c r="U541" i="1"/>
  <c r="U549" i="1"/>
  <c r="U557" i="1"/>
  <c r="U565" i="1"/>
  <c r="U573" i="1"/>
  <c r="U581" i="1"/>
  <c r="U589" i="1"/>
  <c r="U597" i="1"/>
  <c r="T30" i="1"/>
  <c r="T70" i="1"/>
  <c r="T102" i="1"/>
  <c r="T126" i="1"/>
  <c r="T158" i="1"/>
  <c r="T182" i="1"/>
  <c r="T214" i="1"/>
  <c r="T246" i="1"/>
  <c r="T278" i="1"/>
  <c r="T310" i="1"/>
  <c r="T342" i="1"/>
  <c r="T374" i="1"/>
  <c r="T406" i="1"/>
  <c r="T422" i="1"/>
  <c r="T454" i="1"/>
  <c r="T486" i="1"/>
  <c r="T502" i="1"/>
  <c r="T534" i="1"/>
  <c r="T566" i="1"/>
  <c r="T582" i="1"/>
  <c r="T15" i="1"/>
  <c r="T47" i="1"/>
  <c r="T71" i="1"/>
  <c r="T103" i="1"/>
  <c r="T143" i="1"/>
  <c r="T175" i="1"/>
  <c r="T207" i="1"/>
  <c r="T231" i="1"/>
  <c r="T263" i="1"/>
  <c r="T287" i="1"/>
  <c r="T327" i="1"/>
  <c r="T351" i="1"/>
  <c r="T383" i="1"/>
  <c r="T415" i="1"/>
  <c r="T455" i="1"/>
  <c r="T487" i="1"/>
  <c r="T519" i="1"/>
  <c r="T551" i="1"/>
  <c r="T567" i="1"/>
  <c r="T591" i="1"/>
  <c r="T16" i="1"/>
  <c r="T48" i="1"/>
  <c r="T80" i="1"/>
  <c r="T112" i="1"/>
  <c r="T120" i="1"/>
  <c r="T128" i="1"/>
  <c r="T136" i="1"/>
  <c r="T144" i="1"/>
  <c r="T152" i="1"/>
  <c r="T160" i="1"/>
  <c r="T168" i="1"/>
  <c r="T176" i="1"/>
  <c r="T184" i="1"/>
  <c r="T192" i="1"/>
  <c r="T200" i="1"/>
  <c r="T208" i="1"/>
  <c r="T216" i="1"/>
  <c r="T224" i="1"/>
  <c r="T232" i="1"/>
  <c r="T240" i="1"/>
  <c r="T248" i="1"/>
  <c r="T256" i="1"/>
  <c r="T264" i="1"/>
  <c r="T272" i="1"/>
  <c r="T280" i="1"/>
  <c r="T288" i="1"/>
  <c r="T296" i="1"/>
  <c r="T304" i="1"/>
  <c r="T312" i="1"/>
  <c r="T320" i="1"/>
  <c r="T328" i="1"/>
  <c r="T336" i="1"/>
  <c r="T344" i="1"/>
  <c r="T352" i="1"/>
  <c r="T360" i="1"/>
  <c r="T368" i="1"/>
  <c r="T376" i="1"/>
  <c r="T384" i="1"/>
  <c r="T392" i="1"/>
  <c r="T400" i="1"/>
  <c r="T408" i="1"/>
  <c r="T416" i="1"/>
  <c r="T424" i="1"/>
  <c r="T432" i="1"/>
  <c r="T440" i="1"/>
  <c r="T448" i="1"/>
  <c r="T456" i="1"/>
  <c r="T464" i="1"/>
  <c r="T472" i="1"/>
  <c r="T480" i="1"/>
  <c r="T488" i="1"/>
  <c r="T496" i="1"/>
  <c r="T504" i="1"/>
  <c r="T512" i="1"/>
  <c r="T520" i="1"/>
  <c r="T528" i="1"/>
  <c r="T536" i="1"/>
  <c r="T544" i="1"/>
  <c r="T552" i="1"/>
  <c r="T560" i="1"/>
  <c r="T568" i="1"/>
  <c r="T576" i="1"/>
  <c r="T584" i="1"/>
  <c r="T592" i="1"/>
  <c r="T600" i="1"/>
  <c r="T9" i="1"/>
  <c r="T17" i="1"/>
  <c r="T25" i="1"/>
  <c r="T33" i="1"/>
  <c r="T41" i="1"/>
  <c r="T49" i="1"/>
  <c r="T57" i="1"/>
  <c r="T65" i="1"/>
  <c r="T73" i="1"/>
  <c r="T81" i="1"/>
  <c r="T89" i="1"/>
  <c r="T97" i="1"/>
  <c r="T105" i="1"/>
  <c r="T113" i="1"/>
  <c r="T121" i="1"/>
  <c r="T129" i="1"/>
  <c r="T137" i="1"/>
  <c r="T145" i="1"/>
  <c r="T153" i="1"/>
  <c r="T161" i="1"/>
  <c r="T169" i="1"/>
  <c r="T177" i="1"/>
  <c r="T185" i="1"/>
  <c r="T193" i="1"/>
  <c r="T201" i="1"/>
  <c r="T209" i="1"/>
  <c r="T217" i="1"/>
  <c r="T225" i="1"/>
  <c r="T233" i="1"/>
  <c r="T241" i="1"/>
  <c r="T249" i="1"/>
  <c r="T257" i="1"/>
  <c r="T265" i="1"/>
  <c r="T273" i="1"/>
  <c r="T281" i="1"/>
  <c r="T289" i="1"/>
  <c r="T297" i="1"/>
  <c r="T305" i="1"/>
  <c r="T313" i="1"/>
  <c r="T321" i="1"/>
  <c r="T329" i="1"/>
  <c r="T337" i="1"/>
  <c r="T345" i="1"/>
  <c r="T353" i="1"/>
  <c r="T361" i="1"/>
  <c r="T369" i="1"/>
  <c r="T377" i="1"/>
  <c r="T385" i="1"/>
  <c r="T393" i="1"/>
  <c r="T401" i="1"/>
  <c r="T409" i="1"/>
  <c r="T417" i="1"/>
  <c r="T425" i="1"/>
  <c r="T433" i="1"/>
  <c r="T441" i="1"/>
  <c r="T449" i="1"/>
  <c r="T457" i="1"/>
  <c r="T465" i="1"/>
  <c r="T473" i="1"/>
  <c r="T481" i="1"/>
  <c r="T489" i="1"/>
  <c r="T497" i="1"/>
  <c r="T505" i="1"/>
  <c r="T513" i="1"/>
  <c r="T521" i="1"/>
  <c r="T529" i="1"/>
  <c r="T537" i="1"/>
  <c r="T545" i="1"/>
  <c r="T553" i="1"/>
  <c r="T561" i="1"/>
  <c r="T569" i="1"/>
  <c r="T577" i="1"/>
  <c r="T585" i="1"/>
  <c r="T593" i="1"/>
  <c r="T601" i="1"/>
  <c r="T6" i="1"/>
  <c r="T38" i="1"/>
  <c r="T62" i="1"/>
  <c r="T94" i="1"/>
  <c r="T134" i="1"/>
  <c r="T166" i="1"/>
  <c r="T206" i="1"/>
  <c r="T238" i="1"/>
  <c r="T270" i="1"/>
  <c r="T302" i="1"/>
  <c r="T334" i="1"/>
  <c r="T366" i="1"/>
  <c r="T398" i="1"/>
  <c r="T430" i="1"/>
  <c r="T462" i="1"/>
  <c r="T510" i="1"/>
  <c r="T550" i="1"/>
  <c r="T598" i="1"/>
  <c r="T31" i="1"/>
  <c r="T63" i="1"/>
  <c r="T95" i="1"/>
  <c r="T127" i="1"/>
  <c r="T159" i="1"/>
  <c r="T183" i="1"/>
  <c r="T215" i="1"/>
  <c r="T247" i="1"/>
  <c r="T279" i="1"/>
  <c r="T311" i="1"/>
  <c r="T343" i="1"/>
  <c r="T375" i="1"/>
  <c r="T407" i="1"/>
  <c r="T439" i="1"/>
  <c r="T471" i="1"/>
  <c r="T511" i="1"/>
  <c r="T543" i="1"/>
  <c r="T583" i="1"/>
  <c r="T32" i="1"/>
  <c r="T64" i="1"/>
  <c r="T88" i="1"/>
  <c r="T10" i="1"/>
  <c r="T42" i="1"/>
  <c r="T74" i="1"/>
  <c r="T106" i="1"/>
  <c r="T130" i="1"/>
  <c r="T154" i="1"/>
  <c r="T178" i="1"/>
  <c r="T202" i="1"/>
  <c r="T226" i="1"/>
  <c r="T250" i="1"/>
  <c r="T266" i="1"/>
  <c r="T298" i="1"/>
  <c r="T330" i="1"/>
  <c r="T354" i="1"/>
  <c r="T378" i="1"/>
  <c r="T402" i="1"/>
  <c r="T418" i="1"/>
  <c r="T442" i="1"/>
  <c r="T466" i="1"/>
  <c r="T498" i="1"/>
  <c r="T522" i="1"/>
  <c r="T546" i="1"/>
  <c r="T586" i="1"/>
  <c r="T27" i="1"/>
  <c r="T59" i="1"/>
  <c r="T83" i="1"/>
  <c r="T115" i="1"/>
  <c r="T147" i="1"/>
  <c r="T171" i="1"/>
  <c r="T203" i="1"/>
  <c r="T235" i="1"/>
  <c r="T259" i="1"/>
  <c r="T291" i="1"/>
  <c r="T331" i="1"/>
  <c r="T363" i="1"/>
  <c r="T395" i="1"/>
  <c r="T411" i="1"/>
  <c r="T427" i="1"/>
  <c r="T435" i="1"/>
  <c r="T443" i="1"/>
  <c r="T451" i="1"/>
  <c r="T467" i="1"/>
  <c r="T483" i="1"/>
  <c r="T491" i="1"/>
  <c r="T499" i="1"/>
  <c r="T507" i="1"/>
  <c r="T515" i="1"/>
  <c r="T523" i="1"/>
  <c r="T531" i="1"/>
  <c r="T539" i="1"/>
  <c r="T547" i="1"/>
  <c r="T555" i="1"/>
  <c r="T563" i="1"/>
  <c r="T571" i="1"/>
  <c r="T579" i="1"/>
  <c r="T587" i="1"/>
  <c r="T595" i="1"/>
  <c r="T603" i="1"/>
  <c r="T14" i="1"/>
  <c r="T46" i="1"/>
  <c r="T78" i="1"/>
  <c r="T110" i="1"/>
  <c r="T142" i="1"/>
  <c r="T174" i="1"/>
  <c r="T198" i="1"/>
  <c r="T230" i="1"/>
  <c r="T262" i="1"/>
  <c r="T294" i="1"/>
  <c r="T326" i="1"/>
  <c r="T358" i="1"/>
  <c r="T390" i="1"/>
  <c r="T414" i="1"/>
  <c r="T446" i="1"/>
  <c r="T470" i="1"/>
  <c r="T494" i="1"/>
  <c r="T526" i="1"/>
  <c r="T558" i="1"/>
  <c r="T590" i="1"/>
  <c r="T23" i="1"/>
  <c r="T55" i="1"/>
  <c r="T87" i="1"/>
  <c r="T111" i="1"/>
  <c r="T135" i="1"/>
  <c r="T167" i="1"/>
  <c r="T199" i="1"/>
  <c r="T239" i="1"/>
  <c r="T271" i="1"/>
  <c r="T303" i="1"/>
  <c r="T319" i="1"/>
  <c r="T359" i="1"/>
  <c r="T391" i="1"/>
  <c r="T423" i="1"/>
  <c r="T447" i="1"/>
  <c r="T479" i="1"/>
  <c r="T503" i="1"/>
  <c r="T527" i="1"/>
  <c r="T559" i="1"/>
  <c r="T599" i="1"/>
  <c r="T24" i="1"/>
  <c r="T40" i="1"/>
  <c r="T72" i="1"/>
  <c r="T96" i="1"/>
  <c r="T18" i="1"/>
  <c r="T34" i="1"/>
  <c r="T58" i="1"/>
  <c r="T82" i="1"/>
  <c r="T98" i="1"/>
  <c r="T114" i="1"/>
  <c r="T138" i="1"/>
  <c r="T162" i="1"/>
  <c r="T186" i="1"/>
  <c r="T210" i="1"/>
  <c r="T234" i="1"/>
  <c r="T258" i="1"/>
  <c r="T282" i="1"/>
  <c r="T290" i="1"/>
  <c r="T314" i="1"/>
  <c r="T338" i="1"/>
  <c r="T370" i="1"/>
  <c r="T394" i="1"/>
  <c r="T426" i="1"/>
  <c r="T450" i="1"/>
  <c r="T474" i="1"/>
  <c r="T490" i="1"/>
  <c r="T514" i="1"/>
  <c r="T530" i="1"/>
  <c r="T554" i="1"/>
  <c r="T562" i="1"/>
  <c r="T570" i="1"/>
  <c r="T578" i="1"/>
  <c r="T602" i="1"/>
  <c r="T19" i="1"/>
  <c r="T43" i="1"/>
  <c r="T67" i="1"/>
  <c r="T91" i="1"/>
  <c r="T107" i="1"/>
  <c r="T131" i="1"/>
  <c r="T155" i="1"/>
  <c r="T179" i="1"/>
  <c r="T195" i="1"/>
  <c r="T219" i="1"/>
  <c r="T243" i="1"/>
  <c r="T267" i="1"/>
  <c r="T299" i="1"/>
  <c r="T315" i="1"/>
  <c r="T339" i="1"/>
  <c r="T355" i="1"/>
  <c r="T379" i="1"/>
  <c r="T403" i="1"/>
  <c r="T419" i="1"/>
  <c r="T475" i="1"/>
  <c r="T4" i="1"/>
  <c r="T12" i="1"/>
  <c r="T20" i="1"/>
  <c r="T28" i="1"/>
  <c r="T36" i="1"/>
  <c r="T44" i="1"/>
  <c r="T52" i="1"/>
  <c r="T60" i="1"/>
  <c r="T68" i="1"/>
  <c r="T76" i="1"/>
  <c r="T84" i="1"/>
  <c r="T92" i="1"/>
  <c r="T100" i="1"/>
  <c r="T108" i="1"/>
  <c r="T116" i="1"/>
  <c r="T124" i="1"/>
  <c r="T132" i="1"/>
  <c r="T140" i="1"/>
  <c r="T148" i="1"/>
  <c r="T156" i="1"/>
  <c r="T164" i="1"/>
  <c r="T172" i="1"/>
  <c r="T180" i="1"/>
  <c r="T188" i="1"/>
  <c r="T196" i="1"/>
  <c r="T204" i="1"/>
  <c r="T212" i="1"/>
  <c r="T220" i="1"/>
  <c r="T228" i="1"/>
  <c r="T236" i="1"/>
  <c r="T244" i="1"/>
  <c r="T252" i="1"/>
  <c r="T260" i="1"/>
  <c r="T268" i="1"/>
  <c r="T276" i="1"/>
  <c r="T284" i="1"/>
  <c r="T292" i="1"/>
  <c r="T300" i="1"/>
  <c r="T308" i="1"/>
  <c r="T316" i="1"/>
  <c r="T324" i="1"/>
  <c r="T332" i="1"/>
  <c r="T340" i="1"/>
  <c r="T348" i="1"/>
  <c r="T356" i="1"/>
  <c r="T364" i="1"/>
  <c r="T372" i="1"/>
  <c r="T380" i="1"/>
  <c r="T388" i="1"/>
  <c r="T396" i="1"/>
  <c r="T404" i="1"/>
  <c r="T412" i="1"/>
  <c r="T420" i="1"/>
  <c r="T428" i="1"/>
  <c r="T436" i="1"/>
  <c r="T444" i="1"/>
  <c r="T452" i="1"/>
  <c r="T460" i="1"/>
  <c r="T468" i="1"/>
  <c r="T476" i="1"/>
  <c r="T484" i="1"/>
  <c r="T492" i="1"/>
  <c r="T500" i="1"/>
  <c r="T508" i="1"/>
  <c r="T516" i="1"/>
  <c r="T524" i="1"/>
  <c r="T532" i="1"/>
  <c r="T540" i="1"/>
  <c r="T548" i="1"/>
  <c r="T556" i="1"/>
  <c r="T564" i="1"/>
  <c r="T572" i="1"/>
  <c r="T580" i="1"/>
  <c r="T588" i="1"/>
  <c r="T596" i="1"/>
  <c r="T22" i="1"/>
  <c r="T54" i="1"/>
  <c r="T86" i="1"/>
  <c r="T118" i="1"/>
  <c r="T150" i="1"/>
  <c r="T190" i="1"/>
  <c r="T222" i="1"/>
  <c r="T254" i="1"/>
  <c r="T286" i="1"/>
  <c r="T318" i="1"/>
  <c r="T350" i="1"/>
  <c r="T382" i="1"/>
  <c r="T438" i="1"/>
  <c r="T478" i="1"/>
  <c r="T518" i="1"/>
  <c r="T542" i="1"/>
  <c r="T574" i="1"/>
  <c r="T7" i="1"/>
  <c r="T39" i="1"/>
  <c r="T79" i="1"/>
  <c r="T119" i="1"/>
  <c r="T151" i="1"/>
  <c r="T191" i="1"/>
  <c r="T223" i="1"/>
  <c r="T255" i="1"/>
  <c r="T295" i="1"/>
  <c r="T335" i="1"/>
  <c r="T367" i="1"/>
  <c r="T399" i="1"/>
  <c r="T431" i="1"/>
  <c r="T463" i="1"/>
  <c r="T495" i="1"/>
  <c r="T535" i="1"/>
  <c r="T575" i="1"/>
  <c r="T8" i="1"/>
  <c r="T56" i="1"/>
  <c r="T104" i="1"/>
  <c r="T26" i="1"/>
  <c r="T50" i="1"/>
  <c r="T66" i="1"/>
  <c r="T90" i="1"/>
  <c r="T122" i="1"/>
  <c r="T146" i="1"/>
  <c r="T170" i="1"/>
  <c r="T194" i="1"/>
  <c r="T218" i="1"/>
  <c r="T242" i="1"/>
  <c r="T274" i="1"/>
  <c r="T306" i="1"/>
  <c r="T322" i="1"/>
  <c r="T346" i="1"/>
  <c r="T362" i="1"/>
  <c r="T386" i="1"/>
  <c r="T410" i="1"/>
  <c r="T434" i="1"/>
  <c r="T458" i="1"/>
  <c r="T482" i="1"/>
  <c r="T506" i="1"/>
  <c r="T538" i="1"/>
  <c r="T594" i="1"/>
  <c r="T11" i="1"/>
  <c r="T35" i="1"/>
  <c r="T51" i="1"/>
  <c r="T75" i="1"/>
  <c r="T99" i="1"/>
  <c r="T123" i="1"/>
  <c r="T139" i="1"/>
  <c r="T163" i="1"/>
  <c r="T187" i="1"/>
  <c r="T211" i="1"/>
  <c r="T227" i="1"/>
  <c r="T251" i="1"/>
  <c r="T275" i="1"/>
  <c r="T283" i="1"/>
  <c r="T307" i="1"/>
  <c r="T323" i="1"/>
  <c r="T347" i="1"/>
  <c r="T371" i="1"/>
  <c r="T387" i="1"/>
  <c r="T459" i="1"/>
  <c r="T5" i="1"/>
  <c r="T13" i="1"/>
  <c r="T21" i="1"/>
  <c r="T29" i="1"/>
  <c r="T37" i="1"/>
  <c r="T45" i="1"/>
  <c r="T53" i="1"/>
  <c r="T61" i="1"/>
  <c r="T69" i="1"/>
  <c r="T77" i="1"/>
  <c r="T85" i="1"/>
  <c r="T93" i="1"/>
  <c r="T101" i="1"/>
  <c r="T109" i="1"/>
  <c r="T117" i="1"/>
  <c r="T125" i="1"/>
  <c r="T133" i="1"/>
  <c r="T141" i="1"/>
  <c r="T149" i="1"/>
  <c r="T157" i="1"/>
  <c r="T165" i="1"/>
  <c r="T173" i="1"/>
  <c r="T181" i="1"/>
  <c r="T189" i="1"/>
  <c r="T197" i="1"/>
  <c r="T205" i="1"/>
  <c r="T213" i="1"/>
  <c r="T221" i="1"/>
  <c r="T229" i="1"/>
  <c r="T237" i="1"/>
  <c r="T245" i="1"/>
  <c r="T253" i="1"/>
  <c r="T261" i="1"/>
  <c r="T269" i="1"/>
  <c r="T277" i="1"/>
  <c r="T285" i="1"/>
  <c r="T293" i="1"/>
  <c r="T301" i="1"/>
  <c r="T309" i="1"/>
  <c r="T317" i="1"/>
  <c r="T325" i="1"/>
  <c r="T333" i="1"/>
  <c r="T341" i="1"/>
  <c r="T349" i="1"/>
  <c r="T357" i="1"/>
  <c r="T365" i="1"/>
  <c r="T373" i="1"/>
  <c r="T381" i="1"/>
  <c r="T389" i="1"/>
  <c r="T397" i="1"/>
  <c r="T405" i="1"/>
  <c r="T413" i="1"/>
  <c r="T421" i="1"/>
  <c r="T429" i="1"/>
  <c r="T437" i="1"/>
  <c r="T445" i="1"/>
  <c r="T453" i="1"/>
  <c r="T461" i="1"/>
  <c r="T469" i="1"/>
  <c r="T477" i="1"/>
  <c r="T485" i="1"/>
  <c r="T493" i="1"/>
  <c r="T501" i="1"/>
  <c r="T509" i="1"/>
  <c r="T517" i="1"/>
  <c r="T525" i="1"/>
  <c r="T533" i="1"/>
  <c r="T541" i="1"/>
  <c r="T549" i="1"/>
  <c r="T557" i="1"/>
  <c r="T565" i="1"/>
  <c r="T573" i="1"/>
  <c r="T581" i="1"/>
  <c r="T589" i="1"/>
  <c r="T597" i="1"/>
  <c r="B3" i="1"/>
  <c r="C15" i="1"/>
  <c r="D15" i="1" s="1"/>
  <c r="E15" i="1" s="1"/>
  <c r="H15" i="1" s="1"/>
  <c r="C63" i="1"/>
  <c r="C327" i="1"/>
  <c r="D327" i="1" s="1"/>
  <c r="E327" i="1" s="1"/>
  <c r="H327" i="1" s="1"/>
  <c r="C399" i="1"/>
  <c r="C455" i="1"/>
  <c r="D455" i="1" s="1"/>
  <c r="E455" i="1" s="1"/>
  <c r="H455" i="1" s="1"/>
  <c r="C551" i="1"/>
  <c r="C599" i="1"/>
  <c r="C10" i="1"/>
  <c r="C16" i="1"/>
  <c r="D16" i="1" s="1"/>
  <c r="E16" i="1" s="1"/>
  <c r="H16" i="1" s="1"/>
  <c r="C24" i="1"/>
  <c r="C32" i="1"/>
  <c r="D32" i="1" s="1"/>
  <c r="E32" i="1" s="1"/>
  <c r="H32" i="1" s="1"/>
  <c r="C40" i="1"/>
  <c r="D40" i="1" s="1"/>
  <c r="C48" i="1"/>
  <c r="D48" i="1" s="1"/>
  <c r="E48" i="1" s="1"/>
  <c r="H48" i="1" s="1"/>
  <c r="C56" i="1"/>
  <c r="C64" i="1"/>
  <c r="D64" i="1" s="1"/>
  <c r="C72" i="1"/>
  <c r="C88" i="1"/>
  <c r="D88" i="1" s="1"/>
  <c r="E88" i="1" s="1"/>
  <c r="H88" i="1" s="1"/>
  <c r="C96" i="1"/>
  <c r="C104" i="1"/>
  <c r="D104" i="1" s="1"/>
  <c r="E104" i="1" s="1"/>
  <c r="H104" i="1" s="1"/>
  <c r="C112" i="1"/>
  <c r="D112" i="1" s="1"/>
  <c r="C144" i="1"/>
  <c r="D144" i="1" s="1"/>
  <c r="C160" i="1"/>
  <c r="C168" i="1"/>
  <c r="C176" i="1"/>
  <c r="C184" i="1"/>
  <c r="D184" i="1" s="1"/>
  <c r="E184" i="1" s="1"/>
  <c r="H184" i="1" s="1"/>
  <c r="C192" i="1"/>
  <c r="C200" i="1"/>
  <c r="D200" i="1" s="1"/>
  <c r="E200" i="1" s="1"/>
  <c r="H200" i="1" s="1"/>
  <c r="C208" i="1"/>
  <c r="D208" i="1" s="1"/>
  <c r="C216" i="1"/>
  <c r="D216" i="1" s="1"/>
  <c r="E216" i="1" s="1"/>
  <c r="H216" i="1" s="1"/>
  <c r="C224" i="1"/>
  <c r="D224" i="1" s="1"/>
  <c r="C232" i="1"/>
  <c r="C248" i="1"/>
  <c r="C264" i="1"/>
  <c r="D264" i="1" s="1"/>
  <c r="E264" i="1" s="1"/>
  <c r="H264" i="1" s="1"/>
  <c r="C272" i="1"/>
  <c r="C280" i="1"/>
  <c r="D280" i="1" s="1"/>
  <c r="E280" i="1" s="1"/>
  <c r="H280" i="1" s="1"/>
  <c r="C288" i="1"/>
  <c r="D288" i="1" s="1"/>
  <c r="E288" i="1" s="1"/>
  <c r="H288" i="1" s="1"/>
  <c r="C312" i="1"/>
  <c r="D312" i="1" s="1"/>
  <c r="C344" i="1"/>
  <c r="D344" i="1" s="1"/>
  <c r="C352" i="1"/>
  <c r="D352" i="1" s="1"/>
  <c r="C360" i="1"/>
  <c r="C384" i="1"/>
  <c r="D384" i="1" s="1"/>
  <c r="E384" i="1" s="1"/>
  <c r="H384" i="1" s="1"/>
  <c r="C392" i="1"/>
  <c r="C400" i="1"/>
  <c r="D400" i="1" s="1"/>
  <c r="E400" i="1" s="1"/>
  <c r="H400" i="1" s="1"/>
  <c r="C408" i="1"/>
  <c r="D408" i="1" s="1"/>
  <c r="C432" i="1"/>
  <c r="D432" i="1" s="1"/>
  <c r="C440" i="1"/>
  <c r="C448" i="1"/>
  <c r="C464" i="1"/>
  <c r="C472" i="1"/>
  <c r="D472" i="1" s="1"/>
  <c r="E472" i="1" s="1"/>
  <c r="H472" i="1" s="1"/>
  <c r="C480" i="1"/>
  <c r="C496" i="1"/>
  <c r="D496" i="1" s="1"/>
  <c r="E496" i="1" s="1"/>
  <c r="H496" i="1" s="1"/>
  <c r="C504" i="1"/>
  <c r="D504" i="1" s="1"/>
  <c r="C512" i="1"/>
  <c r="D512" i="1" s="1"/>
  <c r="E512" i="1" s="1"/>
  <c r="H512" i="1" s="1"/>
  <c r="C528" i="1"/>
  <c r="D528" i="1" s="1"/>
  <c r="C536" i="1"/>
  <c r="C544" i="1"/>
  <c r="C560" i="1"/>
  <c r="D560" i="1" s="1"/>
  <c r="E560" i="1" s="1"/>
  <c r="H560" i="1" s="1"/>
  <c r="C568" i="1"/>
  <c r="C576" i="1"/>
  <c r="D576" i="1" s="1"/>
  <c r="E576" i="1" s="1"/>
  <c r="H576" i="1" s="1"/>
  <c r="C584" i="1"/>
  <c r="D584" i="1" s="1"/>
  <c r="C592" i="1"/>
  <c r="D592" i="1" s="1"/>
  <c r="E592" i="1" s="1"/>
  <c r="H592" i="1" s="1"/>
  <c r="C9" i="1"/>
  <c r="C47" i="1"/>
  <c r="C79" i="1"/>
  <c r="C127" i="1"/>
  <c r="D127" i="1" s="1"/>
  <c r="E127" i="1" s="1"/>
  <c r="H127" i="1" s="1"/>
  <c r="C159" i="1"/>
  <c r="D159" i="1" s="1"/>
  <c r="E159" i="1" s="1"/>
  <c r="H159" i="1" s="1"/>
  <c r="C199" i="1"/>
  <c r="D199" i="1" s="1"/>
  <c r="E199" i="1" s="1"/>
  <c r="H199" i="1" s="1"/>
  <c r="C303" i="1"/>
  <c r="D303" i="1" s="1"/>
  <c r="C383" i="1"/>
  <c r="D383" i="1" s="1"/>
  <c r="C17" i="1"/>
  <c r="C57" i="1"/>
  <c r="C97" i="1"/>
  <c r="C265" i="1"/>
  <c r="C321" i="1"/>
  <c r="C361" i="1"/>
  <c r="C489" i="1"/>
  <c r="C521" i="1"/>
  <c r="C545" i="1"/>
  <c r="C569" i="1"/>
  <c r="C4" i="1"/>
  <c r="C11" i="1"/>
  <c r="D11" i="1" s="1"/>
  <c r="E11" i="1" s="1"/>
  <c r="H11" i="1" s="1"/>
  <c r="C18" i="1"/>
  <c r="C26" i="1"/>
  <c r="D26" i="1" s="1"/>
  <c r="E26" i="1" s="1"/>
  <c r="H26" i="1" s="1"/>
  <c r="C34" i="1"/>
  <c r="D34" i="1" s="1"/>
  <c r="C42" i="1"/>
  <c r="D42" i="1" s="1"/>
  <c r="E42" i="1" s="1"/>
  <c r="H42" i="1" s="1"/>
  <c r="C58" i="1"/>
  <c r="D58" i="1" s="1"/>
  <c r="C74" i="1"/>
  <c r="D74" i="1" s="1"/>
  <c r="C82" i="1"/>
  <c r="C90" i="1"/>
  <c r="D90" i="1" s="1"/>
  <c r="E90" i="1" s="1"/>
  <c r="H90" i="1" s="1"/>
  <c r="C106" i="1"/>
  <c r="C114" i="1"/>
  <c r="D114" i="1" s="1"/>
  <c r="C130" i="1"/>
  <c r="D130" i="1" s="1"/>
  <c r="C170" i="1"/>
  <c r="D170" i="1" s="1"/>
  <c r="C178" i="1"/>
  <c r="D178" i="1" s="1"/>
  <c r="C186" i="1"/>
  <c r="D186" i="1" s="1"/>
  <c r="C194" i="1"/>
  <c r="C202" i="1"/>
  <c r="D202" i="1" s="1"/>
  <c r="E202" i="1" s="1"/>
  <c r="H202" i="1" s="1"/>
  <c r="C210" i="1"/>
  <c r="C218" i="1"/>
  <c r="D218" i="1" s="1"/>
  <c r="C226" i="1"/>
  <c r="D226" i="1" s="1"/>
  <c r="E226" i="1" s="1"/>
  <c r="H226" i="1" s="1"/>
  <c r="C234" i="1"/>
  <c r="D234" i="1" s="1"/>
  <c r="C250" i="1"/>
  <c r="D250" i="1" s="1"/>
  <c r="C258" i="1"/>
  <c r="D258" i="1" s="1"/>
  <c r="C266" i="1"/>
  <c r="C274" i="1"/>
  <c r="D274" i="1" s="1"/>
  <c r="C282" i="1"/>
  <c r="C290" i="1"/>
  <c r="D290" i="1" s="1"/>
  <c r="C298" i="1"/>
  <c r="D298" i="1" s="1"/>
  <c r="E298" i="1" s="1"/>
  <c r="H298" i="1" s="1"/>
  <c r="C306" i="1"/>
  <c r="D306" i="1" s="1"/>
  <c r="C322" i="1"/>
  <c r="D322" i="1" s="1"/>
  <c r="C338" i="1"/>
  <c r="D338" i="1" s="1"/>
  <c r="C378" i="1"/>
  <c r="C386" i="1"/>
  <c r="D386" i="1" s="1"/>
  <c r="C394" i="1"/>
  <c r="C410" i="1"/>
  <c r="D410" i="1" s="1"/>
  <c r="E410" i="1" s="1"/>
  <c r="H410" i="1" s="1"/>
  <c r="C426" i="1"/>
  <c r="D426" i="1" s="1"/>
  <c r="E426" i="1" s="1"/>
  <c r="H426" i="1" s="1"/>
  <c r="C434" i="1"/>
  <c r="D434" i="1" s="1"/>
  <c r="E434" i="1" s="1"/>
  <c r="H434" i="1" s="1"/>
  <c r="C442" i="1"/>
  <c r="D442" i="1" s="1"/>
  <c r="E442" i="1" s="1"/>
  <c r="H442" i="1" s="1"/>
  <c r="C450" i="1"/>
  <c r="D450" i="1" s="1"/>
  <c r="C458" i="1"/>
  <c r="C466" i="1"/>
  <c r="D466" i="1" s="1"/>
  <c r="C474" i="1"/>
  <c r="C490" i="1"/>
  <c r="D490" i="1" s="1"/>
  <c r="C498" i="1"/>
  <c r="D498" i="1" s="1"/>
  <c r="E498" i="1" s="1"/>
  <c r="H498" i="1" s="1"/>
  <c r="C506" i="1"/>
  <c r="D506" i="1" s="1"/>
  <c r="C514" i="1"/>
  <c r="D514" i="1" s="1"/>
  <c r="C522" i="1"/>
  <c r="D522" i="1" s="1"/>
  <c r="C538" i="1"/>
  <c r="C546" i="1"/>
  <c r="D546" i="1" s="1"/>
  <c r="C562" i="1"/>
  <c r="C570" i="1"/>
  <c r="D570" i="1" s="1"/>
  <c r="E570" i="1" s="1"/>
  <c r="H570" i="1" s="1"/>
  <c r="C586" i="1"/>
  <c r="D586" i="1" s="1"/>
  <c r="E586" i="1" s="1"/>
  <c r="H586" i="1" s="1"/>
  <c r="C594" i="1"/>
  <c r="D594" i="1" s="1"/>
  <c r="C31" i="1"/>
  <c r="C87" i="1"/>
  <c r="C151" i="1"/>
  <c r="C263" i="1"/>
  <c r="D263" i="1" s="1"/>
  <c r="E263" i="1" s="1"/>
  <c r="H263" i="1" s="1"/>
  <c r="C359" i="1"/>
  <c r="C415" i="1"/>
  <c r="D415" i="1" s="1"/>
  <c r="E415" i="1" s="1"/>
  <c r="H415" i="1" s="1"/>
  <c r="C527" i="1"/>
  <c r="D527" i="1" s="1"/>
  <c r="E527" i="1" s="1"/>
  <c r="H527" i="1" s="1"/>
  <c r="C33" i="1"/>
  <c r="C73" i="1"/>
  <c r="C121" i="1"/>
  <c r="C201" i="1"/>
  <c r="C249" i="1"/>
  <c r="C337" i="1"/>
  <c r="C377" i="1"/>
  <c r="C553" i="1"/>
  <c r="C593" i="1"/>
  <c r="C19" i="1"/>
  <c r="D19" i="1" s="1"/>
  <c r="C27" i="1"/>
  <c r="C35" i="1"/>
  <c r="C43" i="1"/>
  <c r="D43" i="1" s="1"/>
  <c r="E43" i="1" s="1"/>
  <c r="H43" i="1" s="1"/>
  <c r="C51" i="1"/>
  <c r="C59" i="1"/>
  <c r="D59" i="1" s="1"/>
  <c r="E59" i="1" s="1"/>
  <c r="H59" i="1" s="1"/>
  <c r="C67" i="1"/>
  <c r="D67" i="1" s="1"/>
  <c r="C75" i="1"/>
  <c r="D75" i="1" s="1"/>
  <c r="E75" i="1" s="1"/>
  <c r="H75" i="1" s="1"/>
  <c r="C83" i="1"/>
  <c r="C91" i="1"/>
  <c r="C99" i="1"/>
  <c r="C115" i="1"/>
  <c r="D115" i="1" s="1"/>
  <c r="E115" i="1" s="1"/>
  <c r="H115" i="1" s="1"/>
  <c r="C131" i="1"/>
  <c r="C139" i="1"/>
  <c r="D139" i="1" s="1"/>
  <c r="E139" i="1" s="1"/>
  <c r="H139" i="1" s="1"/>
  <c r="C147" i="1"/>
  <c r="D147" i="1" s="1"/>
  <c r="C155" i="1"/>
  <c r="D155" i="1" s="1"/>
  <c r="C163" i="1"/>
  <c r="D163" i="1" s="1"/>
  <c r="C171" i="1"/>
  <c r="C187" i="1"/>
  <c r="C195" i="1"/>
  <c r="D195" i="1" s="1"/>
  <c r="C211" i="1"/>
  <c r="C219" i="1"/>
  <c r="C227" i="1"/>
  <c r="C235" i="1"/>
  <c r="D235" i="1" s="1"/>
  <c r="C243" i="1"/>
  <c r="C251" i="1"/>
  <c r="C259" i="1"/>
  <c r="C267" i="1"/>
  <c r="D267" i="1" s="1"/>
  <c r="C307" i="1"/>
  <c r="D307" i="1" s="1"/>
  <c r="E307" i="1" s="1"/>
  <c r="H307" i="1" s="1"/>
  <c r="C339" i="1"/>
  <c r="D339" i="1" s="1"/>
  <c r="C347" i="1"/>
  <c r="D347" i="1" s="1"/>
  <c r="C371" i="1"/>
  <c r="D371" i="1" s="1"/>
  <c r="C379" i="1"/>
  <c r="C387" i="1"/>
  <c r="C403" i="1"/>
  <c r="C411" i="1"/>
  <c r="D411" i="1" s="1"/>
  <c r="E411" i="1" s="1"/>
  <c r="H411" i="1" s="1"/>
  <c r="C419" i="1"/>
  <c r="C451" i="1"/>
  <c r="C515" i="1"/>
  <c r="D515" i="1" s="1"/>
  <c r="E515" i="1" s="1"/>
  <c r="H515" i="1" s="1"/>
  <c r="C523" i="1"/>
  <c r="D523" i="1" s="1"/>
  <c r="C547" i="1"/>
  <c r="C555" i="1"/>
  <c r="C563" i="1"/>
  <c r="C603" i="1"/>
  <c r="D603" i="1" s="1"/>
  <c r="C55" i="1"/>
  <c r="C239" i="1"/>
  <c r="C479" i="1"/>
  <c r="D479" i="1" s="1"/>
  <c r="C519" i="1"/>
  <c r="D519" i="1" s="1"/>
  <c r="C65" i="1"/>
  <c r="C113" i="1"/>
  <c r="C161" i="1"/>
  <c r="C393" i="1"/>
  <c r="C481" i="1"/>
  <c r="C529" i="1"/>
  <c r="C601" i="1"/>
  <c r="C6" i="1"/>
  <c r="D6" i="1" s="1"/>
  <c r="C12" i="1"/>
  <c r="C20" i="1"/>
  <c r="C28" i="1"/>
  <c r="C36" i="1"/>
  <c r="C44" i="1"/>
  <c r="C52" i="1"/>
  <c r="C60" i="1"/>
  <c r="C68" i="1"/>
  <c r="C76" i="1"/>
  <c r="C108" i="1"/>
  <c r="C124" i="1"/>
  <c r="C148" i="1"/>
  <c r="C156" i="1"/>
  <c r="C164" i="1"/>
  <c r="C196" i="1"/>
  <c r="C204" i="1"/>
  <c r="C220" i="1"/>
  <c r="C228" i="1"/>
  <c r="C252" i="1"/>
  <c r="C260" i="1"/>
  <c r="C268" i="1"/>
  <c r="C284" i="1"/>
  <c r="C300" i="1"/>
  <c r="C308" i="1"/>
  <c r="C316" i="1"/>
  <c r="C324" i="1"/>
  <c r="C332" i="1"/>
  <c r="C348" i="1"/>
  <c r="C372" i="1"/>
  <c r="C380" i="1"/>
  <c r="C388" i="1"/>
  <c r="C404" i="1"/>
  <c r="C412" i="1"/>
  <c r="C428" i="1"/>
  <c r="C436" i="1"/>
  <c r="C444" i="1"/>
  <c r="C460" i="1"/>
  <c r="C468" i="1"/>
  <c r="C476" i="1"/>
  <c r="C492" i="1"/>
  <c r="C500" i="1"/>
  <c r="C508" i="1"/>
  <c r="C516" i="1"/>
  <c r="C524" i="1"/>
  <c r="C532" i="1"/>
  <c r="C540" i="1"/>
  <c r="C548" i="1"/>
  <c r="C556" i="1"/>
  <c r="C564" i="1"/>
  <c r="C572" i="1"/>
  <c r="C588" i="1"/>
  <c r="C23" i="1"/>
  <c r="C71" i="1"/>
  <c r="D71" i="1" s="1"/>
  <c r="E71" i="1" s="1"/>
  <c r="H71" i="1" s="1"/>
  <c r="C143" i="1"/>
  <c r="D143" i="1" s="1"/>
  <c r="C255" i="1"/>
  <c r="C487" i="1"/>
  <c r="D487" i="1" s="1"/>
  <c r="C535" i="1"/>
  <c r="C41" i="1"/>
  <c r="C241" i="1"/>
  <c r="C425" i="1"/>
  <c r="C585" i="1"/>
  <c r="C7" i="1"/>
  <c r="D7" i="1" s="1"/>
  <c r="C13" i="1"/>
  <c r="D13" i="1" s="1"/>
  <c r="C21" i="1"/>
  <c r="C29" i="1"/>
  <c r="C37" i="1"/>
  <c r="C45" i="1"/>
  <c r="C53" i="1"/>
  <c r="C61" i="1"/>
  <c r="D61" i="1" s="1"/>
  <c r="E61" i="1" s="1"/>
  <c r="H61" i="1" s="1"/>
  <c r="C69" i="1"/>
  <c r="D69" i="1" s="1"/>
  <c r="E69" i="1" s="1"/>
  <c r="H69" i="1" s="1"/>
  <c r="C85" i="1"/>
  <c r="C93" i="1"/>
  <c r="C109" i="1"/>
  <c r="D109" i="1" s="1"/>
  <c r="C125" i="1"/>
  <c r="D125" i="1" s="1"/>
  <c r="C133" i="1"/>
  <c r="C141" i="1"/>
  <c r="C149" i="1"/>
  <c r="C165" i="1"/>
  <c r="C181" i="1"/>
  <c r="C197" i="1"/>
  <c r="C213" i="1"/>
  <c r="C253" i="1"/>
  <c r="C261" i="1"/>
  <c r="C269" i="1"/>
  <c r="C285" i="1"/>
  <c r="C301" i="1"/>
  <c r="C309" i="1"/>
  <c r="D309" i="1" s="1"/>
  <c r="C325" i="1"/>
  <c r="C341" i="1"/>
  <c r="D341" i="1" s="1"/>
  <c r="C349" i="1"/>
  <c r="C357" i="1"/>
  <c r="C365" i="1"/>
  <c r="C381" i="1"/>
  <c r="D381" i="1" s="1"/>
  <c r="E381" i="1" s="1"/>
  <c r="H381" i="1" s="1"/>
  <c r="C397" i="1"/>
  <c r="D397" i="1" s="1"/>
  <c r="C413" i="1"/>
  <c r="C421" i="1"/>
  <c r="D421" i="1" s="1"/>
  <c r="C453" i="1"/>
  <c r="C485" i="1"/>
  <c r="C517" i="1"/>
  <c r="C525" i="1"/>
  <c r="C533" i="1"/>
  <c r="C557" i="1"/>
  <c r="D557" i="1" s="1"/>
  <c r="C39" i="1"/>
  <c r="C135" i="1"/>
  <c r="C167" i="1"/>
  <c r="C247" i="1"/>
  <c r="C279" i="1"/>
  <c r="C423" i="1"/>
  <c r="C49" i="1"/>
  <c r="C81" i="1"/>
  <c r="C105" i="1"/>
  <c r="C137" i="1"/>
  <c r="C153" i="1"/>
  <c r="C257" i="1"/>
  <c r="C273" i="1"/>
  <c r="C353" i="1"/>
  <c r="C385" i="1"/>
  <c r="C417" i="1"/>
  <c r="C457" i="1"/>
  <c r="C537" i="1"/>
  <c r="C577" i="1"/>
  <c r="C5" i="1"/>
  <c r="C8" i="1"/>
  <c r="C14" i="1"/>
  <c r="C22" i="1"/>
  <c r="D22" i="1" s="1"/>
  <c r="E22" i="1" s="1"/>
  <c r="H22" i="1" s="1"/>
  <c r="C30" i="1"/>
  <c r="D30" i="1" s="1"/>
  <c r="E30" i="1" s="1"/>
  <c r="H30" i="1" s="1"/>
  <c r="C38" i="1"/>
  <c r="D38" i="1" s="1"/>
  <c r="E38" i="1" s="1"/>
  <c r="H38" i="1" s="1"/>
  <c r="C46" i="1"/>
  <c r="C54" i="1"/>
  <c r="C62" i="1"/>
  <c r="C70" i="1"/>
  <c r="C86" i="1"/>
  <c r="C94" i="1"/>
  <c r="D94" i="1" s="1"/>
  <c r="E94" i="1" s="1"/>
  <c r="H94" i="1" s="1"/>
  <c r="C102" i="1"/>
  <c r="D102" i="1" s="1"/>
  <c r="C110" i="1"/>
  <c r="D110" i="1" s="1"/>
  <c r="C134" i="1"/>
  <c r="C174" i="1"/>
  <c r="C182" i="1"/>
  <c r="C190" i="1"/>
  <c r="C206" i="1"/>
  <c r="C214" i="1"/>
  <c r="D214" i="1" s="1"/>
  <c r="E214" i="1" s="1"/>
  <c r="H214" i="1" s="1"/>
  <c r="C222" i="1"/>
  <c r="C230" i="1"/>
  <c r="C238" i="1"/>
  <c r="C246" i="1"/>
  <c r="C254" i="1"/>
  <c r="C262" i="1"/>
  <c r="C278" i="1"/>
  <c r="C286" i="1"/>
  <c r="C310" i="1"/>
  <c r="C318" i="1"/>
  <c r="C326" i="1"/>
  <c r="C342" i="1"/>
  <c r="C398" i="1"/>
  <c r="C406" i="1"/>
  <c r="C414" i="1"/>
  <c r="C430" i="1"/>
  <c r="D430" i="1" s="1"/>
  <c r="C446" i="1"/>
  <c r="C478" i="1"/>
  <c r="C518" i="1"/>
  <c r="C526" i="1"/>
  <c r="C534" i="1"/>
  <c r="C542" i="1"/>
  <c r="C550" i="1"/>
  <c r="C558" i="1"/>
  <c r="D558" i="1" s="1"/>
  <c r="E558" i="1" s="1"/>
  <c r="H558" i="1" s="1"/>
  <c r="C566" i="1"/>
  <c r="D566" i="1" s="1"/>
  <c r="C574" i="1"/>
  <c r="C582" i="1"/>
  <c r="C598" i="1"/>
  <c r="J94" i="1"/>
  <c r="J15" i="1"/>
  <c r="J127" i="1"/>
  <c r="J159" i="1"/>
  <c r="J61" i="1"/>
  <c r="J90" i="1"/>
  <c r="J202" i="1"/>
  <c r="J442" i="1"/>
  <c r="J498" i="1"/>
  <c r="J11" i="1"/>
  <c r="J88" i="1"/>
  <c r="J472" i="1"/>
  <c r="J22" i="1"/>
  <c r="J384" i="1"/>
  <c r="J59" i="1"/>
  <c r="J264" i="1"/>
  <c r="J560" i="1"/>
  <c r="J184" i="1"/>
  <c r="J16" i="1"/>
  <c r="C66" i="1"/>
  <c r="C119" i="1"/>
  <c r="C145" i="1"/>
  <c r="C198" i="1"/>
  <c r="C231" i="1"/>
  <c r="C270" i="1"/>
  <c r="C328" i="1"/>
  <c r="C172" i="1"/>
  <c r="C242" i="1"/>
  <c r="C256" i="1"/>
  <c r="D256" i="1" s="1"/>
  <c r="E256" i="1" s="1"/>
  <c r="H256" i="1" s="1"/>
  <c r="C207" i="1"/>
  <c r="C89" i="1"/>
  <c r="C116" i="1"/>
  <c r="C138" i="1"/>
  <c r="C236" i="1"/>
  <c r="C336" i="1"/>
  <c r="C351" i="1"/>
  <c r="D351" i="1" s="1"/>
  <c r="E351" i="1" s="1"/>
  <c r="H351" i="1" s="1"/>
  <c r="C77" i="1"/>
  <c r="C180" i="1"/>
  <c r="C223" i="1"/>
  <c r="C281" i="1"/>
  <c r="C302" i="1"/>
  <c r="C98" i="1"/>
  <c r="C188" i="1"/>
  <c r="C132" i="1"/>
  <c r="C193" i="1"/>
  <c r="C212" i="1"/>
  <c r="C320" i="1"/>
  <c r="C330" i="1"/>
  <c r="C364" i="1"/>
  <c r="C175" i="1"/>
  <c r="C25" i="1"/>
  <c r="C50" i="1"/>
  <c r="C101" i="1"/>
  <c r="D101" i="1" s="1"/>
  <c r="E101" i="1" s="1"/>
  <c r="H101" i="1" s="1"/>
  <c r="C177" i="1"/>
  <c r="D177" i="1" s="1"/>
  <c r="E177" i="1" s="1"/>
  <c r="H177" i="1" s="1"/>
  <c r="C157" i="1"/>
  <c r="C244" i="1"/>
  <c r="C289" i="1"/>
  <c r="C382" i="1"/>
  <c r="C590" i="1"/>
  <c r="C583" i="1"/>
  <c r="C581" i="1"/>
  <c r="C117" i="1"/>
  <c r="C293" i="1"/>
  <c r="C374" i="1"/>
  <c r="C152" i="1"/>
  <c r="D152" i="1" s="1"/>
  <c r="E152" i="1" s="1"/>
  <c r="H152" i="1" s="1"/>
  <c r="C315" i="1"/>
  <c r="C363" i="1"/>
  <c r="D363" i="1" s="1"/>
  <c r="E363" i="1" s="1"/>
  <c r="H363" i="1" s="1"/>
  <c r="C565" i="1"/>
  <c r="C120" i="1"/>
  <c r="C128" i="1"/>
  <c r="C136" i="1"/>
  <c r="C150" i="1"/>
  <c r="C185" i="1"/>
  <c r="C203" i="1"/>
  <c r="C229" i="1"/>
  <c r="C233" i="1"/>
  <c r="D233" i="1" s="1"/>
  <c r="E233" i="1" s="1"/>
  <c r="H233" i="1" s="1"/>
  <c r="C240" i="1"/>
  <c r="C245" i="1"/>
  <c r="C275" i="1"/>
  <c r="C283" i="1"/>
  <c r="C294" i="1"/>
  <c r="C333" i="1"/>
  <c r="C369" i="1"/>
  <c r="C390" i="1"/>
  <c r="C438" i="1"/>
  <c r="D438" i="1" s="1"/>
  <c r="E438" i="1" s="1"/>
  <c r="H438" i="1" s="1"/>
  <c r="C452" i="1"/>
  <c r="C475" i="1"/>
  <c r="C507" i="1"/>
  <c r="C510" i="1"/>
  <c r="D510" i="1" s="1"/>
  <c r="E510" i="1" s="1"/>
  <c r="H510" i="1" s="1"/>
  <c r="C573" i="1"/>
  <c r="D573" i="1" s="1"/>
  <c r="E573" i="1" s="1"/>
  <c r="H573" i="1" s="1"/>
  <c r="C103" i="1"/>
  <c r="C237" i="1"/>
  <c r="C297" i="1"/>
  <c r="C368" i="1"/>
  <c r="C389" i="1"/>
  <c r="C443" i="1"/>
  <c r="C323" i="1"/>
  <c r="C396" i="1"/>
  <c r="D396" i="1" s="1"/>
  <c r="E396" i="1" s="1"/>
  <c r="H396" i="1" s="1"/>
  <c r="C407" i="1"/>
  <c r="C483" i="1"/>
  <c r="C95" i="1"/>
  <c r="C118" i="1"/>
  <c r="D118" i="1" s="1"/>
  <c r="E118" i="1" s="1"/>
  <c r="H118" i="1" s="1"/>
  <c r="C123" i="1"/>
  <c r="C162" i="1"/>
  <c r="C169" i="1"/>
  <c r="C183" i="1"/>
  <c r="C304" i="1"/>
  <c r="C345" i="1"/>
  <c r="C354" i="1"/>
  <c r="C499" i="1"/>
  <c r="C140" i="1"/>
  <c r="C166" i="1"/>
  <c r="C84" i="1"/>
  <c r="C271" i="1"/>
  <c r="C276" i="1"/>
  <c r="C291" i="1"/>
  <c r="C334" i="1"/>
  <c r="C433" i="1"/>
  <c r="C439" i="1"/>
  <c r="C447" i="1"/>
  <c r="C470" i="1"/>
  <c r="C502" i="1"/>
  <c r="C111" i="1"/>
  <c r="C129" i="1"/>
  <c r="C146" i="1"/>
  <c r="C158" i="1"/>
  <c r="D158" i="1" s="1"/>
  <c r="E158" i="1" s="1"/>
  <c r="H158" i="1" s="1"/>
  <c r="C179" i="1"/>
  <c r="C209" i="1"/>
  <c r="C299" i="1"/>
  <c r="C305" i="1"/>
  <c r="C340" i="1"/>
  <c r="C343" i="1"/>
  <c r="C355" i="1"/>
  <c r="C416" i="1"/>
  <c r="C422" i="1"/>
  <c r="C530" i="1"/>
  <c r="C92" i="1"/>
  <c r="C591" i="1"/>
  <c r="C80" i="1"/>
  <c r="C142" i="1"/>
  <c r="C217" i="1"/>
  <c r="C277" i="1"/>
  <c r="C287" i="1"/>
  <c r="C292" i="1"/>
  <c r="D292" i="1" s="1"/>
  <c r="E292" i="1" s="1"/>
  <c r="H292" i="1" s="1"/>
  <c r="C296" i="1"/>
  <c r="C335" i="1"/>
  <c r="C373" i="1"/>
  <c r="C459" i="1"/>
  <c r="C462" i="1"/>
  <c r="C122" i="1"/>
  <c r="C189" i="1"/>
  <c r="C221" i="1"/>
  <c r="C350" i="1"/>
  <c r="C100" i="1"/>
  <c r="C126" i="1"/>
  <c r="C295" i="1"/>
  <c r="C331" i="1"/>
  <c r="C358" i="1"/>
  <c r="C391" i="1"/>
  <c r="C467" i="1"/>
  <c r="C78" i="1"/>
  <c r="C107" i="1"/>
  <c r="C154" i="1"/>
  <c r="C173" i="1"/>
  <c r="C191" i="1"/>
  <c r="C205" i="1"/>
  <c r="C215" i="1"/>
  <c r="C225" i="1"/>
  <c r="C314" i="1"/>
  <c r="C401" i="1"/>
  <c r="C491" i="1"/>
  <c r="C494" i="1"/>
  <c r="C520" i="1"/>
  <c r="C329" i="1"/>
  <c r="C376" i="1"/>
  <c r="C409" i="1"/>
  <c r="C420" i="1"/>
  <c r="D420" i="1" s="1"/>
  <c r="E420" i="1" s="1"/>
  <c r="H420" i="1" s="1"/>
  <c r="C441" i="1"/>
  <c r="C454" i="1"/>
  <c r="C465" i="1"/>
  <c r="C473" i="1"/>
  <c r="C486" i="1"/>
  <c r="C497" i="1"/>
  <c r="C513" i="1"/>
  <c r="C543" i="1"/>
  <c r="D543" i="1" s="1"/>
  <c r="E543" i="1" s="1"/>
  <c r="H543" i="1" s="1"/>
  <c r="C561" i="1"/>
  <c r="C317" i="1"/>
  <c r="C319" i="1"/>
  <c r="C366" i="1"/>
  <c r="C402" i="1"/>
  <c r="C431" i="1"/>
  <c r="C449" i="1"/>
  <c r="C505" i="1"/>
  <c r="C559" i="1"/>
  <c r="C571" i="1"/>
  <c r="D571" i="1" s="1"/>
  <c r="E571" i="1" s="1"/>
  <c r="H571" i="1" s="1"/>
  <c r="C463" i="1"/>
  <c r="C471" i="1"/>
  <c r="C484" i="1"/>
  <c r="D484" i="1" s="1"/>
  <c r="E484" i="1" s="1"/>
  <c r="H484" i="1" s="1"/>
  <c r="C495" i="1"/>
  <c r="C511" i="1"/>
  <c r="C531" i="1"/>
  <c r="C554" i="1"/>
  <c r="C313" i="1"/>
  <c r="C362" i="1"/>
  <c r="C418" i="1"/>
  <c r="C429" i="1"/>
  <c r="C503" i="1"/>
  <c r="C541" i="1"/>
  <c r="D541" i="1" s="1"/>
  <c r="E541" i="1" s="1"/>
  <c r="H541" i="1" s="1"/>
  <c r="C567" i="1"/>
  <c r="C311" i="1"/>
  <c r="C367" i="1"/>
  <c r="C395" i="1"/>
  <c r="C405" i="1"/>
  <c r="C424" i="1"/>
  <c r="C437" i="1"/>
  <c r="C445" i="1"/>
  <c r="C461" i="1"/>
  <c r="C469" i="1"/>
  <c r="C477" i="1"/>
  <c r="C493" i="1"/>
  <c r="C575" i="1"/>
  <c r="C346" i="1"/>
  <c r="D346" i="1" s="1"/>
  <c r="E346" i="1" s="1"/>
  <c r="H346" i="1" s="1"/>
  <c r="C356" i="1"/>
  <c r="C370" i="1"/>
  <c r="C375" i="1"/>
  <c r="C427" i="1"/>
  <c r="C435" i="1"/>
  <c r="C456" i="1"/>
  <c r="C482" i="1"/>
  <c r="C488" i="1"/>
  <c r="C501" i="1"/>
  <c r="C509" i="1"/>
  <c r="C539" i="1"/>
  <c r="C552" i="1"/>
  <c r="C597" i="1"/>
  <c r="C578" i="1"/>
  <c r="C579" i="1"/>
  <c r="C595" i="1"/>
  <c r="C549" i="1"/>
  <c r="C589" i="1"/>
  <c r="D589" i="1" s="1"/>
  <c r="E589" i="1" s="1"/>
  <c r="H589" i="1" s="1"/>
  <c r="C580" i="1"/>
  <c r="C602" i="1"/>
  <c r="C600" i="1"/>
  <c r="C596" i="1"/>
  <c r="D596" i="1" s="1"/>
  <c r="E596" i="1" s="1"/>
  <c r="H596" i="1" s="1"/>
  <c r="C587" i="1"/>
  <c r="D587" i="1" s="1"/>
  <c r="E587" i="1" s="1"/>
  <c r="H587" i="1" s="1"/>
  <c r="P3" i="1" l="1"/>
  <c r="C3" i="1"/>
  <c r="D3" i="1" s="1"/>
  <c r="J3" i="1" s="1"/>
  <c r="J298" i="1"/>
  <c r="J214" i="1"/>
  <c r="J115" i="1"/>
  <c r="J280" i="1"/>
  <c r="J576" i="1"/>
  <c r="J200" i="1"/>
  <c r="J327" i="1"/>
  <c r="J139" i="1"/>
  <c r="J410" i="1"/>
  <c r="J263" i="1"/>
  <c r="J307" i="1"/>
  <c r="J32" i="1"/>
  <c r="J199" i="1"/>
  <c r="J400" i="1"/>
  <c r="J496" i="1"/>
  <c r="J558" i="1"/>
  <c r="J415" i="1"/>
  <c r="J26" i="1"/>
  <c r="J71" i="1"/>
  <c r="J104" i="1"/>
  <c r="J43" i="1"/>
  <c r="J570" i="1"/>
  <c r="J381" i="1"/>
  <c r="AD10" i="1"/>
  <c r="AD11" i="1"/>
  <c r="J69" i="1"/>
  <c r="J411" i="1"/>
  <c r="J216" i="1"/>
  <c r="J125" i="1"/>
  <c r="E125" i="1"/>
  <c r="H125" i="1" s="1"/>
  <c r="J522" i="1"/>
  <c r="E522" i="1"/>
  <c r="H522" i="1" s="1"/>
  <c r="J450" i="1"/>
  <c r="E450" i="1"/>
  <c r="H450" i="1" s="1"/>
  <c r="J338" i="1"/>
  <c r="E338" i="1"/>
  <c r="H338" i="1" s="1"/>
  <c r="J258" i="1"/>
  <c r="E258" i="1"/>
  <c r="H258" i="1" s="1"/>
  <c r="J186" i="1"/>
  <c r="E186" i="1"/>
  <c r="H186" i="1" s="1"/>
  <c r="J74" i="1"/>
  <c r="E74" i="1"/>
  <c r="H74" i="1" s="1"/>
  <c r="J352" i="1"/>
  <c r="E352" i="1"/>
  <c r="H352" i="1" s="1"/>
  <c r="J64" i="1"/>
  <c r="E64" i="1"/>
  <c r="H64" i="1" s="1"/>
  <c r="J48" i="1"/>
  <c r="J586" i="1"/>
  <c r="J226" i="1"/>
  <c r="J341" i="1"/>
  <c r="E341" i="1"/>
  <c r="H341" i="1" s="1"/>
  <c r="J109" i="1"/>
  <c r="E109" i="1"/>
  <c r="H109" i="1" s="1"/>
  <c r="J163" i="1"/>
  <c r="E163" i="1"/>
  <c r="H163" i="1" s="1"/>
  <c r="J19" i="1"/>
  <c r="E19" i="1"/>
  <c r="H19" i="1" s="1"/>
  <c r="J514" i="1"/>
  <c r="E514" i="1"/>
  <c r="H514" i="1" s="1"/>
  <c r="J322" i="1"/>
  <c r="E322" i="1"/>
  <c r="H322" i="1" s="1"/>
  <c r="J250" i="1"/>
  <c r="E250" i="1"/>
  <c r="H250" i="1" s="1"/>
  <c r="J178" i="1"/>
  <c r="E178" i="1"/>
  <c r="H178" i="1" s="1"/>
  <c r="J58" i="1"/>
  <c r="E58" i="1"/>
  <c r="H58" i="1" s="1"/>
  <c r="J528" i="1"/>
  <c r="E528" i="1"/>
  <c r="H528" i="1" s="1"/>
  <c r="J344" i="1"/>
  <c r="E344" i="1"/>
  <c r="H344" i="1" s="1"/>
  <c r="J224" i="1"/>
  <c r="E224" i="1"/>
  <c r="H224" i="1" s="1"/>
  <c r="J487" i="1"/>
  <c r="E487" i="1"/>
  <c r="H487" i="1" s="1"/>
  <c r="J523" i="1"/>
  <c r="E523" i="1"/>
  <c r="H523" i="1" s="1"/>
  <c r="J506" i="1"/>
  <c r="E506" i="1"/>
  <c r="H506" i="1" s="1"/>
  <c r="J234" i="1"/>
  <c r="E234" i="1"/>
  <c r="H234" i="1" s="1"/>
  <c r="J75" i="1"/>
  <c r="J110" i="1"/>
  <c r="E110" i="1"/>
  <c r="H110" i="1" s="1"/>
  <c r="J347" i="1"/>
  <c r="E347" i="1"/>
  <c r="H347" i="1" s="1"/>
  <c r="J67" i="1"/>
  <c r="E67" i="1"/>
  <c r="H67" i="1" s="1"/>
  <c r="J34" i="1"/>
  <c r="E34" i="1"/>
  <c r="H34" i="1" s="1"/>
  <c r="J584" i="1"/>
  <c r="E584" i="1"/>
  <c r="H584" i="1" s="1"/>
  <c r="J408" i="1"/>
  <c r="E408" i="1"/>
  <c r="H408" i="1" s="1"/>
  <c r="J208" i="1"/>
  <c r="E208" i="1"/>
  <c r="H208" i="1" s="1"/>
  <c r="J42" i="1"/>
  <c r="J566" i="1"/>
  <c r="E566" i="1"/>
  <c r="H566" i="1" s="1"/>
  <c r="J102" i="1"/>
  <c r="E102" i="1"/>
  <c r="H102" i="1" s="1"/>
  <c r="J557" i="1"/>
  <c r="E557" i="1"/>
  <c r="H557" i="1" s="1"/>
  <c r="J397" i="1"/>
  <c r="E397" i="1"/>
  <c r="H397" i="1" s="1"/>
  <c r="J7" i="1"/>
  <c r="E7" i="1"/>
  <c r="H7" i="1" s="1"/>
  <c r="J143" i="1"/>
  <c r="E143" i="1"/>
  <c r="H143" i="1" s="1"/>
  <c r="J339" i="1"/>
  <c r="E339" i="1"/>
  <c r="H339" i="1" s="1"/>
  <c r="J490" i="1"/>
  <c r="E490" i="1"/>
  <c r="H490" i="1" s="1"/>
  <c r="J290" i="1"/>
  <c r="E290" i="1"/>
  <c r="H290" i="1" s="1"/>
  <c r="J218" i="1"/>
  <c r="E218" i="1"/>
  <c r="H218" i="1" s="1"/>
  <c r="J114" i="1"/>
  <c r="E114" i="1"/>
  <c r="H114" i="1" s="1"/>
  <c r="J421" i="1"/>
  <c r="E421" i="1"/>
  <c r="H421" i="1" s="1"/>
  <c r="J519" i="1"/>
  <c r="E519" i="1"/>
  <c r="H519" i="1" s="1"/>
  <c r="J235" i="1"/>
  <c r="E235" i="1"/>
  <c r="H235" i="1" s="1"/>
  <c r="J144" i="1"/>
  <c r="E144" i="1"/>
  <c r="H144" i="1" s="1"/>
  <c r="J303" i="1"/>
  <c r="E303" i="1"/>
  <c r="H303" i="1" s="1"/>
  <c r="J515" i="1"/>
  <c r="J288" i="1"/>
  <c r="J434" i="1"/>
  <c r="J430" i="1"/>
  <c r="E430" i="1"/>
  <c r="H430" i="1" s="1"/>
  <c r="J6" i="1"/>
  <c r="E6" i="1"/>
  <c r="H6" i="1" s="1"/>
  <c r="J155" i="1"/>
  <c r="E155" i="1"/>
  <c r="H155" i="1" s="1"/>
  <c r="J594" i="1"/>
  <c r="E594" i="1"/>
  <c r="H594" i="1" s="1"/>
  <c r="J306" i="1"/>
  <c r="E306" i="1"/>
  <c r="H306" i="1" s="1"/>
  <c r="J383" i="1"/>
  <c r="E383" i="1"/>
  <c r="H383" i="1" s="1"/>
  <c r="J592" i="1"/>
  <c r="J309" i="1"/>
  <c r="E309" i="1"/>
  <c r="H309" i="1" s="1"/>
  <c r="J130" i="1"/>
  <c r="E130" i="1"/>
  <c r="H130" i="1" s="1"/>
  <c r="J112" i="1"/>
  <c r="E112" i="1"/>
  <c r="H112" i="1" s="1"/>
  <c r="J38" i="1"/>
  <c r="J527" i="1"/>
  <c r="J426" i="1"/>
  <c r="J603" i="1"/>
  <c r="E603" i="1"/>
  <c r="H603" i="1" s="1"/>
  <c r="J267" i="1"/>
  <c r="E267" i="1"/>
  <c r="H267" i="1" s="1"/>
  <c r="J195" i="1"/>
  <c r="E195" i="1"/>
  <c r="H195" i="1" s="1"/>
  <c r="J546" i="1"/>
  <c r="E546" i="1"/>
  <c r="H546" i="1" s="1"/>
  <c r="J466" i="1"/>
  <c r="E466" i="1"/>
  <c r="H466" i="1" s="1"/>
  <c r="J386" i="1"/>
  <c r="E386" i="1"/>
  <c r="H386" i="1" s="1"/>
  <c r="J274" i="1"/>
  <c r="E274" i="1"/>
  <c r="H274" i="1" s="1"/>
  <c r="J371" i="1"/>
  <c r="E371" i="1"/>
  <c r="H371" i="1" s="1"/>
  <c r="J170" i="1"/>
  <c r="E170" i="1"/>
  <c r="H170" i="1" s="1"/>
  <c r="J432" i="1"/>
  <c r="E432" i="1"/>
  <c r="H432" i="1" s="1"/>
  <c r="J312" i="1"/>
  <c r="E312" i="1"/>
  <c r="H312" i="1" s="1"/>
  <c r="J13" i="1"/>
  <c r="E13" i="1"/>
  <c r="H13" i="1" s="1"/>
  <c r="J479" i="1"/>
  <c r="E479" i="1"/>
  <c r="H479" i="1" s="1"/>
  <c r="J147" i="1"/>
  <c r="E147" i="1"/>
  <c r="H147" i="1" s="1"/>
  <c r="J504" i="1"/>
  <c r="E504" i="1"/>
  <c r="H504" i="1" s="1"/>
  <c r="J40" i="1"/>
  <c r="E40" i="1"/>
  <c r="H40" i="1" s="1"/>
  <c r="J512" i="1"/>
  <c r="J30" i="1"/>
  <c r="J455" i="1"/>
  <c r="D500" i="1"/>
  <c r="D220" i="1"/>
  <c r="D65" i="1"/>
  <c r="D243" i="1"/>
  <c r="D83" i="1"/>
  <c r="D545" i="1"/>
  <c r="D160" i="1"/>
  <c r="D600" i="1"/>
  <c r="D477" i="1"/>
  <c r="D313" i="1"/>
  <c r="D454" i="1"/>
  <c r="D80" i="1"/>
  <c r="D276" i="1"/>
  <c r="D103" i="1"/>
  <c r="D229" i="1"/>
  <c r="D590" i="1"/>
  <c r="D336" i="1"/>
  <c r="D574" i="1"/>
  <c r="D230" i="1"/>
  <c r="D457" i="1"/>
  <c r="D492" i="1"/>
  <c r="D33" i="1"/>
  <c r="D602" i="1"/>
  <c r="D552" i="1"/>
  <c r="D427" i="1"/>
  <c r="D469" i="1"/>
  <c r="D311" i="1"/>
  <c r="D554" i="1"/>
  <c r="D559" i="1"/>
  <c r="D561" i="1"/>
  <c r="D441" i="1"/>
  <c r="D401" i="1"/>
  <c r="D107" i="1"/>
  <c r="D100" i="1"/>
  <c r="D335" i="1"/>
  <c r="D591" i="1"/>
  <c r="D305" i="1"/>
  <c r="E305" i="1" s="1"/>
  <c r="H305" i="1" s="1"/>
  <c r="D502" i="1"/>
  <c r="D271" i="1"/>
  <c r="D183" i="1"/>
  <c r="D333" i="1"/>
  <c r="D203" i="1"/>
  <c r="D315" i="1"/>
  <c r="D382" i="1"/>
  <c r="D175" i="1"/>
  <c r="D98" i="1"/>
  <c r="D236" i="1"/>
  <c r="D328" i="1"/>
  <c r="D446" i="1"/>
  <c r="D310" i="1"/>
  <c r="D222" i="1"/>
  <c r="D417" i="1"/>
  <c r="D81" i="1"/>
  <c r="D301" i="1"/>
  <c r="D165" i="1"/>
  <c r="D548" i="1"/>
  <c r="D476" i="1"/>
  <c r="D388" i="1"/>
  <c r="D300" i="1"/>
  <c r="D196" i="1"/>
  <c r="D60" i="1"/>
  <c r="D601" i="1"/>
  <c r="D227" i="1"/>
  <c r="D553" i="1"/>
  <c r="D489" i="1"/>
  <c r="D399" i="1"/>
  <c r="D549" i="1"/>
  <c r="D356" i="1"/>
  <c r="D503" i="1"/>
  <c r="D431" i="1"/>
  <c r="D376" i="1"/>
  <c r="D391" i="1"/>
  <c r="D287" i="1"/>
  <c r="D179" i="1"/>
  <c r="D140" i="1"/>
  <c r="D389" i="1"/>
  <c r="D275" i="1"/>
  <c r="D293" i="1"/>
  <c r="D320" i="1"/>
  <c r="D89" i="1"/>
  <c r="D406" i="1"/>
  <c r="D190" i="1"/>
  <c r="D8" i="1"/>
  <c r="D279" i="1"/>
  <c r="D357" i="1"/>
  <c r="D241" i="1"/>
  <c r="D486" i="1"/>
  <c r="D205" i="1"/>
  <c r="D122" i="1"/>
  <c r="D452" i="1"/>
  <c r="D128" i="1"/>
  <c r="D117" i="1"/>
  <c r="D212" i="1"/>
  <c r="D145" i="1"/>
  <c r="D534" i="1"/>
  <c r="D254" i="1"/>
  <c r="D62" i="1"/>
  <c r="D257" i="1"/>
  <c r="D485" i="1"/>
  <c r="D253" i="1"/>
  <c r="D37" i="1"/>
  <c r="D588" i="1"/>
  <c r="D436" i="1"/>
  <c r="D252" i="1"/>
  <c r="D161" i="1"/>
  <c r="D403" i="1"/>
  <c r="D187" i="1"/>
  <c r="D99" i="1"/>
  <c r="D151" i="1"/>
  <c r="D458" i="1"/>
  <c r="D266" i="1"/>
  <c r="D82" i="1"/>
  <c r="D97" i="1"/>
  <c r="D464" i="1"/>
  <c r="D72" i="1"/>
  <c r="D482" i="1"/>
  <c r="D405" i="1"/>
  <c r="D471" i="1"/>
  <c r="D520" i="1"/>
  <c r="D331" i="1"/>
  <c r="D217" i="1"/>
  <c r="D146" i="1"/>
  <c r="D354" i="1"/>
  <c r="D120" i="1"/>
  <c r="D77" i="1"/>
  <c r="D119" i="1"/>
  <c r="D526" i="1"/>
  <c r="D246" i="1"/>
  <c r="D54" i="1"/>
  <c r="D153" i="1"/>
  <c r="D453" i="1"/>
  <c r="D213" i="1"/>
  <c r="D29" i="1"/>
  <c r="D572" i="1"/>
  <c r="D428" i="1"/>
  <c r="D228" i="1"/>
  <c r="D20" i="1"/>
  <c r="D387" i="1"/>
  <c r="D171" i="1"/>
  <c r="D27" i="1"/>
  <c r="D569" i="1"/>
  <c r="D47" i="1"/>
  <c r="D456" i="1"/>
  <c r="D395" i="1"/>
  <c r="D463" i="1"/>
  <c r="D465" i="1"/>
  <c r="D173" i="1"/>
  <c r="D459" i="1"/>
  <c r="D129" i="1"/>
  <c r="D345" i="1"/>
  <c r="D483" i="1"/>
  <c r="D390" i="1"/>
  <c r="D565" i="1"/>
  <c r="D50" i="1"/>
  <c r="D132" i="1"/>
  <c r="D242" i="1"/>
  <c r="D518" i="1"/>
  <c r="D238" i="1"/>
  <c r="D46" i="1"/>
  <c r="D137" i="1"/>
  <c r="D197" i="1"/>
  <c r="D412" i="1"/>
  <c r="D76" i="1"/>
  <c r="D547" i="1"/>
  <c r="D73" i="1"/>
  <c r="D9" i="1"/>
  <c r="D56" i="1"/>
  <c r="D435" i="1"/>
  <c r="D491" i="1"/>
  <c r="D373" i="1"/>
  <c r="D111" i="1"/>
  <c r="D407" i="1"/>
  <c r="D188" i="1"/>
  <c r="D172" i="1"/>
  <c r="D318" i="1"/>
  <c r="D39" i="1"/>
  <c r="D181" i="1"/>
  <c r="D255" i="1"/>
  <c r="D404" i="1"/>
  <c r="D204" i="1"/>
  <c r="D593" i="1"/>
  <c r="D580" i="1"/>
  <c r="D539" i="1"/>
  <c r="D375" i="1"/>
  <c r="D461" i="1"/>
  <c r="D567" i="1"/>
  <c r="D531" i="1"/>
  <c r="D505" i="1"/>
  <c r="D314" i="1"/>
  <c r="D78" i="1"/>
  <c r="D350" i="1"/>
  <c r="D296" i="1"/>
  <c r="D92" i="1"/>
  <c r="D299" i="1"/>
  <c r="D470" i="1"/>
  <c r="D84" i="1"/>
  <c r="D169" i="1"/>
  <c r="D323" i="1"/>
  <c r="D294" i="1"/>
  <c r="D185" i="1"/>
  <c r="D289" i="1"/>
  <c r="D364" i="1"/>
  <c r="D302" i="1"/>
  <c r="D138" i="1"/>
  <c r="D270" i="1"/>
  <c r="D286" i="1"/>
  <c r="D385" i="1"/>
  <c r="D49" i="1"/>
  <c r="D533" i="1"/>
  <c r="D285" i="1"/>
  <c r="D149" i="1"/>
  <c r="D585" i="1"/>
  <c r="D540" i="1"/>
  <c r="D468" i="1"/>
  <c r="D380" i="1"/>
  <c r="D284" i="1"/>
  <c r="D164" i="1"/>
  <c r="D52" i="1"/>
  <c r="D529" i="1"/>
  <c r="D239" i="1"/>
  <c r="D451" i="1"/>
  <c r="D219" i="1"/>
  <c r="D377" i="1"/>
  <c r="D361" i="1"/>
  <c r="D501" i="1"/>
  <c r="D437" i="1"/>
  <c r="D495" i="1"/>
  <c r="D497" i="1"/>
  <c r="D215" i="1"/>
  <c r="D189" i="1"/>
  <c r="D422" i="1"/>
  <c r="D439" i="1"/>
  <c r="D123" i="1"/>
  <c r="D475" i="1"/>
  <c r="D136" i="1"/>
  <c r="D157" i="1"/>
  <c r="D223" i="1"/>
  <c r="D198" i="1"/>
  <c r="D542" i="1"/>
  <c r="D262" i="1"/>
  <c r="D70" i="1"/>
  <c r="D273" i="1"/>
  <c r="D517" i="1"/>
  <c r="D261" i="1"/>
  <c r="D133" i="1"/>
  <c r="D45" i="1"/>
  <c r="D595" i="1"/>
  <c r="D488" i="1"/>
  <c r="D424" i="1"/>
  <c r="D429" i="1"/>
  <c r="D402" i="1"/>
  <c r="D329" i="1"/>
  <c r="D358" i="1"/>
  <c r="D277" i="1"/>
  <c r="D416" i="1"/>
  <c r="D433" i="1"/>
  <c r="D499" i="1"/>
  <c r="D368" i="1"/>
  <c r="D245" i="1"/>
  <c r="D180" i="1"/>
  <c r="D207" i="1"/>
  <c r="D398" i="1"/>
  <c r="D182" i="1"/>
  <c r="D5" i="1"/>
  <c r="D247" i="1"/>
  <c r="D349" i="1"/>
  <c r="D41" i="1"/>
  <c r="D516" i="1"/>
  <c r="D332" i="1"/>
  <c r="D124" i="1"/>
  <c r="D28" i="1"/>
  <c r="D563" i="1"/>
  <c r="D259" i="1"/>
  <c r="D35" i="1"/>
  <c r="D201" i="1"/>
  <c r="D538" i="1"/>
  <c r="D378" i="1"/>
  <c r="D194" i="1"/>
  <c r="D4" i="1"/>
  <c r="E4" i="1" s="1"/>
  <c r="D79" i="1"/>
  <c r="D544" i="1"/>
  <c r="D360" i="1"/>
  <c r="D248" i="1"/>
  <c r="D176" i="1"/>
  <c r="D10" i="1"/>
  <c r="D579" i="1"/>
  <c r="D575" i="1"/>
  <c r="D418" i="1"/>
  <c r="D366" i="1"/>
  <c r="D473" i="1"/>
  <c r="D191" i="1"/>
  <c r="D462" i="1"/>
  <c r="D355" i="1"/>
  <c r="D334" i="1"/>
  <c r="D95" i="1"/>
  <c r="D297" i="1"/>
  <c r="D240" i="1"/>
  <c r="E240" i="1" s="1"/>
  <c r="H240" i="1" s="1"/>
  <c r="D581" i="1"/>
  <c r="D193" i="1"/>
  <c r="D598" i="1"/>
  <c r="D342" i="1"/>
  <c r="D174" i="1"/>
  <c r="D577" i="1"/>
  <c r="D167" i="1"/>
  <c r="D535" i="1"/>
  <c r="D508" i="1"/>
  <c r="D324" i="1"/>
  <c r="D108" i="1"/>
  <c r="D113" i="1"/>
  <c r="D555" i="1"/>
  <c r="D251" i="1"/>
  <c r="D91" i="1"/>
  <c r="D121" i="1"/>
  <c r="D87" i="1"/>
  <c r="D57" i="1"/>
  <c r="D536" i="1"/>
  <c r="D448" i="1"/>
  <c r="D232" i="1"/>
  <c r="D168" i="1"/>
  <c r="D599" i="1"/>
  <c r="D578" i="1"/>
  <c r="D493" i="1"/>
  <c r="D362" i="1"/>
  <c r="D319" i="1"/>
  <c r="D494" i="1"/>
  <c r="D295" i="1"/>
  <c r="D142" i="1"/>
  <c r="D343" i="1"/>
  <c r="D291" i="1"/>
  <c r="D237" i="1"/>
  <c r="D583" i="1"/>
  <c r="D66" i="1"/>
  <c r="D582" i="1"/>
  <c r="D326" i="1"/>
  <c r="D134" i="1"/>
  <c r="D537" i="1"/>
  <c r="D135" i="1"/>
  <c r="D325" i="1"/>
  <c r="D93" i="1"/>
  <c r="D21" i="1"/>
  <c r="D564" i="1"/>
  <c r="D316" i="1"/>
  <c r="D12" i="1"/>
  <c r="D379" i="1"/>
  <c r="D31" i="1"/>
  <c r="D17" i="1"/>
  <c r="D440" i="1"/>
  <c r="D551" i="1"/>
  <c r="D597" i="1"/>
  <c r="D367" i="1"/>
  <c r="D317" i="1"/>
  <c r="D154" i="1"/>
  <c r="D126" i="1"/>
  <c r="D340" i="1"/>
  <c r="D304" i="1"/>
  <c r="D369" i="1"/>
  <c r="D25" i="1"/>
  <c r="D478" i="1"/>
  <c r="D105" i="1"/>
  <c r="D413" i="1"/>
  <c r="D85" i="1"/>
  <c r="D556" i="1"/>
  <c r="D308" i="1"/>
  <c r="D68" i="1"/>
  <c r="D521" i="1"/>
  <c r="D509" i="1"/>
  <c r="E509" i="1" s="1"/>
  <c r="H509" i="1" s="1"/>
  <c r="D370" i="1"/>
  <c r="D445" i="1"/>
  <c r="D511" i="1"/>
  <c r="D449" i="1"/>
  <c r="D513" i="1"/>
  <c r="D409" i="1"/>
  <c r="D225" i="1"/>
  <c r="D467" i="1"/>
  <c r="D221" i="1"/>
  <c r="D530" i="1"/>
  <c r="D209" i="1"/>
  <c r="D447" i="1"/>
  <c r="D166" i="1"/>
  <c r="D162" i="1"/>
  <c r="D443" i="1"/>
  <c r="D507" i="1"/>
  <c r="D283" i="1"/>
  <c r="D150" i="1"/>
  <c r="D374" i="1"/>
  <c r="D244" i="1"/>
  <c r="D330" i="1"/>
  <c r="D281" i="1"/>
  <c r="D116" i="1"/>
  <c r="D231" i="1"/>
  <c r="D550" i="1"/>
  <c r="D414" i="1"/>
  <c r="D278" i="1"/>
  <c r="D206" i="1"/>
  <c r="D86" i="1"/>
  <c r="D14" i="1"/>
  <c r="D353" i="1"/>
  <c r="D423" i="1"/>
  <c r="D525" i="1"/>
  <c r="D365" i="1"/>
  <c r="D269" i="1"/>
  <c r="D141" i="1"/>
  <c r="D53" i="1"/>
  <c r="D425" i="1"/>
  <c r="D23" i="1"/>
  <c r="D532" i="1"/>
  <c r="D460" i="1"/>
  <c r="D372" i="1"/>
  <c r="D268" i="1"/>
  <c r="D156" i="1"/>
  <c r="D44" i="1"/>
  <c r="D481" i="1"/>
  <c r="D55" i="1"/>
  <c r="D419" i="1"/>
  <c r="D211" i="1"/>
  <c r="D131" i="1"/>
  <c r="D51" i="1"/>
  <c r="D337" i="1"/>
  <c r="D359" i="1"/>
  <c r="D562" i="1"/>
  <c r="D474" i="1"/>
  <c r="D394" i="1"/>
  <c r="D282" i="1"/>
  <c r="D210" i="1"/>
  <c r="D106" i="1"/>
  <c r="D18" i="1"/>
  <c r="D321" i="1"/>
  <c r="D568" i="1"/>
  <c r="D480" i="1"/>
  <c r="D392" i="1"/>
  <c r="D272" i="1"/>
  <c r="D192" i="1"/>
  <c r="D96" i="1"/>
  <c r="D24" i="1"/>
  <c r="D63" i="1"/>
  <c r="D524" i="1"/>
  <c r="D444" i="1"/>
  <c r="D348" i="1"/>
  <c r="D260" i="1"/>
  <c r="D148" i="1"/>
  <c r="D36" i="1"/>
  <c r="D393" i="1"/>
  <c r="D249" i="1"/>
  <c r="D265" i="1"/>
  <c r="J541" i="1"/>
  <c r="J543" i="1"/>
  <c r="J396" i="1"/>
  <c r="J573" i="1"/>
  <c r="J256" i="1"/>
  <c r="J152" i="1"/>
  <c r="J158" i="1"/>
  <c r="J484" i="1"/>
  <c r="J177" i="1"/>
  <c r="J346" i="1"/>
  <c r="J589" i="1"/>
  <c r="J351" i="1"/>
  <c r="J587" i="1"/>
  <c r="J510" i="1"/>
  <c r="J596" i="1"/>
  <c r="J363" i="1"/>
  <c r="J118" i="1"/>
  <c r="J571" i="1"/>
  <c r="J420" i="1"/>
  <c r="J438" i="1"/>
  <c r="J292" i="1"/>
  <c r="J233" i="1"/>
  <c r="J101" i="1"/>
  <c r="E3" i="1" l="1"/>
  <c r="H3" i="1" s="1"/>
  <c r="U3" i="1"/>
  <c r="K95" i="1"/>
  <c r="M95" i="1" s="1"/>
  <c r="N95" i="1" s="1"/>
  <c r="O95" i="1" s="1"/>
  <c r="T3" i="1"/>
  <c r="K470" i="1"/>
  <c r="K538" i="1"/>
  <c r="L538" i="1" s="1"/>
  <c r="K294" i="1"/>
  <c r="L294" i="1" s="1"/>
  <c r="K253" i="1"/>
  <c r="L253" i="1" s="1"/>
  <c r="K320" i="1"/>
  <c r="M320" i="1" s="1"/>
  <c r="N320" i="1" s="1"/>
  <c r="O320" i="1" s="1"/>
  <c r="K230" i="1"/>
  <c r="L230" i="1" s="1"/>
  <c r="K433" i="1"/>
  <c r="M433" i="1" s="1"/>
  <c r="N433" i="1" s="1"/>
  <c r="O433" i="1" s="1"/>
  <c r="K596" i="1"/>
  <c r="M596" i="1" s="1"/>
  <c r="N596" i="1" s="1"/>
  <c r="O596" i="1" s="1"/>
  <c r="K229" i="1"/>
  <c r="M229" i="1" s="1"/>
  <c r="N229" i="1" s="1"/>
  <c r="O229" i="1" s="1"/>
  <c r="K371" i="1"/>
  <c r="M371" i="1" s="1"/>
  <c r="N371" i="1" s="1"/>
  <c r="O371" i="1" s="1"/>
  <c r="K357" i="1"/>
  <c r="M357" i="1" s="1"/>
  <c r="N357" i="1" s="1"/>
  <c r="O357" i="1" s="1"/>
  <c r="K576" i="1"/>
  <c r="L576" i="1" s="1"/>
  <c r="K572" i="1"/>
  <c r="M572" i="1" s="1"/>
  <c r="N572" i="1" s="1"/>
  <c r="O572" i="1" s="1"/>
  <c r="K599" i="1"/>
  <c r="L599" i="1" s="1"/>
  <c r="K221" i="1"/>
  <c r="L221" i="1" s="1"/>
  <c r="K236" i="1"/>
  <c r="M236" i="1" s="1"/>
  <c r="N236" i="1" s="1"/>
  <c r="O236" i="1" s="1"/>
  <c r="K267" i="1"/>
  <c r="K442" i="1"/>
  <c r="L442" i="1" s="1"/>
  <c r="K138" i="1"/>
  <c r="M138" i="1" s="1"/>
  <c r="N138" i="1" s="1"/>
  <c r="O138" i="1" s="1"/>
  <c r="K361" i="1"/>
  <c r="L361" i="1" s="1"/>
  <c r="K121" i="1"/>
  <c r="M121" i="1" s="1"/>
  <c r="N121" i="1" s="1"/>
  <c r="O121" i="1" s="1"/>
  <c r="K224" i="1"/>
  <c r="L224" i="1" s="1"/>
  <c r="K303" i="1"/>
  <c r="L303" i="1" s="1"/>
  <c r="K13" i="1"/>
  <c r="L13" i="1" s="1"/>
  <c r="K102" i="1"/>
  <c r="K531" i="1"/>
  <c r="M531" i="1" s="1"/>
  <c r="N531" i="1" s="1"/>
  <c r="O531" i="1" s="1"/>
  <c r="K117" i="1"/>
  <c r="M117" i="1" s="1"/>
  <c r="N117" i="1" s="1"/>
  <c r="O117" i="1" s="1"/>
  <c r="K460" i="1"/>
  <c r="M460" i="1" s="1"/>
  <c r="N460" i="1" s="1"/>
  <c r="O460" i="1" s="1"/>
  <c r="K449" i="1"/>
  <c r="M449" i="1" s="1"/>
  <c r="N449" i="1" s="1"/>
  <c r="O449" i="1" s="1"/>
  <c r="K415" i="1"/>
  <c r="L415" i="1" s="1"/>
  <c r="K24" i="1"/>
  <c r="L24" i="1" s="1"/>
  <c r="K412" i="1"/>
  <c r="L412" i="1" s="1"/>
  <c r="K441" i="1"/>
  <c r="M441" i="1" s="1"/>
  <c r="N441" i="1" s="1"/>
  <c r="O441" i="1" s="1"/>
  <c r="K600" i="1"/>
  <c r="M600" i="1" s="1"/>
  <c r="N600" i="1" s="1"/>
  <c r="O600" i="1" s="1"/>
  <c r="K252" i="1"/>
  <c r="M252" i="1" s="1"/>
  <c r="N252" i="1" s="1"/>
  <c r="O252" i="1" s="1"/>
  <c r="K232" i="1"/>
  <c r="M232" i="1" s="1"/>
  <c r="N232" i="1" s="1"/>
  <c r="O232" i="1" s="1"/>
  <c r="K556" i="1"/>
  <c r="L556" i="1" s="1"/>
  <c r="K309" i="1"/>
  <c r="L309" i="1" s="1"/>
  <c r="K548" i="1"/>
  <c r="M548" i="1" s="1"/>
  <c r="N548" i="1" s="1"/>
  <c r="O548" i="1" s="1"/>
  <c r="K9" i="1"/>
  <c r="L9" i="1" s="1"/>
  <c r="K370" i="1"/>
  <c r="K12" i="1"/>
  <c r="L12" i="1" s="1"/>
  <c r="K222" i="1"/>
  <c r="L222" i="1" s="1"/>
  <c r="K233" i="1"/>
  <c r="M233" i="1" s="1"/>
  <c r="N233" i="1" s="1"/>
  <c r="O233" i="1" s="1"/>
  <c r="K459" i="1"/>
  <c r="M459" i="1" s="1"/>
  <c r="N459" i="1" s="1"/>
  <c r="O459" i="1" s="1"/>
  <c r="K46" i="1"/>
  <c r="M46" i="1" s="1"/>
  <c r="N46" i="1" s="1"/>
  <c r="O46" i="1" s="1"/>
  <c r="K387" i="1"/>
  <c r="L387" i="1" s="1"/>
  <c r="K237" i="1"/>
  <c r="M237" i="1" s="1"/>
  <c r="N237" i="1" s="1"/>
  <c r="O237" i="1" s="1"/>
  <c r="K154" i="1"/>
  <c r="K21" i="1"/>
  <c r="M21" i="1" s="1"/>
  <c r="N21" i="1" s="1"/>
  <c r="O21" i="1" s="1"/>
  <c r="K292" i="1"/>
  <c r="M292" i="1" s="1"/>
  <c r="N292" i="1" s="1"/>
  <c r="O292" i="1" s="1"/>
  <c r="K339" i="1"/>
  <c r="M339" i="1" s="1"/>
  <c r="N339" i="1" s="1"/>
  <c r="O339" i="1" s="1"/>
  <c r="K446" i="1"/>
  <c r="M446" i="1" s="1"/>
  <c r="N446" i="1" s="1"/>
  <c r="O446" i="1" s="1"/>
  <c r="K591" i="1"/>
  <c r="M591" i="1" s="1"/>
  <c r="N591" i="1" s="1"/>
  <c r="O591" i="1" s="1"/>
  <c r="K220" i="1"/>
  <c r="M220" i="1" s="1"/>
  <c r="N220" i="1" s="1"/>
  <c r="O220" i="1" s="1"/>
  <c r="K235" i="1"/>
  <c r="M235" i="1" s="1"/>
  <c r="N235" i="1" s="1"/>
  <c r="O235" i="1" s="1"/>
  <c r="K130" i="1"/>
  <c r="K337" i="1"/>
  <c r="M337" i="1" s="1"/>
  <c r="N337" i="1" s="1"/>
  <c r="O337" i="1" s="1"/>
  <c r="K17" i="1"/>
  <c r="L17" i="1" s="1"/>
  <c r="K128" i="1"/>
  <c r="M128" i="1" s="1"/>
  <c r="N128" i="1" s="1"/>
  <c r="O128" i="1" s="1"/>
  <c r="K215" i="1"/>
  <c r="M215" i="1" s="1"/>
  <c r="N215" i="1" s="1"/>
  <c r="O215" i="1" s="1"/>
  <c r="K518" i="1"/>
  <c r="L518" i="1" s="1"/>
  <c r="K180" i="1"/>
  <c r="L180" i="1" s="1"/>
  <c r="K179" i="1"/>
  <c r="M179" i="1" s="1"/>
  <c r="N179" i="1" s="1"/>
  <c r="O179" i="1" s="1"/>
  <c r="K261" i="1"/>
  <c r="K430" i="1"/>
  <c r="M430" i="1" s="1"/>
  <c r="N430" i="1" s="1"/>
  <c r="O430" i="1" s="1"/>
  <c r="K579" i="1"/>
  <c r="L579" i="1" s="1"/>
  <c r="K583" i="1"/>
  <c r="M583" i="1" s="1"/>
  <c r="N583" i="1" s="1"/>
  <c r="O583" i="1" s="1"/>
  <c r="K590" i="1"/>
  <c r="M590" i="1" s="1"/>
  <c r="N590" i="1" s="1"/>
  <c r="O590" i="1" s="1"/>
  <c r="K72" i="1"/>
  <c r="L72" i="1" s="1"/>
  <c r="K219" i="1"/>
  <c r="M219" i="1" s="1"/>
  <c r="N219" i="1" s="1"/>
  <c r="O219" i="1" s="1"/>
  <c r="K346" i="1"/>
  <c r="M346" i="1" s="1"/>
  <c r="N346" i="1" s="1"/>
  <c r="O346" i="1" s="1"/>
  <c r="K34" i="1"/>
  <c r="K321" i="1"/>
  <c r="L321" i="1" s="1"/>
  <c r="K536" i="1"/>
  <c r="L536" i="1" s="1"/>
  <c r="K112" i="1"/>
  <c r="L112" i="1" s="1"/>
  <c r="K207" i="1"/>
  <c r="M207" i="1" s="1"/>
  <c r="N207" i="1" s="1"/>
  <c r="O207" i="1" s="1"/>
  <c r="K67" i="1"/>
  <c r="L67" i="1" s="1"/>
  <c r="K397" i="1"/>
  <c r="L397" i="1" s="1"/>
  <c r="K475" i="1"/>
  <c r="M475" i="1" s="1"/>
  <c r="N475" i="1" s="1"/>
  <c r="O475" i="1" s="1"/>
  <c r="K344" i="1"/>
  <c r="K54" i="1"/>
  <c r="M54" i="1" s="1"/>
  <c r="N54" i="1" s="1"/>
  <c r="O54" i="1" s="1"/>
  <c r="K515" i="1"/>
  <c r="L515" i="1" s="1"/>
  <c r="K190" i="1"/>
  <c r="M190" i="1" s="1"/>
  <c r="N190" i="1" s="1"/>
  <c r="O190" i="1" s="1"/>
  <c r="K458" i="1"/>
  <c r="L458" i="1" s="1"/>
  <c r="K145" i="1"/>
  <c r="M145" i="1" s="1"/>
  <c r="N145" i="1" s="1"/>
  <c r="O145" i="1" s="1"/>
  <c r="K10" i="1"/>
  <c r="L10" i="1" s="1"/>
  <c r="K443" i="1"/>
  <c r="M443" i="1" s="1"/>
  <c r="N443" i="1" s="1"/>
  <c r="O443" i="1" s="1"/>
  <c r="K129" i="1"/>
  <c r="M129" i="1" s="1"/>
  <c r="N129" i="1" s="1"/>
  <c r="O129" i="1" s="1"/>
  <c r="K166" i="1"/>
  <c r="M166" i="1" s="1"/>
  <c r="N166" i="1" s="1"/>
  <c r="O166" i="1" s="1"/>
  <c r="K163" i="1"/>
  <c r="M163" i="1" s="1"/>
  <c r="N163" i="1" s="1"/>
  <c r="O163" i="1" s="1"/>
  <c r="K414" i="1"/>
  <c r="L414" i="1" s="1"/>
  <c r="K582" i="1"/>
  <c r="L582" i="1" s="1"/>
  <c r="K330" i="1"/>
  <c r="M330" i="1" s="1"/>
  <c r="N330" i="1" s="1"/>
  <c r="O330" i="1" s="1"/>
  <c r="K111" i="1"/>
  <c r="M111" i="1" s="1"/>
  <c r="N111" i="1" s="1"/>
  <c r="O111" i="1" s="1"/>
  <c r="K324" i="1"/>
  <c r="L324" i="1" s="1"/>
  <c r="K250" i="1"/>
  <c r="K389" i="1"/>
  <c r="M389" i="1" s="1"/>
  <c r="N389" i="1" s="1"/>
  <c r="O389" i="1" s="1"/>
  <c r="K85" i="1"/>
  <c r="M85" i="1" s="1"/>
  <c r="N85" i="1" s="1"/>
  <c r="O85" i="1" s="1"/>
  <c r="K242" i="1"/>
  <c r="M242" i="1" s="1"/>
  <c r="N242" i="1" s="1"/>
  <c r="O242" i="1" s="1"/>
  <c r="K407" i="1"/>
  <c r="M407" i="1" s="1"/>
  <c r="N407" i="1" s="1"/>
  <c r="O407" i="1" s="1"/>
  <c r="K341" i="1"/>
  <c r="L341" i="1" s="1"/>
  <c r="K570" i="1"/>
  <c r="M570" i="1" s="1"/>
  <c r="N570" i="1" s="1"/>
  <c r="O570" i="1" s="1"/>
  <c r="K450" i="1"/>
  <c r="M450" i="1" s="1"/>
  <c r="N450" i="1" s="1"/>
  <c r="O450" i="1" s="1"/>
  <c r="K327" i="1"/>
  <c r="K100" i="1"/>
  <c r="M100" i="1" s="1"/>
  <c r="N100" i="1" s="1"/>
  <c r="O100" i="1" s="1"/>
  <c r="K436" i="1"/>
  <c r="L436" i="1" s="1"/>
  <c r="K533" i="1"/>
  <c r="L533" i="1" s="1"/>
  <c r="K477" i="1"/>
  <c r="L477" i="1" s="1"/>
  <c r="K597" i="1"/>
  <c r="L597" i="1" s="1"/>
  <c r="K71" i="1"/>
  <c r="L71" i="1" s="1"/>
  <c r="K18" i="1"/>
  <c r="L18" i="1" s="1"/>
  <c r="K249" i="1"/>
  <c r="K432" i="1"/>
  <c r="L432" i="1" s="1"/>
  <c r="K527" i="1"/>
  <c r="M527" i="1" s="1"/>
  <c r="N527" i="1" s="1"/>
  <c r="O527" i="1" s="1"/>
  <c r="K134" i="1"/>
  <c r="L134" i="1" s="1"/>
  <c r="K543" i="1"/>
  <c r="M543" i="1" s="1"/>
  <c r="N543" i="1" s="1"/>
  <c r="O543" i="1" s="1"/>
  <c r="K147" i="1"/>
  <c r="L147" i="1" s="1"/>
  <c r="K356" i="1"/>
  <c r="M356" i="1" s="1"/>
  <c r="N356" i="1" s="1"/>
  <c r="O356" i="1" s="1"/>
  <c r="K270" i="1"/>
  <c r="M270" i="1" s="1"/>
  <c r="N270" i="1" s="1"/>
  <c r="O270" i="1" s="1"/>
  <c r="K469" i="1"/>
  <c r="M469" i="1" s="1"/>
  <c r="N469" i="1" s="1"/>
  <c r="O469" i="1" s="1"/>
  <c r="K429" i="1"/>
  <c r="L429" i="1" s="1"/>
  <c r="K476" i="1"/>
  <c r="L476" i="1" s="1"/>
  <c r="K581" i="1"/>
  <c r="L581" i="1" s="1"/>
  <c r="K39" i="1"/>
  <c r="L39" i="1" s="1"/>
  <c r="K258" i="1"/>
  <c r="L258" i="1" s="1"/>
  <c r="K529" i="1"/>
  <c r="L529" i="1" s="1"/>
  <c r="K241" i="1"/>
  <c r="L241" i="1" s="1"/>
  <c r="K424" i="1"/>
  <c r="M424" i="1" s="1"/>
  <c r="N424" i="1" s="1"/>
  <c r="O424" i="1" s="1"/>
  <c r="K519" i="1"/>
  <c r="L519" i="1" s="1"/>
  <c r="K59" i="1"/>
  <c r="L59" i="1" s="1"/>
  <c r="K44" i="1"/>
  <c r="L44" i="1" s="1"/>
  <c r="K29" i="1"/>
  <c r="L29" i="1" s="1"/>
  <c r="K14" i="1"/>
  <c r="L14" i="1" s="1"/>
  <c r="K78" i="1"/>
  <c r="M78" i="1" s="1"/>
  <c r="N78" i="1" s="1"/>
  <c r="O78" i="1" s="1"/>
  <c r="K103" i="1"/>
  <c r="M103" i="1" s="1"/>
  <c r="N103" i="1" s="1"/>
  <c r="O103" i="1" s="1"/>
  <c r="K167" i="1"/>
  <c r="M167" i="1" s="1"/>
  <c r="N167" i="1" s="1"/>
  <c r="O167" i="1" s="1"/>
  <c r="K231" i="1"/>
  <c r="L231" i="1" s="1"/>
  <c r="K295" i="1"/>
  <c r="M295" i="1" s="1"/>
  <c r="N295" i="1" s="1"/>
  <c r="O295" i="1" s="1"/>
  <c r="K359" i="1"/>
  <c r="M359" i="1" s="1"/>
  <c r="N359" i="1" s="1"/>
  <c r="O359" i="1" s="1"/>
  <c r="K423" i="1"/>
  <c r="L423" i="1" s="1"/>
  <c r="K487" i="1"/>
  <c r="L487" i="1" s="1"/>
  <c r="K32" i="1"/>
  <c r="L32" i="1" s="1"/>
  <c r="K120" i="1"/>
  <c r="M120" i="1" s="1"/>
  <c r="N120" i="1" s="1"/>
  <c r="O120" i="1" s="1"/>
  <c r="K184" i="1"/>
  <c r="L184" i="1" s="1"/>
  <c r="K248" i="1"/>
  <c r="L248" i="1" s="1"/>
  <c r="K312" i="1"/>
  <c r="M312" i="1" s="1"/>
  <c r="N312" i="1" s="1"/>
  <c r="O312" i="1" s="1"/>
  <c r="K376" i="1"/>
  <c r="M376" i="1" s="1"/>
  <c r="N376" i="1" s="1"/>
  <c r="O376" i="1" s="1"/>
  <c r="K440" i="1"/>
  <c r="L440" i="1" s="1"/>
  <c r="K504" i="1"/>
  <c r="L504" i="1" s="1"/>
  <c r="K65" i="1"/>
  <c r="L65" i="1" s="1"/>
  <c r="K137" i="1"/>
  <c r="M137" i="1" s="1"/>
  <c r="N137" i="1" s="1"/>
  <c r="O137" i="1" s="1"/>
  <c r="K201" i="1"/>
  <c r="L201" i="1" s="1"/>
  <c r="K265" i="1"/>
  <c r="M265" i="1" s="1"/>
  <c r="N265" i="1" s="1"/>
  <c r="O265" i="1" s="1"/>
  <c r="K329" i="1"/>
  <c r="M329" i="1" s="1"/>
  <c r="N329" i="1" s="1"/>
  <c r="O329" i="1" s="1"/>
  <c r="K393" i="1"/>
  <c r="M393" i="1" s="1"/>
  <c r="N393" i="1" s="1"/>
  <c r="O393" i="1" s="1"/>
  <c r="K457" i="1"/>
  <c r="M457" i="1" s="1"/>
  <c r="N457" i="1" s="1"/>
  <c r="O457" i="1" s="1"/>
  <c r="K521" i="1"/>
  <c r="L521" i="1" s="1"/>
  <c r="K82" i="1"/>
  <c r="L82" i="1" s="1"/>
  <c r="K146" i="1"/>
  <c r="M146" i="1" s="1"/>
  <c r="N146" i="1" s="1"/>
  <c r="O146" i="1" s="1"/>
  <c r="K210" i="1"/>
  <c r="L210" i="1" s="1"/>
  <c r="K274" i="1"/>
  <c r="L274" i="1" s="1"/>
  <c r="K338" i="1"/>
  <c r="L338" i="1" s="1"/>
  <c r="K402" i="1"/>
  <c r="M402" i="1" s="1"/>
  <c r="N402" i="1" s="1"/>
  <c r="O402" i="1" s="1"/>
  <c r="K466" i="1"/>
  <c r="L466" i="1" s="1"/>
  <c r="K530" i="1"/>
  <c r="M530" i="1" s="1"/>
  <c r="N530" i="1" s="1"/>
  <c r="O530" i="1" s="1"/>
  <c r="K123" i="1"/>
  <c r="M123" i="1" s="1"/>
  <c r="N123" i="1" s="1"/>
  <c r="O123" i="1" s="1"/>
  <c r="K251" i="1"/>
  <c r="L251" i="1" s="1"/>
  <c r="K379" i="1"/>
  <c r="L379" i="1" s="1"/>
  <c r="K507" i="1"/>
  <c r="M507" i="1" s="1"/>
  <c r="N507" i="1" s="1"/>
  <c r="O507" i="1" s="1"/>
  <c r="K589" i="1"/>
  <c r="M589" i="1" s="1"/>
  <c r="N589" i="1" s="1"/>
  <c r="O589" i="1" s="1"/>
  <c r="K140" i="1"/>
  <c r="M140" i="1" s="1"/>
  <c r="N140" i="1" s="1"/>
  <c r="O140" i="1" s="1"/>
  <c r="K268" i="1"/>
  <c r="L268" i="1" s="1"/>
  <c r="K396" i="1"/>
  <c r="M396" i="1" s="1"/>
  <c r="N396" i="1" s="1"/>
  <c r="O396" i="1" s="1"/>
  <c r="K524" i="1"/>
  <c r="L524" i="1" s="1"/>
  <c r="K598" i="1"/>
  <c r="L598" i="1" s="1"/>
  <c r="K157" i="1"/>
  <c r="M157" i="1" s="1"/>
  <c r="N157" i="1" s="1"/>
  <c r="O157" i="1" s="1"/>
  <c r="K285" i="1"/>
  <c r="L285" i="1" s="1"/>
  <c r="K413" i="1"/>
  <c r="L413" i="1" s="1"/>
  <c r="K541" i="1"/>
  <c r="M541" i="1" s="1"/>
  <c r="N541" i="1" s="1"/>
  <c r="O541" i="1" s="1"/>
  <c r="K132" i="1"/>
  <c r="L132" i="1" s="1"/>
  <c r="K544" i="1"/>
  <c r="M544" i="1" s="1"/>
  <c r="N544" i="1" s="1"/>
  <c r="O544" i="1" s="1"/>
  <c r="K245" i="1"/>
  <c r="M245" i="1" s="1"/>
  <c r="N245" i="1" s="1"/>
  <c r="O245" i="1" s="1"/>
  <c r="K563" i="1"/>
  <c r="L563" i="1" s="1"/>
  <c r="K406" i="1"/>
  <c r="M406" i="1" s="1"/>
  <c r="N406" i="1" s="1"/>
  <c r="O406" i="1" s="1"/>
  <c r="K74" i="1"/>
  <c r="L74" i="1" s="1"/>
  <c r="K206" i="1"/>
  <c r="M206" i="1" s="1"/>
  <c r="N206" i="1" s="1"/>
  <c r="O206" i="1" s="1"/>
  <c r="K334" i="1"/>
  <c r="L334" i="1" s="1"/>
  <c r="K462" i="1"/>
  <c r="L462" i="1" s="1"/>
  <c r="K568" i="1"/>
  <c r="L568" i="1" s="1"/>
  <c r="K116" i="1"/>
  <c r="L116" i="1" s="1"/>
  <c r="K404" i="1"/>
  <c r="L404" i="1" s="1"/>
  <c r="K101" i="1"/>
  <c r="M101" i="1" s="1"/>
  <c r="N101" i="1" s="1"/>
  <c r="O101" i="1" s="1"/>
  <c r="K485" i="1"/>
  <c r="L485" i="1" s="1"/>
  <c r="K262" i="1"/>
  <c r="L262" i="1" s="1"/>
  <c r="K55" i="1"/>
  <c r="L55" i="1" s="1"/>
  <c r="K195" i="1"/>
  <c r="L195" i="1" s="1"/>
  <c r="K323" i="1"/>
  <c r="M323" i="1" s="1"/>
  <c r="N323" i="1" s="1"/>
  <c r="O323" i="1" s="1"/>
  <c r="K451" i="1"/>
  <c r="L451" i="1" s="1"/>
  <c r="K561" i="1"/>
  <c r="L561" i="1" s="1"/>
  <c r="K228" i="1"/>
  <c r="L228" i="1" s="1"/>
  <c r="K149" i="1"/>
  <c r="K587" i="1"/>
  <c r="M587" i="1" s="1"/>
  <c r="N587" i="1" s="1"/>
  <c r="O587" i="1" s="1"/>
  <c r="K246" i="1"/>
  <c r="L246" i="1" s="1"/>
  <c r="K580" i="1"/>
  <c r="L580" i="1" s="1"/>
  <c r="K11" i="1"/>
  <c r="L11" i="1" s="1"/>
  <c r="K75" i="1"/>
  <c r="L75" i="1" s="1"/>
  <c r="K60" i="1"/>
  <c r="L60" i="1" s="1"/>
  <c r="K45" i="1"/>
  <c r="M45" i="1" s="1"/>
  <c r="N45" i="1" s="1"/>
  <c r="O45" i="1" s="1"/>
  <c r="K30" i="1"/>
  <c r="L30" i="1" s="1"/>
  <c r="K31" i="1"/>
  <c r="M31" i="1" s="1"/>
  <c r="N31" i="1" s="1"/>
  <c r="O31" i="1" s="1"/>
  <c r="K119" i="1"/>
  <c r="M119" i="1" s="1"/>
  <c r="N119" i="1" s="1"/>
  <c r="O119" i="1" s="1"/>
  <c r="K183" i="1"/>
  <c r="M183" i="1" s="1"/>
  <c r="N183" i="1" s="1"/>
  <c r="O183" i="1" s="1"/>
  <c r="K247" i="1"/>
  <c r="L247" i="1" s="1"/>
  <c r="K311" i="1"/>
  <c r="M311" i="1" s="1"/>
  <c r="N311" i="1" s="1"/>
  <c r="O311" i="1" s="1"/>
  <c r="K375" i="1"/>
  <c r="M375" i="1" s="1"/>
  <c r="N375" i="1" s="1"/>
  <c r="O375" i="1" s="1"/>
  <c r="K439" i="1"/>
  <c r="M439" i="1" s="1"/>
  <c r="N439" i="1" s="1"/>
  <c r="O439" i="1" s="1"/>
  <c r="K503" i="1"/>
  <c r="M503" i="1" s="1"/>
  <c r="N503" i="1" s="1"/>
  <c r="O503" i="1" s="1"/>
  <c r="K64" i="1"/>
  <c r="M64" i="1" s="1"/>
  <c r="N64" i="1" s="1"/>
  <c r="O64" i="1" s="1"/>
  <c r="K136" i="1"/>
  <c r="M136" i="1" s="1"/>
  <c r="N136" i="1" s="1"/>
  <c r="O136" i="1" s="1"/>
  <c r="K200" i="1"/>
  <c r="L200" i="1" s="1"/>
  <c r="K264" i="1"/>
  <c r="L264" i="1" s="1"/>
  <c r="K328" i="1"/>
  <c r="M328" i="1" s="1"/>
  <c r="N328" i="1" s="1"/>
  <c r="O328" i="1" s="1"/>
  <c r="K392" i="1"/>
  <c r="L392" i="1" s="1"/>
  <c r="K456" i="1"/>
  <c r="M456" i="1" s="1"/>
  <c r="N456" i="1" s="1"/>
  <c r="O456" i="1" s="1"/>
  <c r="K520" i="1"/>
  <c r="M520" i="1" s="1"/>
  <c r="N520" i="1" s="1"/>
  <c r="O520" i="1" s="1"/>
  <c r="K89" i="1"/>
  <c r="M89" i="1" s="1"/>
  <c r="N89" i="1" s="1"/>
  <c r="O89" i="1" s="1"/>
  <c r="K153" i="1"/>
  <c r="L153" i="1" s="1"/>
  <c r="K217" i="1"/>
  <c r="M217" i="1" s="1"/>
  <c r="N217" i="1" s="1"/>
  <c r="O217" i="1" s="1"/>
  <c r="K281" i="1"/>
  <c r="L281" i="1" s="1"/>
  <c r="K345" i="1"/>
  <c r="M345" i="1" s="1"/>
  <c r="N345" i="1" s="1"/>
  <c r="O345" i="1" s="1"/>
  <c r="K409" i="1"/>
  <c r="M409" i="1" s="1"/>
  <c r="N409" i="1" s="1"/>
  <c r="O409" i="1" s="1"/>
  <c r="K473" i="1"/>
  <c r="M473" i="1" s="1"/>
  <c r="N473" i="1" s="1"/>
  <c r="O473" i="1" s="1"/>
  <c r="K537" i="1"/>
  <c r="L537" i="1" s="1"/>
  <c r="K98" i="1"/>
  <c r="M98" i="1" s="1"/>
  <c r="N98" i="1" s="1"/>
  <c r="O98" i="1" s="1"/>
  <c r="K162" i="1"/>
  <c r="M162" i="1" s="1"/>
  <c r="N162" i="1" s="1"/>
  <c r="O162" i="1" s="1"/>
  <c r="K226" i="1"/>
  <c r="M226" i="1" s="1"/>
  <c r="N226" i="1" s="1"/>
  <c r="O226" i="1" s="1"/>
  <c r="K290" i="1"/>
  <c r="L290" i="1" s="1"/>
  <c r="K354" i="1"/>
  <c r="L354" i="1" s="1"/>
  <c r="K418" i="1"/>
  <c r="M418" i="1" s="1"/>
  <c r="N418" i="1" s="1"/>
  <c r="O418" i="1" s="1"/>
  <c r="K482" i="1"/>
  <c r="M482" i="1" s="1"/>
  <c r="N482" i="1" s="1"/>
  <c r="O482" i="1" s="1"/>
  <c r="K546" i="1"/>
  <c r="L546" i="1" s="1"/>
  <c r="K155" i="1"/>
  <c r="L155" i="1" s="1"/>
  <c r="K283" i="1"/>
  <c r="M283" i="1" s="1"/>
  <c r="N283" i="1" s="1"/>
  <c r="O283" i="1" s="1"/>
  <c r="K411" i="1"/>
  <c r="L411" i="1" s="1"/>
  <c r="K539" i="1"/>
  <c r="M539" i="1" s="1"/>
  <c r="N539" i="1" s="1"/>
  <c r="O539" i="1" s="1"/>
  <c r="K8" i="1"/>
  <c r="L8" i="1" s="1"/>
  <c r="K172" i="1"/>
  <c r="M172" i="1" s="1"/>
  <c r="N172" i="1" s="1"/>
  <c r="O172" i="1" s="1"/>
  <c r="K300" i="1"/>
  <c r="M300" i="1" s="1"/>
  <c r="N300" i="1" s="1"/>
  <c r="O300" i="1" s="1"/>
  <c r="K428" i="1"/>
  <c r="M428" i="1" s="1"/>
  <c r="N428" i="1" s="1"/>
  <c r="O428" i="1" s="1"/>
  <c r="K550" i="1"/>
  <c r="M550" i="1" s="1"/>
  <c r="N550" i="1" s="1"/>
  <c r="O550" i="1" s="1"/>
  <c r="K41" i="1"/>
  <c r="L41" i="1" s="1"/>
  <c r="K189" i="1"/>
  <c r="M189" i="1" s="1"/>
  <c r="N189" i="1" s="1"/>
  <c r="O189" i="1" s="1"/>
  <c r="K317" i="1"/>
  <c r="M317" i="1" s="1"/>
  <c r="N317" i="1" s="1"/>
  <c r="O317" i="1" s="1"/>
  <c r="K445" i="1"/>
  <c r="M445" i="1" s="1"/>
  <c r="N445" i="1" s="1"/>
  <c r="O445" i="1" s="1"/>
  <c r="K559" i="1"/>
  <c r="M559" i="1" s="1"/>
  <c r="N559" i="1" s="1"/>
  <c r="O559" i="1" s="1"/>
  <c r="K244" i="1"/>
  <c r="M244" i="1" s="1"/>
  <c r="N244" i="1" s="1"/>
  <c r="O244" i="1" s="1"/>
  <c r="K578" i="1"/>
  <c r="M578" i="1" s="1"/>
  <c r="N578" i="1" s="1"/>
  <c r="O578" i="1" s="1"/>
  <c r="K325" i="1"/>
  <c r="L325" i="1" s="1"/>
  <c r="K603" i="1"/>
  <c r="L603" i="1" s="1"/>
  <c r="K502" i="1"/>
  <c r="M502" i="1" s="1"/>
  <c r="N502" i="1" s="1"/>
  <c r="O502" i="1" s="1"/>
  <c r="K110" i="1"/>
  <c r="L110" i="1" s="1"/>
  <c r="K238" i="1"/>
  <c r="L238" i="1" s="1"/>
  <c r="K366" i="1"/>
  <c r="M366" i="1" s="1"/>
  <c r="N366" i="1" s="1"/>
  <c r="O366" i="1" s="1"/>
  <c r="K494" i="1"/>
  <c r="M494" i="1" s="1"/>
  <c r="N494" i="1" s="1"/>
  <c r="O494" i="1" s="1"/>
  <c r="K584" i="1"/>
  <c r="L584" i="1" s="1"/>
  <c r="K164" i="1"/>
  <c r="L164" i="1" s="1"/>
  <c r="K484" i="1"/>
  <c r="M484" i="1" s="1"/>
  <c r="N484" i="1" s="1"/>
  <c r="O484" i="1" s="1"/>
  <c r="K181" i="1"/>
  <c r="L181" i="1" s="1"/>
  <c r="K555" i="1"/>
  <c r="L555" i="1" s="1"/>
  <c r="K358" i="1"/>
  <c r="M358" i="1" s="1"/>
  <c r="N358" i="1" s="1"/>
  <c r="O358" i="1" s="1"/>
  <c r="K99" i="1"/>
  <c r="M99" i="1" s="1"/>
  <c r="N99" i="1" s="1"/>
  <c r="O99" i="1" s="1"/>
  <c r="K227" i="1"/>
  <c r="M227" i="1" s="1"/>
  <c r="N227" i="1" s="1"/>
  <c r="O227" i="1" s="1"/>
  <c r="K355" i="1"/>
  <c r="L355" i="1" s="1"/>
  <c r="K483" i="1"/>
  <c r="L483" i="1" s="1"/>
  <c r="K577" i="1"/>
  <c r="L577" i="1" s="1"/>
  <c r="K340" i="1"/>
  <c r="L340" i="1" s="1"/>
  <c r="K293" i="1"/>
  <c r="M293" i="1" s="1"/>
  <c r="N293" i="1" s="1"/>
  <c r="O293" i="1" s="1"/>
  <c r="K58" i="1"/>
  <c r="L58" i="1" s="1"/>
  <c r="K374" i="1"/>
  <c r="L374" i="1" s="1"/>
  <c r="K373" i="1"/>
  <c r="M373" i="1" s="1"/>
  <c r="N373" i="1" s="1"/>
  <c r="O373" i="1" s="1"/>
  <c r="K534" i="1"/>
  <c r="M534" i="1" s="1"/>
  <c r="N534" i="1" s="1"/>
  <c r="O534" i="1" s="1"/>
  <c r="K254" i="1"/>
  <c r="M254" i="1" s="1"/>
  <c r="N254" i="1" s="1"/>
  <c r="O254" i="1" s="1"/>
  <c r="K382" i="1"/>
  <c r="M382" i="1" s="1"/>
  <c r="N382" i="1" s="1"/>
  <c r="O382" i="1" s="1"/>
  <c r="K592" i="1"/>
  <c r="L592" i="1" s="1"/>
  <c r="K212" i="1"/>
  <c r="M212" i="1" s="1"/>
  <c r="N212" i="1" s="1"/>
  <c r="O212" i="1" s="1"/>
  <c r="K213" i="1"/>
  <c r="L213" i="1" s="1"/>
  <c r="K571" i="1"/>
  <c r="M571" i="1" s="1"/>
  <c r="N571" i="1" s="1"/>
  <c r="O571" i="1" s="1"/>
  <c r="K422" i="1"/>
  <c r="L422" i="1" s="1"/>
  <c r="K243" i="1"/>
  <c r="L243" i="1" s="1"/>
  <c r="K19" i="1"/>
  <c r="M19" i="1" s="1"/>
  <c r="N19" i="1" s="1"/>
  <c r="O19" i="1" s="1"/>
  <c r="K4" i="1"/>
  <c r="L4" i="1" s="1"/>
  <c r="K68" i="1"/>
  <c r="L68" i="1" s="1"/>
  <c r="K53" i="1"/>
  <c r="L53" i="1" s="1"/>
  <c r="K38" i="1"/>
  <c r="L38" i="1" s="1"/>
  <c r="K47" i="1"/>
  <c r="L47" i="1" s="1"/>
  <c r="K127" i="1"/>
  <c r="L127" i="1" s="1"/>
  <c r="K191" i="1"/>
  <c r="M191" i="1" s="1"/>
  <c r="N191" i="1" s="1"/>
  <c r="O191" i="1" s="1"/>
  <c r="K255" i="1"/>
  <c r="M255" i="1" s="1"/>
  <c r="N255" i="1" s="1"/>
  <c r="O255" i="1" s="1"/>
  <c r="K319" i="1"/>
  <c r="M319" i="1" s="1"/>
  <c r="N319" i="1" s="1"/>
  <c r="O319" i="1" s="1"/>
  <c r="K383" i="1"/>
  <c r="L383" i="1" s="1"/>
  <c r="K447" i="1"/>
  <c r="M447" i="1" s="1"/>
  <c r="N447" i="1" s="1"/>
  <c r="O447" i="1" s="1"/>
  <c r="K511" i="1"/>
  <c r="M511" i="1" s="1"/>
  <c r="N511" i="1" s="1"/>
  <c r="O511" i="1" s="1"/>
  <c r="K80" i="1"/>
  <c r="M80" i="1" s="1"/>
  <c r="N80" i="1" s="1"/>
  <c r="O80" i="1" s="1"/>
  <c r="K144" i="1"/>
  <c r="L144" i="1" s="1"/>
  <c r="K208" i="1"/>
  <c r="L208" i="1" s="1"/>
  <c r="K272" i="1"/>
  <c r="L272" i="1" s="1"/>
  <c r="K336" i="1"/>
  <c r="M336" i="1" s="1"/>
  <c r="N336" i="1" s="1"/>
  <c r="O336" i="1" s="1"/>
  <c r="K400" i="1"/>
  <c r="M400" i="1" s="1"/>
  <c r="N400" i="1" s="1"/>
  <c r="O400" i="1" s="1"/>
  <c r="K464" i="1"/>
  <c r="M464" i="1" s="1"/>
  <c r="N464" i="1" s="1"/>
  <c r="O464" i="1" s="1"/>
  <c r="K528" i="1"/>
  <c r="L528" i="1" s="1"/>
  <c r="K97" i="1"/>
  <c r="M97" i="1" s="1"/>
  <c r="N97" i="1" s="1"/>
  <c r="O97" i="1" s="1"/>
  <c r="K161" i="1"/>
  <c r="K225" i="1"/>
  <c r="M225" i="1" s="1"/>
  <c r="N225" i="1" s="1"/>
  <c r="O225" i="1" s="1"/>
  <c r="K289" i="1"/>
  <c r="M289" i="1" s="1"/>
  <c r="N289" i="1" s="1"/>
  <c r="O289" i="1" s="1"/>
  <c r="K353" i="1"/>
  <c r="M353" i="1" s="1"/>
  <c r="N353" i="1" s="1"/>
  <c r="O353" i="1" s="1"/>
  <c r="K417" i="1"/>
  <c r="L417" i="1" s="1"/>
  <c r="K481" i="1"/>
  <c r="M481" i="1" s="1"/>
  <c r="N481" i="1" s="1"/>
  <c r="O481" i="1" s="1"/>
  <c r="K545" i="1"/>
  <c r="L545" i="1" s="1"/>
  <c r="K106" i="1"/>
  <c r="L106" i="1" s="1"/>
  <c r="K170" i="1"/>
  <c r="L170" i="1" s="1"/>
  <c r="K234" i="1"/>
  <c r="K298" i="1"/>
  <c r="M298" i="1" s="1"/>
  <c r="N298" i="1" s="1"/>
  <c r="O298" i="1" s="1"/>
  <c r="K362" i="1"/>
  <c r="M362" i="1" s="1"/>
  <c r="N362" i="1" s="1"/>
  <c r="O362" i="1" s="1"/>
  <c r="K426" i="1"/>
  <c r="M426" i="1" s="1"/>
  <c r="N426" i="1" s="1"/>
  <c r="O426" i="1" s="1"/>
  <c r="K490" i="1"/>
  <c r="L490" i="1" s="1"/>
  <c r="K7" i="1"/>
  <c r="L7" i="1" s="1"/>
  <c r="K171" i="1"/>
  <c r="L171" i="1" s="1"/>
  <c r="K299" i="1"/>
  <c r="M299" i="1" s="1"/>
  <c r="N299" i="1" s="1"/>
  <c r="O299" i="1" s="1"/>
  <c r="K427" i="1"/>
  <c r="M427" i="1" s="1"/>
  <c r="N427" i="1" s="1"/>
  <c r="O427" i="1" s="1"/>
  <c r="K549" i="1"/>
  <c r="M549" i="1" s="1"/>
  <c r="N549" i="1" s="1"/>
  <c r="O549" i="1" s="1"/>
  <c r="K40" i="1"/>
  <c r="L40" i="1" s="1"/>
  <c r="K188" i="1"/>
  <c r="M188" i="1" s="1"/>
  <c r="N188" i="1" s="1"/>
  <c r="O188" i="1" s="1"/>
  <c r="K316" i="1"/>
  <c r="L316" i="1" s="1"/>
  <c r="K444" i="1"/>
  <c r="L444" i="1" s="1"/>
  <c r="K558" i="1"/>
  <c r="L558" i="1" s="1"/>
  <c r="K73" i="1"/>
  <c r="L73" i="1" s="1"/>
  <c r="K205" i="1"/>
  <c r="M205" i="1" s="1"/>
  <c r="N205" i="1" s="1"/>
  <c r="O205" i="1" s="1"/>
  <c r="K333" i="1"/>
  <c r="M333" i="1" s="1"/>
  <c r="N333" i="1" s="1"/>
  <c r="O333" i="1" s="1"/>
  <c r="K461" i="1"/>
  <c r="M461" i="1" s="1"/>
  <c r="N461" i="1" s="1"/>
  <c r="O461" i="1" s="1"/>
  <c r="K567" i="1"/>
  <c r="M567" i="1" s="1"/>
  <c r="N567" i="1" s="1"/>
  <c r="O567" i="1" s="1"/>
  <c r="K308" i="1"/>
  <c r="L308" i="1" s="1"/>
  <c r="K602" i="1"/>
  <c r="M602" i="1" s="1"/>
  <c r="N602" i="1" s="1"/>
  <c r="O602" i="1" s="1"/>
  <c r="K150" i="1"/>
  <c r="M150" i="1" s="1"/>
  <c r="N150" i="1" s="1"/>
  <c r="O150" i="1" s="1"/>
  <c r="K126" i="1"/>
  <c r="K510" i="1"/>
  <c r="M510" i="1" s="1"/>
  <c r="N510" i="1" s="1"/>
  <c r="O510" i="1" s="1"/>
  <c r="K532" i="1"/>
  <c r="L532" i="1" s="1"/>
  <c r="K115" i="1"/>
  <c r="M115" i="1" s="1"/>
  <c r="N115" i="1" s="1"/>
  <c r="O115" i="1" s="1"/>
  <c r="K486" i="1"/>
  <c r="M486" i="1" s="1"/>
  <c r="N486" i="1" s="1"/>
  <c r="O486" i="1" s="1"/>
  <c r="K499" i="1"/>
  <c r="L499" i="1" s="1"/>
  <c r="K560" i="1"/>
  <c r="L560" i="1" s="1"/>
  <c r="K174" i="1"/>
  <c r="M174" i="1" s="1"/>
  <c r="N174" i="1" s="1"/>
  <c r="O174" i="1" s="1"/>
  <c r="K437" i="1"/>
  <c r="M437" i="1" s="1"/>
  <c r="N437" i="1" s="1"/>
  <c r="O437" i="1" s="1"/>
  <c r="K516" i="1"/>
  <c r="M516" i="1" s="1"/>
  <c r="N516" i="1" s="1"/>
  <c r="O516" i="1" s="1"/>
  <c r="K381" i="1"/>
  <c r="L381" i="1" s="1"/>
  <c r="K173" i="1"/>
  <c r="M173" i="1" s="1"/>
  <c r="N173" i="1" s="1"/>
  <c r="O173" i="1" s="1"/>
  <c r="K574" i="1"/>
  <c r="L574" i="1" s="1"/>
  <c r="K380" i="1"/>
  <c r="L380" i="1" s="1"/>
  <c r="K204" i="1"/>
  <c r="L204" i="1" s="1"/>
  <c r="K573" i="1"/>
  <c r="M573" i="1" s="1"/>
  <c r="N573" i="1" s="1"/>
  <c r="O573" i="1" s="1"/>
  <c r="K395" i="1"/>
  <c r="L395" i="1" s="1"/>
  <c r="K203" i="1"/>
  <c r="M203" i="1" s="1"/>
  <c r="N203" i="1" s="1"/>
  <c r="O203" i="1" s="1"/>
  <c r="K522" i="1"/>
  <c r="L522" i="1" s="1"/>
  <c r="K434" i="1"/>
  <c r="M434" i="1" s="1"/>
  <c r="N434" i="1" s="1"/>
  <c r="O434" i="1" s="1"/>
  <c r="K322" i="1"/>
  <c r="L322" i="1" s="1"/>
  <c r="K218" i="1"/>
  <c r="L218" i="1" s="1"/>
  <c r="K122" i="1"/>
  <c r="M122" i="1" s="1"/>
  <c r="N122" i="1" s="1"/>
  <c r="O122" i="1" s="1"/>
  <c r="K513" i="1"/>
  <c r="M513" i="1" s="1"/>
  <c r="N513" i="1" s="1"/>
  <c r="O513" i="1" s="1"/>
  <c r="K425" i="1"/>
  <c r="L425" i="1" s="1"/>
  <c r="K313" i="1"/>
  <c r="M313" i="1" s="1"/>
  <c r="N313" i="1" s="1"/>
  <c r="O313" i="1" s="1"/>
  <c r="K209" i="1"/>
  <c r="L209" i="1" s="1"/>
  <c r="K113" i="1"/>
  <c r="L113" i="1" s="1"/>
  <c r="K496" i="1"/>
  <c r="L496" i="1" s="1"/>
  <c r="K408" i="1"/>
  <c r="L408" i="1" s="1"/>
  <c r="K296" i="1"/>
  <c r="M296" i="1" s="1"/>
  <c r="N296" i="1" s="1"/>
  <c r="O296" i="1" s="1"/>
  <c r="K192" i="1"/>
  <c r="M192" i="1" s="1"/>
  <c r="N192" i="1" s="1"/>
  <c r="O192" i="1" s="1"/>
  <c r="K96" i="1"/>
  <c r="L96" i="1" s="1"/>
  <c r="K479" i="1"/>
  <c r="M479" i="1" s="1"/>
  <c r="N479" i="1" s="1"/>
  <c r="O479" i="1" s="1"/>
  <c r="K391" i="1"/>
  <c r="L391" i="1" s="1"/>
  <c r="K279" i="1"/>
  <c r="M279" i="1" s="1"/>
  <c r="N279" i="1" s="1"/>
  <c r="O279" i="1" s="1"/>
  <c r="K175" i="1"/>
  <c r="L175" i="1" s="1"/>
  <c r="K79" i="1"/>
  <c r="L79" i="1" s="1"/>
  <c r="K6" i="1"/>
  <c r="M6" i="1" s="1"/>
  <c r="N6" i="1" s="1"/>
  <c r="O6" i="1" s="1"/>
  <c r="K76" i="1"/>
  <c r="L76" i="1" s="1"/>
  <c r="K43" i="1"/>
  <c r="M43" i="1" s="1"/>
  <c r="N43" i="1" s="1"/>
  <c r="O43" i="1" s="1"/>
  <c r="K3" i="1"/>
  <c r="K22" i="1"/>
  <c r="M22" i="1" s="1"/>
  <c r="N22" i="1" s="1"/>
  <c r="O22" i="1" s="1"/>
  <c r="K512" i="1"/>
  <c r="L512" i="1" s="1"/>
  <c r="K304" i="1"/>
  <c r="M304" i="1" s="1"/>
  <c r="N304" i="1" s="1"/>
  <c r="O304" i="1" s="1"/>
  <c r="K104" i="1"/>
  <c r="M104" i="1" s="1"/>
  <c r="N104" i="1" s="1"/>
  <c r="O104" i="1" s="1"/>
  <c r="K399" i="1"/>
  <c r="M399" i="1" s="1"/>
  <c r="N399" i="1" s="1"/>
  <c r="O399" i="1" s="1"/>
  <c r="K287" i="1"/>
  <c r="M287" i="1" s="1"/>
  <c r="N287" i="1" s="1"/>
  <c r="O287" i="1" s="1"/>
  <c r="K199" i="1"/>
  <c r="K5" i="1"/>
  <c r="L5" i="1" s="1"/>
  <c r="K51" i="1"/>
  <c r="L51" i="1" s="1"/>
  <c r="K86" i="1"/>
  <c r="L86" i="1" s="1"/>
  <c r="K601" i="1"/>
  <c r="L601" i="1" s="1"/>
  <c r="K131" i="1"/>
  <c r="M131" i="1" s="1"/>
  <c r="N131" i="1" s="1"/>
  <c r="O131" i="1" s="1"/>
  <c r="K182" i="1"/>
  <c r="M182" i="1" s="1"/>
  <c r="N182" i="1" s="1"/>
  <c r="O182" i="1" s="1"/>
  <c r="K276" i="1"/>
  <c r="M276" i="1" s="1"/>
  <c r="N276" i="1" s="1"/>
  <c r="O276" i="1" s="1"/>
  <c r="K398" i="1"/>
  <c r="K575" i="1"/>
  <c r="L575" i="1" s="1"/>
  <c r="K438" i="1"/>
  <c r="M438" i="1" s="1"/>
  <c r="N438" i="1" s="1"/>
  <c r="O438" i="1" s="1"/>
  <c r="K554" i="1"/>
  <c r="M554" i="1" s="1"/>
  <c r="N554" i="1" s="1"/>
  <c r="O554" i="1" s="1"/>
  <c r="K467" i="1"/>
  <c r="L467" i="1" s="1"/>
  <c r="K83" i="1"/>
  <c r="L83" i="1" s="1"/>
  <c r="K57" i="1"/>
  <c r="L57" i="1" s="1"/>
  <c r="K350" i="1"/>
  <c r="M350" i="1" s="1"/>
  <c r="N350" i="1" s="1"/>
  <c r="O350" i="1" s="1"/>
  <c r="K342" i="1"/>
  <c r="K468" i="1"/>
  <c r="M468" i="1" s="1"/>
  <c r="N468" i="1" s="1"/>
  <c r="O468" i="1" s="1"/>
  <c r="K365" i="1"/>
  <c r="L365" i="1" s="1"/>
  <c r="K566" i="1"/>
  <c r="M566" i="1" s="1"/>
  <c r="N566" i="1" s="1"/>
  <c r="O566" i="1" s="1"/>
  <c r="K156" i="1"/>
  <c r="M156" i="1" s="1"/>
  <c r="N156" i="1" s="1"/>
  <c r="O156" i="1" s="1"/>
  <c r="K565" i="1"/>
  <c r="M565" i="1" s="1"/>
  <c r="N565" i="1" s="1"/>
  <c r="O565" i="1" s="1"/>
  <c r="K363" i="1"/>
  <c r="M363" i="1" s="1"/>
  <c r="N363" i="1" s="1"/>
  <c r="O363" i="1" s="1"/>
  <c r="K514" i="1"/>
  <c r="L514" i="1" s="1"/>
  <c r="K410" i="1"/>
  <c r="K114" i="1"/>
  <c r="L114" i="1" s="1"/>
  <c r="K401" i="1"/>
  <c r="M401" i="1" s="1"/>
  <c r="N401" i="1" s="1"/>
  <c r="O401" i="1" s="1"/>
  <c r="K367" i="1"/>
  <c r="M367" i="1" s="1"/>
  <c r="N367" i="1" s="1"/>
  <c r="O367" i="1" s="1"/>
  <c r="K390" i="1"/>
  <c r="M390" i="1" s="1"/>
  <c r="N390" i="1" s="1"/>
  <c r="O390" i="1" s="1"/>
  <c r="K517" i="1"/>
  <c r="L517" i="1" s="1"/>
  <c r="K500" i="1"/>
  <c r="L500" i="1" s="1"/>
  <c r="K585" i="1"/>
  <c r="L585" i="1" s="1"/>
  <c r="K435" i="1"/>
  <c r="K275" i="1"/>
  <c r="M275" i="1" s="1"/>
  <c r="N275" i="1" s="1"/>
  <c r="O275" i="1" s="1"/>
  <c r="K23" i="1"/>
  <c r="L23" i="1" s="1"/>
  <c r="K595" i="1"/>
  <c r="L595" i="1" s="1"/>
  <c r="K25" i="1"/>
  <c r="M25" i="1" s="1"/>
  <c r="N25" i="1" s="1"/>
  <c r="O25" i="1" s="1"/>
  <c r="K148" i="1"/>
  <c r="M148" i="1" s="1"/>
  <c r="N148" i="1" s="1"/>
  <c r="O148" i="1" s="1"/>
  <c r="K542" i="1"/>
  <c r="L542" i="1" s="1"/>
  <c r="K318" i="1"/>
  <c r="L318" i="1" s="1"/>
  <c r="K142" i="1"/>
  <c r="M142" i="1" s="1"/>
  <c r="N142" i="1" s="1"/>
  <c r="O142" i="1" s="1"/>
  <c r="K310" i="1"/>
  <c r="L310" i="1" s="1"/>
  <c r="K277" i="1"/>
  <c r="L277" i="1" s="1"/>
  <c r="K420" i="1"/>
  <c r="M420" i="1" s="1"/>
  <c r="N420" i="1" s="1"/>
  <c r="O420" i="1" s="1"/>
  <c r="K525" i="1"/>
  <c r="L525" i="1" s="1"/>
  <c r="K349" i="1"/>
  <c r="M349" i="1" s="1"/>
  <c r="N349" i="1" s="1"/>
  <c r="O349" i="1" s="1"/>
  <c r="K125" i="1"/>
  <c r="L125" i="1" s="1"/>
  <c r="K540" i="1"/>
  <c r="L540" i="1" s="1"/>
  <c r="K348" i="1"/>
  <c r="K124" i="1"/>
  <c r="L124" i="1" s="1"/>
  <c r="K557" i="1"/>
  <c r="L557" i="1" s="1"/>
  <c r="K347" i="1"/>
  <c r="M347" i="1" s="1"/>
  <c r="N347" i="1" s="1"/>
  <c r="O347" i="1" s="1"/>
  <c r="K139" i="1"/>
  <c r="L139" i="1" s="1"/>
  <c r="K506" i="1"/>
  <c r="M506" i="1" s="1"/>
  <c r="N506" i="1" s="1"/>
  <c r="O506" i="1" s="1"/>
  <c r="K394" i="1"/>
  <c r="L394" i="1" s="1"/>
  <c r="K306" i="1"/>
  <c r="L306" i="1" s="1"/>
  <c r="K194" i="1"/>
  <c r="K90" i="1"/>
  <c r="M90" i="1" s="1"/>
  <c r="N90" i="1" s="1"/>
  <c r="O90" i="1" s="1"/>
  <c r="K497" i="1"/>
  <c r="M497" i="1" s="1"/>
  <c r="N497" i="1" s="1"/>
  <c r="O497" i="1" s="1"/>
  <c r="K385" i="1"/>
  <c r="L385" i="1" s="1"/>
  <c r="K297" i="1"/>
  <c r="L297" i="1" s="1"/>
  <c r="K185" i="1"/>
  <c r="M185" i="1" s="1"/>
  <c r="N185" i="1" s="1"/>
  <c r="O185" i="1" s="1"/>
  <c r="K81" i="1"/>
  <c r="L81" i="1" s="1"/>
  <c r="K480" i="1"/>
  <c r="L480" i="1" s="1"/>
  <c r="K368" i="1"/>
  <c r="M368" i="1" s="1"/>
  <c r="N368" i="1" s="1"/>
  <c r="O368" i="1" s="1"/>
  <c r="K280" i="1"/>
  <c r="L280" i="1" s="1"/>
  <c r="K168" i="1"/>
  <c r="L168" i="1" s="1"/>
  <c r="K48" i="1"/>
  <c r="M48" i="1" s="1"/>
  <c r="N48" i="1" s="1"/>
  <c r="O48" i="1" s="1"/>
  <c r="K463" i="1"/>
  <c r="M463" i="1" s="1"/>
  <c r="N463" i="1" s="1"/>
  <c r="O463" i="1" s="1"/>
  <c r="K351" i="1"/>
  <c r="M351" i="1" s="1"/>
  <c r="N351" i="1" s="1"/>
  <c r="O351" i="1" s="1"/>
  <c r="K263" i="1"/>
  <c r="L263" i="1" s="1"/>
  <c r="K151" i="1"/>
  <c r="M151" i="1" s="1"/>
  <c r="N151" i="1" s="1"/>
  <c r="O151" i="1" s="1"/>
  <c r="K15" i="1"/>
  <c r="K69" i="1"/>
  <c r="M69" i="1" s="1"/>
  <c r="N69" i="1" s="1"/>
  <c r="O69" i="1" s="1"/>
  <c r="K36" i="1"/>
  <c r="M36" i="1" s="1"/>
  <c r="N36" i="1" s="1"/>
  <c r="O36" i="1" s="1"/>
  <c r="K27" i="1"/>
  <c r="L27" i="1" s="1"/>
  <c r="K416" i="1"/>
  <c r="M416" i="1" s="1"/>
  <c r="N416" i="1" s="1"/>
  <c r="O416" i="1" s="1"/>
  <c r="K216" i="1"/>
  <c r="L216" i="1" s="1"/>
  <c r="K495" i="1"/>
  <c r="L495" i="1" s="1"/>
  <c r="K87" i="1"/>
  <c r="M87" i="1" s="1"/>
  <c r="N87" i="1" s="1"/>
  <c r="O87" i="1" s="1"/>
  <c r="K586" i="1"/>
  <c r="L586" i="1" s="1"/>
  <c r="K307" i="1"/>
  <c r="M307" i="1" s="1"/>
  <c r="N307" i="1" s="1"/>
  <c r="O307" i="1" s="1"/>
  <c r="K133" i="1"/>
  <c r="L133" i="1" s="1"/>
  <c r="K454" i="1"/>
  <c r="L454" i="1" s="1"/>
  <c r="K26" i="1"/>
  <c r="L26" i="1" s="1"/>
  <c r="K593" i="1"/>
  <c r="L593" i="1" s="1"/>
  <c r="K291" i="1"/>
  <c r="M291" i="1" s="1"/>
  <c r="N291" i="1" s="1"/>
  <c r="O291" i="1" s="1"/>
  <c r="K118" i="1"/>
  <c r="M118" i="1" s="1"/>
  <c r="N118" i="1" s="1"/>
  <c r="O118" i="1" s="1"/>
  <c r="K260" i="1"/>
  <c r="L260" i="1" s="1"/>
  <c r="K552" i="1"/>
  <c r="M552" i="1" s="1"/>
  <c r="N552" i="1" s="1"/>
  <c r="O552" i="1" s="1"/>
  <c r="K158" i="1"/>
  <c r="M158" i="1" s="1"/>
  <c r="N158" i="1" s="1"/>
  <c r="O158" i="1" s="1"/>
  <c r="K405" i="1"/>
  <c r="M405" i="1" s="1"/>
  <c r="N405" i="1" s="1"/>
  <c r="O405" i="1" s="1"/>
  <c r="K551" i="1"/>
  <c r="M551" i="1" s="1"/>
  <c r="N551" i="1" s="1"/>
  <c r="O551" i="1" s="1"/>
  <c r="K141" i="1"/>
  <c r="L141" i="1" s="1"/>
  <c r="K364" i="1"/>
  <c r="M364" i="1" s="1"/>
  <c r="N364" i="1" s="1"/>
  <c r="O364" i="1" s="1"/>
  <c r="K187" i="1"/>
  <c r="M187" i="1" s="1"/>
  <c r="N187" i="1" s="1"/>
  <c r="O187" i="1" s="1"/>
  <c r="K314" i="1"/>
  <c r="M314" i="1" s="1"/>
  <c r="N314" i="1" s="1"/>
  <c r="O314" i="1" s="1"/>
  <c r="K202" i="1"/>
  <c r="L202" i="1" s="1"/>
  <c r="K505" i="1"/>
  <c r="M505" i="1" s="1"/>
  <c r="N505" i="1" s="1"/>
  <c r="O505" i="1" s="1"/>
  <c r="K305" i="1"/>
  <c r="M305" i="1" s="1"/>
  <c r="N305" i="1" s="1"/>
  <c r="O305" i="1" s="1"/>
  <c r="K193" i="1"/>
  <c r="M193" i="1" s="1"/>
  <c r="N193" i="1" s="1"/>
  <c r="O193" i="1" s="1"/>
  <c r="K105" i="1"/>
  <c r="L105" i="1" s="1"/>
  <c r="K488" i="1"/>
  <c r="M488" i="1" s="1"/>
  <c r="N488" i="1" s="1"/>
  <c r="O488" i="1" s="1"/>
  <c r="K384" i="1"/>
  <c r="L384" i="1" s="1"/>
  <c r="K288" i="1"/>
  <c r="L288" i="1" s="1"/>
  <c r="K176" i="1"/>
  <c r="L176" i="1" s="1"/>
  <c r="K88" i="1"/>
  <c r="L88" i="1" s="1"/>
  <c r="K471" i="1"/>
  <c r="M471" i="1" s="1"/>
  <c r="N471" i="1" s="1"/>
  <c r="O471" i="1" s="1"/>
  <c r="K271" i="1"/>
  <c r="M271" i="1" s="1"/>
  <c r="N271" i="1" s="1"/>
  <c r="O271" i="1" s="1"/>
  <c r="K159" i="1"/>
  <c r="L159" i="1" s="1"/>
  <c r="K63" i="1"/>
  <c r="M63" i="1" s="1"/>
  <c r="N63" i="1" s="1"/>
  <c r="O63" i="1" s="1"/>
  <c r="K77" i="1"/>
  <c r="M77" i="1" s="1"/>
  <c r="N77" i="1" s="1"/>
  <c r="O77" i="1" s="1"/>
  <c r="K52" i="1"/>
  <c r="M52" i="1" s="1"/>
  <c r="N52" i="1" s="1"/>
  <c r="O52" i="1" s="1"/>
  <c r="K35" i="1"/>
  <c r="L35" i="1" s="1"/>
  <c r="K326" i="1"/>
  <c r="L326" i="1" s="1"/>
  <c r="K501" i="1"/>
  <c r="M501" i="1" s="1"/>
  <c r="N501" i="1" s="1"/>
  <c r="O501" i="1" s="1"/>
  <c r="K452" i="1"/>
  <c r="M452" i="1" s="1"/>
  <c r="N452" i="1" s="1"/>
  <c r="O452" i="1" s="1"/>
  <c r="K569" i="1"/>
  <c r="L569" i="1" s="1"/>
  <c r="K419" i="1"/>
  <c r="L419" i="1" s="1"/>
  <c r="K259" i="1"/>
  <c r="L259" i="1" s="1"/>
  <c r="K588" i="1"/>
  <c r="M588" i="1" s="1"/>
  <c r="N588" i="1" s="1"/>
  <c r="O588" i="1" s="1"/>
  <c r="K547" i="1"/>
  <c r="L547" i="1" s="1"/>
  <c r="K594" i="1"/>
  <c r="M594" i="1" s="1"/>
  <c r="N594" i="1" s="1"/>
  <c r="O594" i="1" s="1"/>
  <c r="K84" i="1"/>
  <c r="M84" i="1" s="1"/>
  <c r="N84" i="1" s="1"/>
  <c r="O84" i="1" s="1"/>
  <c r="K526" i="1"/>
  <c r="M526" i="1" s="1"/>
  <c r="N526" i="1" s="1"/>
  <c r="O526" i="1" s="1"/>
  <c r="K302" i="1"/>
  <c r="M302" i="1" s="1"/>
  <c r="N302" i="1" s="1"/>
  <c r="O302" i="1" s="1"/>
  <c r="K94" i="1"/>
  <c r="L94" i="1" s="1"/>
  <c r="K278" i="1"/>
  <c r="L278" i="1" s="1"/>
  <c r="K197" i="1"/>
  <c r="K372" i="1"/>
  <c r="L372" i="1" s="1"/>
  <c r="K509" i="1"/>
  <c r="M509" i="1" s="1"/>
  <c r="N509" i="1" s="1"/>
  <c r="O509" i="1" s="1"/>
  <c r="K301" i="1"/>
  <c r="L301" i="1" s="1"/>
  <c r="K109" i="1"/>
  <c r="M109" i="1" s="1"/>
  <c r="N109" i="1" s="1"/>
  <c r="O109" i="1" s="1"/>
  <c r="K508" i="1"/>
  <c r="L508" i="1" s="1"/>
  <c r="K332" i="1"/>
  <c r="M332" i="1" s="1"/>
  <c r="N332" i="1" s="1"/>
  <c r="O332" i="1" s="1"/>
  <c r="K108" i="1"/>
  <c r="L108" i="1" s="1"/>
  <c r="K523" i="1"/>
  <c r="L523" i="1" s="1"/>
  <c r="K331" i="1"/>
  <c r="M331" i="1" s="1"/>
  <c r="N331" i="1" s="1"/>
  <c r="O331" i="1" s="1"/>
  <c r="K107" i="1"/>
  <c r="M107" i="1" s="1"/>
  <c r="N107" i="1" s="1"/>
  <c r="O107" i="1" s="1"/>
  <c r="K498" i="1"/>
  <c r="M498" i="1" s="1"/>
  <c r="N498" i="1" s="1"/>
  <c r="O498" i="1" s="1"/>
  <c r="K386" i="1"/>
  <c r="L386" i="1" s="1"/>
  <c r="K282" i="1"/>
  <c r="L282" i="1" s="1"/>
  <c r="K186" i="1"/>
  <c r="L186" i="1" s="1"/>
  <c r="K66" i="1"/>
  <c r="M66" i="1" s="1"/>
  <c r="N66" i="1" s="1"/>
  <c r="O66" i="1" s="1"/>
  <c r="K489" i="1"/>
  <c r="M489" i="1" s="1"/>
  <c r="N489" i="1" s="1"/>
  <c r="O489" i="1" s="1"/>
  <c r="K377" i="1"/>
  <c r="L377" i="1" s="1"/>
  <c r="K273" i="1"/>
  <c r="L273" i="1" s="1"/>
  <c r="K177" i="1"/>
  <c r="M177" i="1" s="1"/>
  <c r="N177" i="1" s="1"/>
  <c r="O177" i="1" s="1"/>
  <c r="K49" i="1"/>
  <c r="L49" i="1" s="1"/>
  <c r="K472" i="1"/>
  <c r="L472" i="1" s="1"/>
  <c r="K360" i="1"/>
  <c r="M360" i="1" s="1"/>
  <c r="N360" i="1" s="1"/>
  <c r="O360" i="1" s="1"/>
  <c r="K256" i="1"/>
  <c r="M256" i="1" s="1"/>
  <c r="N256" i="1" s="1"/>
  <c r="O256" i="1" s="1"/>
  <c r="K160" i="1"/>
  <c r="K16" i="1"/>
  <c r="L16" i="1" s="1"/>
  <c r="K455" i="1"/>
  <c r="L455" i="1" s="1"/>
  <c r="K343" i="1"/>
  <c r="M343" i="1" s="1"/>
  <c r="N343" i="1" s="1"/>
  <c r="O343" i="1" s="1"/>
  <c r="K239" i="1"/>
  <c r="L239" i="1" s="1"/>
  <c r="K143" i="1"/>
  <c r="L143" i="1" s="1"/>
  <c r="K70" i="1"/>
  <c r="L70" i="1" s="1"/>
  <c r="K61" i="1"/>
  <c r="M61" i="1" s="1"/>
  <c r="N61" i="1" s="1"/>
  <c r="O61" i="1" s="1"/>
  <c r="K28" i="1"/>
  <c r="L28" i="1" s="1"/>
  <c r="K198" i="1"/>
  <c r="L198" i="1" s="1"/>
  <c r="K453" i="1"/>
  <c r="L453" i="1" s="1"/>
  <c r="K388" i="1"/>
  <c r="M388" i="1" s="1"/>
  <c r="N388" i="1" s="1"/>
  <c r="O388" i="1" s="1"/>
  <c r="K553" i="1"/>
  <c r="L553" i="1" s="1"/>
  <c r="K403" i="1"/>
  <c r="M403" i="1" s="1"/>
  <c r="N403" i="1" s="1"/>
  <c r="O403" i="1" s="1"/>
  <c r="K211" i="1"/>
  <c r="L211" i="1" s="1"/>
  <c r="K564" i="1"/>
  <c r="L564" i="1" s="1"/>
  <c r="K421" i="1"/>
  <c r="K562" i="1"/>
  <c r="L562" i="1" s="1"/>
  <c r="K56" i="1"/>
  <c r="L56" i="1" s="1"/>
  <c r="K478" i="1"/>
  <c r="L478" i="1" s="1"/>
  <c r="K286" i="1"/>
  <c r="M286" i="1" s="1"/>
  <c r="N286" i="1" s="1"/>
  <c r="O286" i="1" s="1"/>
  <c r="K42" i="1"/>
  <c r="L42" i="1" s="1"/>
  <c r="K214" i="1"/>
  <c r="L214" i="1" s="1"/>
  <c r="K165" i="1"/>
  <c r="M165" i="1" s="1"/>
  <c r="N165" i="1" s="1"/>
  <c r="O165" i="1" s="1"/>
  <c r="K196" i="1"/>
  <c r="L196" i="1" s="1"/>
  <c r="K493" i="1"/>
  <c r="M493" i="1" s="1"/>
  <c r="N493" i="1" s="1"/>
  <c r="O493" i="1" s="1"/>
  <c r="K269" i="1"/>
  <c r="M269" i="1" s="1"/>
  <c r="N269" i="1" s="1"/>
  <c r="O269" i="1" s="1"/>
  <c r="K93" i="1"/>
  <c r="L93" i="1" s="1"/>
  <c r="K492" i="1"/>
  <c r="M492" i="1" s="1"/>
  <c r="N492" i="1" s="1"/>
  <c r="O492" i="1" s="1"/>
  <c r="K284" i="1"/>
  <c r="L284" i="1" s="1"/>
  <c r="K92" i="1"/>
  <c r="M92" i="1" s="1"/>
  <c r="N92" i="1" s="1"/>
  <c r="O92" i="1" s="1"/>
  <c r="K491" i="1"/>
  <c r="L491" i="1" s="1"/>
  <c r="K315" i="1"/>
  <c r="L315" i="1" s="1"/>
  <c r="K91" i="1"/>
  <c r="L91" i="1" s="1"/>
  <c r="K474" i="1"/>
  <c r="L474" i="1" s="1"/>
  <c r="K378" i="1"/>
  <c r="M378" i="1" s="1"/>
  <c r="N378" i="1" s="1"/>
  <c r="O378" i="1" s="1"/>
  <c r="K266" i="1"/>
  <c r="M266" i="1" s="1"/>
  <c r="N266" i="1" s="1"/>
  <c r="O266" i="1" s="1"/>
  <c r="K178" i="1"/>
  <c r="L178" i="1" s="1"/>
  <c r="K50" i="1"/>
  <c r="M50" i="1" s="1"/>
  <c r="N50" i="1" s="1"/>
  <c r="O50" i="1" s="1"/>
  <c r="K465" i="1"/>
  <c r="L465" i="1" s="1"/>
  <c r="K369" i="1"/>
  <c r="M369" i="1" s="1"/>
  <c r="N369" i="1" s="1"/>
  <c r="O369" i="1" s="1"/>
  <c r="K257" i="1"/>
  <c r="L257" i="1" s="1"/>
  <c r="K169" i="1"/>
  <c r="L169" i="1" s="1"/>
  <c r="K33" i="1"/>
  <c r="L33" i="1" s="1"/>
  <c r="K448" i="1"/>
  <c r="L448" i="1" s="1"/>
  <c r="K352" i="1"/>
  <c r="L352" i="1" s="1"/>
  <c r="K240" i="1"/>
  <c r="M240" i="1" s="1"/>
  <c r="N240" i="1" s="1"/>
  <c r="O240" i="1" s="1"/>
  <c r="K152" i="1"/>
  <c r="M152" i="1" s="1"/>
  <c r="N152" i="1" s="1"/>
  <c r="O152" i="1" s="1"/>
  <c r="K535" i="1"/>
  <c r="L535" i="1" s="1"/>
  <c r="K431" i="1"/>
  <c r="L431" i="1" s="1"/>
  <c r="K335" i="1"/>
  <c r="M335" i="1" s="1"/>
  <c r="N335" i="1" s="1"/>
  <c r="O335" i="1" s="1"/>
  <c r="K223" i="1"/>
  <c r="M223" i="1" s="1"/>
  <c r="N223" i="1" s="1"/>
  <c r="O223" i="1" s="1"/>
  <c r="K135" i="1"/>
  <c r="L135" i="1" s="1"/>
  <c r="K62" i="1"/>
  <c r="M62" i="1" s="1"/>
  <c r="N62" i="1" s="1"/>
  <c r="O62" i="1" s="1"/>
  <c r="K37" i="1"/>
  <c r="L37" i="1" s="1"/>
  <c r="K20" i="1"/>
  <c r="J36" i="1"/>
  <c r="E36" i="1"/>
  <c r="H36" i="1" s="1"/>
  <c r="J269" i="1"/>
  <c r="E269" i="1"/>
  <c r="H269" i="1" s="1"/>
  <c r="J209" i="1"/>
  <c r="E209" i="1"/>
  <c r="H209" i="1" s="1"/>
  <c r="J135" i="1"/>
  <c r="E135" i="1"/>
  <c r="H135" i="1" s="1"/>
  <c r="J535" i="1"/>
  <c r="E535" i="1"/>
  <c r="H535" i="1" s="1"/>
  <c r="J247" i="1"/>
  <c r="E247" i="1"/>
  <c r="H247" i="1" s="1"/>
  <c r="J501" i="1"/>
  <c r="E501" i="1"/>
  <c r="H501" i="1" s="1"/>
  <c r="J461" i="1"/>
  <c r="E461" i="1"/>
  <c r="H461" i="1" s="1"/>
  <c r="J565" i="1"/>
  <c r="E565" i="1"/>
  <c r="H565" i="1" s="1"/>
  <c r="J217" i="1"/>
  <c r="E217" i="1"/>
  <c r="H217" i="1" s="1"/>
  <c r="J287" i="1"/>
  <c r="E287" i="1"/>
  <c r="H287" i="1" s="1"/>
  <c r="J477" i="1"/>
  <c r="E477" i="1"/>
  <c r="H477" i="1" s="1"/>
  <c r="J413" i="1"/>
  <c r="E413" i="1"/>
  <c r="H413" i="1" s="1"/>
  <c r="J249" i="1"/>
  <c r="E249" i="1"/>
  <c r="H249" i="1" s="1"/>
  <c r="J63" i="1"/>
  <c r="E63" i="1"/>
  <c r="H63" i="1" s="1"/>
  <c r="J321" i="1"/>
  <c r="E321" i="1"/>
  <c r="H321" i="1" s="1"/>
  <c r="J359" i="1"/>
  <c r="E359" i="1"/>
  <c r="H359" i="1" s="1"/>
  <c r="J44" i="1"/>
  <c r="E44" i="1"/>
  <c r="H44" i="1" s="1"/>
  <c r="J53" i="1"/>
  <c r="E53" i="1"/>
  <c r="H53" i="1" s="1"/>
  <c r="J86" i="1"/>
  <c r="E86" i="1"/>
  <c r="H86" i="1" s="1"/>
  <c r="J330" i="1"/>
  <c r="E330" i="1"/>
  <c r="H330" i="1" s="1"/>
  <c r="J166" i="1"/>
  <c r="E166" i="1"/>
  <c r="H166" i="1" s="1"/>
  <c r="J513" i="1"/>
  <c r="E513" i="1"/>
  <c r="H513" i="1" s="1"/>
  <c r="J308" i="1"/>
  <c r="E308" i="1"/>
  <c r="H308" i="1" s="1"/>
  <c r="J304" i="1"/>
  <c r="E304" i="1"/>
  <c r="H304" i="1" s="1"/>
  <c r="J440" i="1"/>
  <c r="E440" i="1"/>
  <c r="H440" i="1" s="1"/>
  <c r="J93" i="1"/>
  <c r="E93" i="1"/>
  <c r="H93" i="1" s="1"/>
  <c r="J583" i="1"/>
  <c r="E583" i="1"/>
  <c r="H583" i="1" s="1"/>
  <c r="J362" i="1"/>
  <c r="E362" i="1"/>
  <c r="H362" i="1" s="1"/>
  <c r="J57" i="1"/>
  <c r="E57" i="1"/>
  <c r="H57" i="1" s="1"/>
  <c r="J324" i="1"/>
  <c r="E324" i="1"/>
  <c r="H324" i="1" s="1"/>
  <c r="J193" i="1"/>
  <c r="E193" i="1"/>
  <c r="H193" i="1" s="1"/>
  <c r="J191" i="1"/>
  <c r="E191" i="1"/>
  <c r="H191" i="1" s="1"/>
  <c r="J248" i="1"/>
  <c r="E248" i="1"/>
  <c r="H248" i="1" s="1"/>
  <c r="J201" i="1"/>
  <c r="E201" i="1"/>
  <c r="H201" i="1" s="1"/>
  <c r="J41" i="1"/>
  <c r="E41" i="1"/>
  <c r="H41" i="1" s="1"/>
  <c r="J245" i="1"/>
  <c r="E245" i="1"/>
  <c r="H245" i="1" s="1"/>
  <c r="J402" i="1"/>
  <c r="E402" i="1"/>
  <c r="H402" i="1" s="1"/>
  <c r="J517" i="1"/>
  <c r="E517" i="1"/>
  <c r="H517" i="1" s="1"/>
  <c r="J136" i="1"/>
  <c r="E136" i="1"/>
  <c r="H136" i="1" s="1"/>
  <c r="J495" i="1"/>
  <c r="E495" i="1"/>
  <c r="H495" i="1" s="1"/>
  <c r="J529" i="1"/>
  <c r="E529" i="1"/>
  <c r="H529" i="1" s="1"/>
  <c r="J149" i="1"/>
  <c r="E149" i="1"/>
  <c r="H149" i="1" s="1"/>
  <c r="J302" i="1"/>
  <c r="E302" i="1"/>
  <c r="H302" i="1" s="1"/>
  <c r="J470" i="1"/>
  <c r="E470" i="1"/>
  <c r="H470" i="1" s="1"/>
  <c r="J531" i="1"/>
  <c r="E531" i="1"/>
  <c r="H531" i="1" s="1"/>
  <c r="J404" i="1"/>
  <c r="E404" i="1"/>
  <c r="H404" i="1" s="1"/>
  <c r="J111" i="1"/>
  <c r="E111" i="1"/>
  <c r="H111" i="1" s="1"/>
  <c r="J76" i="1"/>
  <c r="E76" i="1"/>
  <c r="H76" i="1" s="1"/>
  <c r="J132" i="1"/>
  <c r="E132" i="1"/>
  <c r="H132" i="1" s="1"/>
  <c r="J173" i="1"/>
  <c r="E173" i="1"/>
  <c r="H173" i="1" s="1"/>
  <c r="J171" i="1"/>
  <c r="E171" i="1"/>
  <c r="H171" i="1" s="1"/>
  <c r="J453" i="1"/>
  <c r="E453" i="1"/>
  <c r="H453" i="1" s="1"/>
  <c r="J354" i="1"/>
  <c r="E354" i="1"/>
  <c r="H354" i="1" s="1"/>
  <c r="J72" i="1"/>
  <c r="E72" i="1"/>
  <c r="H72" i="1" s="1"/>
  <c r="J187" i="1"/>
  <c r="E187" i="1"/>
  <c r="H187" i="1" s="1"/>
  <c r="J485" i="1"/>
  <c r="E485" i="1"/>
  <c r="H485" i="1" s="1"/>
  <c r="J128" i="1"/>
  <c r="E128" i="1"/>
  <c r="H128" i="1" s="1"/>
  <c r="J8" i="1"/>
  <c r="E8" i="1"/>
  <c r="H8" i="1" s="1"/>
  <c r="J140" i="1"/>
  <c r="E140" i="1"/>
  <c r="H140" i="1" s="1"/>
  <c r="J549" i="1"/>
  <c r="E549" i="1"/>
  <c r="H549" i="1" s="1"/>
  <c r="J300" i="1"/>
  <c r="E300" i="1"/>
  <c r="H300" i="1" s="1"/>
  <c r="J222" i="1"/>
  <c r="E222" i="1"/>
  <c r="H222" i="1" s="1"/>
  <c r="J315" i="1"/>
  <c r="E315" i="1"/>
  <c r="H315" i="1" s="1"/>
  <c r="J335" i="1"/>
  <c r="E335" i="1"/>
  <c r="H335" i="1" s="1"/>
  <c r="J311" i="1"/>
  <c r="E311" i="1"/>
  <c r="H311" i="1" s="1"/>
  <c r="J230" i="1"/>
  <c r="E230" i="1"/>
  <c r="H230" i="1" s="1"/>
  <c r="J454" i="1"/>
  <c r="E454" i="1"/>
  <c r="H454" i="1" s="1"/>
  <c r="J65" i="1"/>
  <c r="E65" i="1"/>
  <c r="H65" i="1" s="1"/>
  <c r="J268" i="1"/>
  <c r="E268" i="1"/>
  <c r="H268" i="1" s="1"/>
  <c r="J374" i="1"/>
  <c r="E374" i="1"/>
  <c r="H374" i="1" s="1"/>
  <c r="J126" i="1"/>
  <c r="E126" i="1"/>
  <c r="H126" i="1" s="1"/>
  <c r="J121" i="1"/>
  <c r="E121" i="1"/>
  <c r="H121" i="1" s="1"/>
  <c r="J259" i="1"/>
  <c r="E259" i="1"/>
  <c r="H259" i="1" s="1"/>
  <c r="J123" i="1"/>
  <c r="E123" i="1"/>
  <c r="H123" i="1" s="1"/>
  <c r="J289" i="1"/>
  <c r="E289" i="1"/>
  <c r="H289" i="1" s="1"/>
  <c r="J491" i="1"/>
  <c r="E491" i="1"/>
  <c r="H491" i="1" s="1"/>
  <c r="J20" i="1"/>
  <c r="E20" i="1"/>
  <c r="H20" i="1" s="1"/>
  <c r="J62" i="1"/>
  <c r="E62" i="1"/>
  <c r="H62" i="1" s="1"/>
  <c r="J489" i="1"/>
  <c r="E489" i="1"/>
  <c r="H489" i="1" s="1"/>
  <c r="J333" i="1"/>
  <c r="E333" i="1"/>
  <c r="H333" i="1" s="1"/>
  <c r="J336" i="1"/>
  <c r="E336" i="1"/>
  <c r="H336" i="1" s="1"/>
  <c r="J414" i="1"/>
  <c r="E414" i="1"/>
  <c r="H414" i="1" s="1"/>
  <c r="J260" i="1"/>
  <c r="E260" i="1"/>
  <c r="H260" i="1" s="1"/>
  <c r="J393" i="1"/>
  <c r="E393" i="1"/>
  <c r="H393" i="1" s="1"/>
  <c r="J24" i="1"/>
  <c r="E24" i="1"/>
  <c r="H24" i="1" s="1"/>
  <c r="J18" i="1"/>
  <c r="E18" i="1"/>
  <c r="H18" i="1" s="1"/>
  <c r="J337" i="1"/>
  <c r="E337" i="1"/>
  <c r="H337" i="1" s="1"/>
  <c r="J156" i="1"/>
  <c r="E156" i="1"/>
  <c r="H156" i="1" s="1"/>
  <c r="J141" i="1"/>
  <c r="E141" i="1"/>
  <c r="H141" i="1" s="1"/>
  <c r="J206" i="1"/>
  <c r="E206" i="1"/>
  <c r="H206" i="1" s="1"/>
  <c r="J244" i="1"/>
  <c r="E244" i="1"/>
  <c r="H244" i="1" s="1"/>
  <c r="J447" i="1"/>
  <c r="E447" i="1"/>
  <c r="H447" i="1" s="1"/>
  <c r="J449" i="1"/>
  <c r="E449" i="1"/>
  <c r="H449" i="1" s="1"/>
  <c r="J556" i="1"/>
  <c r="E556" i="1"/>
  <c r="H556" i="1" s="1"/>
  <c r="J340" i="1"/>
  <c r="E340" i="1"/>
  <c r="H340" i="1" s="1"/>
  <c r="J17" i="1"/>
  <c r="E17" i="1"/>
  <c r="H17" i="1" s="1"/>
  <c r="J325" i="1"/>
  <c r="E325" i="1"/>
  <c r="H325" i="1" s="1"/>
  <c r="J237" i="1"/>
  <c r="E237" i="1"/>
  <c r="H237" i="1" s="1"/>
  <c r="J493" i="1"/>
  <c r="E493" i="1"/>
  <c r="H493" i="1" s="1"/>
  <c r="J87" i="1"/>
  <c r="E87" i="1"/>
  <c r="H87" i="1" s="1"/>
  <c r="J508" i="1"/>
  <c r="E508" i="1"/>
  <c r="H508" i="1" s="1"/>
  <c r="J581" i="1"/>
  <c r="E581" i="1"/>
  <c r="H581" i="1" s="1"/>
  <c r="J473" i="1"/>
  <c r="E473" i="1"/>
  <c r="H473" i="1" s="1"/>
  <c r="J360" i="1"/>
  <c r="E360" i="1"/>
  <c r="H360" i="1" s="1"/>
  <c r="J35" i="1"/>
  <c r="E35" i="1"/>
  <c r="H35" i="1" s="1"/>
  <c r="J349" i="1"/>
  <c r="E349" i="1"/>
  <c r="H349" i="1" s="1"/>
  <c r="J368" i="1"/>
  <c r="E368" i="1"/>
  <c r="H368" i="1" s="1"/>
  <c r="J429" i="1"/>
  <c r="E429" i="1"/>
  <c r="H429" i="1" s="1"/>
  <c r="J273" i="1"/>
  <c r="E273" i="1"/>
  <c r="H273" i="1" s="1"/>
  <c r="J475" i="1"/>
  <c r="E475" i="1"/>
  <c r="H475" i="1" s="1"/>
  <c r="J437" i="1"/>
  <c r="E437" i="1"/>
  <c r="H437" i="1" s="1"/>
  <c r="J52" i="1"/>
  <c r="E52" i="1"/>
  <c r="H52" i="1" s="1"/>
  <c r="J285" i="1"/>
  <c r="E285" i="1"/>
  <c r="H285" i="1" s="1"/>
  <c r="J364" i="1"/>
  <c r="E364" i="1"/>
  <c r="H364" i="1" s="1"/>
  <c r="J299" i="1"/>
  <c r="E299" i="1"/>
  <c r="H299" i="1" s="1"/>
  <c r="J567" i="1"/>
  <c r="E567" i="1"/>
  <c r="H567" i="1" s="1"/>
  <c r="J255" i="1"/>
  <c r="E255" i="1"/>
  <c r="H255" i="1" s="1"/>
  <c r="J373" i="1"/>
  <c r="E373" i="1"/>
  <c r="H373" i="1" s="1"/>
  <c r="J412" i="1"/>
  <c r="E412" i="1"/>
  <c r="H412" i="1" s="1"/>
  <c r="J50" i="1"/>
  <c r="E50" i="1"/>
  <c r="H50" i="1" s="1"/>
  <c r="J465" i="1"/>
  <c r="E465" i="1"/>
  <c r="H465" i="1" s="1"/>
  <c r="J387" i="1"/>
  <c r="E387" i="1"/>
  <c r="H387" i="1" s="1"/>
  <c r="J153" i="1"/>
  <c r="E153" i="1"/>
  <c r="H153" i="1" s="1"/>
  <c r="J146" i="1"/>
  <c r="E146" i="1"/>
  <c r="H146" i="1" s="1"/>
  <c r="J464" i="1"/>
  <c r="E464" i="1"/>
  <c r="H464" i="1" s="1"/>
  <c r="J403" i="1"/>
  <c r="E403" i="1"/>
  <c r="H403" i="1" s="1"/>
  <c r="J257" i="1"/>
  <c r="E257" i="1"/>
  <c r="H257" i="1" s="1"/>
  <c r="J452" i="1"/>
  <c r="E452" i="1"/>
  <c r="H452" i="1" s="1"/>
  <c r="J190" i="1"/>
  <c r="E190" i="1"/>
  <c r="H190" i="1" s="1"/>
  <c r="J179" i="1"/>
  <c r="E179" i="1"/>
  <c r="H179" i="1" s="1"/>
  <c r="J399" i="1"/>
  <c r="E399" i="1"/>
  <c r="H399" i="1" s="1"/>
  <c r="J388" i="1"/>
  <c r="E388" i="1"/>
  <c r="H388" i="1" s="1"/>
  <c r="J310" i="1"/>
  <c r="E310" i="1"/>
  <c r="H310" i="1" s="1"/>
  <c r="J203" i="1"/>
  <c r="E203" i="1"/>
  <c r="H203" i="1" s="1"/>
  <c r="J100" i="1"/>
  <c r="E100" i="1"/>
  <c r="H100" i="1" s="1"/>
  <c r="J469" i="1"/>
  <c r="E469" i="1"/>
  <c r="H469" i="1" s="1"/>
  <c r="J574" i="1"/>
  <c r="E574" i="1"/>
  <c r="H574" i="1" s="1"/>
  <c r="J313" i="1"/>
  <c r="E313" i="1"/>
  <c r="H313" i="1" s="1"/>
  <c r="J220" i="1"/>
  <c r="E220" i="1"/>
  <c r="H220" i="1" s="1"/>
  <c r="J148" i="1"/>
  <c r="E148" i="1"/>
  <c r="H148" i="1" s="1"/>
  <c r="J192" i="1"/>
  <c r="E192" i="1"/>
  <c r="H192" i="1" s="1"/>
  <c r="J210" i="1"/>
  <c r="E210" i="1"/>
  <c r="H210" i="1" s="1"/>
  <c r="J131" i="1"/>
  <c r="E131" i="1"/>
  <c r="H131" i="1" s="1"/>
  <c r="J365" i="1"/>
  <c r="E365" i="1"/>
  <c r="H365" i="1" s="1"/>
  <c r="J530" i="1"/>
  <c r="E530" i="1"/>
  <c r="H530" i="1" s="1"/>
  <c r="J154" i="1"/>
  <c r="E154" i="1"/>
  <c r="H154" i="1" s="1"/>
  <c r="J379" i="1"/>
  <c r="E379" i="1"/>
  <c r="H379" i="1" s="1"/>
  <c r="J537" i="1"/>
  <c r="E537" i="1"/>
  <c r="H537" i="1" s="1"/>
  <c r="J343" i="1"/>
  <c r="E343" i="1"/>
  <c r="H343" i="1" s="1"/>
  <c r="J599" i="1"/>
  <c r="E599" i="1"/>
  <c r="H599" i="1" s="1"/>
  <c r="J91" i="1"/>
  <c r="E91" i="1"/>
  <c r="H91" i="1" s="1"/>
  <c r="J167" i="1"/>
  <c r="E167" i="1"/>
  <c r="H167" i="1" s="1"/>
  <c r="J297" i="1"/>
  <c r="E297" i="1"/>
  <c r="H297" i="1" s="1"/>
  <c r="J418" i="1"/>
  <c r="E418" i="1"/>
  <c r="H418" i="1" s="1"/>
  <c r="J79" i="1"/>
  <c r="E79" i="1"/>
  <c r="H79" i="1" s="1"/>
  <c r="J563" i="1"/>
  <c r="E563" i="1"/>
  <c r="H563" i="1" s="1"/>
  <c r="J5" i="1"/>
  <c r="E5" i="1"/>
  <c r="H5" i="1" s="1"/>
  <c r="J433" i="1"/>
  <c r="E433" i="1"/>
  <c r="H433" i="1" s="1"/>
  <c r="J488" i="1"/>
  <c r="E488" i="1"/>
  <c r="H488" i="1" s="1"/>
  <c r="J262" i="1"/>
  <c r="E262" i="1"/>
  <c r="H262" i="1" s="1"/>
  <c r="J439" i="1"/>
  <c r="E439" i="1"/>
  <c r="H439" i="1" s="1"/>
  <c r="J361" i="1"/>
  <c r="E361" i="1"/>
  <c r="H361" i="1" s="1"/>
  <c r="J284" i="1"/>
  <c r="E284" i="1"/>
  <c r="H284" i="1" s="1"/>
  <c r="J49" i="1"/>
  <c r="E49" i="1"/>
  <c r="H49" i="1" s="1"/>
  <c r="J185" i="1"/>
  <c r="E185" i="1"/>
  <c r="H185" i="1" s="1"/>
  <c r="J296" i="1"/>
  <c r="E296" i="1"/>
  <c r="H296" i="1" s="1"/>
  <c r="J375" i="1"/>
  <c r="E375" i="1"/>
  <c r="H375" i="1" s="1"/>
  <c r="J39" i="1"/>
  <c r="E39" i="1"/>
  <c r="H39" i="1" s="1"/>
  <c r="J435" i="1"/>
  <c r="E435" i="1"/>
  <c r="H435" i="1" s="1"/>
  <c r="J137" i="1"/>
  <c r="E137" i="1"/>
  <c r="H137" i="1" s="1"/>
  <c r="J390" i="1"/>
  <c r="E390" i="1"/>
  <c r="H390" i="1" s="1"/>
  <c r="J395" i="1"/>
  <c r="E395" i="1"/>
  <c r="H395" i="1" s="1"/>
  <c r="J228" i="1"/>
  <c r="E228" i="1"/>
  <c r="H228" i="1" s="1"/>
  <c r="J246" i="1"/>
  <c r="E246" i="1"/>
  <c r="H246" i="1" s="1"/>
  <c r="J331" i="1"/>
  <c r="E331" i="1"/>
  <c r="H331" i="1" s="1"/>
  <c r="J82" i="1"/>
  <c r="E82" i="1"/>
  <c r="H82" i="1" s="1"/>
  <c r="J252" i="1"/>
  <c r="E252" i="1"/>
  <c r="H252" i="1" s="1"/>
  <c r="J254" i="1"/>
  <c r="E254" i="1"/>
  <c r="H254" i="1" s="1"/>
  <c r="J205" i="1"/>
  <c r="E205" i="1"/>
  <c r="H205" i="1" s="1"/>
  <c r="J89" i="1"/>
  <c r="E89" i="1"/>
  <c r="H89" i="1" s="1"/>
  <c r="J391" i="1"/>
  <c r="E391" i="1"/>
  <c r="H391" i="1" s="1"/>
  <c r="J553" i="1"/>
  <c r="E553" i="1"/>
  <c r="H553" i="1" s="1"/>
  <c r="J548" i="1"/>
  <c r="E548" i="1"/>
  <c r="H548" i="1" s="1"/>
  <c r="J328" i="1"/>
  <c r="E328" i="1"/>
  <c r="H328" i="1" s="1"/>
  <c r="J183" i="1"/>
  <c r="E183" i="1"/>
  <c r="H183" i="1" s="1"/>
  <c r="J401" i="1"/>
  <c r="E401" i="1"/>
  <c r="H401" i="1" s="1"/>
  <c r="J552" i="1"/>
  <c r="E552" i="1"/>
  <c r="H552" i="1" s="1"/>
  <c r="J590" i="1"/>
  <c r="E590" i="1"/>
  <c r="H590" i="1" s="1"/>
  <c r="J600" i="1"/>
  <c r="E600" i="1"/>
  <c r="H600" i="1" s="1"/>
  <c r="J318" i="1"/>
  <c r="E318" i="1"/>
  <c r="H318" i="1" s="1"/>
  <c r="J56" i="1"/>
  <c r="E56" i="1"/>
  <c r="H56" i="1" s="1"/>
  <c r="J46" i="1"/>
  <c r="E46" i="1"/>
  <c r="H46" i="1" s="1"/>
  <c r="J483" i="1"/>
  <c r="E483" i="1"/>
  <c r="H483" i="1" s="1"/>
  <c r="J456" i="1"/>
  <c r="E456" i="1"/>
  <c r="H456" i="1" s="1"/>
  <c r="J428" i="1"/>
  <c r="E428" i="1"/>
  <c r="H428" i="1" s="1"/>
  <c r="J526" i="1"/>
  <c r="E526" i="1"/>
  <c r="H526" i="1" s="1"/>
  <c r="J520" i="1"/>
  <c r="E520" i="1"/>
  <c r="H520" i="1" s="1"/>
  <c r="J266" i="1"/>
  <c r="E266" i="1"/>
  <c r="H266" i="1" s="1"/>
  <c r="J436" i="1"/>
  <c r="E436" i="1"/>
  <c r="H436" i="1" s="1"/>
  <c r="J534" i="1"/>
  <c r="E534" i="1"/>
  <c r="H534" i="1" s="1"/>
  <c r="J486" i="1"/>
  <c r="E486" i="1"/>
  <c r="H486" i="1" s="1"/>
  <c r="J320" i="1"/>
  <c r="E320" i="1"/>
  <c r="H320" i="1" s="1"/>
  <c r="J376" i="1"/>
  <c r="E376" i="1"/>
  <c r="H376" i="1" s="1"/>
  <c r="J227" i="1"/>
  <c r="E227" i="1"/>
  <c r="H227" i="1" s="1"/>
  <c r="J165" i="1"/>
  <c r="E165" i="1"/>
  <c r="H165" i="1" s="1"/>
  <c r="J236" i="1"/>
  <c r="E236" i="1"/>
  <c r="H236" i="1" s="1"/>
  <c r="J271" i="1"/>
  <c r="E271" i="1"/>
  <c r="H271" i="1" s="1"/>
  <c r="J441" i="1"/>
  <c r="E441" i="1"/>
  <c r="H441" i="1" s="1"/>
  <c r="J602" i="1"/>
  <c r="E602" i="1"/>
  <c r="H602" i="1" s="1"/>
  <c r="J229" i="1"/>
  <c r="E229" i="1"/>
  <c r="H229" i="1" s="1"/>
  <c r="J160" i="1"/>
  <c r="E160" i="1"/>
  <c r="H160" i="1" s="1"/>
  <c r="J96" i="1"/>
  <c r="E96" i="1"/>
  <c r="H96" i="1" s="1"/>
  <c r="J278" i="1"/>
  <c r="E278" i="1"/>
  <c r="H278" i="1" s="1"/>
  <c r="J31" i="1"/>
  <c r="E31" i="1"/>
  <c r="H31" i="1" s="1"/>
  <c r="J499" i="1"/>
  <c r="E499" i="1"/>
  <c r="H499" i="1" s="1"/>
  <c r="J164" i="1"/>
  <c r="E164" i="1"/>
  <c r="H164" i="1" s="1"/>
  <c r="J197" i="1"/>
  <c r="E197" i="1"/>
  <c r="H197" i="1" s="1"/>
  <c r="J97" i="1"/>
  <c r="E97" i="1"/>
  <c r="H97" i="1" s="1"/>
  <c r="J446" i="1"/>
  <c r="E446" i="1"/>
  <c r="H446" i="1" s="1"/>
  <c r="J445" i="1"/>
  <c r="E445" i="1"/>
  <c r="H445" i="1" s="1"/>
  <c r="J211" i="1"/>
  <c r="E211" i="1"/>
  <c r="H211" i="1" s="1"/>
  <c r="J550" i="1"/>
  <c r="E550" i="1"/>
  <c r="H550" i="1" s="1"/>
  <c r="J370" i="1"/>
  <c r="E370" i="1"/>
  <c r="H370" i="1" s="1"/>
  <c r="J12" i="1"/>
  <c r="E12" i="1"/>
  <c r="H12" i="1" s="1"/>
  <c r="J168" i="1"/>
  <c r="E168" i="1"/>
  <c r="H168" i="1" s="1"/>
  <c r="J575" i="1"/>
  <c r="E575" i="1"/>
  <c r="H575" i="1" s="1"/>
  <c r="J182" i="1"/>
  <c r="E182" i="1"/>
  <c r="H182" i="1" s="1"/>
  <c r="J542" i="1"/>
  <c r="E542" i="1"/>
  <c r="H542" i="1" s="1"/>
  <c r="J294" i="1"/>
  <c r="E294" i="1"/>
  <c r="H294" i="1" s="1"/>
  <c r="J348" i="1"/>
  <c r="E348" i="1"/>
  <c r="H348" i="1" s="1"/>
  <c r="J392" i="1"/>
  <c r="E392" i="1"/>
  <c r="H392" i="1" s="1"/>
  <c r="J394" i="1"/>
  <c r="E394" i="1"/>
  <c r="H394" i="1" s="1"/>
  <c r="J419" i="1"/>
  <c r="E419" i="1"/>
  <c r="H419" i="1" s="1"/>
  <c r="J532" i="1"/>
  <c r="E532" i="1"/>
  <c r="H532" i="1" s="1"/>
  <c r="J423" i="1"/>
  <c r="E423" i="1"/>
  <c r="H423" i="1" s="1"/>
  <c r="J231" i="1"/>
  <c r="E231" i="1"/>
  <c r="H231" i="1" s="1"/>
  <c r="J507" i="1"/>
  <c r="E507" i="1"/>
  <c r="H507" i="1" s="1"/>
  <c r="J467" i="1"/>
  <c r="E467" i="1"/>
  <c r="H467" i="1" s="1"/>
  <c r="J478" i="1"/>
  <c r="E478" i="1"/>
  <c r="H478" i="1" s="1"/>
  <c r="J367" i="1"/>
  <c r="E367" i="1"/>
  <c r="H367" i="1" s="1"/>
  <c r="J316" i="1"/>
  <c r="E316" i="1"/>
  <c r="H316" i="1" s="1"/>
  <c r="J326" i="1"/>
  <c r="E326" i="1"/>
  <c r="H326" i="1" s="1"/>
  <c r="J295" i="1"/>
  <c r="E295" i="1"/>
  <c r="H295" i="1" s="1"/>
  <c r="J232" i="1"/>
  <c r="E232" i="1"/>
  <c r="H232" i="1" s="1"/>
  <c r="J555" i="1"/>
  <c r="E555" i="1"/>
  <c r="H555" i="1" s="1"/>
  <c r="J174" i="1"/>
  <c r="E174" i="1"/>
  <c r="H174" i="1" s="1"/>
  <c r="J334" i="1"/>
  <c r="E334" i="1"/>
  <c r="H334" i="1" s="1"/>
  <c r="J579" i="1"/>
  <c r="E579" i="1"/>
  <c r="H579" i="1" s="1"/>
  <c r="J194" i="1"/>
  <c r="E194" i="1"/>
  <c r="H194" i="1" s="1"/>
  <c r="J124" i="1"/>
  <c r="E124" i="1"/>
  <c r="H124" i="1" s="1"/>
  <c r="J398" i="1"/>
  <c r="E398" i="1"/>
  <c r="H398" i="1" s="1"/>
  <c r="J277" i="1"/>
  <c r="E277" i="1"/>
  <c r="H277" i="1" s="1"/>
  <c r="J45" i="1"/>
  <c r="E45" i="1"/>
  <c r="H45" i="1" s="1"/>
  <c r="J198" i="1"/>
  <c r="E198" i="1"/>
  <c r="H198" i="1" s="1"/>
  <c r="J189" i="1"/>
  <c r="E189" i="1"/>
  <c r="H189" i="1" s="1"/>
  <c r="J219" i="1"/>
  <c r="E219" i="1"/>
  <c r="H219" i="1" s="1"/>
  <c r="J468" i="1"/>
  <c r="E468" i="1"/>
  <c r="H468" i="1" s="1"/>
  <c r="J286" i="1"/>
  <c r="E286" i="1"/>
  <c r="H286" i="1" s="1"/>
  <c r="J323" i="1"/>
  <c r="E323" i="1"/>
  <c r="H323" i="1" s="1"/>
  <c r="J78" i="1"/>
  <c r="E78" i="1"/>
  <c r="H78" i="1" s="1"/>
  <c r="J580" i="1"/>
  <c r="E580" i="1"/>
  <c r="H580" i="1" s="1"/>
  <c r="J172" i="1"/>
  <c r="E172" i="1"/>
  <c r="H172" i="1" s="1"/>
  <c r="J9" i="1"/>
  <c r="E9" i="1"/>
  <c r="H9" i="1" s="1"/>
  <c r="J238" i="1"/>
  <c r="E238" i="1"/>
  <c r="H238" i="1" s="1"/>
  <c r="J345" i="1"/>
  <c r="E345" i="1"/>
  <c r="H345" i="1" s="1"/>
  <c r="J47" i="1"/>
  <c r="E47" i="1"/>
  <c r="H47" i="1" s="1"/>
  <c r="J572" i="1"/>
  <c r="E572" i="1"/>
  <c r="H572" i="1" s="1"/>
  <c r="J119" i="1"/>
  <c r="E119" i="1"/>
  <c r="H119" i="1" s="1"/>
  <c r="J471" i="1"/>
  <c r="E471" i="1"/>
  <c r="H471" i="1" s="1"/>
  <c r="J458" i="1"/>
  <c r="E458" i="1"/>
  <c r="H458" i="1" s="1"/>
  <c r="J588" i="1"/>
  <c r="E588" i="1"/>
  <c r="H588" i="1" s="1"/>
  <c r="J145" i="1"/>
  <c r="E145" i="1"/>
  <c r="H145" i="1" s="1"/>
  <c r="J241" i="1"/>
  <c r="E241" i="1"/>
  <c r="H241" i="1" s="1"/>
  <c r="J293" i="1"/>
  <c r="E293" i="1"/>
  <c r="H293" i="1" s="1"/>
  <c r="J431" i="1"/>
  <c r="E431" i="1"/>
  <c r="H431" i="1" s="1"/>
  <c r="J601" i="1"/>
  <c r="E601" i="1"/>
  <c r="H601" i="1" s="1"/>
  <c r="J301" i="1"/>
  <c r="E301" i="1"/>
  <c r="H301" i="1" s="1"/>
  <c r="J98" i="1"/>
  <c r="E98" i="1"/>
  <c r="H98" i="1" s="1"/>
  <c r="J502" i="1"/>
  <c r="E502" i="1"/>
  <c r="H502" i="1" s="1"/>
  <c r="J561" i="1"/>
  <c r="E561" i="1"/>
  <c r="H561" i="1" s="1"/>
  <c r="J33" i="1"/>
  <c r="E33" i="1"/>
  <c r="H33" i="1" s="1"/>
  <c r="J103" i="1"/>
  <c r="E103" i="1"/>
  <c r="H103" i="1" s="1"/>
  <c r="J545" i="1"/>
  <c r="E545" i="1"/>
  <c r="H545" i="1" s="1"/>
  <c r="J51" i="1"/>
  <c r="E51" i="1"/>
  <c r="H51" i="1" s="1"/>
  <c r="J511" i="1"/>
  <c r="E511" i="1"/>
  <c r="H511" i="1" s="1"/>
  <c r="J291" i="1"/>
  <c r="E291" i="1"/>
  <c r="H291" i="1" s="1"/>
  <c r="J366" i="1"/>
  <c r="E366" i="1"/>
  <c r="H366" i="1" s="1"/>
  <c r="J424" i="1"/>
  <c r="E424" i="1"/>
  <c r="H424" i="1" s="1"/>
  <c r="J92" i="1"/>
  <c r="E92" i="1"/>
  <c r="H92" i="1" s="1"/>
  <c r="J463" i="1"/>
  <c r="E463" i="1"/>
  <c r="H463" i="1" s="1"/>
  <c r="J122" i="1"/>
  <c r="E122" i="1"/>
  <c r="H122" i="1" s="1"/>
  <c r="J427" i="1"/>
  <c r="E427" i="1"/>
  <c r="H427" i="1" s="1"/>
  <c r="J372" i="1"/>
  <c r="E372" i="1"/>
  <c r="H372" i="1" s="1"/>
  <c r="J272" i="1"/>
  <c r="E272" i="1"/>
  <c r="H272" i="1" s="1"/>
  <c r="J460" i="1"/>
  <c r="E460" i="1"/>
  <c r="H460" i="1" s="1"/>
  <c r="J283" i="1"/>
  <c r="E283" i="1"/>
  <c r="H283" i="1" s="1"/>
  <c r="J105" i="1"/>
  <c r="E105" i="1"/>
  <c r="H105" i="1" s="1"/>
  <c r="J134" i="1"/>
  <c r="E134" i="1"/>
  <c r="H134" i="1" s="1"/>
  <c r="J577" i="1"/>
  <c r="E577" i="1"/>
  <c r="H577" i="1" s="1"/>
  <c r="J4" i="1"/>
  <c r="H4" i="1"/>
  <c r="J416" i="1"/>
  <c r="E416" i="1"/>
  <c r="H416" i="1" s="1"/>
  <c r="J350" i="1"/>
  <c r="E350" i="1"/>
  <c r="H350" i="1" s="1"/>
  <c r="J444" i="1"/>
  <c r="E444" i="1"/>
  <c r="H444" i="1" s="1"/>
  <c r="J480" i="1"/>
  <c r="E480" i="1"/>
  <c r="H480" i="1" s="1"/>
  <c r="J474" i="1"/>
  <c r="E474" i="1"/>
  <c r="H474" i="1" s="1"/>
  <c r="J55" i="1"/>
  <c r="E55" i="1"/>
  <c r="H55" i="1" s="1"/>
  <c r="J23" i="1"/>
  <c r="E23" i="1"/>
  <c r="H23" i="1" s="1"/>
  <c r="J353" i="1"/>
  <c r="E353" i="1"/>
  <c r="H353" i="1" s="1"/>
  <c r="J116" i="1"/>
  <c r="E116" i="1"/>
  <c r="H116" i="1" s="1"/>
  <c r="J443" i="1"/>
  <c r="E443" i="1"/>
  <c r="H443" i="1" s="1"/>
  <c r="J225" i="1"/>
  <c r="E225" i="1"/>
  <c r="H225" i="1" s="1"/>
  <c r="J521" i="1"/>
  <c r="E521" i="1"/>
  <c r="H521" i="1" s="1"/>
  <c r="J25" i="1"/>
  <c r="E25" i="1"/>
  <c r="H25" i="1" s="1"/>
  <c r="J597" i="1"/>
  <c r="E597" i="1"/>
  <c r="H597" i="1" s="1"/>
  <c r="J564" i="1"/>
  <c r="E564" i="1"/>
  <c r="H564" i="1" s="1"/>
  <c r="J582" i="1"/>
  <c r="E582" i="1"/>
  <c r="H582" i="1" s="1"/>
  <c r="J494" i="1"/>
  <c r="E494" i="1"/>
  <c r="H494" i="1" s="1"/>
  <c r="J448" i="1"/>
  <c r="E448" i="1"/>
  <c r="H448" i="1" s="1"/>
  <c r="J113" i="1"/>
  <c r="E113" i="1"/>
  <c r="H113" i="1" s="1"/>
  <c r="J342" i="1"/>
  <c r="E342" i="1"/>
  <c r="H342" i="1" s="1"/>
  <c r="J355" i="1"/>
  <c r="E355" i="1"/>
  <c r="H355" i="1" s="1"/>
  <c r="J10" i="1"/>
  <c r="E10" i="1"/>
  <c r="H10" i="1" s="1"/>
  <c r="J378" i="1"/>
  <c r="E378" i="1"/>
  <c r="H378" i="1" s="1"/>
  <c r="J332" i="1"/>
  <c r="E332" i="1"/>
  <c r="H332" i="1" s="1"/>
  <c r="J207" i="1"/>
  <c r="E207" i="1"/>
  <c r="H207" i="1" s="1"/>
  <c r="J358" i="1"/>
  <c r="E358" i="1"/>
  <c r="H358" i="1" s="1"/>
  <c r="J133" i="1"/>
  <c r="E133" i="1"/>
  <c r="H133" i="1" s="1"/>
  <c r="J223" i="1"/>
  <c r="E223" i="1"/>
  <c r="H223" i="1" s="1"/>
  <c r="J215" i="1"/>
  <c r="E215" i="1"/>
  <c r="H215" i="1" s="1"/>
  <c r="J451" i="1"/>
  <c r="E451" i="1"/>
  <c r="H451" i="1" s="1"/>
  <c r="J540" i="1"/>
  <c r="E540" i="1"/>
  <c r="H540" i="1" s="1"/>
  <c r="J270" i="1"/>
  <c r="E270" i="1"/>
  <c r="H270" i="1" s="1"/>
  <c r="J169" i="1"/>
  <c r="E169" i="1"/>
  <c r="H169" i="1" s="1"/>
  <c r="J314" i="1"/>
  <c r="E314" i="1"/>
  <c r="H314" i="1" s="1"/>
  <c r="J593" i="1"/>
  <c r="E593" i="1"/>
  <c r="H593" i="1" s="1"/>
  <c r="J188" i="1"/>
  <c r="E188" i="1"/>
  <c r="H188" i="1" s="1"/>
  <c r="J73" i="1"/>
  <c r="E73" i="1"/>
  <c r="H73" i="1" s="1"/>
  <c r="J518" i="1"/>
  <c r="E518" i="1"/>
  <c r="H518" i="1" s="1"/>
  <c r="J129" i="1"/>
  <c r="E129" i="1"/>
  <c r="H129" i="1" s="1"/>
  <c r="J569" i="1"/>
  <c r="E569" i="1"/>
  <c r="H569" i="1" s="1"/>
  <c r="J29" i="1"/>
  <c r="E29" i="1"/>
  <c r="H29" i="1" s="1"/>
  <c r="J77" i="1"/>
  <c r="E77" i="1"/>
  <c r="H77" i="1" s="1"/>
  <c r="J405" i="1"/>
  <c r="E405" i="1"/>
  <c r="H405" i="1" s="1"/>
  <c r="J151" i="1"/>
  <c r="E151" i="1"/>
  <c r="H151" i="1" s="1"/>
  <c r="J37" i="1"/>
  <c r="E37" i="1"/>
  <c r="H37" i="1" s="1"/>
  <c r="J212" i="1"/>
  <c r="E212" i="1"/>
  <c r="H212" i="1" s="1"/>
  <c r="J357" i="1"/>
  <c r="E357" i="1"/>
  <c r="H357" i="1" s="1"/>
  <c r="J275" i="1"/>
  <c r="E275" i="1"/>
  <c r="H275" i="1" s="1"/>
  <c r="J503" i="1"/>
  <c r="E503" i="1"/>
  <c r="H503" i="1" s="1"/>
  <c r="J60" i="1"/>
  <c r="E60" i="1"/>
  <c r="H60" i="1" s="1"/>
  <c r="J81" i="1"/>
  <c r="E81" i="1"/>
  <c r="H81" i="1" s="1"/>
  <c r="J175" i="1"/>
  <c r="E175" i="1"/>
  <c r="H175" i="1" s="1"/>
  <c r="J559" i="1"/>
  <c r="E559" i="1"/>
  <c r="H559" i="1" s="1"/>
  <c r="J492" i="1"/>
  <c r="E492" i="1"/>
  <c r="H492" i="1" s="1"/>
  <c r="J276" i="1"/>
  <c r="E276" i="1"/>
  <c r="H276" i="1" s="1"/>
  <c r="J83" i="1"/>
  <c r="E83" i="1"/>
  <c r="H83" i="1" s="1"/>
  <c r="J106" i="1"/>
  <c r="E106" i="1"/>
  <c r="H106" i="1" s="1"/>
  <c r="J85" i="1"/>
  <c r="E85" i="1"/>
  <c r="H85" i="1" s="1"/>
  <c r="J578" i="1"/>
  <c r="E578" i="1"/>
  <c r="H578" i="1" s="1"/>
  <c r="J544" i="1"/>
  <c r="E544" i="1"/>
  <c r="H544" i="1" s="1"/>
  <c r="J70" i="1"/>
  <c r="E70" i="1"/>
  <c r="H70" i="1" s="1"/>
  <c r="J533" i="1"/>
  <c r="E533" i="1"/>
  <c r="H533" i="1" s="1"/>
  <c r="J181" i="1"/>
  <c r="E181" i="1"/>
  <c r="H181" i="1" s="1"/>
  <c r="J54" i="1"/>
  <c r="E54" i="1"/>
  <c r="H54" i="1" s="1"/>
  <c r="J161" i="1"/>
  <c r="E161" i="1"/>
  <c r="H161" i="1" s="1"/>
  <c r="J406" i="1"/>
  <c r="E406" i="1"/>
  <c r="H406" i="1" s="1"/>
  <c r="J476" i="1"/>
  <c r="E476" i="1"/>
  <c r="H476" i="1" s="1"/>
  <c r="J107" i="1"/>
  <c r="E107" i="1"/>
  <c r="H107" i="1" s="1"/>
  <c r="J500" i="1"/>
  <c r="E500" i="1"/>
  <c r="H500" i="1" s="1"/>
  <c r="J150" i="1"/>
  <c r="E150" i="1"/>
  <c r="H150" i="1" s="1"/>
  <c r="J282" i="1"/>
  <c r="E282" i="1"/>
  <c r="H282" i="1" s="1"/>
  <c r="J525" i="1"/>
  <c r="E525" i="1"/>
  <c r="H525" i="1" s="1"/>
  <c r="J221" i="1"/>
  <c r="E221" i="1"/>
  <c r="H221" i="1" s="1"/>
  <c r="J317" i="1"/>
  <c r="E317" i="1"/>
  <c r="H317" i="1" s="1"/>
  <c r="J142" i="1"/>
  <c r="E142" i="1"/>
  <c r="H142" i="1" s="1"/>
  <c r="J251" i="1"/>
  <c r="E251" i="1"/>
  <c r="H251" i="1" s="1"/>
  <c r="J95" i="1"/>
  <c r="E95" i="1"/>
  <c r="H95" i="1" s="1"/>
  <c r="J28" i="1"/>
  <c r="E28" i="1"/>
  <c r="H28" i="1" s="1"/>
  <c r="J595" i="1"/>
  <c r="E595" i="1"/>
  <c r="H595" i="1" s="1"/>
  <c r="J422" i="1"/>
  <c r="E422" i="1"/>
  <c r="H422" i="1" s="1"/>
  <c r="J377" i="1"/>
  <c r="E377" i="1"/>
  <c r="H377" i="1" s="1"/>
  <c r="J380" i="1"/>
  <c r="E380" i="1"/>
  <c r="H380" i="1" s="1"/>
  <c r="J385" i="1"/>
  <c r="E385" i="1"/>
  <c r="H385" i="1" s="1"/>
  <c r="J539" i="1"/>
  <c r="E539" i="1"/>
  <c r="H539" i="1" s="1"/>
  <c r="J265" i="1"/>
  <c r="E265" i="1"/>
  <c r="H265" i="1" s="1"/>
  <c r="J524" i="1"/>
  <c r="E524" i="1"/>
  <c r="H524" i="1" s="1"/>
  <c r="J568" i="1"/>
  <c r="E568" i="1"/>
  <c r="H568" i="1" s="1"/>
  <c r="J562" i="1"/>
  <c r="E562" i="1"/>
  <c r="H562" i="1" s="1"/>
  <c r="J481" i="1"/>
  <c r="E481" i="1"/>
  <c r="H481" i="1" s="1"/>
  <c r="J425" i="1"/>
  <c r="E425" i="1"/>
  <c r="H425" i="1" s="1"/>
  <c r="J14" i="1"/>
  <c r="E14" i="1"/>
  <c r="H14" i="1" s="1"/>
  <c r="J281" i="1"/>
  <c r="E281" i="1"/>
  <c r="H281" i="1" s="1"/>
  <c r="J162" i="1"/>
  <c r="E162" i="1"/>
  <c r="H162" i="1" s="1"/>
  <c r="J409" i="1"/>
  <c r="E409" i="1"/>
  <c r="H409" i="1" s="1"/>
  <c r="J68" i="1"/>
  <c r="E68" i="1"/>
  <c r="H68" i="1" s="1"/>
  <c r="J369" i="1"/>
  <c r="E369" i="1"/>
  <c r="H369" i="1" s="1"/>
  <c r="J551" i="1"/>
  <c r="E551" i="1"/>
  <c r="H551" i="1" s="1"/>
  <c r="J21" i="1"/>
  <c r="E21" i="1"/>
  <c r="H21" i="1" s="1"/>
  <c r="J66" i="1"/>
  <c r="E66" i="1"/>
  <c r="H66" i="1" s="1"/>
  <c r="J319" i="1"/>
  <c r="E319" i="1"/>
  <c r="H319" i="1" s="1"/>
  <c r="J536" i="1"/>
  <c r="E536" i="1"/>
  <c r="H536" i="1" s="1"/>
  <c r="J108" i="1"/>
  <c r="E108" i="1"/>
  <c r="H108" i="1" s="1"/>
  <c r="J598" i="1"/>
  <c r="E598" i="1"/>
  <c r="H598" i="1" s="1"/>
  <c r="J462" i="1"/>
  <c r="E462" i="1"/>
  <c r="H462" i="1" s="1"/>
  <c r="J176" i="1"/>
  <c r="E176" i="1"/>
  <c r="H176" i="1" s="1"/>
  <c r="J538" i="1"/>
  <c r="E538" i="1"/>
  <c r="H538" i="1" s="1"/>
  <c r="J516" i="1"/>
  <c r="E516" i="1"/>
  <c r="H516" i="1" s="1"/>
  <c r="J180" i="1"/>
  <c r="E180" i="1"/>
  <c r="H180" i="1" s="1"/>
  <c r="J329" i="1"/>
  <c r="E329" i="1"/>
  <c r="H329" i="1" s="1"/>
  <c r="J261" i="1"/>
  <c r="E261" i="1"/>
  <c r="H261" i="1" s="1"/>
  <c r="J157" i="1"/>
  <c r="E157" i="1"/>
  <c r="H157" i="1" s="1"/>
  <c r="J497" i="1"/>
  <c r="E497" i="1"/>
  <c r="H497" i="1" s="1"/>
  <c r="J239" i="1"/>
  <c r="E239" i="1"/>
  <c r="H239" i="1" s="1"/>
  <c r="J585" i="1"/>
  <c r="E585" i="1"/>
  <c r="H585" i="1" s="1"/>
  <c r="J138" i="1"/>
  <c r="E138" i="1"/>
  <c r="H138" i="1" s="1"/>
  <c r="J84" i="1"/>
  <c r="E84" i="1"/>
  <c r="H84" i="1" s="1"/>
  <c r="J505" i="1"/>
  <c r="E505" i="1"/>
  <c r="H505" i="1" s="1"/>
  <c r="J204" i="1"/>
  <c r="E204" i="1"/>
  <c r="H204" i="1" s="1"/>
  <c r="J407" i="1"/>
  <c r="E407" i="1"/>
  <c r="H407" i="1" s="1"/>
  <c r="J547" i="1"/>
  <c r="E547" i="1"/>
  <c r="H547" i="1" s="1"/>
  <c r="J242" i="1"/>
  <c r="E242" i="1"/>
  <c r="H242" i="1" s="1"/>
  <c r="J459" i="1"/>
  <c r="E459" i="1"/>
  <c r="H459" i="1" s="1"/>
  <c r="J27" i="1"/>
  <c r="E27" i="1"/>
  <c r="H27" i="1" s="1"/>
  <c r="J213" i="1"/>
  <c r="E213" i="1"/>
  <c r="H213" i="1" s="1"/>
  <c r="J120" i="1"/>
  <c r="E120" i="1"/>
  <c r="H120" i="1" s="1"/>
  <c r="J482" i="1"/>
  <c r="E482" i="1"/>
  <c r="H482" i="1" s="1"/>
  <c r="J99" i="1"/>
  <c r="E99" i="1"/>
  <c r="H99" i="1" s="1"/>
  <c r="J253" i="1"/>
  <c r="E253" i="1"/>
  <c r="H253" i="1" s="1"/>
  <c r="J117" i="1"/>
  <c r="E117" i="1"/>
  <c r="H117" i="1" s="1"/>
  <c r="J279" i="1"/>
  <c r="E279" i="1"/>
  <c r="H279" i="1" s="1"/>
  <c r="J389" i="1"/>
  <c r="E389" i="1"/>
  <c r="H389" i="1" s="1"/>
  <c r="J356" i="1"/>
  <c r="E356" i="1"/>
  <c r="H356" i="1" s="1"/>
  <c r="J196" i="1"/>
  <c r="E196" i="1"/>
  <c r="H196" i="1" s="1"/>
  <c r="J417" i="1"/>
  <c r="E417" i="1"/>
  <c r="H417" i="1" s="1"/>
  <c r="J382" i="1"/>
  <c r="E382" i="1"/>
  <c r="H382" i="1" s="1"/>
  <c r="J591" i="1"/>
  <c r="E591" i="1"/>
  <c r="H591" i="1" s="1"/>
  <c r="J554" i="1"/>
  <c r="E554" i="1"/>
  <c r="H554" i="1" s="1"/>
  <c r="J457" i="1"/>
  <c r="E457" i="1"/>
  <c r="H457" i="1" s="1"/>
  <c r="J80" i="1"/>
  <c r="E80" i="1"/>
  <c r="H80" i="1" s="1"/>
  <c r="J243" i="1"/>
  <c r="E243" i="1"/>
  <c r="H243" i="1" s="1"/>
  <c r="L441" i="1"/>
  <c r="L299" i="1"/>
  <c r="L424" i="1"/>
  <c r="J305" i="1"/>
  <c r="L129" i="1"/>
  <c r="L368" i="1"/>
  <c r="L503" i="1"/>
  <c r="L229" i="1"/>
  <c r="L469" i="1"/>
  <c r="L314" i="1"/>
  <c r="J509" i="1"/>
  <c r="J240" i="1"/>
  <c r="L389" i="1"/>
  <c r="L142" i="1"/>
  <c r="L435" i="1"/>
  <c r="M435" i="1"/>
  <c r="N435" i="1" s="1"/>
  <c r="O435" i="1" s="1"/>
  <c r="L421" i="1"/>
  <c r="M421" i="1"/>
  <c r="N421" i="1" s="1"/>
  <c r="O421" i="1" s="1"/>
  <c r="L342" i="1"/>
  <c r="M342" i="1"/>
  <c r="N342" i="1" s="1"/>
  <c r="O342" i="1" s="1"/>
  <c r="L197" i="1"/>
  <c r="M197" i="1"/>
  <c r="N197" i="1" s="1"/>
  <c r="O197" i="1" s="1"/>
  <c r="M491" i="1"/>
  <c r="N491" i="1" s="1"/>
  <c r="O491" i="1" s="1"/>
  <c r="M321" i="1"/>
  <c r="N321" i="1" s="1"/>
  <c r="O321" i="1" s="1"/>
  <c r="L479" i="1"/>
  <c r="L21" i="1"/>
  <c r="L163" i="1"/>
  <c r="L588" i="1"/>
  <c r="L194" i="1"/>
  <c r="M194" i="1"/>
  <c r="N194" i="1" s="1"/>
  <c r="O194" i="1" s="1"/>
  <c r="L130" i="1"/>
  <c r="M130" i="1"/>
  <c r="N130" i="1" s="1"/>
  <c r="O130" i="1" s="1"/>
  <c r="L249" i="1"/>
  <c r="M249" i="1"/>
  <c r="N249" i="1" s="1"/>
  <c r="O249" i="1" s="1"/>
  <c r="M28" i="1"/>
  <c r="N28" i="1" s="1"/>
  <c r="O28" i="1" s="1"/>
  <c r="L43" i="1"/>
  <c r="M228" i="1"/>
  <c r="N228" i="1" s="1"/>
  <c r="O228" i="1" s="1"/>
  <c r="L406" i="1"/>
  <c r="M338" i="1"/>
  <c r="N338" i="1" s="1"/>
  <c r="O338" i="1" s="1"/>
  <c r="L167" i="1"/>
  <c r="L348" i="1"/>
  <c r="M348" i="1"/>
  <c r="N348" i="1" s="1"/>
  <c r="O348" i="1" s="1"/>
  <c r="L250" i="1"/>
  <c r="M250" i="1"/>
  <c r="N250" i="1" s="1"/>
  <c r="O250" i="1" s="1"/>
  <c r="L34" i="1"/>
  <c r="M34" i="1"/>
  <c r="N34" i="1" s="1"/>
  <c r="O34" i="1" s="1"/>
  <c r="M288" i="1"/>
  <c r="N288" i="1" s="1"/>
  <c r="O288" i="1" s="1"/>
  <c r="L160" i="1"/>
  <c r="M160" i="1"/>
  <c r="N160" i="1" s="1"/>
  <c r="O160" i="1" s="1"/>
  <c r="L69" i="1"/>
  <c r="L102" i="1"/>
  <c r="M102" i="1"/>
  <c r="N102" i="1" s="1"/>
  <c r="O102" i="1" s="1"/>
  <c r="M515" i="1"/>
  <c r="N515" i="1" s="1"/>
  <c r="O515" i="1" s="1"/>
  <c r="L470" i="1"/>
  <c r="M470" i="1"/>
  <c r="N470" i="1" s="1"/>
  <c r="O470" i="1" s="1"/>
  <c r="L261" i="1"/>
  <c r="M261" i="1"/>
  <c r="N261" i="1" s="1"/>
  <c r="O261" i="1" s="1"/>
  <c r="M260" i="1"/>
  <c r="N260" i="1" s="1"/>
  <c r="O260" i="1" s="1"/>
  <c r="L398" i="1"/>
  <c r="M398" i="1"/>
  <c r="N398" i="1" s="1"/>
  <c r="O398" i="1" s="1"/>
  <c r="L443" i="1"/>
  <c r="L187" i="1"/>
  <c r="L370" i="1"/>
  <c r="M370" i="1"/>
  <c r="N370" i="1" s="1"/>
  <c r="O370" i="1" s="1"/>
  <c r="L489" i="1"/>
  <c r="M425" i="1"/>
  <c r="N425" i="1" s="1"/>
  <c r="O425" i="1" s="1"/>
  <c r="L344" i="1"/>
  <c r="M344" i="1"/>
  <c r="N344" i="1" s="1"/>
  <c r="O344" i="1" s="1"/>
  <c r="M519" i="1"/>
  <c r="N519" i="1" s="1"/>
  <c r="O519" i="1" s="1"/>
  <c r="L327" i="1"/>
  <c r="M327" i="1"/>
  <c r="N327" i="1" s="1"/>
  <c r="O327" i="1" s="1"/>
  <c r="L199" i="1"/>
  <c r="M199" i="1"/>
  <c r="N199" i="1" s="1"/>
  <c r="O199" i="1" s="1"/>
  <c r="L61" i="1"/>
  <c r="M12" i="1"/>
  <c r="N12" i="1" s="1"/>
  <c r="O12" i="1" s="1"/>
  <c r="M422" i="1"/>
  <c r="N422" i="1" s="1"/>
  <c r="O422" i="1" s="1"/>
  <c r="L126" i="1"/>
  <c r="M126" i="1"/>
  <c r="N126" i="1" s="1"/>
  <c r="O126" i="1" s="1"/>
  <c r="L234" i="1"/>
  <c r="M234" i="1"/>
  <c r="N234" i="1" s="1"/>
  <c r="O234" i="1" s="1"/>
  <c r="M170" i="1"/>
  <c r="N170" i="1" s="1"/>
  <c r="O170" i="1" s="1"/>
  <c r="L161" i="1"/>
  <c r="M161" i="1"/>
  <c r="N161" i="1" s="1"/>
  <c r="O161" i="1" s="1"/>
  <c r="L97" i="1"/>
  <c r="M127" i="1"/>
  <c r="N127" i="1" s="1"/>
  <c r="O127" i="1" s="1"/>
  <c r="L149" i="1"/>
  <c r="M149" i="1"/>
  <c r="N149" i="1" s="1"/>
  <c r="O149" i="1" s="1"/>
  <c r="M210" i="1"/>
  <c r="N210" i="1" s="1"/>
  <c r="O210" i="1" s="1"/>
  <c r="L227" i="1"/>
  <c r="L428" i="1"/>
  <c r="L300" i="1"/>
  <c r="L226" i="1"/>
  <c r="L45" i="1"/>
  <c r="L339" i="1"/>
  <c r="M429" i="1"/>
  <c r="N429" i="1" s="1"/>
  <c r="O429" i="1" s="1"/>
  <c r="M395" i="1"/>
  <c r="N395" i="1" s="1"/>
  <c r="O395" i="1" s="1"/>
  <c r="L267" i="1"/>
  <c r="M267" i="1"/>
  <c r="N267" i="1" s="1"/>
  <c r="O267" i="1" s="1"/>
  <c r="L410" i="1"/>
  <c r="M410" i="1"/>
  <c r="N410" i="1" s="1"/>
  <c r="O410" i="1" s="1"/>
  <c r="L154" i="1"/>
  <c r="M154" i="1"/>
  <c r="N154" i="1" s="1"/>
  <c r="O154" i="1" s="1"/>
  <c r="L90" i="1"/>
  <c r="L15" i="1"/>
  <c r="M15" i="1"/>
  <c r="N15" i="1" s="1"/>
  <c r="O15" i="1" s="1"/>
  <c r="L52" i="1"/>
  <c r="L152" i="1"/>
  <c r="L256" i="1"/>
  <c r="L220" i="1" l="1"/>
  <c r="M65" i="1"/>
  <c r="N65" i="1" s="1"/>
  <c r="O65" i="1" s="1"/>
  <c r="L50" i="1"/>
  <c r="M38" i="1"/>
  <c r="N38" i="1" s="1"/>
  <c r="O38" i="1" s="1"/>
  <c r="M32" i="1"/>
  <c r="N32" i="1" s="1"/>
  <c r="O32" i="1" s="1"/>
  <c r="L570" i="1"/>
  <c r="L433" i="1"/>
  <c r="M213" i="1"/>
  <c r="N213" i="1" s="1"/>
  <c r="O213" i="1" s="1"/>
  <c r="L95" i="1"/>
  <c r="L111" i="1"/>
  <c r="L219" i="1"/>
  <c r="M180" i="1"/>
  <c r="N180" i="1" s="1"/>
  <c r="O180" i="1" s="1"/>
  <c r="L328" i="1"/>
  <c r="L600" i="1"/>
  <c r="L552" i="1"/>
  <c r="L54" i="1"/>
  <c r="M285" i="1"/>
  <c r="N285" i="1" s="1"/>
  <c r="O285" i="1" s="1"/>
  <c r="L516" i="1"/>
  <c r="M538" i="1"/>
  <c r="N538" i="1" s="1"/>
  <c r="O538" i="1" s="1"/>
  <c r="M30" i="1"/>
  <c r="N30" i="1" s="1"/>
  <c r="O30" i="1" s="1"/>
  <c r="M355" i="1"/>
  <c r="N355" i="1" s="1"/>
  <c r="O355" i="1" s="1"/>
  <c r="M442" i="1"/>
  <c r="N442" i="1" s="1"/>
  <c r="O442" i="1" s="1"/>
  <c r="L367" i="1"/>
  <c r="M537" i="1"/>
  <c r="N537" i="1" s="1"/>
  <c r="O537" i="1" s="1"/>
  <c r="M577" i="1"/>
  <c r="N577" i="1" s="1"/>
  <c r="O577" i="1" s="1"/>
  <c r="L115" i="1"/>
  <c r="L468" i="1"/>
  <c r="L225" i="1"/>
  <c r="L337" i="1"/>
  <c r="L371" i="1"/>
  <c r="M310" i="1"/>
  <c r="N310" i="1" s="1"/>
  <c r="O310" i="1" s="1"/>
  <c r="L265" i="1"/>
  <c r="M282" i="1"/>
  <c r="N282" i="1" s="1"/>
  <c r="O282" i="1" s="1"/>
  <c r="M133" i="1"/>
  <c r="N133" i="1" s="1"/>
  <c r="O133" i="1" s="1"/>
  <c r="L62" i="1"/>
  <c r="L403" i="1"/>
  <c r="M159" i="1"/>
  <c r="N159" i="1" s="1"/>
  <c r="O159" i="1" s="1"/>
  <c r="L138" i="1"/>
  <c r="M272" i="1"/>
  <c r="N272" i="1" s="1"/>
  <c r="O272" i="1" s="1"/>
  <c r="M143" i="1"/>
  <c r="N143" i="1" s="1"/>
  <c r="O143" i="1" s="1"/>
  <c r="L449" i="1"/>
  <c r="L457" i="1"/>
  <c r="M340" i="1"/>
  <c r="N340" i="1" s="1"/>
  <c r="O340" i="1" s="1"/>
  <c r="M512" i="1"/>
  <c r="N512" i="1" s="1"/>
  <c r="O512" i="1" s="1"/>
  <c r="M467" i="1"/>
  <c r="N467" i="1" s="1"/>
  <c r="O467" i="1" s="1"/>
  <c r="L572" i="1"/>
  <c r="L319" i="1"/>
  <c r="L426" i="1"/>
  <c r="L388" i="1"/>
  <c r="M181" i="1"/>
  <c r="N181" i="1" s="1"/>
  <c r="O181" i="1" s="1"/>
  <c r="M27" i="1"/>
  <c r="N27" i="1" s="1"/>
  <c r="O27" i="1" s="1"/>
  <c r="L232" i="1"/>
  <c r="L347" i="1"/>
  <c r="L183" i="1"/>
  <c r="M466" i="1"/>
  <c r="N466" i="1" s="1"/>
  <c r="O466" i="1" s="1"/>
  <c r="L459" i="1"/>
  <c r="L353" i="1"/>
  <c r="L393" i="1"/>
  <c r="M68" i="1"/>
  <c r="N68" i="1" s="1"/>
  <c r="O68" i="1" s="1"/>
  <c r="M417" i="1"/>
  <c r="N417" i="1" s="1"/>
  <c r="O417" i="1" s="1"/>
  <c r="L382" i="1"/>
  <c r="L566" i="1"/>
  <c r="L460" i="1"/>
  <c r="L189" i="1"/>
  <c r="M208" i="1"/>
  <c r="N208" i="1" s="1"/>
  <c r="O208" i="1" s="1"/>
  <c r="M5" i="1"/>
  <c r="N5" i="1" s="1"/>
  <c r="O5" i="1" s="1"/>
  <c r="M257" i="1"/>
  <c r="N257" i="1" s="1"/>
  <c r="O257" i="1" s="1"/>
  <c r="L313" i="1"/>
  <c r="L191" i="1"/>
  <c r="L117" i="1"/>
  <c r="M579" i="1"/>
  <c r="N579" i="1" s="1"/>
  <c r="O579" i="1" s="1"/>
  <c r="M155" i="1"/>
  <c r="N155" i="1" s="1"/>
  <c r="O155" i="1" s="1"/>
  <c r="M536" i="1"/>
  <c r="N536" i="1" s="1"/>
  <c r="O536" i="1" s="1"/>
  <c r="L85" i="1"/>
  <c r="M274" i="1"/>
  <c r="N274" i="1" s="1"/>
  <c r="O274" i="1" s="1"/>
  <c r="L252" i="1"/>
  <c r="L100" i="1"/>
  <c r="M436" i="1"/>
  <c r="N436" i="1" s="1"/>
  <c r="O436" i="1" s="1"/>
  <c r="M169" i="1"/>
  <c r="N169" i="1" s="1"/>
  <c r="O169" i="1" s="1"/>
  <c r="L307" i="1"/>
  <c r="L510" i="1"/>
  <c r="L550" i="1"/>
  <c r="L19" i="1"/>
  <c r="M280" i="1"/>
  <c r="N280" i="1" s="1"/>
  <c r="O280" i="1" s="1"/>
  <c r="M114" i="1"/>
  <c r="N114" i="1" s="1"/>
  <c r="O114" i="1" s="1"/>
  <c r="M575" i="1"/>
  <c r="N575" i="1" s="1"/>
  <c r="O575" i="1" s="1"/>
  <c r="M562" i="1"/>
  <c r="N562" i="1" s="1"/>
  <c r="O562" i="1" s="1"/>
  <c r="M231" i="1"/>
  <c r="N231" i="1" s="1"/>
  <c r="O231" i="1" s="1"/>
  <c r="M485" i="1"/>
  <c r="N485" i="1" s="1"/>
  <c r="O485" i="1" s="1"/>
  <c r="M16" i="1"/>
  <c r="N16" i="1" s="1"/>
  <c r="O16" i="1" s="1"/>
  <c r="M202" i="1"/>
  <c r="N202" i="1" s="1"/>
  <c r="O202" i="1" s="1"/>
  <c r="L520" i="1"/>
  <c r="L427" i="1"/>
  <c r="M483" i="1"/>
  <c r="N483" i="1" s="1"/>
  <c r="O483" i="1" s="1"/>
  <c r="L166" i="1"/>
  <c r="M74" i="1"/>
  <c r="N74" i="1" s="1"/>
  <c r="O74" i="1" s="1"/>
  <c r="M325" i="1"/>
  <c r="N325" i="1" s="1"/>
  <c r="O325" i="1" s="1"/>
  <c r="M243" i="1"/>
  <c r="N243" i="1" s="1"/>
  <c r="O243" i="1" s="1"/>
  <c r="M59" i="1"/>
  <c r="N59" i="1" s="1"/>
  <c r="O59" i="1" s="1"/>
  <c r="L275" i="1"/>
  <c r="L292" i="1"/>
  <c r="M546" i="1"/>
  <c r="N546" i="1" s="1"/>
  <c r="O546" i="1" s="1"/>
  <c r="M584" i="1"/>
  <c r="N584" i="1" s="1"/>
  <c r="O584" i="1" s="1"/>
  <c r="L534" i="1"/>
  <c r="M372" i="1"/>
  <c r="N372" i="1" s="1"/>
  <c r="O372" i="1" s="1"/>
  <c r="L507" i="1"/>
  <c r="L430" i="1"/>
  <c r="L36" i="1"/>
  <c r="M432" i="1"/>
  <c r="N432" i="1" s="1"/>
  <c r="O432" i="1" s="1"/>
  <c r="M124" i="1"/>
  <c r="N124" i="1" s="1"/>
  <c r="O124" i="1" s="1"/>
  <c r="M248" i="1"/>
  <c r="N248" i="1" s="1"/>
  <c r="O248" i="1" s="1"/>
  <c r="L531" i="1"/>
  <c r="L203" i="1"/>
  <c r="M431" i="1"/>
  <c r="N431" i="1" s="1"/>
  <c r="O431" i="1" s="1"/>
  <c r="L206" i="1"/>
  <c r="M35" i="1"/>
  <c r="N35" i="1" s="1"/>
  <c r="O35" i="1" s="1"/>
  <c r="L527" i="1"/>
  <c r="L357" i="1"/>
  <c r="L312" i="1"/>
  <c r="L205" i="1"/>
  <c r="L578" i="1"/>
  <c r="M37" i="1"/>
  <c r="N37" i="1" s="1"/>
  <c r="O37" i="1" s="1"/>
  <c r="L156" i="1"/>
  <c r="L64" i="1"/>
  <c r="M164" i="1"/>
  <c r="N164" i="1" s="1"/>
  <c r="O164" i="1" s="1"/>
  <c r="L298" i="1"/>
  <c r="L360" i="1"/>
  <c r="L92" i="1"/>
  <c r="L25" i="1"/>
  <c r="L416" i="1"/>
  <c r="L22" i="1"/>
  <c r="L332" i="1"/>
  <c r="M214" i="1"/>
  <c r="N214" i="1" s="1"/>
  <c r="O214" i="1" s="1"/>
  <c r="M186" i="1"/>
  <c r="N186" i="1" s="1"/>
  <c r="O186" i="1" s="1"/>
  <c r="M365" i="1"/>
  <c r="N365" i="1" s="1"/>
  <c r="O365" i="1" s="1"/>
  <c r="M262" i="1"/>
  <c r="N262" i="1" s="1"/>
  <c r="O262" i="1" s="1"/>
  <c r="L6" i="1"/>
  <c r="L401" i="1"/>
  <c r="L358" i="1"/>
  <c r="M58" i="1"/>
  <c r="N58" i="1" s="1"/>
  <c r="O58" i="1" s="1"/>
  <c r="M88" i="1"/>
  <c r="N88" i="1" s="1"/>
  <c r="O88" i="1" s="1"/>
  <c r="L548" i="1"/>
  <c r="M419" i="1"/>
  <c r="N419" i="1" s="1"/>
  <c r="O419" i="1" s="1"/>
  <c r="M397" i="1"/>
  <c r="N397" i="1" s="1"/>
  <c r="O397" i="1" s="1"/>
  <c r="M560" i="1"/>
  <c r="N560" i="1" s="1"/>
  <c r="O560" i="1" s="1"/>
  <c r="L311" i="1"/>
  <c r="L511" i="1"/>
  <c r="L549" i="1"/>
  <c r="L363" i="1"/>
  <c r="M75" i="1"/>
  <c r="N75" i="1" s="1"/>
  <c r="O75" i="1" s="1"/>
  <c r="M545" i="1"/>
  <c r="N545" i="1" s="1"/>
  <c r="O545" i="1" s="1"/>
  <c r="L63" i="1"/>
  <c r="L463" i="1"/>
  <c r="L291" i="1"/>
  <c r="L98" i="1"/>
  <c r="L254" i="1"/>
  <c r="M139" i="1"/>
  <c r="N139" i="1" s="1"/>
  <c r="O139" i="1" s="1"/>
  <c r="M322" i="1"/>
  <c r="N322" i="1" s="1"/>
  <c r="O322" i="1" s="1"/>
  <c r="M458" i="1"/>
  <c r="N458" i="1" s="1"/>
  <c r="O458" i="1" s="1"/>
  <c r="M525" i="1"/>
  <c r="N525" i="1" s="1"/>
  <c r="O525" i="1" s="1"/>
  <c r="M440" i="1"/>
  <c r="N440" i="1" s="1"/>
  <c r="O440" i="1" s="1"/>
  <c r="L320" i="1"/>
  <c r="L400" i="1"/>
  <c r="M297" i="1"/>
  <c r="N297" i="1" s="1"/>
  <c r="O297" i="1" s="1"/>
  <c r="L498" i="1"/>
  <c r="M93" i="1"/>
  <c r="N93" i="1" s="1"/>
  <c r="O93" i="1" s="1"/>
  <c r="L405" i="1"/>
  <c r="M601" i="1"/>
  <c r="N601" i="1" s="1"/>
  <c r="O601" i="1" s="1"/>
  <c r="L121" i="1"/>
  <c r="M496" i="1"/>
  <c r="N496" i="1" s="1"/>
  <c r="O496" i="1" s="1"/>
  <c r="L446" i="1"/>
  <c r="M556" i="1"/>
  <c r="N556" i="1" s="1"/>
  <c r="O556" i="1" s="1"/>
  <c r="M132" i="1"/>
  <c r="N132" i="1" s="1"/>
  <c r="O132" i="1" s="1"/>
  <c r="L486" i="1"/>
  <c r="L215" i="1"/>
  <c r="M200" i="1"/>
  <c r="N200" i="1" s="1"/>
  <c r="O200" i="1" s="1"/>
  <c r="M268" i="1"/>
  <c r="N268" i="1" s="1"/>
  <c r="O268" i="1" s="1"/>
  <c r="M39" i="1"/>
  <c r="N39" i="1" s="1"/>
  <c r="O39" i="1" s="1"/>
  <c r="M477" i="1"/>
  <c r="N477" i="1" s="1"/>
  <c r="O477" i="1" s="1"/>
  <c r="M462" i="1"/>
  <c r="N462" i="1" s="1"/>
  <c r="O462" i="1" s="1"/>
  <c r="L217" i="1"/>
  <c r="L207" i="1"/>
  <c r="L177" i="1"/>
  <c r="M195" i="1"/>
  <c r="N195" i="1" s="1"/>
  <c r="O195" i="1" s="1"/>
  <c r="M383" i="1"/>
  <c r="N383" i="1" s="1"/>
  <c r="O383" i="1" s="1"/>
  <c r="M574" i="1"/>
  <c r="N574" i="1" s="1"/>
  <c r="O574" i="1" s="1"/>
  <c r="M29" i="1"/>
  <c r="N29" i="1" s="1"/>
  <c r="O29" i="1" s="1"/>
  <c r="L390" i="1"/>
  <c r="L84" i="1"/>
  <c r="L543" i="1"/>
  <c r="M411" i="1"/>
  <c r="N411" i="1" s="1"/>
  <c r="O411" i="1" s="1"/>
  <c r="M582" i="1"/>
  <c r="N582" i="1" s="1"/>
  <c r="O582" i="1" s="1"/>
  <c r="M423" i="1"/>
  <c r="N423" i="1" s="1"/>
  <c r="O423" i="1" s="1"/>
  <c r="M580" i="1"/>
  <c r="N580" i="1" s="1"/>
  <c r="O580" i="1" s="1"/>
  <c r="L188" i="1"/>
  <c r="L502" i="1"/>
  <c r="L223" i="1"/>
  <c r="M175" i="1"/>
  <c r="N175" i="1" s="1"/>
  <c r="O175" i="1" s="1"/>
  <c r="M592" i="1"/>
  <c r="N592" i="1" s="1"/>
  <c r="O592" i="1" s="1"/>
  <c r="M474" i="1"/>
  <c r="N474" i="1" s="1"/>
  <c r="O474" i="1" s="1"/>
  <c r="L378" i="1"/>
  <c r="L590" i="1"/>
  <c r="L304" i="1"/>
  <c r="L407" i="1"/>
  <c r="L594" i="1"/>
  <c r="L190" i="1"/>
  <c r="M86" i="1"/>
  <c r="N86" i="1" s="1"/>
  <c r="O86" i="1" s="1"/>
  <c r="M113" i="1"/>
  <c r="N113" i="1" s="1"/>
  <c r="O113" i="1" s="1"/>
  <c r="L438" i="1"/>
  <c r="L359" i="1"/>
  <c r="L509" i="1"/>
  <c r="M326" i="1"/>
  <c r="N326" i="1" s="1"/>
  <c r="O326" i="1" s="1"/>
  <c r="M334" i="1"/>
  <c r="N334" i="1" s="1"/>
  <c r="O334" i="1" s="1"/>
  <c r="L554" i="1"/>
  <c r="L158" i="1"/>
  <c r="M209" i="1"/>
  <c r="N209" i="1" s="1"/>
  <c r="O209" i="1" s="1"/>
  <c r="M547" i="1"/>
  <c r="N547" i="1" s="1"/>
  <c r="O547" i="1" s="1"/>
  <c r="M391" i="1"/>
  <c r="N391" i="1" s="1"/>
  <c r="O391" i="1" s="1"/>
  <c r="L242" i="1"/>
  <c r="M453" i="1"/>
  <c r="N453" i="1" s="1"/>
  <c r="O453" i="1" s="1"/>
  <c r="M176" i="1"/>
  <c r="N176" i="1" s="1"/>
  <c r="O176" i="1" s="1"/>
  <c r="M522" i="1"/>
  <c r="N522" i="1" s="1"/>
  <c r="O522" i="1" s="1"/>
  <c r="L269" i="1"/>
  <c r="M198" i="1"/>
  <c r="N198" i="1" s="1"/>
  <c r="O198" i="1" s="1"/>
  <c r="L107" i="1"/>
  <c r="L484" i="1"/>
  <c r="L583" i="1"/>
  <c r="M603" i="1"/>
  <c r="N603" i="1" s="1"/>
  <c r="O603" i="1" s="1"/>
  <c r="M532" i="1"/>
  <c r="N532" i="1" s="1"/>
  <c r="O532" i="1" s="1"/>
  <c r="M557" i="1"/>
  <c r="N557" i="1" s="1"/>
  <c r="O557" i="1" s="1"/>
  <c r="M413" i="1"/>
  <c r="N413" i="1" s="1"/>
  <c r="O413" i="1" s="1"/>
  <c r="M381" i="1"/>
  <c r="N381" i="1" s="1"/>
  <c r="O381" i="1" s="1"/>
  <c r="M56" i="1"/>
  <c r="N56" i="1" s="1"/>
  <c r="O56" i="1" s="1"/>
  <c r="L335" i="1"/>
  <c r="L333" i="1"/>
  <c r="M222" i="1"/>
  <c r="N222" i="1" s="1"/>
  <c r="O222" i="1" s="1"/>
  <c r="L589" i="1"/>
  <c r="L420" i="1"/>
  <c r="L48" i="1"/>
  <c r="M273" i="1"/>
  <c r="N273" i="1" s="1"/>
  <c r="O273" i="1" s="1"/>
  <c r="L173" i="1"/>
  <c r="M294" i="1"/>
  <c r="N294" i="1" s="1"/>
  <c r="O294" i="1" s="1"/>
  <c r="L31" i="1"/>
  <c r="L255" i="1"/>
  <c r="M455" i="1"/>
  <c r="N455" i="1" s="1"/>
  <c r="O455" i="1" s="1"/>
  <c r="M361" i="1"/>
  <c r="N361" i="1" s="1"/>
  <c r="O361" i="1" s="1"/>
  <c r="M595" i="1"/>
  <c r="N595" i="1" s="1"/>
  <c r="O595" i="1" s="1"/>
  <c r="M17" i="1"/>
  <c r="N17" i="1" s="1"/>
  <c r="O17" i="1" s="1"/>
  <c r="M476" i="1"/>
  <c r="N476" i="1" s="1"/>
  <c r="O476" i="1" s="1"/>
  <c r="M414" i="1"/>
  <c r="N414" i="1" s="1"/>
  <c r="O414" i="1" s="1"/>
  <c r="L279" i="1"/>
  <c r="M377" i="1"/>
  <c r="N377" i="1" s="1"/>
  <c r="O377" i="1" s="1"/>
  <c r="M91" i="1"/>
  <c r="N91" i="1" s="1"/>
  <c r="O91" i="1" s="1"/>
  <c r="M385" i="1"/>
  <c r="N385" i="1" s="1"/>
  <c r="O385" i="1" s="1"/>
  <c r="M23" i="1"/>
  <c r="N23" i="1" s="1"/>
  <c r="O23" i="1" s="1"/>
  <c r="L140" i="1"/>
  <c r="L493" i="1"/>
  <c r="L89" i="1"/>
  <c r="L505" i="1"/>
  <c r="M153" i="1"/>
  <c r="N153" i="1" s="1"/>
  <c r="O153" i="1" s="1"/>
  <c r="L541" i="1"/>
  <c r="L587" i="1"/>
  <c r="L128" i="1"/>
  <c r="M576" i="1"/>
  <c r="N576" i="1" s="1"/>
  <c r="O576" i="1" s="1"/>
  <c r="L295" i="1"/>
  <c r="L434" i="1"/>
  <c r="L329" i="1"/>
  <c r="M168" i="1"/>
  <c r="N168" i="1" s="1"/>
  <c r="O168" i="1" s="1"/>
  <c r="L331" i="1"/>
  <c r="L289" i="1"/>
  <c r="L544" i="1"/>
  <c r="L46" i="1"/>
  <c r="M517" i="1"/>
  <c r="N517" i="1" s="1"/>
  <c r="O517" i="1" s="1"/>
  <c r="M230" i="1"/>
  <c r="N230" i="1" s="1"/>
  <c r="O230" i="1" s="1"/>
  <c r="L396" i="1"/>
  <c r="L526" i="1"/>
  <c r="L481" i="1"/>
  <c r="L464" i="1"/>
  <c r="L212" i="1"/>
  <c r="L591" i="1"/>
  <c r="M53" i="1"/>
  <c r="N53" i="1" s="1"/>
  <c r="O53" i="1" s="1"/>
  <c r="M490" i="1"/>
  <c r="N490" i="1" s="1"/>
  <c r="O490" i="1" s="1"/>
  <c r="M568" i="1"/>
  <c r="N568" i="1" s="1"/>
  <c r="O568" i="1" s="1"/>
  <c r="M518" i="1"/>
  <c r="N518" i="1" s="1"/>
  <c r="O518" i="1" s="1"/>
  <c r="M380" i="1"/>
  <c r="N380" i="1" s="1"/>
  <c r="O380" i="1" s="1"/>
  <c r="M599" i="1"/>
  <c r="N599" i="1" s="1"/>
  <c r="O599" i="1" s="1"/>
  <c r="L351" i="1"/>
  <c r="L145" i="1"/>
  <c r="M487" i="1"/>
  <c r="N487" i="1" s="1"/>
  <c r="O487" i="1" s="1"/>
  <c r="M408" i="1"/>
  <c r="N408" i="1" s="1"/>
  <c r="O408" i="1" s="1"/>
  <c r="M72" i="1"/>
  <c r="N72" i="1" s="1"/>
  <c r="O72" i="1" s="1"/>
  <c r="L349" i="1"/>
  <c r="L131" i="1"/>
  <c r="M224" i="1"/>
  <c r="N224" i="1" s="1"/>
  <c r="O224" i="1" s="1"/>
  <c r="L506" i="1"/>
  <c r="L109" i="1"/>
  <c r="M504" i="1"/>
  <c r="N504" i="1" s="1"/>
  <c r="O504" i="1" s="1"/>
  <c r="M67" i="1"/>
  <c r="N67" i="1" s="1"/>
  <c r="O67" i="1" s="1"/>
  <c r="L148" i="1"/>
  <c r="M264" i="1"/>
  <c r="N264" i="1" s="1"/>
  <c r="O264" i="1" s="1"/>
  <c r="M316" i="1"/>
  <c r="N316" i="1" s="1"/>
  <c r="O316" i="1" s="1"/>
  <c r="M499" i="1"/>
  <c r="N499" i="1" s="1"/>
  <c r="O499" i="1" s="1"/>
  <c r="M79" i="1"/>
  <c r="N79" i="1" s="1"/>
  <c r="O79" i="1" s="1"/>
  <c r="M309" i="1"/>
  <c r="N309" i="1" s="1"/>
  <c r="O309" i="1" s="1"/>
  <c r="M415" i="1"/>
  <c r="N415" i="1" s="1"/>
  <c r="O415" i="1" s="1"/>
  <c r="L539" i="1"/>
  <c r="M597" i="1"/>
  <c r="N597" i="1" s="1"/>
  <c r="O597" i="1" s="1"/>
  <c r="M290" i="1"/>
  <c r="N290" i="1" s="1"/>
  <c r="O290" i="1" s="1"/>
  <c r="M110" i="1"/>
  <c r="N110" i="1" s="1"/>
  <c r="O110" i="1" s="1"/>
  <c r="M555" i="1"/>
  <c r="N555" i="1" s="1"/>
  <c r="O555" i="1" s="1"/>
  <c r="L530" i="1"/>
  <c r="M521" i="1"/>
  <c r="N521" i="1" s="1"/>
  <c r="O521" i="1" s="1"/>
  <c r="L447" i="1"/>
  <c r="M11" i="1"/>
  <c r="N11" i="1" s="1"/>
  <c r="O11" i="1" s="1"/>
  <c r="M247" i="1"/>
  <c r="N247" i="1" s="1"/>
  <c r="O247" i="1" s="1"/>
  <c r="M308" i="1"/>
  <c r="N308" i="1" s="1"/>
  <c r="O308" i="1" s="1"/>
  <c r="M147" i="1"/>
  <c r="N147" i="1" s="1"/>
  <c r="O147" i="1" s="1"/>
  <c r="M258" i="1"/>
  <c r="N258" i="1" s="1"/>
  <c r="O258" i="1" s="1"/>
  <c r="L293" i="1"/>
  <c r="L193" i="1"/>
  <c r="L185" i="1"/>
  <c r="M218" i="1"/>
  <c r="N218" i="1" s="1"/>
  <c r="O218" i="1" s="1"/>
  <c r="M281" i="1"/>
  <c r="N281" i="1" s="1"/>
  <c r="O281" i="1" s="1"/>
  <c r="M341" i="1"/>
  <c r="N341" i="1" s="1"/>
  <c r="O341" i="1" s="1"/>
  <c r="M14" i="1"/>
  <c r="N14" i="1" s="1"/>
  <c r="O14" i="1" s="1"/>
  <c r="L492" i="1"/>
  <c r="L323" i="1"/>
  <c r="L286" i="1"/>
  <c r="L104" i="1"/>
  <c r="L266" i="1"/>
  <c r="L452" i="1"/>
  <c r="L330" i="1"/>
  <c r="L317" i="1"/>
  <c r="M284" i="1"/>
  <c r="N284" i="1" s="1"/>
  <c r="O284" i="1" s="1"/>
  <c r="M352" i="1"/>
  <c r="N352" i="1" s="1"/>
  <c r="O352" i="1" s="1"/>
  <c r="L151" i="1"/>
  <c r="L302" i="1"/>
  <c r="M171" i="1"/>
  <c r="N171" i="1" s="1"/>
  <c r="O171" i="1" s="1"/>
  <c r="M105" i="1"/>
  <c r="N105" i="1" s="1"/>
  <c r="O105" i="1" s="1"/>
  <c r="M540" i="1"/>
  <c r="N540" i="1" s="1"/>
  <c r="O540" i="1" s="1"/>
  <c r="M251" i="1"/>
  <c r="N251" i="1" s="1"/>
  <c r="O251" i="1" s="1"/>
  <c r="M480" i="1"/>
  <c r="N480" i="1" s="1"/>
  <c r="O480" i="1" s="1"/>
  <c r="L235" i="1"/>
  <c r="M508" i="1"/>
  <c r="N508" i="1" s="1"/>
  <c r="O508" i="1" s="1"/>
  <c r="L236" i="1"/>
  <c r="M569" i="1"/>
  <c r="N569" i="1" s="1"/>
  <c r="O569" i="1" s="1"/>
  <c r="L174" i="1"/>
  <c r="M558" i="1"/>
  <c r="N558" i="1" s="1"/>
  <c r="O558" i="1" s="1"/>
  <c r="M593" i="1"/>
  <c r="N593" i="1" s="1"/>
  <c r="O593" i="1" s="1"/>
  <c r="L103" i="1"/>
  <c r="L450" i="1"/>
  <c r="M141" i="1"/>
  <c r="N141" i="1" s="1"/>
  <c r="O141" i="1" s="1"/>
  <c r="M42" i="1"/>
  <c r="N42" i="1" s="1"/>
  <c r="O42" i="1" s="1"/>
  <c r="L596" i="1"/>
  <c r="M472" i="1"/>
  <c r="N472" i="1" s="1"/>
  <c r="O472" i="1" s="1"/>
  <c r="M178" i="1"/>
  <c r="N178" i="1" s="1"/>
  <c r="O178" i="1" s="1"/>
  <c r="L287" i="1"/>
  <c r="M76" i="1"/>
  <c r="N76" i="1" s="1"/>
  <c r="O76" i="1" s="1"/>
  <c r="M81" i="1"/>
  <c r="N81" i="1" s="1"/>
  <c r="O81" i="1" s="1"/>
  <c r="M500" i="1"/>
  <c r="N500" i="1" s="1"/>
  <c r="O500" i="1" s="1"/>
  <c r="M598" i="1"/>
  <c r="N598" i="1" s="1"/>
  <c r="O598" i="1" s="1"/>
  <c r="M394" i="1"/>
  <c r="N394" i="1" s="1"/>
  <c r="O394" i="1" s="1"/>
  <c r="L192" i="1"/>
  <c r="M523" i="1"/>
  <c r="N523" i="1" s="1"/>
  <c r="O523" i="1" s="1"/>
  <c r="M412" i="1"/>
  <c r="N412" i="1" s="1"/>
  <c r="O412" i="1" s="1"/>
  <c r="M277" i="1"/>
  <c r="N277" i="1" s="1"/>
  <c r="O277" i="1" s="1"/>
  <c r="M392" i="1"/>
  <c r="N392" i="1" s="1"/>
  <c r="O392" i="1" s="1"/>
  <c r="L99" i="1"/>
  <c r="M40" i="1"/>
  <c r="N40" i="1" s="1"/>
  <c r="O40" i="1" s="1"/>
  <c r="M451" i="1"/>
  <c r="N451" i="1" s="1"/>
  <c r="O451" i="1" s="1"/>
  <c r="M263" i="1"/>
  <c r="N263" i="1" s="1"/>
  <c r="O263" i="1" s="1"/>
  <c r="M524" i="1"/>
  <c r="N524" i="1" s="1"/>
  <c r="O524" i="1" s="1"/>
  <c r="L137" i="1"/>
  <c r="L182" i="1"/>
  <c r="M581" i="1"/>
  <c r="N581" i="1" s="1"/>
  <c r="O581" i="1" s="1"/>
  <c r="M533" i="1"/>
  <c r="N533" i="1" s="1"/>
  <c r="O533" i="1" s="1"/>
  <c r="M553" i="1"/>
  <c r="N553" i="1" s="1"/>
  <c r="O553" i="1" s="1"/>
  <c r="L402" i="1"/>
  <c r="L565" i="1"/>
  <c r="L445" i="1"/>
  <c r="L559" i="1"/>
  <c r="L146" i="1"/>
  <c r="L366" i="1"/>
  <c r="M239" i="1"/>
  <c r="N239" i="1" s="1"/>
  <c r="O239" i="1" s="1"/>
  <c r="M495" i="1"/>
  <c r="N495" i="1" s="1"/>
  <c r="O495" i="1" s="1"/>
  <c r="M60" i="1"/>
  <c r="N60" i="1" s="1"/>
  <c r="O60" i="1" s="1"/>
  <c r="M106" i="1"/>
  <c r="N106" i="1" s="1"/>
  <c r="O106" i="1" s="1"/>
  <c r="M542" i="1"/>
  <c r="N542" i="1" s="1"/>
  <c r="O542" i="1" s="1"/>
  <c r="M125" i="1"/>
  <c r="N125" i="1" s="1"/>
  <c r="O125" i="1" s="1"/>
  <c r="L78" i="1"/>
  <c r="M561" i="1"/>
  <c r="N561" i="1" s="1"/>
  <c r="O561" i="1" s="1"/>
  <c r="L245" i="1"/>
  <c r="L497" i="1"/>
  <c r="L237" i="1"/>
  <c r="L271" i="1"/>
  <c r="L150" i="1"/>
  <c r="L162" i="1"/>
  <c r="L475" i="1"/>
  <c r="L80" i="1"/>
  <c r="L571" i="1"/>
  <c r="M303" i="1"/>
  <c r="N303" i="1" s="1"/>
  <c r="O303" i="1" s="1"/>
  <c r="M448" i="1"/>
  <c r="N448" i="1" s="1"/>
  <c r="O448" i="1" s="1"/>
  <c r="M529" i="1"/>
  <c r="N529" i="1" s="1"/>
  <c r="O529" i="1" s="1"/>
  <c r="L551" i="1"/>
  <c r="M83" i="1"/>
  <c r="N83" i="1" s="1"/>
  <c r="O83" i="1" s="1"/>
  <c r="M26" i="1"/>
  <c r="N26" i="1" s="1"/>
  <c r="O26" i="1" s="1"/>
  <c r="M246" i="1"/>
  <c r="N246" i="1" s="1"/>
  <c r="O246" i="1" s="1"/>
  <c r="M41" i="1"/>
  <c r="N41" i="1" s="1"/>
  <c r="O41" i="1" s="1"/>
  <c r="M238" i="1"/>
  <c r="N238" i="1" s="1"/>
  <c r="O238" i="1" s="1"/>
  <c r="M528" i="1"/>
  <c r="N528" i="1" s="1"/>
  <c r="O528" i="1" s="1"/>
  <c r="M18" i="1"/>
  <c r="N18" i="1" s="1"/>
  <c r="O18" i="1" s="1"/>
  <c r="M315" i="1"/>
  <c r="N315" i="1" s="1"/>
  <c r="O315" i="1" s="1"/>
  <c r="M204" i="1"/>
  <c r="N204" i="1" s="1"/>
  <c r="O204" i="1" s="1"/>
  <c r="M221" i="1"/>
  <c r="N221" i="1" s="1"/>
  <c r="O221" i="1" s="1"/>
  <c r="M387" i="1"/>
  <c r="N387" i="1" s="1"/>
  <c r="O387" i="1" s="1"/>
  <c r="L399" i="1"/>
  <c r="M71" i="1"/>
  <c r="N71" i="1" s="1"/>
  <c r="O71" i="1" s="1"/>
  <c r="M24" i="1"/>
  <c r="N24" i="1" s="1"/>
  <c r="O24" i="1" s="1"/>
  <c r="M134" i="1"/>
  <c r="N134" i="1" s="1"/>
  <c r="O134" i="1" s="1"/>
  <c r="M82" i="1"/>
  <c r="N82" i="1" s="1"/>
  <c r="O82" i="1" s="1"/>
  <c r="M535" i="1"/>
  <c r="N535" i="1" s="1"/>
  <c r="O535" i="1" s="1"/>
  <c r="M386" i="1"/>
  <c r="N386" i="1" s="1"/>
  <c r="O386" i="1" s="1"/>
  <c r="M253" i="1"/>
  <c r="N253" i="1" s="1"/>
  <c r="O253" i="1" s="1"/>
  <c r="M10" i="1"/>
  <c r="N10" i="1" s="1"/>
  <c r="O10" i="1" s="1"/>
  <c r="M324" i="1"/>
  <c r="N324" i="1" s="1"/>
  <c r="O324" i="1" s="1"/>
  <c r="M44" i="1"/>
  <c r="N44" i="1" s="1"/>
  <c r="O44" i="1" s="1"/>
  <c r="M563" i="1"/>
  <c r="N563" i="1" s="1"/>
  <c r="O563" i="1" s="1"/>
  <c r="M51" i="1"/>
  <c r="N51" i="1" s="1"/>
  <c r="O51" i="1" s="1"/>
  <c r="M112" i="1"/>
  <c r="N112" i="1" s="1"/>
  <c r="O112" i="1" s="1"/>
  <c r="M49" i="1"/>
  <c r="N49" i="1" s="1"/>
  <c r="O49" i="1" s="1"/>
  <c r="M404" i="1"/>
  <c r="N404" i="1" s="1"/>
  <c r="O404" i="1" s="1"/>
  <c r="L119" i="1"/>
  <c r="L179" i="1"/>
  <c r="L369" i="1"/>
  <c r="L409" i="1"/>
  <c r="L513" i="1"/>
  <c r="L471" i="1"/>
  <c r="L336" i="1"/>
  <c r="AD13" i="1"/>
  <c r="L120" i="1"/>
  <c r="L346" i="1"/>
  <c r="L233" i="1"/>
  <c r="M9" i="1"/>
  <c r="N9" i="1" s="1"/>
  <c r="O9" i="1" s="1"/>
  <c r="M196" i="1"/>
  <c r="N196" i="1" s="1"/>
  <c r="O196" i="1" s="1"/>
  <c r="M454" i="1"/>
  <c r="N454" i="1" s="1"/>
  <c r="O454" i="1" s="1"/>
  <c r="M354" i="1"/>
  <c r="N354" i="1" s="1"/>
  <c r="O354" i="1" s="1"/>
  <c r="M8" i="1"/>
  <c r="N8" i="1" s="1"/>
  <c r="O8" i="1" s="1"/>
  <c r="M374" i="1"/>
  <c r="N374" i="1" s="1"/>
  <c r="O374" i="1" s="1"/>
  <c r="M4" i="1"/>
  <c r="N4" i="1" s="1"/>
  <c r="O4" i="1" s="1"/>
  <c r="M47" i="1"/>
  <c r="N47" i="1" s="1"/>
  <c r="O47" i="1" s="1"/>
  <c r="M7" i="1"/>
  <c r="N7" i="1" s="1"/>
  <c r="O7" i="1" s="1"/>
  <c r="M444" i="1"/>
  <c r="N444" i="1" s="1"/>
  <c r="O444" i="1" s="1"/>
  <c r="M135" i="1"/>
  <c r="N135" i="1" s="1"/>
  <c r="O135" i="1" s="1"/>
  <c r="M216" i="1"/>
  <c r="N216" i="1" s="1"/>
  <c r="O216" i="1" s="1"/>
  <c r="L123" i="1"/>
  <c r="M55" i="1"/>
  <c r="N55" i="1" s="1"/>
  <c r="O55" i="1" s="1"/>
  <c r="M241" i="1"/>
  <c r="N241" i="1" s="1"/>
  <c r="O241" i="1" s="1"/>
  <c r="M116" i="1"/>
  <c r="N116" i="1" s="1"/>
  <c r="O116" i="1" s="1"/>
  <c r="M13" i="1"/>
  <c r="N13" i="1" s="1"/>
  <c r="O13" i="1" s="1"/>
  <c r="M33" i="1"/>
  <c r="N33" i="1" s="1"/>
  <c r="O33" i="1" s="1"/>
  <c r="M57" i="1"/>
  <c r="N57" i="1" s="1"/>
  <c r="O57" i="1" s="1"/>
  <c r="M586" i="1"/>
  <c r="N586" i="1" s="1"/>
  <c r="O586" i="1" s="1"/>
  <c r="L136" i="1"/>
  <c r="L122" i="1"/>
  <c r="L375" i="1"/>
  <c r="L172" i="1"/>
  <c r="L345" i="1"/>
  <c r="L296" i="1"/>
  <c r="L461" i="1"/>
  <c r="L305" i="1"/>
  <c r="L602" i="1"/>
  <c r="L418" i="1"/>
  <c r="L573" i="1"/>
  <c r="L376" i="1"/>
  <c r="L270" i="1"/>
  <c r="L356" i="1"/>
  <c r="L283" i="1"/>
  <c r="L501" i="1"/>
  <c r="L362" i="1"/>
  <c r="M384" i="1"/>
  <c r="N384" i="1" s="1"/>
  <c r="O384" i="1" s="1"/>
  <c r="L165" i="1"/>
  <c r="M306" i="1"/>
  <c r="N306" i="1" s="1"/>
  <c r="O306" i="1" s="1"/>
  <c r="M259" i="1"/>
  <c r="N259" i="1" s="1"/>
  <c r="O259" i="1" s="1"/>
  <c r="M514" i="1"/>
  <c r="N514" i="1" s="1"/>
  <c r="O514" i="1" s="1"/>
  <c r="M108" i="1"/>
  <c r="N108" i="1" s="1"/>
  <c r="O108" i="1" s="1"/>
  <c r="L240" i="1"/>
  <c r="L456" i="1"/>
  <c r="L66" i="1"/>
  <c r="L373" i="1"/>
  <c r="L118" i="1"/>
  <c r="M465" i="1"/>
  <c r="N465" i="1" s="1"/>
  <c r="O465" i="1" s="1"/>
  <c r="M301" i="1"/>
  <c r="N301" i="1" s="1"/>
  <c r="O301" i="1" s="1"/>
  <c r="M94" i="1"/>
  <c r="N94" i="1" s="1"/>
  <c r="O94" i="1" s="1"/>
  <c r="L157" i="1"/>
  <c r="M379" i="1"/>
  <c r="N379" i="1" s="1"/>
  <c r="O379" i="1" s="1"/>
  <c r="M585" i="1"/>
  <c r="N585" i="1" s="1"/>
  <c r="O585" i="1" s="1"/>
  <c r="M20" i="1"/>
  <c r="N20" i="1" s="1"/>
  <c r="O20" i="1" s="1"/>
  <c r="M96" i="1"/>
  <c r="N96" i="1" s="1"/>
  <c r="O96" i="1" s="1"/>
  <c r="M278" i="1"/>
  <c r="N278" i="1" s="1"/>
  <c r="O278" i="1" s="1"/>
  <c r="M564" i="1"/>
  <c r="N564" i="1" s="1"/>
  <c r="O564" i="1" s="1"/>
  <c r="L482" i="1"/>
  <c r="L87" i="1"/>
  <c r="L20" i="1"/>
  <c r="L244" i="1"/>
  <c r="AD12" i="1"/>
  <c r="M478" i="1"/>
  <c r="N478" i="1" s="1"/>
  <c r="O478" i="1" s="1"/>
  <c r="M211" i="1"/>
  <c r="N211" i="1" s="1"/>
  <c r="O211" i="1" s="1"/>
  <c r="M144" i="1"/>
  <c r="N144" i="1" s="1"/>
  <c r="O144" i="1" s="1"/>
  <c r="M73" i="1"/>
  <c r="N73" i="1" s="1"/>
  <c r="O73" i="1" s="1"/>
  <c r="M184" i="1"/>
  <c r="N184" i="1" s="1"/>
  <c r="O184" i="1" s="1"/>
  <c r="M201" i="1"/>
  <c r="N201" i="1" s="1"/>
  <c r="O201" i="1" s="1"/>
  <c r="M70" i="1"/>
  <c r="N70" i="1" s="1"/>
  <c r="O70" i="1" s="1"/>
  <c r="M318" i="1"/>
  <c r="N318" i="1" s="1"/>
  <c r="O318" i="1" s="1"/>
  <c r="L437" i="1"/>
  <c r="L276" i="1"/>
  <c r="L350" i="1"/>
  <c r="L364" i="1"/>
  <c r="L439" i="1"/>
  <c r="L3" i="1"/>
  <c r="M3" i="1"/>
  <c r="AD30" i="1" s="1"/>
  <c r="L101" i="1"/>
  <c r="L473" i="1"/>
  <c r="L494" i="1"/>
  <c r="L488" i="1"/>
  <c r="L343" i="1"/>
  <c r="L77" i="1"/>
  <c r="L567" i="1"/>
  <c r="AD15" i="1" l="1"/>
  <c r="AD14" i="1"/>
  <c r="N3" i="1"/>
  <c r="O3" i="1" s="1"/>
  <c r="AD29" i="1"/>
  <c r="Q3" i="1" s="1"/>
  <c r="Q4" i="1" l="1"/>
  <c r="R4" i="1" s="1"/>
  <c r="Q12" i="1"/>
  <c r="R12" i="1" s="1"/>
  <c r="Q20" i="1"/>
  <c r="R20" i="1" s="1"/>
  <c r="Q28" i="1"/>
  <c r="R28" i="1" s="1"/>
  <c r="Q36" i="1"/>
  <c r="R36" i="1" s="1"/>
  <c r="Q44" i="1"/>
  <c r="R44" i="1" s="1"/>
  <c r="Q52" i="1"/>
  <c r="R52" i="1" s="1"/>
  <c r="Q60" i="1"/>
  <c r="R60" i="1" s="1"/>
  <c r="Q68" i="1"/>
  <c r="R68" i="1" s="1"/>
  <c r="Q76" i="1"/>
  <c r="R76" i="1" s="1"/>
  <c r="Q84" i="1"/>
  <c r="R84" i="1" s="1"/>
  <c r="Q92" i="1"/>
  <c r="R92" i="1" s="1"/>
  <c r="Q100" i="1"/>
  <c r="R100" i="1" s="1"/>
  <c r="Q108" i="1"/>
  <c r="R108" i="1" s="1"/>
  <c r="Q116" i="1"/>
  <c r="R116" i="1" s="1"/>
  <c r="Q124" i="1"/>
  <c r="R124" i="1" s="1"/>
  <c r="Q132" i="1"/>
  <c r="R132" i="1" s="1"/>
  <c r="Q140" i="1"/>
  <c r="R140" i="1" s="1"/>
  <c r="Q148" i="1"/>
  <c r="R148" i="1" s="1"/>
  <c r="Q156" i="1"/>
  <c r="R156" i="1" s="1"/>
  <c r="Q164" i="1"/>
  <c r="R164" i="1" s="1"/>
  <c r="Q172" i="1"/>
  <c r="R172" i="1" s="1"/>
  <c r="Q180" i="1"/>
  <c r="R180" i="1" s="1"/>
  <c r="Q188" i="1"/>
  <c r="R188" i="1" s="1"/>
  <c r="Q196" i="1"/>
  <c r="R196" i="1" s="1"/>
  <c r="Q204" i="1"/>
  <c r="R204" i="1" s="1"/>
  <c r="Q212" i="1"/>
  <c r="R212" i="1" s="1"/>
  <c r="Q220" i="1"/>
  <c r="R220" i="1" s="1"/>
  <c r="Q228" i="1"/>
  <c r="R228" i="1" s="1"/>
  <c r="Q236" i="1"/>
  <c r="R236" i="1" s="1"/>
  <c r="Q244" i="1"/>
  <c r="R244" i="1" s="1"/>
  <c r="Q252" i="1"/>
  <c r="R252" i="1" s="1"/>
  <c r="Q260" i="1"/>
  <c r="R260" i="1" s="1"/>
  <c r="Q268" i="1"/>
  <c r="R268" i="1" s="1"/>
  <c r="Q276" i="1"/>
  <c r="R276" i="1" s="1"/>
  <c r="Q284" i="1"/>
  <c r="R284" i="1" s="1"/>
  <c r="Q292" i="1"/>
  <c r="R292" i="1" s="1"/>
  <c r="Q300" i="1"/>
  <c r="R300" i="1" s="1"/>
  <c r="Q308" i="1"/>
  <c r="R308" i="1" s="1"/>
  <c r="Q316" i="1"/>
  <c r="R316" i="1" s="1"/>
  <c r="Q324" i="1"/>
  <c r="R324" i="1" s="1"/>
  <c r="Q332" i="1"/>
  <c r="R332" i="1" s="1"/>
  <c r="Q340" i="1"/>
  <c r="R340" i="1" s="1"/>
  <c r="Q348" i="1"/>
  <c r="R348" i="1" s="1"/>
  <c r="Q356" i="1"/>
  <c r="R356" i="1" s="1"/>
  <c r="Q364" i="1"/>
  <c r="R364" i="1" s="1"/>
  <c r="Q372" i="1"/>
  <c r="R372" i="1" s="1"/>
  <c r="Q380" i="1"/>
  <c r="R380" i="1" s="1"/>
  <c r="Q388" i="1"/>
  <c r="R388" i="1" s="1"/>
  <c r="Q396" i="1"/>
  <c r="R396" i="1" s="1"/>
  <c r="Q404" i="1"/>
  <c r="R404" i="1" s="1"/>
  <c r="Q412" i="1"/>
  <c r="R412" i="1" s="1"/>
  <c r="Q420" i="1"/>
  <c r="R420" i="1" s="1"/>
  <c r="Q428" i="1"/>
  <c r="R428" i="1" s="1"/>
  <c r="Q436" i="1"/>
  <c r="R436" i="1" s="1"/>
  <c r="Q444" i="1"/>
  <c r="R444" i="1" s="1"/>
  <c r="Q452" i="1"/>
  <c r="R452" i="1" s="1"/>
  <c r="Q460" i="1"/>
  <c r="R460" i="1" s="1"/>
  <c r="Q468" i="1"/>
  <c r="R468" i="1" s="1"/>
  <c r="Q476" i="1"/>
  <c r="R476" i="1" s="1"/>
  <c r="Q484" i="1"/>
  <c r="R484" i="1" s="1"/>
  <c r="Q492" i="1"/>
  <c r="R492" i="1" s="1"/>
  <c r="Q500" i="1"/>
  <c r="R500" i="1" s="1"/>
  <c r="Q508" i="1"/>
  <c r="R508" i="1" s="1"/>
  <c r="Q516" i="1"/>
  <c r="R516" i="1" s="1"/>
  <c r="Q524" i="1"/>
  <c r="R524" i="1" s="1"/>
  <c r="Q532" i="1"/>
  <c r="R532" i="1" s="1"/>
  <c r="Q540" i="1"/>
  <c r="R540" i="1" s="1"/>
  <c r="Q548" i="1"/>
  <c r="R548" i="1" s="1"/>
  <c r="Q556" i="1"/>
  <c r="R556" i="1" s="1"/>
  <c r="Q564" i="1"/>
  <c r="R564" i="1" s="1"/>
  <c r="Q572" i="1"/>
  <c r="R572" i="1" s="1"/>
  <c r="Q580" i="1"/>
  <c r="R580" i="1" s="1"/>
  <c r="Q588" i="1"/>
  <c r="R588" i="1" s="1"/>
  <c r="Q596" i="1"/>
  <c r="R596" i="1" s="1"/>
  <c r="R3" i="1"/>
  <c r="Q25" i="1"/>
  <c r="R25" i="1" s="1"/>
  <c r="Q49" i="1"/>
  <c r="R49" i="1" s="1"/>
  <c r="Q65" i="1"/>
  <c r="R65" i="1" s="1"/>
  <c r="Q81" i="1"/>
  <c r="R81" i="1" s="1"/>
  <c r="Q97" i="1"/>
  <c r="R97" i="1" s="1"/>
  <c r="Q113" i="1"/>
  <c r="R113" i="1" s="1"/>
  <c r="Q129" i="1"/>
  <c r="R129" i="1" s="1"/>
  <c r="Q153" i="1"/>
  <c r="R153" i="1" s="1"/>
  <c r="Q169" i="1"/>
  <c r="R169" i="1" s="1"/>
  <c r="Q5" i="1"/>
  <c r="R5" i="1" s="1"/>
  <c r="Q13" i="1"/>
  <c r="R13" i="1" s="1"/>
  <c r="Q21" i="1"/>
  <c r="R21" i="1" s="1"/>
  <c r="Q29" i="1"/>
  <c r="R29" i="1" s="1"/>
  <c r="Q37" i="1"/>
  <c r="R37" i="1" s="1"/>
  <c r="Q45" i="1"/>
  <c r="R45" i="1" s="1"/>
  <c r="Q53" i="1"/>
  <c r="R53" i="1" s="1"/>
  <c r="Q61" i="1"/>
  <c r="R61" i="1" s="1"/>
  <c r="Q69" i="1"/>
  <c r="R69" i="1" s="1"/>
  <c r="Q77" i="1"/>
  <c r="R77" i="1" s="1"/>
  <c r="Q85" i="1"/>
  <c r="R85" i="1" s="1"/>
  <c r="Q93" i="1"/>
  <c r="R93" i="1" s="1"/>
  <c r="Q101" i="1"/>
  <c r="R101" i="1" s="1"/>
  <c r="Q109" i="1"/>
  <c r="R109" i="1" s="1"/>
  <c r="Q117" i="1"/>
  <c r="R117" i="1" s="1"/>
  <c r="Q125" i="1"/>
  <c r="R125" i="1" s="1"/>
  <c r="Q133" i="1"/>
  <c r="R133" i="1" s="1"/>
  <c r="Q141" i="1"/>
  <c r="R141" i="1" s="1"/>
  <c r="Q149" i="1"/>
  <c r="R149" i="1" s="1"/>
  <c r="Q157" i="1"/>
  <c r="R157" i="1" s="1"/>
  <c r="Q165" i="1"/>
  <c r="R165" i="1" s="1"/>
  <c r="Q173" i="1"/>
  <c r="R173" i="1" s="1"/>
  <c r="Q181" i="1"/>
  <c r="R181" i="1" s="1"/>
  <c r="Q189" i="1"/>
  <c r="R189" i="1" s="1"/>
  <c r="Q197" i="1"/>
  <c r="R197" i="1" s="1"/>
  <c r="Q205" i="1"/>
  <c r="R205" i="1" s="1"/>
  <c r="Q213" i="1"/>
  <c r="R213" i="1" s="1"/>
  <c r="Q221" i="1"/>
  <c r="R221" i="1" s="1"/>
  <c r="Q229" i="1"/>
  <c r="R229" i="1" s="1"/>
  <c r="Q237" i="1"/>
  <c r="R237" i="1" s="1"/>
  <c r="Q245" i="1"/>
  <c r="R245" i="1" s="1"/>
  <c r="Q253" i="1"/>
  <c r="R253" i="1" s="1"/>
  <c r="Q261" i="1"/>
  <c r="R261" i="1" s="1"/>
  <c r="Q269" i="1"/>
  <c r="R269" i="1" s="1"/>
  <c r="Q277" i="1"/>
  <c r="R277" i="1" s="1"/>
  <c r="Q285" i="1"/>
  <c r="R285" i="1" s="1"/>
  <c r="Q293" i="1"/>
  <c r="R293" i="1" s="1"/>
  <c r="Q301" i="1"/>
  <c r="R301" i="1" s="1"/>
  <c r="Q309" i="1"/>
  <c r="R309" i="1" s="1"/>
  <c r="Q317" i="1"/>
  <c r="R317" i="1" s="1"/>
  <c r="Q325" i="1"/>
  <c r="R325" i="1" s="1"/>
  <c r="Q333" i="1"/>
  <c r="R333" i="1" s="1"/>
  <c r="Q341" i="1"/>
  <c r="R341" i="1" s="1"/>
  <c r="Q349" i="1"/>
  <c r="R349" i="1" s="1"/>
  <c r="Q357" i="1"/>
  <c r="R357" i="1" s="1"/>
  <c r="Q365" i="1"/>
  <c r="R365" i="1" s="1"/>
  <c r="Q373" i="1"/>
  <c r="R373" i="1" s="1"/>
  <c r="Q381" i="1"/>
  <c r="R381" i="1" s="1"/>
  <c r="Q389" i="1"/>
  <c r="R389" i="1" s="1"/>
  <c r="Q397" i="1"/>
  <c r="R397" i="1" s="1"/>
  <c r="Q405" i="1"/>
  <c r="R405" i="1" s="1"/>
  <c r="Q413" i="1"/>
  <c r="R413" i="1" s="1"/>
  <c r="Q421" i="1"/>
  <c r="R421" i="1" s="1"/>
  <c r="Q429" i="1"/>
  <c r="R429" i="1" s="1"/>
  <c r="Q437" i="1"/>
  <c r="R437" i="1" s="1"/>
  <c r="Q445" i="1"/>
  <c r="R445" i="1" s="1"/>
  <c r="Q453" i="1"/>
  <c r="R453" i="1" s="1"/>
  <c r="Q461" i="1"/>
  <c r="R461" i="1" s="1"/>
  <c r="Q469" i="1"/>
  <c r="R469" i="1" s="1"/>
  <c r="Q477" i="1"/>
  <c r="R477" i="1" s="1"/>
  <c r="Q485" i="1"/>
  <c r="R485" i="1" s="1"/>
  <c r="Q493" i="1"/>
  <c r="R493" i="1" s="1"/>
  <c r="Q501" i="1"/>
  <c r="R501" i="1" s="1"/>
  <c r="Q509" i="1"/>
  <c r="R509" i="1" s="1"/>
  <c r="Q517" i="1"/>
  <c r="R517" i="1" s="1"/>
  <c r="Q525" i="1"/>
  <c r="R525" i="1" s="1"/>
  <c r="Q533" i="1"/>
  <c r="R533" i="1" s="1"/>
  <c r="Q541" i="1"/>
  <c r="R541" i="1" s="1"/>
  <c r="Q549" i="1"/>
  <c r="R549" i="1" s="1"/>
  <c r="Q557" i="1"/>
  <c r="R557" i="1" s="1"/>
  <c r="Q565" i="1"/>
  <c r="R565" i="1" s="1"/>
  <c r="Q573" i="1"/>
  <c r="R573" i="1" s="1"/>
  <c r="Q581" i="1"/>
  <c r="R581" i="1" s="1"/>
  <c r="Q589" i="1"/>
  <c r="R589" i="1" s="1"/>
  <c r="Q597" i="1"/>
  <c r="R597" i="1" s="1"/>
  <c r="Q33" i="1"/>
  <c r="R33" i="1" s="1"/>
  <c r="Q6" i="1"/>
  <c r="R6" i="1" s="1"/>
  <c r="Q14" i="1"/>
  <c r="R14" i="1" s="1"/>
  <c r="Q22" i="1"/>
  <c r="R22" i="1" s="1"/>
  <c r="Q30" i="1"/>
  <c r="R30" i="1" s="1"/>
  <c r="Q38" i="1"/>
  <c r="R38" i="1" s="1"/>
  <c r="Q46" i="1"/>
  <c r="R46" i="1" s="1"/>
  <c r="Q54" i="1"/>
  <c r="R54" i="1" s="1"/>
  <c r="Q62" i="1"/>
  <c r="R62" i="1" s="1"/>
  <c r="Q70" i="1"/>
  <c r="R70" i="1" s="1"/>
  <c r="Q78" i="1"/>
  <c r="R78" i="1" s="1"/>
  <c r="Q86" i="1"/>
  <c r="R86" i="1" s="1"/>
  <c r="Q94" i="1"/>
  <c r="R94" i="1" s="1"/>
  <c r="Q102" i="1"/>
  <c r="R102" i="1" s="1"/>
  <c r="Q110" i="1"/>
  <c r="R110" i="1" s="1"/>
  <c r="Q118" i="1"/>
  <c r="R118" i="1" s="1"/>
  <c r="Q126" i="1"/>
  <c r="R126" i="1" s="1"/>
  <c r="Q134" i="1"/>
  <c r="R134" i="1" s="1"/>
  <c r="Q142" i="1"/>
  <c r="R142" i="1" s="1"/>
  <c r="Q150" i="1"/>
  <c r="R150" i="1" s="1"/>
  <c r="Q158" i="1"/>
  <c r="R158" i="1" s="1"/>
  <c r="Q166" i="1"/>
  <c r="R166" i="1" s="1"/>
  <c r="Q174" i="1"/>
  <c r="R174" i="1" s="1"/>
  <c r="Q182" i="1"/>
  <c r="R182" i="1" s="1"/>
  <c r="Q190" i="1"/>
  <c r="R190" i="1" s="1"/>
  <c r="Q198" i="1"/>
  <c r="R198" i="1" s="1"/>
  <c r="Q206" i="1"/>
  <c r="R206" i="1" s="1"/>
  <c r="Q214" i="1"/>
  <c r="R214" i="1" s="1"/>
  <c r="Q222" i="1"/>
  <c r="R222" i="1" s="1"/>
  <c r="Q230" i="1"/>
  <c r="R230" i="1" s="1"/>
  <c r="Q238" i="1"/>
  <c r="R238" i="1" s="1"/>
  <c r="Q246" i="1"/>
  <c r="R246" i="1" s="1"/>
  <c r="Q254" i="1"/>
  <c r="R254" i="1" s="1"/>
  <c r="Q262" i="1"/>
  <c r="R262" i="1" s="1"/>
  <c r="Q270" i="1"/>
  <c r="R270" i="1" s="1"/>
  <c r="Q278" i="1"/>
  <c r="R278" i="1" s="1"/>
  <c r="Q286" i="1"/>
  <c r="R286" i="1" s="1"/>
  <c r="Q294" i="1"/>
  <c r="R294" i="1" s="1"/>
  <c r="Q302" i="1"/>
  <c r="R302" i="1" s="1"/>
  <c r="Q310" i="1"/>
  <c r="R310" i="1" s="1"/>
  <c r="Q318" i="1"/>
  <c r="R318" i="1" s="1"/>
  <c r="Q326" i="1"/>
  <c r="R326" i="1" s="1"/>
  <c r="Q334" i="1"/>
  <c r="R334" i="1" s="1"/>
  <c r="Q342" i="1"/>
  <c r="R342" i="1" s="1"/>
  <c r="Q350" i="1"/>
  <c r="R350" i="1" s="1"/>
  <c r="Q358" i="1"/>
  <c r="R358" i="1" s="1"/>
  <c r="Q366" i="1"/>
  <c r="R366" i="1" s="1"/>
  <c r="Q374" i="1"/>
  <c r="R374" i="1" s="1"/>
  <c r="Q382" i="1"/>
  <c r="R382" i="1" s="1"/>
  <c r="Q390" i="1"/>
  <c r="R390" i="1" s="1"/>
  <c r="Q398" i="1"/>
  <c r="R398" i="1" s="1"/>
  <c r="Q406" i="1"/>
  <c r="R406" i="1" s="1"/>
  <c r="Q414" i="1"/>
  <c r="R414" i="1" s="1"/>
  <c r="Q422" i="1"/>
  <c r="R422" i="1" s="1"/>
  <c r="Q430" i="1"/>
  <c r="R430" i="1" s="1"/>
  <c r="Q438" i="1"/>
  <c r="R438" i="1" s="1"/>
  <c r="Q446" i="1"/>
  <c r="R446" i="1" s="1"/>
  <c r="Q454" i="1"/>
  <c r="R454" i="1" s="1"/>
  <c r="Q462" i="1"/>
  <c r="R462" i="1" s="1"/>
  <c r="Q470" i="1"/>
  <c r="R470" i="1" s="1"/>
  <c r="Q478" i="1"/>
  <c r="R478" i="1" s="1"/>
  <c r="Q486" i="1"/>
  <c r="R486" i="1" s="1"/>
  <c r="Q494" i="1"/>
  <c r="R494" i="1" s="1"/>
  <c r="Q502" i="1"/>
  <c r="R502" i="1" s="1"/>
  <c r="Q510" i="1"/>
  <c r="R510" i="1" s="1"/>
  <c r="Q518" i="1"/>
  <c r="R518" i="1" s="1"/>
  <c r="Q526" i="1"/>
  <c r="R526" i="1" s="1"/>
  <c r="Q534" i="1"/>
  <c r="R534" i="1" s="1"/>
  <c r="Q542" i="1"/>
  <c r="R542" i="1" s="1"/>
  <c r="Q550" i="1"/>
  <c r="R550" i="1" s="1"/>
  <c r="Q558" i="1"/>
  <c r="R558" i="1" s="1"/>
  <c r="Q566" i="1"/>
  <c r="R566" i="1" s="1"/>
  <c r="Q574" i="1"/>
  <c r="R574" i="1" s="1"/>
  <c r="Q582" i="1"/>
  <c r="R582" i="1" s="1"/>
  <c r="Q590" i="1"/>
  <c r="R590" i="1" s="1"/>
  <c r="Q598" i="1"/>
  <c r="R598" i="1" s="1"/>
  <c r="Q41" i="1"/>
  <c r="R41" i="1" s="1"/>
  <c r="Q137" i="1"/>
  <c r="R137" i="1" s="1"/>
  <c r="Q177" i="1"/>
  <c r="R177" i="1" s="1"/>
  <c r="Q225" i="1"/>
  <c r="R225" i="1" s="1"/>
  <c r="Q249" i="1"/>
  <c r="R249" i="1" s="1"/>
  <c r="Q257" i="1"/>
  <c r="R257" i="1" s="1"/>
  <c r="Q7" i="1"/>
  <c r="R7" i="1" s="1"/>
  <c r="Q15" i="1"/>
  <c r="R15" i="1" s="1"/>
  <c r="Q23" i="1"/>
  <c r="R23" i="1" s="1"/>
  <c r="Q31" i="1"/>
  <c r="R31" i="1" s="1"/>
  <c r="Q39" i="1"/>
  <c r="R39" i="1" s="1"/>
  <c r="Q47" i="1"/>
  <c r="R47" i="1" s="1"/>
  <c r="Q55" i="1"/>
  <c r="R55" i="1" s="1"/>
  <c r="Q63" i="1"/>
  <c r="R63" i="1" s="1"/>
  <c r="Q71" i="1"/>
  <c r="R71" i="1" s="1"/>
  <c r="Q79" i="1"/>
  <c r="R79" i="1" s="1"/>
  <c r="Q87" i="1"/>
  <c r="R87" i="1" s="1"/>
  <c r="Q95" i="1"/>
  <c r="R95" i="1" s="1"/>
  <c r="Q103" i="1"/>
  <c r="R103" i="1" s="1"/>
  <c r="Q111" i="1"/>
  <c r="R111" i="1" s="1"/>
  <c r="Q119" i="1"/>
  <c r="R119" i="1" s="1"/>
  <c r="Q127" i="1"/>
  <c r="R127" i="1" s="1"/>
  <c r="Q135" i="1"/>
  <c r="R135" i="1" s="1"/>
  <c r="Q143" i="1"/>
  <c r="R143" i="1" s="1"/>
  <c r="Q151" i="1"/>
  <c r="R151" i="1" s="1"/>
  <c r="Q159" i="1"/>
  <c r="R159" i="1" s="1"/>
  <c r="Q167" i="1"/>
  <c r="R167" i="1" s="1"/>
  <c r="Q175" i="1"/>
  <c r="R175" i="1" s="1"/>
  <c r="Q183" i="1"/>
  <c r="R183" i="1" s="1"/>
  <c r="Q191" i="1"/>
  <c r="R191" i="1" s="1"/>
  <c r="Q199" i="1"/>
  <c r="R199" i="1" s="1"/>
  <c r="Q207" i="1"/>
  <c r="R207" i="1" s="1"/>
  <c r="Q215" i="1"/>
  <c r="R215" i="1" s="1"/>
  <c r="Q223" i="1"/>
  <c r="R223" i="1" s="1"/>
  <c r="Q231" i="1"/>
  <c r="R231" i="1" s="1"/>
  <c r="Q239" i="1"/>
  <c r="R239" i="1" s="1"/>
  <c r="Q247" i="1"/>
  <c r="R247" i="1" s="1"/>
  <c r="Q255" i="1"/>
  <c r="R255" i="1" s="1"/>
  <c r="Q263" i="1"/>
  <c r="R263" i="1" s="1"/>
  <c r="Q271" i="1"/>
  <c r="R271" i="1" s="1"/>
  <c r="Q279" i="1"/>
  <c r="R279" i="1" s="1"/>
  <c r="Q287" i="1"/>
  <c r="R287" i="1" s="1"/>
  <c r="Q295" i="1"/>
  <c r="R295" i="1" s="1"/>
  <c r="Q303" i="1"/>
  <c r="R303" i="1" s="1"/>
  <c r="Q311" i="1"/>
  <c r="R311" i="1" s="1"/>
  <c r="Q319" i="1"/>
  <c r="R319" i="1" s="1"/>
  <c r="Q327" i="1"/>
  <c r="R327" i="1" s="1"/>
  <c r="Q335" i="1"/>
  <c r="R335" i="1" s="1"/>
  <c r="Q343" i="1"/>
  <c r="R343" i="1" s="1"/>
  <c r="Q351" i="1"/>
  <c r="R351" i="1" s="1"/>
  <c r="Q359" i="1"/>
  <c r="R359" i="1" s="1"/>
  <c r="Q367" i="1"/>
  <c r="R367" i="1" s="1"/>
  <c r="Q375" i="1"/>
  <c r="R375" i="1" s="1"/>
  <c r="Q383" i="1"/>
  <c r="R383" i="1" s="1"/>
  <c r="Q391" i="1"/>
  <c r="R391" i="1" s="1"/>
  <c r="Q399" i="1"/>
  <c r="R399" i="1" s="1"/>
  <c r="Q407" i="1"/>
  <c r="R407" i="1" s="1"/>
  <c r="Q415" i="1"/>
  <c r="R415" i="1" s="1"/>
  <c r="Q423" i="1"/>
  <c r="R423" i="1" s="1"/>
  <c r="Q431" i="1"/>
  <c r="R431" i="1" s="1"/>
  <c r="Q439" i="1"/>
  <c r="R439" i="1" s="1"/>
  <c r="Q447" i="1"/>
  <c r="R447" i="1" s="1"/>
  <c r="Q455" i="1"/>
  <c r="R455" i="1" s="1"/>
  <c r="Q463" i="1"/>
  <c r="R463" i="1" s="1"/>
  <c r="Q471" i="1"/>
  <c r="R471" i="1" s="1"/>
  <c r="Q479" i="1"/>
  <c r="R479" i="1" s="1"/>
  <c r="Q487" i="1"/>
  <c r="R487" i="1" s="1"/>
  <c r="Q495" i="1"/>
  <c r="R495" i="1" s="1"/>
  <c r="Q503" i="1"/>
  <c r="R503" i="1" s="1"/>
  <c r="Q511" i="1"/>
  <c r="R511" i="1" s="1"/>
  <c r="Q519" i="1"/>
  <c r="R519" i="1" s="1"/>
  <c r="Q527" i="1"/>
  <c r="R527" i="1" s="1"/>
  <c r="Q535" i="1"/>
  <c r="R535" i="1" s="1"/>
  <c r="Q543" i="1"/>
  <c r="R543" i="1" s="1"/>
  <c r="Q551" i="1"/>
  <c r="R551" i="1" s="1"/>
  <c r="Q559" i="1"/>
  <c r="R559" i="1" s="1"/>
  <c r="Q567" i="1"/>
  <c r="R567" i="1" s="1"/>
  <c r="Q575" i="1"/>
  <c r="R575" i="1" s="1"/>
  <c r="Q583" i="1"/>
  <c r="R583" i="1" s="1"/>
  <c r="Q591" i="1"/>
  <c r="R591" i="1" s="1"/>
  <c r="Q599" i="1"/>
  <c r="R599" i="1" s="1"/>
  <c r="Q17" i="1"/>
  <c r="R17" i="1" s="1"/>
  <c r="Q185" i="1"/>
  <c r="R185" i="1" s="1"/>
  <c r="Q241" i="1"/>
  <c r="R241" i="1" s="1"/>
  <c r="Q8" i="1"/>
  <c r="R8" i="1" s="1"/>
  <c r="Q16" i="1"/>
  <c r="R16" i="1" s="1"/>
  <c r="Q24" i="1"/>
  <c r="R24" i="1" s="1"/>
  <c r="Q32" i="1"/>
  <c r="R32" i="1" s="1"/>
  <c r="Q40" i="1"/>
  <c r="R40" i="1" s="1"/>
  <c r="Q48" i="1"/>
  <c r="R48" i="1" s="1"/>
  <c r="Q56" i="1"/>
  <c r="R56" i="1" s="1"/>
  <c r="Q64" i="1"/>
  <c r="R64" i="1" s="1"/>
  <c r="Q72" i="1"/>
  <c r="R72" i="1" s="1"/>
  <c r="Q80" i="1"/>
  <c r="R80" i="1" s="1"/>
  <c r="Q88" i="1"/>
  <c r="R88" i="1" s="1"/>
  <c r="Q96" i="1"/>
  <c r="R96" i="1" s="1"/>
  <c r="Q104" i="1"/>
  <c r="R104" i="1" s="1"/>
  <c r="Q112" i="1"/>
  <c r="R112" i="1" s="1"/>
  <c r="Q120" i="1"/>
  <c r="R120" i="1" s="1"/>
  <c r="Q128" i="1"/>
  <c r="R128" i="1" s="1"/>
  <c r="Q136" i="1"/>
  <c r="R136" i="1" s="1"/>
  <c r="Q144" i="1"/>
  <c r="R144" i="1" s="1"/>
  <c r="Q152" i="1"/>
  <c r="R152" i="1" s="1"/>
  <c r="Q160" i="1"/>
  <c r="R160" i="1" s="1"/>
  <c r="Q168" i="1"/>
  <c r="R168" i="1" s="1"/>
  <c r="Q176" i="1"/>
  <c r="R176" i="1" s="1"/>
  <c r="Q184" i="1"/>
  <c r="R184" i="1" s="1"/>
  <c r="Q192" i="1"/>
  <c r="R192" i="1" s="1"/>
  <c r="Q200" i="1"/>
  <c r="R200" i="1" s="1"/>
  <c r="Q208" i="1"/>
  <c r="R208" i="1" s="1"/>
  <c r="Q216" i="1"/>
  <c r="R216" i="1" s="1"/>
  <c r="Q224" i="1"/>
  <c r="R224" i="1" s="1"/>
  <c r="Q232" i="1"/>
  <c r="R232" i="1" s="1"/>
  <c r="Q240" i="1"/>
  <c r="R240" i="1" s="1"/>
  <c r="Q248" i="1"/>
  <c r="R248" i="1" s="1"/>
  <c r="Q256" i="1"/>
  <c r="R256" i="1" s="1"/>
  <c r="Q264" i="1"/>
  <c r="R264" i="1" s="1"/>
  <c r="Q272" i="1"/>
  <c r="R272" i="1" s="1"/>
  <c r="Q280" i="1"/>
  <c r="R280" i="1" s="1"/>
  <c r="Q288" i="1"/>
  <c r="R288" i="1" s="1"/>
  <c r="Q296" i="1"/>
  <c r="R296" i="1" s="1"/>
  <c r="Q304" i="1"/>
  <c r="R304" i="1" s="1"/>
  <c r="Q312" i="1"/>
  <c r="R312" i="1" s="1"/>
  <c r="Q320" i="1"/>
  <c r="R320" i="1" s="1"/>
  <c r="Q328" i="1"/>
  <c r="R328" i="1" s="1"/>
  <c r="Q336" i="1"/>
  <c r="R336" i="1" s="1"/>
  <c r="Q344" i="1"/>
  <c r="R344" i="1" s="1"/>
  <c r="Q352" i="1"/>
  <c r="R352" i="1" s="1"/>
  <c r="Q360" i="1"/>
  <c r="R360" i="1" s="1"/>
  <c r="Q368" i="1"/>
  <c r="R368" i="1" s="1"/>
  <c r="Q376" i="1"/>
  <c r="R376" i="1" s="1"/>
  <c r="Q384" i="1"/>
  <c r="R384" i="1" s="1"/>
  <c r="Q392" i="1"/>
  <c r="R392" i="1" s="1"/>
  <c r="Q400" i="1"/>
  <c r="R400" i="1" s="1"/>
  <c r="Q408" i="1"/>
  <c r="R408" i="1" s="1"/>
  <c r="Q416" i="1"/>
  <c r="R416" i="1" s="1"/>
  <c r="Q424" i="1"/>
  <c r="R424" i="1" s="1"/>
  <c r="Q432" i="1"/>
  <c r="R432" i="1" s="1"/>
  <c r="Q440" i="1"/>
  <c r="R440" i="1" s="1"/>
  <c r="Q448" i="1"/>
  <c r="R448" i="1" s="1"/>
  <c r="Q456" i="1"/>
  <c r="R456" i="1" s="1"/>
  <c r="Q464" i="1"/>
  <c r="R464" i="1" s="1"/>
  <c r="Q472" i="1"/>
  <c r="R472" i="1" s="1"/>
  <c r="Q480" i="1"/>
  <c r="R480" i="1" s="1"/>
  <c r="Q488" i="1"/>
  <c r="R488" i="1" s="1"/>
  <c r="Q496" i="1"/>
  <c r="R496" i="1" s="1"/>
  <c r="Q504" i="1"/>
  <c r="R504" i="1" s="1"/>
  <c r="Q512" i="1"/>
  <c r="R512" i="1" s="1"/>
  <c r="Q520" i="1"/>
  <c r="R520" i="1" s="1"/>
  <c r="Q528" i="1"/>
  <c r="R528" i="1" s="1"/>
  <c r="Q536" i="1"/>
  <c r="R536" i="1" s="1"/>
  <c r="Q544" i="1"/>
  <c r="R544" i="1" s="1"/>
  <c r="Q552" i="1"/>
  <c r="R552" i="1" s="1"/>
  <c r="Q560" i="1"/>
  <c r="R560" i="1" s="1"/>
  <c r="Q568" i="1"/>
  <c r="R568" i="1" s="1"/>
  <c r="Q576" i="1"/>
  <c r="R576" i="1" s="1"/>
  <c r="Q584" i="1"/>
  <c r="R584" i="1" s="1"/>
  <c r="Q592" i="1"/>
  <c r="R592" i="1" s="1"/>
  <c r="Q600" i="1"/>
  <c r="R600" i="1" s="1"/>
  <c r="Q9" i="1"/>
  <c r="R9" i="1" s="1"/>
  <c r="Q57" i="1"/>
  <c r="R57" i="1" s="1"/>
  <c r="Q73" i="1"/>
  <c r="R73" i="1" s="1"/>
  <c r="Q89" i="1"/>
  <c r="R89" i="1" s="1"/>
  <c r="Q105" i="1"/>
  <c r="R105" i="1" s="1"/>
  <c r="Q121" i="1"/>
  <c r="R121" i="1" s="1"/>
  <c r="Q145" i="1"/>
  <c r="R145" i="1" s="1"/>
  <c r="Q161" i="1"/>
  <c r="R161" i="1" s="1"/>
  <c r="Q193" i="1"/>
  <c r="R193" i="1" s="1"/>
  <c r="Q217" i="1"/>
  <c r="R217" i="1" s="1"/>
  <c r="Q10" i="1"/>
  <c r="R10" i="1" s="1"/>
  <c r="Q42" i="1"/>
  <c r="R42" i="1" s="1"/>
  <c r="Q74" i="1"/>
  <c r="R74" i="1" s="1"/>
  <c r="Q106" i="1"/>
  <c r="R106" i="1" s="1"/>
  <c r="Q138" i="1"/>
  <c r="R138" i="1" s="1"/>
  <c r="Q170" i="1"/>
  <c r="R170" i="1" s="1"/>
  <c r="Q201" i="1"/>
  <c r="R201" i="1" s="1"/>
  <c r="Q226" i="1"/>
  <c r="R226" i="1" s="1"/>
  <c r="Q251" i="1"/>
  <c r="R251" i="1" s="1"/>
  <c r="Q275" i="1"/>
  <c r="R275" i="1" s="1"/>
  <c r="Q298" i="1"/>
  <c r="R298" i="1" s="1"/>
  <c r="Q321" i="1"/>
  <c r="R321" i="1" s="1"/>
  <c r="Q339" i="1"/>
  <c r="R339" i="1" s="1"/>
  <c r="Q362" i="1"/>
  <c r="R362" i="1" s="1"/>
  <c r="Q385" i="1"/>
  <c r="R385" i="1" s="1"/>
  <c r="Q403" i="1"/>
  <c r="R403" i="1" s="1"/>
  <c r="Q426" i="1"/>
  <c r="R426" i="1" s="1"/>
  <c r="Q449" i="1"/>
  <c r="R449" i="1" s="1"/>
  <c r="Q467" i="1"/>
  <c r="R467" i="1" s="1"/>
  <c r="Q490" i="1"/>
  <c r="R490" i="1" s="1"/>
  <c r="Q513" i="1"/>
  <c r="R513" i="1" s="1"/>
  <c r="Q531" i="1"/>
  <c r="R531" i="1" s="1"/>
  <c r="Q554" i="1"/>
  <c r="R554" i="1" s="1"/>
  <c r="Q577" i="1"/>
  <c r="R577" i="1" s="1"/>
  <c r="Q595" i="1"/>
  <c r="R595" i="1" s="1"/>
  <c r="Q123" i="1"/>
  <c r="R123" i="1" s="1"/>
  <c r="Q187" i="1"/>
  <c r="R187" i="1" s="1"/>
  <c r="Q242" i="1"/>
  <c r="R242" i="1" s="1"/>
  <c r="Q290" i="1"/>
  <c r="R290" i="1" s="1"/>
  <c r="Q331" i="1"/>
  <c r="R331" i="1" s="1"/>
  <c r="Q377" i="1"/>
  <c r="R377" i="1" s="1"/>
  <c r="Q418" i="1"/>
  <c r="R418" i="1" s="1"/>
  <c r="Q459" i="1"/>
  <c r="R459" i="1" s="1"/>
  <c r="Q505" i="1"/>
  <c r="R505" i="1" s="1"/>
  <c r="Q546" i="1"/>
  <c r="R546" i="1" s="1"/>
  <c r="Q162" i="1"/>
  <c r="R162" i="1" s="1"/>
  <c r="Q194" i="1"/>
  <c r="R194" i="1" s="1"/>
  <c r="Q243" i="1"/>
  <c r="R243" i="1" s="1"/>
  <c r="Q273" i="1"/>
  <c r="R273" i="1" s="1"/>
  <c r="Q337" i="1"/>
  <c r="R337" i="1" s="1"/>
  <c r="Q419" i="1"/>
  <c r="R419" i="1" s="1"/>
  <c r="Q506" i="1"/>
  <c r="R506" i="1" s="1"/>
  <c r="Q35" i="1"/>
  <c r="R35" i="1" s="1"/>
  <c r="Q219" i="1"/>
  <c r="R219" i="1" s="1"/>
  <c r="Q338" i="1"/>
  <c r="R338" i="1" s="1"/>
  <c r="Q425" i="1"/>
  <c r="R425" i="1" s="1"/>
  <c r="Q507" i="1"/>
  <c r="R507" i="1" s="1"/>
  <c r="Q571" i="1"/>
  <c r="R571" i="1" s="1"/>
  <c r="Q11" i="1"/>
  <c r="R11" i="1" s="1"/>
  <c r="Q43" i="1"/>
  <c r="R43" i="1" s="1"/>
  <c r="Q75" i="1"/>
  <c r="R75" i="1" s="1"/>
  <c r="Q107" i="1"/>
  <c r="R107" i="1" s="1"/>
  <c r="Q139" i="1"/>
  <c r="R139" i="1" s="1"/>
  <c r="Q171" i="1"/>
  <c r="R171" i="1" s="1"/>
  <c r="Q202" i="1"/>
  <c r="R202" i="1" s="1"/>
  <c r="Q227" i="1"/>
  <c r="R227" i="1" s="1"/>
  <c r="Q258" i="1"/>
  <c r="R258" i="1" s="1"/>
  <c r="Q281" i="1"/>
  <c r="R281" i="1" s="1"/>
  <c r="Q299" i="1"/>
  <c r="R299" i="1" s="1"/>
  <c r="Q322" i="1"/>
  <c r="R322" i="1" s="1"/>
  <c r="Q345" i="1"/>
  <c r="R345" i="1" s="1"/>
  <c r="Q363" i="1"/>
  <c r="R363" i="1" s="1"/>
  <c r="Q386" i="1"/>
  <c r="R386" i="1" s="1"/>
  <c r="Q409" i="1"/>
  <c r="R409" i="1" s="1"/>
  <c r="Q427" i="1"/>
  <c r="R427" i="1" s="1"/>
  <c r="Q450" i="1"/>
  <c r="R450" i="1" s="1"/>
  <c r="Q473" i="1"/>
  <c r="R473" i="1" s="1"/>
  <c r="Q491" i="1"/>
  <c r="R491" i="1" s="1"/>
  <c r="Q514" i="1"/>
  <c r="R514" i="1" s="1"/>
  <c r="Q537" i="1"/>
  <c r="R537" i="1" s="1"/>
  <c r="Q555" i="1"/>
  <c r="R555" i="1" s="1"/>
  <c r="Q578" i="1"/>
  <c r="R578" i="1" s="1"/>
  <c r="Q601" i="1"/>
  <c r="R601" i="1" s="1"/>
  <c r="Q155" i="1"/>
  <c r="R155" i="1" s="1"/>
  <c r="Q130" i="1"/>
  <c r="R130" i="1" s="1"/>
  <c r="Q378" i="1"/>
  <c r="R378" i="1" s="1"/>
  <c r="Q547" i="1"/>
  <c r="R547" i="1" s="1"/>
  <c r="Q99" i="1"/>
  <c r="R99" i="1" s="1"/>
  <c r="Q489" i="1"/>
  <c r="R489" i="1" s="1"/>
  <c r="Q18" i="1"/>
  <c r="R18" i="1" s="1"/>
  <c r="Q50" i="1"/>
  <c r="R50" i="1" s="1"/>
  <c r="Q82" i="1"/>
  <c r="R82" i="1" s="1"/>
  <c r="Q114" i="1"/>
  <c r="R114" i="1" s="1"/>
  <c r="Q146" i="1"/>
  <c r="R146" i="1" s="1"/>
  <c r="Q178" i="1"/>
  <c r="R178" i="1" s="1"/>
  <c r="Q203" i="1"/>
  <c r="R203" i="1" s="1"/>
  <c r="Q233" i="1"/>
  <c r="R233" i="1" s="1"/>
  <c r="Q259" i="1"/>
  <c r="R259" i="1" s="1"/>
  <c r="Q282" i="1"/>
  <c r="R282" i="1" s="1"/>
  <c r="Q305" i="1"/>
  <c r="R305" i="1" s="1"/>
  <c r="Q323" i="1"/>
  <c r="R323" i="1" s="1"/>
  <c r="Q346" i="1"/>
  <c r="R346" i="1" s="1"/>
  <c r="Q369" i="1"/>
  <c r="R369" i="1" s="1"/>
  <c r="Q387" i="1"/>
  <c r="R387" i="1" s="1"/>
  <c r="Q410" i="1"/>
  <c r="R410" i="1" s="1"/>
  <c r="Q433" i="1"/>
  <c r="R433" i="1" s="1"/>
  <c r="Q451" i="1"/>
  <c r="R451" i="1" s="1"/>
  <c r="Q474" i="1"/>
  <c r="R474" i="1" s="1"/>
  <c r="Q497" i="1"/>
  <c r="R497" i="1" s="1"/>
  <c r="Q515" i="1"/>
  <c r="R515" i="1" s="1"/>
  <c r="Q538" i="1"/>
  <c r="R538" i="1" s="1"/>
  <c r="Q561" i="1"/>
  <c r="R561" i="1" s="1"/>
  <c r="Q579" i="1"/>
  <c r="R579" i="1" s="1"/>
  <c r="Q602" i="1"/>
  <c r="R602" i="1" s="1"/>
  <c r="Q59" i="1"/>
  <c r="R59" i="1" s="1"/>
  <c r="Q211" i="1"/>
  <c r="R211" i="1" s="1"/>
  <c r="Q267" i="1"/>
  <c r="R267" i="1" s="1"/>
  <c r="Q313" i="1"/>
  <c r="R313" i="1" s="1"/>
  <c r="Q354" i="1"/>
  <c r="R354" i="1" s="1"/>
  <c r="Q395" i="1"/>
  <c r="R395" i="1" s="1"/>
  <c r="Q441" i="1"/>
  <c r="R441" i="1" s="1"/>
  <c r="Q482" i="1"/>
  <c r="R482" i="1" s="1"/>
  <c r="Q523" i="1"/>
  <c r="R523" i="1" s="1"/>
  <c r="Q569" i="1"/>
  <c r="R569" i="1" s="1"/>
  <c r="Q34" i="1"/>
  <c r="R34" i="1" s="1"/>
  <c r="Q218" i="1"/>
  <c r="R218" i="1" s="1"/>
  <c r="Q291" i="1"/>
  <c r="R291" i="1" s="1"/>
  <c r="Q355" i="1"/>
  <c r="R355" i="1" s="1"/>
  <c r="Q442" i="1"/>
  <c r="R442" i="1" s="1"/>
  <c r="Q483" i="1"/>
  <c r="R483" i="1" s="1"/>
  <c r="Q593" i="1"/>
  <c r="R593" i="1" s="1"/>
  <c r="Q163" i="1"/>
  <c r="R163" i="1" s="1"/>
  <c r="Q195" i="1"/>
  <c r="R195" i="1" s="1"/>
  <c r="Q250" i="1"/>
  <c r="R250" i="1" s="1"/>
  <c r="Q315" i="1"/>
  <c r="R315" i="1" s="1"/>
  <c r="Q379" i="1"/>
  <c r="R379" i="1" s="1"/>
  <c r="Q443" i="1"/>
  <c r="R443" i="1" s="1"/>
  <c r="Q553" i="1"/>
  <c r="R553" i="1" s="1"/>
  <c r="Q19" i="1"/>
  <c r="R19" i="1" s="1"/>
  <c r="Q51" i="1"/>
  <c r="R51" i="1" s="1"/>
  <c r="Q83" i="1"/>
  <c r="R83" i="1" s="1"/>
  <c r="Q115" i="1"/>
  <c r="R115" i="1" s="1"/>
  <c r="Q147" i="1"/>
  <c r="R147" i="1" s="1"/>
  <c r="Q179" i="1"/>
  <c r="R179" i="1" s="1"/>
  <c r="Q209" i="1"/>
  <c r="R209" i="1" s="1"/>
  <c r="Q234" i="1"/>
  <c r="R234" i="1" s="1"/>
  <c r="Q265" i="1"/>
  <c r="R265" i="1" s="1"/>
  <c r="Q283" i="1"/>
  <c r="R283" i="1" s="1"/>
  <c r="Q306" i="1"/>
  <c r="R306" i="1" s="1"/>
  <c r="Q329" i="1"/>
  <c r="R329" i="1" s="1"/>
  <c r="Q347" i="1"/>
  <c r="R347" i="1" s="1"/>
  <c r="Q370" i="1"/>
  <c r="R370" i="1" s="1"/>
  <c r="Q393" i="1"/>
  <c r="R393" i="1" s="1"/>
  <c r="Q411" i="1"/>
  <c r="R411" i="1" s="1"/>
  <c r="Q434" i="1"/>
  <c r="R434" i="1" s="1"/>
  <c r="Q457" i="1"/>
  <c r="R457" i="1" s="1"/>
  <c r="Q475" i="1"/>
  <c r="R475" i="1" s="1"/>
  <c r="Q498" i="1"/>
  <c r="R498" i="1" s="1"/>
  <c r="Q521" i="1"/>
  <c r="R521" i="1" s="1"/>
  <c r="Q539" i="1"/>
  <c r="R539" i="1" s="1"/>
  <c r="Q562" i="1"/>
  <c r="R562" i="1" s="1"/>
  <c r="Q585" i="1"/>
  <c r="R585" i="1" s="1"/>
  <c r="Q603" i="1"/>
  <c r="R603" i="1" s="1"/>
  <c r="Q91" i="1"/>
  <c r="R91" i="1" s="1"/>
  <c r="Q587" i="1"/>
  <c r="R587" i="1" s="1"/>
  <c r="Q66" i="1"/>
  <c r="R66" i="1" s="1"/>
  <c r="Q314" i="1"/>
  <c r="R314" i="1" s="1"/>
  <c r="Q465" i="1"/>
  <c r="R465" i="1" s="1"/>
  <c r="Q570" i="1"/>
  <c r="R570" i="1" s="1"/>
  <c r="Q67" i="1"/>
  <c r="R67" i="1" s="1"/>
  <c r="Q274" i="1"/>
  <c r="R274" i="1" s="1"/>
  <c r="Q361" i="1"/>
  <c r="R361" i="1" s="1"/>
  <c r="Q466" i="1"/>
  <c r="R466" i="1" s="1"/>
  <c r="Q594" i="1"/>
  <c r="R594" i="1" s="1"/>
  <c r="Q26" i="1"/>
  <c r="R26" i="1" s="1"/>
  <c r="Q58" i="1"/>
  <c r="R58" i="1" s="1"/>
  <c r="Q90" i="1"/>
  <c r="R90" i="1" s="1"/>
  <c r="Q122" i="1"/>
  <c r="R122" i="1" s="1"/>
  <c r="Q154" i="1"/>
  <c r="R154" i="1" s="1"/>
  <c r="Q186" i="1"/>
  <c r="R186" i="1" s="1"/>
  <c r="Q210" i="1"/>
  <c r="R210" i="1" s="1"/>
  <c r="Q235" i="1"/>
  <c r="R235" i="1" s="1"/>
  <c r="Q266" i="1"/>
  <c r="R266" i="1" s="1"/>
  <c r="Q289" i="1"/>
  <c r="R289" i="1" s="1"/>
  <c r="Q307" i="1"/>
  <c r="R307" i="1" s="1"/>
  <c r="Q330" i="1"/>
  <c r="R330" i="1" s="1"/>
  <c r="Q353" i="1"/>
  <c r="R353" i="1" s="1"/>
  <c r="Q371" i="1"/>
  <c r="R371" i="1" s="1"/>
  <c r="Q394" i="1"/>
  <c r="R394" i="1" s="1"/>
  <c r="Q417" i="1"/>
  <c r="R417" i="1" s="1"/>
  <c r="Q435" i="1"/>
  <c r="R435" i="1" s="1"/>
  <c r="Q458" i="1"/>
  <c r="R458" i="1" s="1"/>
  <c r="Q481" i="1"/>
  <c r="R481" i="1" s="1"/>
  <c r="Q499" i="1"/>
  <c r="R499" i="1" s="1"/>
  <c r="Q522" i="1"/>
  <c r="R522" i="1" s="1"/>
  <c r="Q545" i="1"/>
  <c r="R545" i="1" s="1"/>
  <c r="Q563" i="1"/>
  <c r="R563" i="1" s="1"/>
  <c r="Q586" i="1"/>
  <c r="R586" i="1" s="1"/>
  <c r="Q27" i="1"/>
  <c r="R27" i="1" s="1"/>
  <c r="Q98" i="1"/>
  <c r="R98" i="1" s="1"/>
  <c r="Q401" i="1"/>
  <c r="R401" i="1" s="1"/>
  <c r="Q529" i="1"/>
  <c r="R529" i="1" s="1"/>
  <c r="Q131" i="1"/>
  <c r="R131" i="1" s="1"/>
  <c r="Q297" i="1"/>
  <c r="R297" i="1" s="1"/>
  <c r="Q402" i="1"/>
  <c r="R402" i="1" s="1"/>
  <c r="Q530" i="1"/>
  <c r="R530" i="1" s="1"/>
</calcChain>
</file>

<file path=xl/sharedStrings.xml><?xml version="1.0" encoding="utf-8"?>
<sst xmlns="http://schemas.openxmlformats.org/spreadsheetml/2006/main" count="62" uniqueCount="49">
  <si>
    <t>Req(sim)</t>
  </si>
  <si>
    <t>A</t>
  </si>
  <si>
    <t>B</t>
  </si>
  <si>
    <t>C</t>
  </si>
  <si>
    <t>D</t>
  </si>
  <si>
    <t>V_eq1-V_eq2 (Sim)</t>
  </si>
  <si>
    <t>T (Celsius)</t>
  </si>
  <si>
    <t>T (Kelvin)</t>
  </si>
  <si>
    <t>R_TH (Ohm)</t>
  </si>
  <si>
    <t>Req(cal) (Ohm)</t>
  </si>
  <si>
    <t>I_eq (Sim) (A)</t>
  </si>
  <si>
    <t>Thông số của Thermistor</t>
  </si>
  <si>
    <t>Giá trị R_eq sau tuyến tính</t>
  </si>
  <si>
    <t>Theo K</t>
  </si>
  <si>
    <t>R_eq(sim)=AT+B</t>
  </si>
  <si>
    <t>Max_Error_R_eq</t>
  </si>
  <si>
    <t>Min_Error_R_eq</t>
  </si>
  <si>
    <t>%</t>
  </si>
  <si>
    <t>V_o (cal)(V)</t>
  </si>
  <si>
    <t>Max_R_eq</t>
  </si>
  <si>
    <t>Min_R_eq</t>
  </si>
  <si>
    <t>Ohm</t>
  </si>
  <si>
    <t>Tính toán hàm từ Sensor ra ngõ ra</t>
  </si>
  <si>
    <t>Phương trình tương quan giữa V_o và T</t>
  </si>
  <si>
    <t>V_o = A*T + B</t>
  </si>
  <si>
    <t>Theo C</t>
  </si>
  <si>
    <t>R_eq = A*T+B</t>
  </si>
  <si>
    <t>%Error_R_eq</t>
  </si>
  <si>
    <t>V_eq1-V_eq2 (Cal)(V)</t>
  </si>
  <si>
    <t>R_wire</t>
  </si>
  <si>
    <t>R_paralle</t>
  </si>
  <si>
    <t>%Error_V</t>
  </si>
  <si>
    <t>%Error_Req</t>
  </si>
  <si>
    <t>%Error_V_eq (Sim)</t>
  </si>
  <si>
    <t>V_o = A*(V_eq1 - V_eq2) + B</t>
  </si>
  <si>
    <t>V_o (Sim)(V)</t>
  </si>
  <si>
    <t>Erro_V_o (V)</t>
  </si>
  <si>
    <t>V_o_adjust (Sim)(V)</t>
  </si>
  <si>
    <t>Error_V_o_adjust (V)</t>
  </si>
  <si>
    <t>%Error_V_o_adjust</t>
  </si>
  <si>
    <t>V_eq1-V_eq2 (Cal)</t>
  </si>
  <si>
    <t>V_o_NonIdeal (V)</t>
  </si>
  <si>
    <t>T_o</t>
  </si>
  <si>
    <t>T_o_adjust (Celsius)</t>
  </si>
  <si>
    <t>%Error_T_o_adjust</t>
  </si>
  <si>
    <t>Max_Error_T_o_Adjust</t>
  </si>
  <si>
    <t>Min_Error_T_o_Adjust</t>
  </si>
  <si>
    <t>Max_Error_T_o_NonIdeal</t>
  </si>
  <si>
    <t>Min_Error_T_o_NonIdeal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</si>
</sst>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0%"/>
    <numFmt numFmtId="165" formatCode="0.000000"/>
    <numFmt numFmtId="166" formatCode="0.0000"/>
    <numFmt numFmtId="167" formatCode="0.00000"/>
    <numFmt numFmtId="168" formatCode="0.00000000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/>
    <xf numFmtId="0" fontId="2" fillId="4" borderId="3" applyNumberFormat="0" applyFont="0" applyAlignment="0" applyProtection="0"/>
  </cellStyleXfs>
  <cellXfs count="31">
    <xf numFmtId="0" fontId="0" fillId="0" borderId="0" xfId="0">
      <alignment vertical="center"/>
    </xf>
    <xf numFmtId="0" fontId="0" fillId="0" borderId="2" xfId="0" applyBorder="1">
      <alignment vertical="center"/>
    </xf>
    <xf numFmtId="164" fontId="0" fillId="0" borderId="2" xfId="1" applyNumberFormat="1" applyFont="1" applyBorder="1">
      <alignment vertical="center"/>
    </xf>
    <xf numFmtId="0" fontId="0" fillId="3" borderId="2" xfId="0" applyFill="1" applyBorder="1">
      <alignment vertical="center"/>
    </xf>
    <xf numFmtId="165" fontId="0" fillId="0" borderId="2" xfId="0" applyNumberFormat="1" applyBorder="1">
      <alignment vertical="center"/>
    </xf>
    <xf numFmtId="166" fontId="0" fillId="0" borderId="2" xfId="0" applyNumberFormat="1" applyBorder="1">
      <alignment vertical="center"/>
    </xf>
    <xf numFmtId="167" fontId="0" fillId="0" borderId="2" xfId="0" applyNumberFormat="1" applyBorder="1">
      <alignment vertical="center"/>
    </xf>
    <xf numFmtId="0" fontId="0" fillId="4" borderId="3" xfId="3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4" borderId="2" xfId="3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2" xfId="3" applyFont="1" applyBorder="1" applyAlignment="1">
      <alignment vertical="center"/>
    </xf>
    <xf numFmtId="168" fontId="0" fillId="0" borderId="2" xfId="0" applyNumberFormat="1" applyBorder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1" applyNumberFormat="1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164" fontId="1" fillId="0" borderId="2" xfId="1" applyNumberFormat="1" applyFont="1" applyBorder="1">
      <alignment vertical="center"/>
    </xf>
    <xf numFmtId="168" fontId="0" fillId="0" borderId="2" xfId="0" applyNumberFormat="1" applyBorder="1" applyAlignment="1"/>
    <xf numFmtId="165" fontId="0" fillId="0" borderId="2" xfId="1" applyNumberFormat="1" applyFont="1" applyBorder="1">
      <alignment vertical="center"/>
    </xf>
    <xf numFmtId="165" fontId="4" fillId="0" borderId="2" xfId="1" applyNumberFormat="1" applyFont="1" applyBorder="1">
      <alignment vertical="center"/>
    </xf>
    <xf numFmtId="164" fontId="4" fillId="0" borderId="2" xfId="1" applyNumberFormat="1" applyFont="1" applyBorder="1">
      <alignment vertical="center"/>
    </xf>
    <xf numFmtId="166" fontId="4" fillId="0" borderId="2" xfId="1" applyNumberFormat="1" applyFont="1" applyBorder="1">
      <alignment vertical="center"/>
    </xf>
    <xf numFmtId="0" fontId="0" fillId="0" borderId="2" xfId="0" applyBorder="1" applyAlignment="1"/>
    <xf numFmtId="0" fontId="3" fillId="2" borderId="1" xfId="2" applyAlignment="1">
      <alignment vertical="center"/>
    </xf>
  </cellXfs>
  <cellStyles count="4">
    <cellStyle name="Check Cell" xfId="2" builtinId="23"/>
    <cellStyle name="Normal" xfId="0" builtinId="0"/>
    <cellStyle name="Note" xfId="3" builtinId="1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03"/>
  <sheetViews>
    <sheetView tabSelected="1" topLeftCell="R1" zoomScale="90" zoomScaleNormal="85" workbookViewId="0">
      <selection activeCell="AD24" sqref="AD24"/>
    </sheetView>
  </sheetViews>
  <sheetFormatPr defaultColWidth="8.85546875" defaultRowHeight="15"/>
  <cols>
    <col min="1" max="1" width="11.42578125" customWidth="1"/>
    <col min="2" max="2" width="11.140625" customWidth="1"/>
    <col min="3" max="3" width="16.140625" customWidth="1"/>
    <col min="4" max="4" width="15.28515625" customWidth="1"/>
    <col min="5" max="5" width="20.5703125" customWidth="1"/>
    <col min="6" max="6" width="14.42578125" customWidth="1"/>
    <col min="7" max="8" width="19.28515625" customWidth="1"/>
    <col min="9" max="9" width="14.7109375" customWidth="1"/>
    <col min="10" max="10" width="12.85546875"/>
    <col min="11" max="11" width="26.28515625" customWidth="1"/>
    <col min="12" max="12" width="12.85546875"/>
    <col min="13" max="15" width="22.85546875" customWidth="1"/>
    <col min="16" max="16" width="15.85546875" customWidth="1"/>
    <col min="17" max="17" width="16.7109375" customWidth="1"/>
    <col min="18" max="18" width="15.5703125" customWidth="1"/>
    <col min="19" max="23" width="20.140625" style="20" customWidth="1"/>
    <col min="24" max="26" width="20.140625" customWidth="1"/>
    <col min="27" max="27" width="18.28515625" customWidth="1"/>
    <col min="28" max="28" width="30.140625" customWidth="1"/>
    <col min="29" max="29" width="9.7109375"/>
    <col min="30" max="30" width="14.42578125" customWidth="1"/>
    <col min="31" max="31" width="9.7109375"/>
  </cols>
  <sheetData>
    <row r="1" spans="1:32" ht="15.75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32" ht="16.5" thickTop="1" thickBot="1">
      <c r="A2" s="30" t="s">
        <v>6</v>
      </c>
      <c r="B2" s="30" t="s">
        <v>7</v>
      </c>
      <c r="C2" s="30" t="s">
        <v>8</v>
      </c>
      <c r="D2" s="30" t="s">
        <v>9</v>
      </c>
      <c r="E2" s="30" t="s">
        <v>40</v>
      </c>
      <c r="F2" s="30" t="s">
        <v>10</v>
      </c>
      <c r="G2" s="30" t="s">
        <v>5</v>
      </c>
      <c r="H2" s="30" t="s">
        <v>31</v>
      </c>
      <c r="I2" s="30" t="s">
        <v>0</v>
      </c>
      <c r="J2" s="30" t="s">
        <v>32</v>
      </c>
      <c r="K2" s="30" t="s">
        <v>14</v>
      </c>
      <c r="L2" s="30" t="s">
        <v>27</v>
      </c>
      <c r="M2" s="30" t="s">
        <v>28</v>
      </c>
      <c r="N2" s="30" t="s">
        <v>33</v>
      </c>
      <c r="O2" s="30"/>
      <c r="P2" s="30" t="s">
        <v>18</v>
      </c>
      <c r="Q2" s="30" t="s">
        <v>35</v>
      </c>
      <c r="R2" s="30" t="s">
        <v>36</v>
      </c>
      <c r="S2" s="30" t="s">
        <v>37</v>
      </c>
      <c r="T2" s="30" t="s">
        <v>38</v>
      </c>
      <c r="U2" s="30" t="s">
        <v>39</v>
      </c>
      <c r="V2" s="30" t="s">
        <v>43</v>
      </c>
      <c r="W2" s="30" t="s">
        <v>44</v>
      </c>
      <c r="X2" s="30" t="s">
        <v>41</v>
      </c>
      <c r="Y2" s="30" t="s">
        <v>42</v>
      </c>
      <c r="Z2" s="30"/>
      <c r="AB2" s="7" t="s">
        <v>11</v>
      </c>
      <c r="AC2" s="7"/>
      <c r="AD2" s="7"/>
      <c r="AE2" s="7"/>
    </row>
    <row r="3" spans="1:32" ht="15.75" thickTop="1">
      <c r="A3" s="1">
        <f>20</f>
        <v>20</v>
      </c>
      <c r="B3" s="1">
        <f>A3+273.15</f>
        <v>293.14999999999998</v>
      </c>
      <c r="C3" s="4">
        <f>ROUND(10000*EXP(($AB$4)+($AC$4/B3)+($AD$4/(B3^2))+($AE$4/(B3^3))),6)</f>
        <v>12487.988665000001</v>
      </c>
      <c r="D3" s="4">
        <f>((C3+2*$AC$5)*$AC$6)/((C3+2*$AC$5)+$AC$6)</f>
        <v>2220.6466706029732</v>
      </c>
      <c r="E3" s="4">
        <f>D3*0.001</f>
        <v>2.2206466706029735</v>
      </c>
      <c r="F3" s="24">
        <v>9.9990399102947171E-4</v>
      </c>
      <c r="G3" s="6">
        <v>2.2194334404293015</v>
      </c>
      <c r="H3" s="2">
        <f>ABS(E3-G3)/E3</f>
        <v>5.4634093290608981E-4</v>
      </c>
      <c r="I3" s="5">
        <f>G3/F3</f>
        <v>2219.6465464091589</v>
      </c>
      <c r="J3" s="2">
        <f>ABS(D3-I3)/I3</f>
        <v>4.5057813165448645E-4</v>
      </c>
      <c r="K3" s="1">
        <f>$AD$10*B3+$AD$11</f>
        <v>2249.8182022715027</v>
      </c>
      <c r="L3" s="2">
        <f>ABS(K3-D3)/D3</f>
        <v>1.3136503008201902E-2</v>
      </c>
      <c r="M3" s="21">
        <f>K3*F3</f>
        <v>2.2496021995420268</v>
      </c>
      <c r="N3" s="2">
        <f>ABS(M3-G3)/M3</f>
        <v>1.3410708399408154E-2</v>
      </c>
      <c r="O3" s="21">
        <f>N3*M3</f>
        <v>3.0168759112725319E-2</v>
      </c>
      <c r="P3" s="25">
        <f>$AD$18*B3+$AD$19</f>
        <v>0</v>
      </c>
      <c r="Q3" s="25">
        <f>$AD$29*G3+$AD$30</f>
        <v>0.107032135633645</v>
      </c>
      <c r="R3" s="25">
        <f>ABS(P3-Q3)</f>
        <v>0.107032135633645</v>
      </c>
      <c r="S3" s="26">
        <v>1.461841606498978E-2</v>
      </c>
      <c r="T3" s="26">
        <f>ABS(P3-S3)</f>
        <v>1.461841606498978E-2</v>
      </c>
      <c r="U3" s="27">
        <f>IF(P3=0,ABS(P3-S3),ABS(P3-S3)/P3)</f>
        <v>1.461841606498978E-2</v>
      </c>
      <c r="V3" s="28">
        <f>(S3-$AD$21)/($AD$20)</f>
        <v>20.175420992779877</v>
      </c>
      <c r="W3" s="27">
        <f>ABS(A3-V3)/A3</f>
        <v>8.7710496389938435E-3</v>
      </c>
      <c r="X3" s="1">
        <v>2.2990888831383356E-2</v>
      </c>
      <c r="Y3" s="21">
        <f>(X3+5/3)/(1/12)</f>
        <v>20.275890665976604</v>
      </c>
      <c r="Z3" s="2">
        <f>ABS(A3-Y3)/A3</f>
        <v>1.3794533298830203E-2</v>
      </c>
      <c r="AB3" s="3" t="s">
        <v>1</v>
      </c>
      <c r="AC3" s="3" t="s">
        <v>2</v>
      </c>
      <c r="AD3" s="3" t="s">
        <v>3</v>
      </c>
      <c r="AE3" s="3" t="s">
        <v>4</v>
      </c>
    </row>
    <row r="4" spans="1:32">
      <c r="A4" s="1">
        <v>20.100000000000001</v>
      </c>
      <c r="B4" s="1">
        <f t="shared" ref="B4:B67" si="0">A4+273.15</f>
        <v>293.25</v>
      </c>
      <c r="C4" s="4">
        <f>ROUND(10000*EXP(($AB$4)+($AC$4/B4)+($AD$4/(B4^2))+($AE$4/(B4^3))),6)</f>
        <v>12431.825699999999</v>
      </c>
      <c r="D4" s="4">
        <f>((C4+2*$AC$5)*$AC$6)/((C4+2*$AC$5)+$AC$6)</f>
        <v>2218.8698613395482</v>
      </c>
      <c r="E4" s="4">
        <f>D4*0.001</f>
        <v>2.2188698613395483</v>
      </c>
      <c r="F4" s="24">
        <v>9.9990399102947171E-4</v>
      </c>
      <c r="G4" s="6">
        <v>2.2176331745077054</v>
      </c>
      <c r="H4" s="2">
        <f t="shared" ref="H4:H67" si="1">ABS(E4-G4)/E4</f>
        <v>5.5734987138739774E-4</v>
      </c>
      <c r="I4" s="5">
        <f>G4/F4</f>
        <v>2217.8461076292892</v>
      </c>
      <c r="J4" s="2">
        <f>ABS(D4-I4)/I4</f>
        <v>4.6159817254102972E-4</v>
      </c>
      <c r="K4" s="1">
        <f>$AD$10*B4+$AD$11</f>
        <v>2247.469090352628</v>
      </c>
      <c r="L4" s="2">
        <f>ABS(K4-D4)/D4</f>
        <v>1.2889097063049139E-2</v>
      </c>
      <c r="M4" s="21">
        <f>K4*F4</f>
        <v>2.2472533131589691</v>
      </c>
      <c r="N4" s="2">
        <f>ABS(M4-G4)/M4</f>
        <v>1.3180596276272338E-2</v>
      </c>
      <c r="O4" s="21">
        <f t="shared" ref="O4:O67" si="2">N4*M4</f>
        <v>2.9620138651263783E-2</v>
      </c>
      <c r="P4" s="25">
        <f>$AD$18*B4+$AD$19</f>
        <v>8.3333333333364124E-3</v>
      </c>
      <c r="Q4" s="25">
        <f>$AD$29*G4+$AD$30</f>
        <v>0.1134190839856446</v>
      </c>
      <c r="R4" s="25">
        <f t="shared" ref="R4:R67" si="3">ABS(P4-Q4)</f>
        <v>0.10508575065230819</v>
      </c>
      <c r="S4" s="26">
        <v>2.1257799999933803E-2</v>
      </c>
      <c r="T4" s="26">
        <f t="shared" ref="T4:T67" si="4">ABS(P4-S4)</f>
        <v>1.2924466666597391E-2</v>
      </c>
      <c r="U4" s="27">
        <f t="shared" ref="U4:U67" si="5">IF(P4=0,ABS(P4-S4),ABS(P4-S4)/P4)</f>
        <v>1.5509359999911139</v>
      </c>
      <c r="V4" s="28">
        <f t="shared" ref="V4:V67" si="6">(S4-$AD$21)/($AD$20)</f>
        <v>20.255093599999203</v>
      </c>
      <c r="W4" s="27">
        <f t="shared" ref="W4:W67" si="7">ABS(A4-V4)/A4</f>
        <v>7.7160995024478287E-3</v>
      </c>
      <c r="X4" s="29">
        <v>2.9618393123745323E-2</v>
      </c>
      <c r="Y4" s="21">
        <f t="shared" ref="Y4:Y67" si="8">(X4+5/3)/(1/12)</f>
        <v>20.355420717484947</v>
      </c>
      <c r="Z4" s="2">
        <f t="shared" ref="Z4:Z67" si="9">ABS(A4-Y4)/A4</f>
        <v>1.2707498382335583E-2</v>
      </c>
      <c r="AB4" s="1">
        <v>-14.633699999999999</v>
      </c>
      <c r="AC4" s="1">
        <v>4791.8419999999996</v>
      </c>
      <c r="AD4" s="1">
        <v>-115334</v>
      </c>
      <c r="AE4" s="1">
        <v>-3730535</v>
      </c>
    </row>
    <row r="5" spans="1:32">
      <c r="A5" s="1">
        <v>20.2</v>
      </c>
      <c r="B5" s="1">
        <f t="shared" si="0"/>
        <v>293.34999999999997</v>
      </c>
      <c r="C5" s="4">
        <f>ROUND(10000*EXP(($AB$4)+($AC$4/B5)+($AD$4/(B5^2))+($AE$4/(B5^3))),6)</f>
        <v>12375.948216999999</v>
      </c>
      <c r="D5" s="4">
        <f>((C5+2*$AC$5)*$AC$6)/((C5+2*$AC$5)+$AC$6)</f>
        <v>2217.0889635279409</v>
      </c>
      <c r="E5" s="4">
        <f t="shared" ref="E5:E67" si="10">D5*0.001</f>
        <v>2.2170889635279409</v>
      </c>
      <c r="F5" s="24">
        <v>9.9990399102947171E-4</v>
      </c>
      <c r="G5" s="6">
        <v>2.2160898341271715</v>
      </c>
      <c r="H5" s="2">
        <f t="shared" si="1"/>
        <v>4.506492148964295E-4</v>
      </c>
      <c r="I5" s="5">
        <f>G5/F5</f>
        <v>2216.3026190600067</v>
      </c>
      <c r="J5" s="2">
        <f>ABS(D5-I5)/I5</f>
        <v>3.5480013477027947E-4</v>
      </c>
      <c r="K5" s="1">
        <f>$AD$10*B5+$AD$11</f>
        <v>2245.119978433755</v>
      </c>
      <c r="L5" s="2">
        <f>ABS(K5-D5)/D5</f>
        <v>1.2643161987153546E-2</v>
      </c>
      <c r="M5" s="21">
        <f>K5*F5</f>
        <v>2.2449044267759133</v>
      </c>
      <c r="N5" s="2">
        <f>ABS(M5-G5)/M5</f>
        <v>1.2835554291335554E-2</v>
      </c>
      <c r="O5" s="21">
        <f t="shared" si="2"/>
        <v>2.8814592648741755E-2</v>
      </c>
      <c r="P5" s="25">
        <f>$AD$18*B5+$AD$19</f>
        <v>1.6666666666665719E-2</v>
      </c>
      <c r="Q5" s="25">
        <f>$AD$29*G5+$AD$30</f>
        <v>0.1188945169101796</v>
      </c>
      <c r="R5" s="25">
        <f t="shared" si="3"/>
        <v>0.10222785024351388</v>
      </c>
      <c r="S5" s="26">
        <v>2.6950861712110724E-2</v>
      </c>
      <c r="T5" s="26">
        <f t="shared" si="4"/>
        <v>1.0284195045445005E-2</v>
      </c>
      <c r="U5" s="27">
        <f t="shared" si="5"/>
        <v>0.61705170272673537</v>
      </c>
      <c r="V5" s="28">
        <f t="shared" si="6"/>
        <v>20.32341034054533</v>
      </c>
      <c r="W5" s="27">
        <f t="shared" si="7"/>
        <v>6.1094227992737823E-3</v>
      </c>
      <c r="X5" s="21">
        <v>3.5300538995865625E-2</v>
      </c>
      <c r="Y5" s="21">
        <f t="shared" si="8"/>
        <v>20.423606467950389</v>
      </c>
      <c r="Z5" s="2">
        <f t="shared" si="9"/>
        <v>1.1069627126256918E-2</v>
      </c>
      <c r="AB5" s="1" t="s">
        <v>29</v>
      </c>
      <c r="AC5" s="1">
        <v>10</v>
      </c>
      <c r="AD5" s="1" t="s">
        <v>21</v>
      </c>
    </row>
    <row r="6" spans="1:32">
      <c r="A6" s="1">
        <v>20.3</v>
      </c>
      <c r="B6" s="1">
        <f t="shared" si="0"/>
        <v>293.45</v>
      </c>
      <c r="C6" s="4">
        <f>ROUND(10000*EXP(($AB$4)+($AC$4/B6)+($AD$4/(B6^2))+($AE$4/(B6^3))),6)</f>
        <v>12320.354608</v>
      </c>
      <c r="D6" s="4">
        <f>((C6+2*$AC$5)*$AC$6)/((C6+2*$AC$5)+$AC$6)</f>
        <v>2215.3039811892181</v>
      </c>
      <c r="E6" s="4">
        <f t="shared" si="10"/>
        <v>2.2153039811892183</v>
      </c>
      <c r="F6" s="24">
        <v>9.9990399102947171E-4</v>
      </c>
      <c r="G6" s="6">
        <v>2.2142748334771509</v>
      </c>
      <c r="H6" s="2">
        <f t="shared" si="1"/>
        <v>4.6456275111957617E-4</v>
      </c>
      <c r="I6" s="5">
        <f>G6/F6</f>
        <v>2214.4874441369102</v>
      </c>
      <c r="J6" s="2">
        <f>ABS(D6-I6)/I6</f>
        <v>3.6872507652720729E-4</v>
      </c>
      <c r="K6" s="1">
        <f>$AD$10*B6+$AD$11</f>
        <v>2242.7708665148803</v>
      </c>
      <c r="L6" s="2">
        <f>ABS(K6-D6)/D6</f>
        <v>1.2398698128514796E-2</v>
      </c>
      <c r="M6" s="21">
        <f>K6*F6</f>
        <v>2.2425555403928552</v>
      </c>
      <c r="N6" s="2">
        <f>ABS(M6-G6)/M6</f>
        <v>1.2610928205037905E-2</v>
      </c>
      <c r="O6" s="21">
        <f t="shared" si="2"/>
        <v>2.8280706915704279E-2</v>
      </c>
      <c r="P6" s="25">
        <f>$AD$18*B6+$AD$19</f>
        <v>2.5000000000002132E-2</v>
      </c>
      <c r="Q6" s="25">
        <f>$AD$29*G6+$AD$30</f>
        <v>0.12533374084452564</v>
      </c>
      <c r="R6" s="25">
        <f t="shared" si="3"/>
        <v>0.10033374084452351</v>
      </c>
      <c r="S6" s="26">
        <v>3.3644594229187585E-2</v>
      </c>
      <c r="T6" s="26">
        <f t="shared" si="4"/>
        <v>8.6445942291854538E-3</v>
      </c>
      <c r="U6" s="27">
        <f t="shared" si="5"/>
        <v>0.34578376916738868</v>
      </c>
      <c r="V6" s="28">
        <f t="shared" si="6"/>
        <v>20.403735130750253</v>
      </c>
      <c r="W6" s="27">
        <f t="shared" si="7"/>
        <v>5.1101049630665942E-3</v>
      </c>
      <c r="X6" s="21">
        <v>4.198226804002167E-2</v>
      </c>
      <c r="Y6" s="21">
        <f t="shared" si="8"/>
        <v>20.503787216480262</v>
      </c>
      <c r="Z6" s="2">
        <f t="shared" si="9"/>
        <v>1.003877913695869E-2</v>
      </c>
      <c r="AB6" s="1" t="s">
        <v>30</v>
      </c>
      <c r="AC6" s="1">
        <v>2700</v>
      </c>
      <c r="AD6" s="1" t="s">
        <v>21</v>
      </c>
    </row>
    <row r="7" spans="1:32">
      <c r="A7" s="1">
        <v>20.399999999999999</v>
      </c>
      <c r="B7" s="1">
        <f t="shared" si="0"/>
        <v>293.54999999999995</v>
      </c>
      <c r="C7" s="4">
        <f>ROUND(10000*EXP(($AB$4)+($AC$4/B7)+($AD$4/(B7^2))+($AE$4/(B7^3))),6)</f>
        <v>12265.043276</v>
      </c>
      <c r="D7" s="4">
        <f>((C7+2*$AC$5)*$AC$6)/((C7+2*$AC$5)+$AC$6)</f>
        <v>2213.5149184603529</v>
      </c>
      <c r="E7" s="4">
        <f t="shared" si="10"/>
        <v>2.2135149184603531</v>
      </c>
      <c r="F7" s="24">
        <v>9.9990399102947171E-4</v>
      </c>
      <c r="G7" s="6">
        <v>2.2127159968106915</v>
      </c>
      <c r="H7" s="2">
        <f t="shared" si="1"/>
        <v>3.6092896551031964E-4</v>
      </c>
      <c r="I7" s="5">
        <f>G7/F7</f>
        <v>2212.9284577937769</v>
      </c>
      <c r="J7" s="2">
        <f>ABS(D7-I7)/I7</f>
        <v>2.6501564680523595E-4</v>
      </c>
      <c r="K7" s="1">
        <f>$AD$10*B7+$AD$11</f>
        <v>2240.4217545960073</v>
      </c>
      <c r="L7" s="2">
        <f>ABS(K7-D7)/D7</f>
        <v>1.2155705801327929E-2</v>
      </c>
      <c r="M7" s="21">
        <f>K7*F7</f>
        <v>2.2402066540097993</v>
      </c>
      <c r="N7" s="2">
        <f>ABS(M7-G7)/M7</f>
        <v>1.2271482700000749E-2</v>
      </c>
      <c r="O7" s="21">
        <f t="shared" si="2"/>
        <v>2.7490657199107815E-2</v>
      </c>
      <c r="P7" s="25">
        <f>$AD$18*B7+$AD$19</f>
        <v>3.3333333333331439E-2</v>
      </c>
      <c r="Q7" s="25">
        <f>$AD$29*G7+$AD$30</f>
        <v>0.1308641511902664</v>
      </c>
      <c r="R7" s="25">
        <f t="shared" si="3"/>
        <v>9.7530817856934959E-2</v>
      </c>
      <c r="S7" s="26">
        <v>3.9393589576840318E-2</v>
      </c>
      <c r="T7" s="26">
        <f t="shared" si="4"/>
        <v>6.0602562435088797E-3</v>
      </c>
      <c r="U7" s="27">
        <f t="shared" si="5"/>
        <v>0.18180768730527672</v>
      </c>
      <c r="V7" s="28">
        <f t="shared" si="6"/>
        <v>20.472723074922083</v>
      </c>
      <c r="W7" s="27">
        <f t="shared" si="7"/>
        <v>3.5648566138276674E-3</v>
      </c>
      <c r="X7" s="21">
        <v>4.7720223028902671E-2</v>
      </c>
      <c r="Y7" s="21">
        <f t="shared" si="8"/>
        <v>20.572642676346835</v>
      </c>
      <c r="Z7" s="2">
        <f t="shared" si="9"/>
        <v>8.4628762915115712E-3</v>
      </c>
    </row>
    <row r="8" spans="1:32">
      <c r="A8" s="1">
        <v>20.5</v>
      </c>
      <c r="B8" s="1">
        <f t="shared" si="0"/>
        <v>293.64999999999998</v>
      </c>
      <c r="C8" s="4">
        <f>ROUND(10000*EXP(($AB$4)+($AC$4/B8)+($AD$4/(B8^2))+($AE$4/(B8^3))),6)</f>
        <v>12210.012634000001</v>
      </c>
      <c r="D8" s="4">
        <f>((C8+2*$AC$5)*$AC$6)/((C8+2*$AC$5)+$AC$6)</f>
        <v>2211.7217795651063</v>
      </c>
      <c r="E8" s="4">
        <f t="shared" si="10"/>
        <v>2.2117217795651065</v>
      </c>
      <c r="F8" s="24">
        <v>9.9990399102947171E-4</v>
      </c>
      <c r="G8" s="6">
        <v>2.2108862645999152</v>
      </c>
      <c r="H8" s="2">
        <f t="shared" si="1"/>
        <v>3.7776675751485599E-4</v>
      </c>
      <c r="I8" s="5">
        <f>G8/F8</f>
        <v>2211.0985498954274</v>
      </c>
      <c r="J8" s="2">
        <f>ABS(D8-I8)/I8</f>
        <v>2.8186426593623532E-4</v>
      </c>
      <c r="K8" s="1">
        <f>$AD$10*B8+$AD$11</f>
        <v>2238.0726426771334</v>
      </c>
      <c r="L8" s="2">
        <f>ABS(K8-D8)/D8</f>
        <v>1.191418529920546E-2</v>
      </c>
      <c r="M8" s="21">
        <f>K8*F8</f>
        <v>2.2378577676267426</v>
      </c>
      <c r="N8" s="2">
        <f>ABS(M8-G8)/M8</f>
        <v>1.2052375900292704E-2</v>
      </c>
      <c r="O8" s="21">
        <f t="shared" si="2"/>
        <v>2.6971503026827381E-2</v>
      </c>
      <c r="P8" s="25">
        <f>$AD$18*B8+$AD$19</f>
        <v>4.1666666666667851E-2</v>
      </c>
      <c r="Q8" s="25">
        <f>$AD$29*G8+$AD$30</f>
        <v>0.13735563946876361</v>
      </c>
      <c r="R8" s="25">
        <f t="shared" si="3"/>
        <v>9.5688972802095762E-2</v>
      </c>
      <c r="S8" s="26">
        <v>4.6141651850862803E-2</v>
      </c>
      <c r="T8" s="26">
        <f t="shared" si="4"/>
        <v>4.4749851841949517E-3</v>
      </c>
      <c r="U8" s="27">
        <f t="shared" si="5"/>
        <v>0.10739964442067579</v>
      </c>
      <c r="V8" s="28">
        <f t="shared" si="6"/>
        <v>20.553699822210355</v>
      </c>
      <c r="W8" s="27">
        <f t="shared" si="7"/>
        <v>2.6195035224563343E-3</v>
      </c>
      <c r="X8" s="21">
        <v>5.4456156933717831E-2</v>
      </c>
      <c r="Y8" s="21">
        <f t="shared" si="8"/>
        <v>20.653473883204615</v>
      </c>
      <c r="Z8" s="2">
        <f t="shared" si="9"/>
        <v>7.4865308880300097E-3</v>
      </c>
      <c r="AA8" s="9"/>
      <c r="AF8" s="9"/>
    </row>
    <row r="9" spans="1:32">
      <c r="A9" s="1">
        <v>20.6</v>
      </c>
      <c r="B9" s="1">
        <f t="shared" si="0"/>
        <v>293.75</v>
      </c>
      <c r="C9" s="4">
        <f>ROUND(10000*EXP(($AB$4)+($AC$4/B9)+($AD$4/(B9^2))+($AE$4/(B9^3))),6)</f>
        <v>12155.261103000001</v>
      </c>
      <c r="D9" s="4">
        <f>((C9+2*$AC$5)*$AC$6)/((C9+2*$AC$5)+$AC$6)</f>
        <v>2209.92456875061</v>
      </c>
      <c r="E9" s="4">
        <f t="shared" si="10"/>
        <v>2.2099245687506102</v>
      </c>
      <c r="F9" s="24">
        <v>9.9990399102947171E-4</v>
      </c>
      <c r="G9" s="6">
        <v>2.2090492775940485</v>
      </c>
      <c r="H9" s="2">
        <f t="shared" si="1"/>
        <v>3.9607286553520592E-4</v>
      </c>
      <c r="I9" s="5">
        <f>G9/F9</f>
        <v>2209.2613865053945</v>
      </c>
      <c r="J9" s="2">
        <f>ABS(D9-I9)/I9</f>
        <v>3.0018278926446408E-4</v>
      </c>
      <c r="K9" s="1">
        <f>$AD$10*B9+$AD$11</f>
        <v>2235.7235307582587</v>
      </c>
      <c r="L9" s="2">
        <f>ABS(K9-D9)/D9</f>
        <v>1.1674136924154949E-2</v>
      </c>
      <c r="M9" s="21">
        <f>K9*F9</f>
        <v>2.2355088812436845</v>
      </c>
      <c r="N9" s="2">
        <f>ABS(M9-G9)/M9</f>
        <v>1.1836053916688422E-2</v>
      </c>
      <c r="O9" s="21">
        <f t="shared" si="2"/>
        <v>2.6459603649636065E-2</v>
      </c>
      <c r="P9" s="25">
        <f>$AD$18*B9+$AD$19</f>
        <v>5.0000000000000711E-2</v>
      </c>
      <c r="Q9" s="25">
        <f>$AD$29*G9+$AD$30</f>
        <v>0.14387286616789741</v>
      </c>
      <c r="R9" s="25">
        <f t="shared" si="3"/>
        <v>9.3872866167896696E-2</v>
      </c>
      <c r="S9" s="26">
        <v>5.2916469773969389E-2</v>
      </c>
      <c r="T9" s="26">
        <f t="shared" si="4"/>
        <v>2.9164697739686787E-3</v>
      </c>
      <c r="U9" s="27">
        <f t="shared" si="5"/>
        <v>5.8329395479372749E-2</v>
      </c>
      <c r="V9" s="28">
        <f t="shared" si="6"/>
        <v>20.634997637287633</v>
      </c>
      <c r="W9" s="27">
        <f t="shared" si="7"/>
        <v>1.6989144314384114E-3</v>
      </c>
      <c r="X9" s="21">
        <v>6.1218784130293434E-2</v>
      </c>
      <c r="Y9" s="21">
        <f t="shared" si="8"/>
        <v>20.734625409563524</v>
      </c>
      <c r="Z9" s="2">
        <f t="shared" si="9"/>
        <v>6.535214056481671E-3</v>
      </c>
      <c r="AA9" s="9"/>
      <c r="AB9" s="10" t="s">
        <v>12</v>
      </c>
      <c r="AC9" s="10"/>
      <c r="AD9" s="10"/>
      <c r="AE9" s="10"/>
      <c r="AF9" s="9"/>
    </row>
    <row r="10" spans="1:32">
      <c r="A10" s="1">
        <v>20.7</v>
      </c>
      <c r="B10" s="1">
        <f t="shared" si="0"/>
        <v>293.84999999999997</v>
      </c>
      <c r="C10" s="4">
        <f>ROUND(10000*EXP(($AB$4)+($AC$4/B10)+($AD$4/(B10^2))+($AE$4/(B10^3))),6)</f>
        <v>12100.787114999999</v>
      </c>
      <c r="D10" s="4">
        <f>((C10+2*$AC$5)*$AC$6)/((C10+2*$AC$5)+$AC$6)</f>
        <v>2208.1232903870641</v>
      </c>
      <c r="E10" s="4">
        <f t="shared" si="10"/>
        <v>2.2081232903870642</v>
      </c>
      <c r="F10" s="24">
        <v>9.9990399102947171E-4</v>
      </c>
      <c r="G10" s="6">
        <v>2.2072050379631309</v>
      </c>
      <c r="H10" s="2">
        <f t="shared" si="1"/>
        <v>4.1585197164073398E-4</v>
      </c>
      <c r="I10" s="5">
        <f>G10/F10</f>
        <v>2207.4169697939274</v>
      </c>
      <c r="J10" s="2">
        <f>ABS(D10-I10)/I10</f>
        <v>3.199760637894753E-4</v>
      </c>
      <c r="K10" s="1">
        <f>$AD$10*B10+$AD$11</f>
        <v>2233.3744188393857</v>
      </c>
      <c r="L10" s="2">
        <f>ABS(K10-D10)/D10</f>
        <v>1.1435560940936099E-2</v>
      </c>
      <c r="M10" s="21">
        <f>K10*F10</f>
        <v>2.2331599948606287</v>
      </c>
      <c r="N10" s="2">
        <f>ABS(M10-G10)/M10</f>
        <v>1.1622524564845414E-2</v>
      </c>
      <c r="O10" s="21">
        <f t="shared" si="2"/>
        <v>2.5954956897497716E-2</v>
      </c>
      <c r="P10" s="25">
        <f>$AD$18*B10+$AD$19</f>
        <v>5.833333333333357E-2</v>
      </c>
      <c r="Q10" s="25">
        <f>$AD$29*G10+$AD$30</f>
        <v>0.1504158235888422</v>
      </c>
      <c r="R10" s="25">
        <f t="shared" si="3"/>
        <v>9.2082490255508631E-2</v>
      </c>
      <c r="S10" s="26">
        <v>5.9718035058421062E-2</v>
      </c>
      <c r="T10" s="26">
        <f t="shared" si="4"/>
        <v>1.3847017250874921E-3</v>
      </c>
      <c r="U10" s="27">
        <f t="shared" si="5"/>
        <v>2.3737743858642624E-2</v>
      </c>
      <c r="V10" s="28">
        <f t="shared" si="6"/>
        <v>20.716616420701051</v>
      </c>
      <c r="W10" s="27">
        <f t="shared" si="7"/>
        <v>8.0272563773196805E-4</v>
      </c>
      <c r="X10" s="21">
        <v>6.8008096682689007E-2</v>
      </c>
      <c r="Y10" s="21">
        <f t="shared" si="8"/>
        <v>20.816097160192271</v>
      </c>
      <c r="Z10" s="2">
        <f t="shared" si="9"/>
        <v>5.6085584633947727E-3</v>
      </c>
      <c r="AA10" s="9"/>
      <c r="AB10" s="13" t="s">
        <v>26</v>
      </c>
      <c r="AC10" s="11" t="s">
        <v>1</v>
      </c>
      <c r="AD10" s="1">
        <f>SLOPE(I:I,B:B)</f>
        <v>-23.491119188739379</v>
      </c>
      <c r="AE10" s="13" t="s">
        <v>13</v>
      </c>
      <c r="AF10" s="9"/>
    </row>
    <row r="11" spans="1:32">
      <c r="A11" s="1">
        <v>20.8</v>
      </c>
      <c r="B11" s="1">
        <f t="shared" si="0"/>
        <v>293.95</v>
      </c>
      <c r="C11" s="4">
        <f>ROUND(10000*EXP(($AB$4)+($AC$4/B11)+($AD$4/(B11^2))+($AE$4/(B11^3))),6)</f>
        <v>12046.589112</v>
      </c>
      <c r="D11" s="4">
        <f>((C11+2*$AC$5)*$AC$6)/((C11+2*$AC$5)+$AC$6)</f>
        <v>2206.3179489381323</v>
      </c>
      <c r="E11" s="4">
        <f t="shared" si="10"/>
        <v>2.2063179489381324</v>
      </c>
      <c r="F11" s="24">
        <v>9.9990399102947171E-4</v>
      </c>
      <c r="G11" s="6">
        <v>2.205353547980025</v>
      </c>
      <c r="H11" s="2">
        <f t="shared" si="1"/>
        <v>4.371087850558888E-4</v>
      </c>
      <c r="I11" s="5">
        <f>G11/F11</f>
        <v>2205.565302034106</v>
      </c>
      <c r="J11" s="2">
        <f>ABS(D11-I11)/I11</f>
        <v>3.4124897745359961E-4</v>
      </c>
      <c r="K11" s="1">
        <f>$AD$10*B11+$AD$11</f>
        <v>2231.025306920511</v>
      </c>
      <c r="L11" s="2">
        <f>ABS(K11-D11)/D11</f>
        <v>1.1198457590516332E-2</v>
      </c>
      <c r="M11" s="21">
        <f>K11*F11</f>
        <v>2.230811108477571</v>
      </c>
      <c r="N11" s="2">
        <f>ABS(M11-G11)/M11</f>
        <v>1.1411795647243142E-2</v>
      </c>
      <c r="O11" s="21">
        <f t="shared" si="2"/>
        <v>2.5457560497545995E-2</v>
      </c>
      <c r="P11" s="25">
        <f>$AD$18*B11+$AD$19</f>
        <v>6.666666666666643E-2</v>
      </c>
      <c r="Q11" s="25">
        <f>$AD$29*G11+$AD$30</f>
        <v>0.15698450366798244</v>
      </c>
      <c r="R11" s="25">
        <f t="shared" si="3"/>
        <v>9.0317837001316015E-2</v>
      </c>
      <c r="S11" s="26">
        <v>6.6546339377613811E-2</v>
      </c>
      <c r="T11" s="26">
        <f t="shared" si="4"/>
        <v>1.2032728905261858E-4</v>
      </c>
      <c r="U11" s="27">
        <f t="shared" si="5"/>
        <v>1.8049093357892852E-3</v>
      </c>
      <c r="V11" s="28">
        <f t="shared" si="6"/>
        <v>20.798556072531365</v>
      </c>
      <c r="W11" s="27">
        <f t="shared" si="7"/>
        <v>6.9419589838236E-5</v>
      </c>
      <c r="X11" s="21">
        <v>7.482408551682436E-2</v>
      </c>
      <c r="Y11" s="21">
        <f t="shared" si="8"/>
        <v>20.897889026201895</v>
      </c>
      <c r="Z11" s="2">
        <f t="shared" si="9"/>
        <v>4.7062031827833813E-3</v>
      </c>
      <c r="AA11" s="9"/>
      <c r="AB11" s="14"/>
      <c r="AC11" s="11" t="s">
        <v>2</v>
      </c>
      <c r="AD11" s="1">
        <f>INTERCEPT(I:I,B:B)</f>
        <v>9136.2397924504512</v>
      </c>
      <c r="AE11" s="14"/>
      <c r="AF11" s="9"/>
    </row>
    <row r="12" spans="1:32">
      <c r="A12" s="1">
        <v>20.9</v>
      </c>
      <c r="B12" s="1">
        <f t="shared" si="0"/>
        <v>294.04999999999995</v>
      </c>
      <c r="C12" s="4">
        <f>ROUND(10000*EXP(($AB$4)+($AC$4/B12)+($AD$4/(B12^2))+($AE$4/(B12^3))),6)</f>
        <v>11992.665545</v>
      </c>
      <c r="D12" s="4">
        <f>((C12+2*$AC$5)*$AC$6)/((C12+2*$AC$5)+$AC$6)</f>
        <v>2204.5085489299754</v>
      </c>
      <c r="E12" s="4">
        <f t="shared" si="10"/>
        <v>2.2045085489299754</v>
      </c>
      <c r="F12" s="24">
        <v>9.9990399102947171E-4</v>
      </c>
      <c r="G12" s="6">
        <v>2.2034944645867998</v>
      </c>
      <c r="H12" s="2">
        <f t="shared" si="1"/>
        <v>4.600047224438488E-4</v>
      </c>
      <c r="I12" s="5">
        <f>G12/F12</f>
        <v>2203.70604013506</v>
      </c>
      <c r="J12" s="2">
        <f>ABS(D12-I12)/I12</f>
        <v>3.6416326873897728E-4</v>
      </c>
      <c r="K12" s="1">
        <f>$AD$10*B12+$AD$11</f>
        <v>2228.676195001638</v>
      </c>
      <c r="L12" s="2">
        <f>ABS(K12-D12)/D12</f>
        <v>1.0962827104205651E-2</v>
      </c>
      <c r="M12" s="21">
        <f>K12*F12</f>
        <v>2.2284622220945152</v>
      </c>
      <c r="N12" s="2">
        <f>ABS(M12-G12)/M12</f>
        <v>1.1204029962979759E-2</v>
      </c>
      <c r="O12" s="21">
        <f t="shared" si="2"/>
        <v>2.4967757507715401E-2</v>
      </c>
      <c r="P12" s="25">
        <f>$AD$18*B12+$AD$19</f>
        <v>7.4999999999999289E-2</v>
      </c>
      <c r="Q12" s="25">
        <f>$AD$29*G12+$AD$30</f>
        <v>0.16358012349955864</v>
      </c>
      <c r="R12" s="25">
        <f t="shared" si="3"/>
        <v>8.8580123499559349E-2</v>
      </c>
      <c r="S12" s="26">
        <v>7.3401372289082958E-2</v>
      </c>
      <c r="T12" s="26">
        <f t="shared" si="4"/>
        <v>1.598627710916331E-3</v>
      </c>
      <c r="U12" s="27">
        <f t="shared" si="5"/>
        <v>2.1315036145551282E-2</v>
      </c>
      <c r="V12" s="28">
        <f t="shared" si="6"/>
        <v>20.880816467468996</v>
      </c>
      <c r="W12" s="27">
        <f t="shared" si="7"/>
        <v>9.1787236990441908E-4</v>
      </c>
      <c r="X12" s="21">
        <v>8.1666741666577294E-2</v>
      </c>
      <c r="Y12" s="21">
        <f t="shared" si="8"/>
        <v>20.980000899998931</v>
      </c>
      <c r="Z12" s="2">
        <f t="shared" si="9"/>
        <v>3.8277942583221218E-3</v>
      </c>
      <c r="AA12" s="9"/>
      <c r="AB12" s="17" t="s">
        <v>19</v>
      </c>
      <c r="AC12" s="18"/>
      <c r="AD12" s="4">
        <f>MAX(K:K)</f>
        <v>2249.8182022715027</v>
      </c>
      <c r="AE12" s="13" t="s">
        <v>21</v>
      </c>
      <c r="AF12" s="9"/>
    </row>
    <row r="13" spans="1:32">
      <c r="A13" s="1">
        <v>21</v>
      </c>
      <c r="B13" s="1">
        <f t="shared" si="0"/>
        <v>294.14999999999998</v>
      </c>
      <c r="C13" s="4">
        <f>ROUND(10000*EXP(($AB$4)+($AC$4/B13)+($AD$4/(B13^2))+($AE$4/(B13^3))),6)</f>
        <v>11939.014874</v>
      </c>
      <c r="D13" s="4">
        <f>((C13+2*$AC$5)*$AC$6)/((C13+2*$AC$5)+$AC$6)</f>
        <v>2202.6950949528041</v>
      </c>
      <c r="E13" s="4">
        <f t="shared" si="10"/>
        <v>2.2026950949528041</v>
      </c>
      <c r="F13" s="24">
        <v>9.9990399102947171E-4</v>
      </c>
      <c r="G13" s="6">
        <v>2.2016284794743659</v>
      </c>
      <c r="H13" s="2">
        <f t="shared" si="1"/>
        <v>4.8423201235715297E-4</v>
      </c>
      <c r="I13" s="5">
        <f>G13/F13</f>
        <v>2201.8398758541148</v>
      </c>
      <c r="J13" s="2">
        <f>ABS(D13-I13)/I13</f>
        <v>3.8841112292852637E-4</v>
      </c>
      <c r="K13" s="1">
        <f>$AD$10*B13+$AD$11</f>
        <v>2226.3270830827632</v>
      </c>
      <c r="L13" s="2">
        <f>ABS(K13-D13)/D13</f>
        <v>1.0728669702905706E-2</v>
      </c>
      <c r="M13" s="21">
        <f>K13*F13</f>
        <v>2.2261133357114571</v>
      </c>
      <c r="N13" s="2">
        <f>ABS(M13-G13)/M13</f>
        <v>1.0998926175187714E-2</v>
      </c>
      <c r="O13" s="21">
        <f t="shared" si="2"/>
        <v>2.4484856237091179E-2</v>
      </c>
      <c r="P13" s="25">
        <f>$AD$18*B13+$AD$19</f>
        <v>8.3333333333332149E-2</v>
      </c>
      <c r="Q13" s="25">
        <f>$AD$29*G13+$AD$30</f>
        <v>0.17020022911603849</v>
      </c>
      <c r="R13" s="25">
        <f t="shared" si="3"/>
        <v>8.6866895782706344E-2</v>
      </c>
      <c r="S13" s="26">
        <v>8.0283128146727542E-2</v>
      </c>
      <c r="T13" s="26">
        <f t="shared" si="4"/>
        <v>3.050205186604607E-3</v>
      </c>
      <c r="U13" s="27">
        <f t="shared" si="5"/>
        <v>3.6602462239255805E-2</v>
      </c>
      <c r="V13" s="28">
        <f t="shared" si="6"/>
        <v>20.963397537760731</v>
      </c>
      <c r="W13" s="27">
        <f t="shared" si="7"/>
        <v>1.7429743923461586E-3</v>
      </c>
      <c r="X13" s="21">
        <v>8.8536055969326705E-2</v>
      </c>
      <c r="Y13" s="21">
        <f t="shared" si="8"/>
        <v>21.062432671631921</v>
      </c>
      <c r="Z13" s="2">
        <f t="shared" si="9"/>
        <v>2.9729843634248099E-3</v>
      </c>
      <c r="AA13" s="9"/>
      <c r="AB13" s="17" t="s">
        <v>20</v>
      </c>
      <c r="AC13" s="18"/>
      <c r="AD13" s="4">
        <f>MIN(K:K)</f>
        <v>840.35105094713981</v>
      </c>
      <c r="AE13" s="14"/>
      <c r="AF13" s="9"/>
    </row>
    <row r="14" spans="1:32">
      <c r="A14" s="1">
        <v>21.1</v>
      </c>
      <c r="B14" s="1">
        <f t="shared" si="0"/>
        <v>294.25</v>
      </c>
      <c r="C14" s="4">
        <f>ROUND(10000*EXP(($AB$4)+($AC$4/B14)+($AD$4/(B14^2))+($AE$4/(B14^3))),6)</f>
        <v>11885.635569</v>
      </c>
      <c r="D14" s="4">
        <f>((C14+2*$AC$5)*$AC$6)/((C14+2*$AC$5)+$AC$6)</f>
        <v>2200.8775916966738</v>
      </c>
      <c r="E14" s="4">
        <f t="shared" si="10"/>
        <v>2.2008775916966736</v>
      </c>
      <c r="F14" s="24">
        <v>9.9990399102947171E-4</v>
      </c>
      <c r="G14" s="6">
        <v>2.2000174932487777</v>
      </c>
      <c r="H14" s="2">
        <f t="shared" si="1"/>
        <v>3.9079794857326065E-4</v>
      </c>
      <c r="I14" s="5">
        <f>G14/F14</f>
        <v>2200.2287349445464</v>
      </c>
      <c r="J14" s="2">
        <f>ABS(D14-I14)/I14</f>
        <v>2.9490422601162491E-4</v>
      </c>
      <c r="K14" s="1">
        <f>$AD$10*B14+$AD$11</f>
        <v>2223.9779711638885</v>
      </c>
      <c r="L14" s="2">
        <f>ABS(K14-D14)/D14</f>
        <v>1.0495985580645772E-2</v>
      </c>
      <c r="M14" s="21">
        <f>K14*F14</f>
        <v>2.2237644493283995</v>
      </c>
      <c r="N14" s="2">
        <f>ABS(M14-G14)/M14</f>
        <v>1.0678719181248523E-2</v>
      </c>
      <c r="O14" s="21">
        <f t="shared" si="2"/>
        <v>2.3746956079621739E-2</v>
      </c>
      <c r="P14" s="25">
        <f>$AD$18*B14+$AD$19</f>
        <v>9.1666666666668561E-2</v>
      </c>
      <c r="Q14" s="25">
        <f>$AD$29*G14+$AD$30</f>
        <v>0.17591565465133563</v>
      </c>
      <c r="R14" s="25">
        <f t="shared" si="3"/>
        <v>8.4248987984667068E-2</v>
      </c>
      <c r="S14" s="26">
        <v>8.622573313377177E-2</v>
      </c>
      <c r="T14" s="26">
        <f t="shared" si="4"/>
        <v>5.4409335328967912E-3</v>
      </c>
      <c r="U14" s="27">
        <f t="shared" si="5"/>
        <v>5.9355638540691043E-2</v>
      </c>
      <c r="V14" s="28">
        <f t="shared" si="6"/>
        <v>21.034708797605258</v>
      </c>
      <c r="W14" s="27">
        <f t="shared" si="7"/>
        <v>3.0943697817413722E-3</v>
      </c>
      <c r="X14" s="21">
        <v>9.4467173608866709E-2</v>
      </c>
      <c r="Y14" s="21">
        <f t="shared" si="8"/>
        <v>21.133606083306404</v>
      </c>
      <c r="Z14" s="2">
        <f t="shared" si="9"/>
        <v>1.5927053699716809E-3</v>
      </c>
      <c r="AA14" s="9"/>
      <c r="AB14" s="17" t="s">
        <v>15</v>
      </c>
      <c r="AC14" s="18"/>
      <c r="AD14" s="2">
        <f>MAX(L:L)</f>
        <v>3.0388755636682294E-2</v>
      </c>
      <c r="AE14" s="13" t="s">
        <v>17</v>
      </c>
      <c r="AF14" s="9"/>
    </row>
    <row r="15" spans="1:32">
      <c r="A15" s="1">
        <v>21.2</v>
      </c>
      <c r="B15" s="1">
        <f t="shared" si="0"/>
        <v>294.34999999999997</v>
      </c>
      <c r="C15" s="4">
        <f>ROUND(10000*EXP(($AB$4)+($AC$4/B15)+($AD$4/(B15^2))+($AE$4/(B15^3))),6)</f>
        <v>11832.526109</v>
      </c>
      <c r="D15" s="4">
        <f>((C15+2*$AC$5)*$AC$6)/((C15+2*$AC$5)+$AC$6)</f>
        <v>2199.0560439199967</v>
      </c>
      <c r="E15" s="4">
        <f t="shared" si="10"/>
        <v>2.1990560439199967</v>
      </c>
      <c r="F15" s="24">
        <v>9.9990399102947171E-4</v>
      </c>
      <c r="G15" s="6">
        <v>2.1981368068691847</v>
      </c>
      <c r="H15" s="2">
        <f t="shared" si="1"/>
        <v>4.1801438092199233E-4</v>
      </c>
      <c r="I15" s="5">
        <f>G15/F15</f>
        <v>2198.3478679848531</v>
      </c>
      <c r="J15" s="2">
        <f>ABS(D15-I15)/I15</f>
        <v>3.221400695753997E-4</v>
      </c>
      <c r="K15" s="1">
        <f>$AD$10*B15+$AD$11</f>
        <v>2221.6288592450155</v>
      </c>
      <c r="L15" s="2">
        <f>ABS(K15-D15)/D15</f>
        <v>1.0264774918960662E-2</v>
      </c>
      <c r="M15" s="21">
        <f>K15*F15</f>
        <v>2.2214155629453436</v>
      </c>
      <c r="N15" s="2">
        <f>ABS(M15-G15)/M15</f>
        <v>1.0479244165055704E-2</v>
      </c>
      <c r="O15" s="21">
        <f t="shared" si="2"/>
        <v>2.3278756076158924E-2</v>
      </c>
      <c r="P15" s="25">
        <f>$AD$18*B15+$AD$19</f>
        <v>9.9999999999997868E-2</v>
      </c>
      <c r="Q15" s="25">
        <f>$AD$29*G15+$AD$30</f>
        <v>0.18258791713693601</v>
      </c>
      <c r="R15" s="25">
        <f t="shared" si="3"/>
        <v>8.2587917136938138E-2</v>
      </c>
      <c r="S15" s="26">
        <v>9.3161713503532501E-2</v>
      </c>
      <c r="T15" s="26">
        <f t="shared" si="4"/>
        <v>6.8382864964653678E-3</v>
      </c>
      <c r="U15" s="27">
        <f t="shared" si="5"/>
        <v>6.8382864964655135E-2</v>
      </c>
      <c r="V15" s="28">
        <f t="shared" si="6"/>
        <v>21.117940562042389</v>
      </c>
      <c r="W15" s="27">
        <f t="shared" si="7"/>
        <v>3.870728205547676E-3</v>
      </c>
      <c r="X15" s="21">
        <v>0.10139058506826154</v>
      </c>
      <c r="Y15" s="21">
        <f t="shared" si="8"/>
        <v>21.21668702081914</v>
      </c>
      <c r="Z15" s="2">
        <f t="shared" si="9"/>
        <v>7.8712362354439605E-4</v>
      </c>
      <c r="AA15" s="9"/>
      <c r="AB15" s="17" t="s">
        <v>16</v>
      </c>
      <c r="AC15" s="18"/>
      <c r="AD15" s="2">
        <f>MIN(L:L)</f>
        <v>1.5244121774073369E-5</v>
      </c>
      <c r="AE15" s="14"/>
      <c r="AF15" s="9"/>
    </row>
    <row r="16" spans="1:32">
      <c r="A16" s="1">
        <v>21.3</v>
      </c>
      <c r="B16" s="1">
        <f t="shared" si="0"/>
        <v>294.45</v>
      </c>
      <c r="C16" s="4">
        <f>ROUND(10000*EXP(($AB$4)+($AC$4/B16)+($AD$4/(B16^2))+($AE$4/(B16^3))),6)</f>
        <v>11779.684982000001</v>
      </c>
      <c r="D16" s="4">
        <f>((C16+2*$AC$5)*$AC$6)/((C16+2*$AC$5)+$AC$6)</f>
        <v>2197.2304564513056</v>
      </c>
      <c r="E16" s="4">
        <f t="shared" si="10"/>
        <v>2.1972304564513054</v>
      </c>
      <c r="F16" s="24">
        <v>9.9990399102947171E-4</v>
      </c>
      <c r="G16" s="6">
        <v>2.196248882992808</v>
      </c>
      <c r="H16" s="2">
        <f t="shared" si="1"/>
        <v>4.4673213754864454E-4</v>
      </c>
      <c r="I16" s="5">
        <f>G16/F16</f>
        <v>2196.4597628334445</v>
      </c>
      <c r="J16" s="2">
        <f>ABS(D16-I16)/I16</f>
        <v>3.5087991635543171E-4</v>
      </c>
      <c r="K16" s="1">
        <f>$AD$10*B16+$AD$11</f>
        <v>2219.2797473261417</v>
      </c>
      <c r="L16" s="2">
        <f>ABS(K16-D16)/D16</f>
        <v>1.0035037886033741E-2</v>
      </c>
      <c r="M16" s="21">
        <f>K16*F16</f>
        <v>2.2190666765622864</v>
      </c>
      <c r="N16" s="2">
        <f>ABS(M16-G16)/M16</f>
        <v>1.0282608364353928E-2</v>
      </c>
      <c r="O16" s="21">
        <f t="shared" si="2"/>
        <v>2.281779356947844E-2</v>
      </c>
      <c r="P16" s="25">
        <f>$AD$18*B16+$AD$19</f>
        <v>0.10833333333333428</v>
      </c>
      <c r="Q16" s="25">
        <f>$AD$29*G16+$AD$30</f>
        <v>0.18928585667257725</v>
      </c>
      <c r="R16" s="25">
        <f t="shared" si="3"/>
        <v>8.0952523339242966E-2</v>
      </c>
      <c r="S16" s="26">
        <v>0.1001243854487073</v>
      </c>
      <c r="T16" s="26">
        <f t="shared" si="4"/>
        <v>8.208947884626977E-3</v>
      </c>
      <c r="U16" s="27">
        <f t="shared" si="5"/>
        <v>7.5774903550402201E-2</v>
      </c>
      <c r="V16" s="28">
        <f t="shared" si="6"/>
        <v>21.201492625384486</v>
      </c>
      <c r="W16" s="27">
        <f t="shared" si="7"/>
        <v>4.6247593716204306E-3</v>
      </c>
      <c r="X16" s="21">
        <v>0.10834062440616517</v>
      </c>
      <c r="Y16" s="21">
        <f t="shared" si="8"/>
        <v>21.300087492873985</v>
      </c>
      <c r="Z16" s="2">
        <f t="shared" si="9"/>
        <v>4.1076466659163664E-6</v>
      </c>
      <c r="AA16" s="9"/>
      <c r="AB16" s="8"/>
      <c r="AF16" s="9"/>
    </row>
    <row r="17" spans="1:31">
      <c r="A17" s="1">
        <v>21.4</v>
      </c>
      <c r="B17" s="1">
        <f t="shared" si="0"/>
        <v>294.54999999999995</v>
      </c>
      <c r="C17" s="4">
        <f>ROUND(10000*EXP(($AB$4)+($AC$4/B17)+($AD$4/(B17^2))+($AE$4/(B17^3))),6)</f>
        <v>11727.110688000001</v>
      </c>
      <c r="D17" s="4">
        <f>((C17+2*$AC$5)*$AC$6)/((C17+2*$AC$5)+$AC$6)</f>
        <v>2195.4008342958714</v>
      </c>
      <c r="E17" s="4">
        <f t="shared" si="10"/>
        <v>2.1954008342958713</v>
      </c>
      <c r="F17" s="24">
        <v>9.9990399102947171E-4</v>
      </c>
      <c r="G17" s="6">
        <v>2.1943537246826592</v>
      </c>
      <c r="H17" s="2">
        <f t="shared" si="1"/>
        <v>4.769560058712108E-4</v>
      </c>
      <c r="I17" s="5">
        <f>G17/F17</f>
        <v>2194.5644225536266</v>
      </c>
      <c r="J17" s="2">
        <f>ABS(D17-I17)/I17</f>
        <v>3.8112881702123956E-4</v>
      </c>
      <c r="K17" s="1">
        <f>$AD$10*B17+$AD$11</f>
        <v>2216.9306354072678</v>
      </c>
      <c r="L17" s="2">
        <f>ABS(K17-D17)/D17</f>
        <v>9.8067745876126711E-3</v>
      </c>
      <c r="M17" s="21">
        <f>K17*F17</f>
        <v>2.2167177901792297</v>
      </c>
      <c r="N17" s="2">
        <f>ABS(M17-G17)/M17</f>
        <v>1.0088819422864931E-2</v>
      </c>
      <c r="O17" s="21">
        <f t="shared" si="2"/>
        <v>2.236406549657044E-2</v>
      </c>
      <c r="P17" s="25">
        <f>$AD$18*B17+$AD$19</f>
        <v>0.11666666666666359</v>
      </c>
      <c r="Q17" s="25">
        <f>$AD$29*G17+$AD$30</f>
        <v>0.1960094623913653</v>
      </c>
      <c r="R17" s="25">
        <f t="shared" si="3"/>
        <v>7.9342795724701709E-2</v>
      </c>
      <c r="S17" s="26">
        <v>0.10711373783089768</v>
      </c>
      <c r="T17" s="26">
        <f t="shared" si="4"/>
        <v>9.5529288357659031E-3</v>
      </c>
      <c r="U17" s="27">
        <f t="shared" si="5"/>
        <v>8.1882247163709898E-2</v>
      </c>
      <c r="V17" s="28">
        <f t="shared" si="6"/>
        <v>21.285364853970773</v>
      </c>
      <c r="W17" s="27">
        <f t="shared" si="7"/>
        <v>5.3567825247301812E-3</v>
      </c>
      <c r="X17" s="21">
        <v>0.11531728059365691</v>
      </c>
      <c r="Y17" s="21">
        <f t="shared" si="8"/>
        <v>21.383807367123886</v>
      </c>
      <c r="Z17" s="2">
        <f t="shared" si="9"/>
        <v>7.5666508766881362E-4</v>
      </c>
      <c r="AB17" s="15" t="s">
        <v>23</v>
      </c>
      <c r="AC17" s="15"/>
      <c r="AD17" s="15"/>
      <c r="AE17" s="15"/>
    </row>
    <row r="18" spans="1:31">
      <c r="A18" s="1">
        <v>21.5</v>
      </c>
      <c r="B18" s="1">
        <f t="shared" si="0"/>
        <v>294.64999999999998</v>
      </c>
      <c r="C18" s="4">
        <f>ROUND(10000*EXP(($AB$4)+($AC$4/B18)+($AD$4/(B18^2))+($AE$4/(B18^3))),6)</f>
        <v>11674.801732</v>
      </c>
      <c r="D18" s="4">
        <f>((C18+2*$AC$5)*$AC$6)/((C18+2*$AC$5)+$AC$6)</f>
        <v>2193.5671823951452</v>
      </c>
      <c r="E18" s="4">
        <f t="shared" si="10"/>
        <v>2.1935671823951455</v>
      </c>
      <c r="F18" s="24">
        <v>9.9990399102947171E-4</v>
      </c>
      <c r="G18" s="6">
        <v>2.1924509775079524</v>
      </c>
      <c r="H18" s="2">
        <f t="shared" si="1"/>
        <v>5.0885375025274012E-4</v>
      </c>
      <c r="I18" s="5">
        <f>G18/F18</f>
        <v>2192.6614926805814</v>
      </c>
      <c r="J18" s="2">
        <f>ABS(D18-I18)/I18</f>
        <v>4.1305496429207148E-4</v>
      </c>
      <c r="K18" s="1">
        <f>$AD$10*B18+$AD$11</f>
        <v>2214.5815234883939</v>
      </c>
      <c r="L18" s="2">
        <f>ABS(K18-D18)/D18</f>
        <v>9.579985177524071E-3</v>
      </c>
      <c r="M18" s="21">
        <f>K18*F18</f>
        <v>2.2143689037961729</v>
      </c>
      <c r="N18" s="2">
        <f>ABS(M18-G18)/M18</f>
        <v>9.8980464594882276E-3</v>
      </c>
      <c r="O18" s="21">
        <f t="shared" si="2"/>
        <v>2.1917926288220538E-2</v>
      </c>
      <c r="P18" s="25">
        <f>$AD$18*B18+$AD$19</f>
        <v>0.125</v>
      </c>
      <c r="Q18" s="25">
        <f>$AD$29*G18+$AD$30</f>
        <v>0.20275999173593728</v>
      </c>
      <c r="R18" s="25">
        <f t="shared" si="3"/>
        <v>7.7759991735937284E-2</v>
      </c>
      <c r="S18" s="26">
        <v>0.1141297571733159</v>
      </c>
      <c r="T18" s="26">
        <f t="shared" si="4"/>
        <v>1.0870242826684098E-2</v>
      </c>
      <c r="U18" s="27">
        <f t="shared" si="5"/>
        <v>8.6961942613472787E-2</v>
      </c>
      <c r="V18" s="28">
        <f t="shared" si="6"/>
        <v>21.369557086079791</v>
      </c>
      <c r="W18" s="27">
        <f t="shared" si="7"/>
        <v>6.0671122753585688E-3</v>
      </c>
      <c r="X18" s="21">
        <v>0.12232054172659139</v>
      </c>
      <c r="Y18" s="21">
        <f t="shared" si="8"/>
        <v>21.467846500719098</v>
      </c>
      <c r="Z18" s="2">
        <f t="shared" si="9"/>
        <v>1.4955115944605606E-3</v>
      </c>
      <c r="AB18" s="13" t="s">
        <v>24</v>
      </c>
      <c r="AC18" s="11" t="s">
        <v>1</v>
      </c>
      <c r="AD18" s="1">
        <f>(5-0)/(353.15-293.15)</f>
        <v>8.3333333333333329E-2</v>
      </c>
      <c r="AE18" s="13" t="s">
        <v>13</v>
      </c>
    </row>
    <row r="19" spans="1:31">
      <c r="A19" s="1">
        <v>21.6</v>
      </c>
      <c r="B19" s="1">
        <f t="shared" si="0"/>
        <v>294.75</v>
      </c>
      <c r="C19" s="4">
        <f>ROUND(10000*EXP(($AB$4)+($AC$4/B19)+($AD$4/(B19^2))+($AE$4/(B19^3))),6)</f>
        <v>11622.756631</v>
      </c>
      <c r="D19" s="4">
        <f>((C19+2*$AC$5)*$AC$6)/((C19+2*$AC$5)+$AC$6)</f>
        <v>2191.7295058717223</v>
      </c>
      <c r="E19" s="4">
        <f t="shared" si="10"/>
        <v>2.1917295058717223</v>
      </c>
      <c r="F19" s="24">
        <v>9.9990399102947171E-4</v>
      </c>
      <c r="G19" s="6">
        <v>2.1908025025281792</v>
      </c>
      <c r="H19" s="2">
        <f t="shared" si="1"/>
        <v>4.2295517811830556E-4</v>
      </c>
      <c r="I19" s="5">
        <f>G19/F19</f>
        <v>2191.0128594172261</v>
      </c>
      <c r="J19" s="2">
        <f>ABS(D19-I19)/I19</f>
        <v>3.2708454969397204E-4</v>
      </c>
      <c r="K19" s="1">
        <f>$AD$10*B19+$AD$11</f>
        <v>2212.2324115695192</v>
      </c>
      <c r="L19" s="2">
        <f>ABS(K19-D19)/D19</f>
        <v>9.3546697449976759E-3</v>
      </c>
      <c r="M19" s="21">
        <f>K19*F19</f>
        <v>2.2120200174131153</v>
      </c>
      <c r="N19" s="2">
        <f>ABS(M19-G19)/M19</f>
        <v>9.5919181191448932E-3</v>
      </c>
      <c r="O19" s="21">
        <f t="shared" si="2"/>
        <v>2.1217514884936062E-2</v>
      </c>
      <c r="P19" s="25">
        <f>$AD$18*B19+$AD$19</f>
        <v>0.13333333333333641</v>
      </c>
      <c r="Q19" s="25">
        <f>$AD$29*G19+$AD$30</f>
        <v>0.20860841914272843</v>
      </c>
      <c r="R19" s="25">
        <f t="shared" si="3"/>
        <v>7.5275085809392017E-2</v>
      </c>
      <c r="S19" s="26">
        <v>0.12021065823511766</v>
      </c>
      <c r="T19" s="26">
        <f t="shared" si="4"/>
        <v>1.3122675098218753E-2</v>
      </c>
      <c r="U19" s="27">
        <f t="shared" si="5"/>
        <v>9.8420063236638378E-2</v>
      </c>
      <c r="V19" s="28">
        <f t="shared" si="6"/>
        <v>21.44252789882141</v>
      </c>
      <c r="W19" s="27">
        <f t="shared" si="7"/>
        <v>7.2903750545644033E-3</v>
      </c>
      <c r="X19" s="21">
        <v>0.12838963123818384</v>
      </c>
      <c r="Y19" s="21">
        <f t="shared" si="8"/>
        <v>21.540675574858209</v>
      </c>
      <c r="Z19" s="2">
        <f t="shared" si="9"/>
        <v>2.7465011639718584E-3</v>
      </c>
      <c r="AB19" s="19"/>
      <c r="AC19" s="11" t="s">
        <v>2</v>
      </c>
      <c r="AD19" s="1">
        <f>0-$AD$18*293.15</f>
        <v>-24.429166666666664</v>
      </c>
      <c r="AE19" s="14"/>
    </row>
    <row r="20" spans="1:31">
      <c r="A20" s="1">
        <v>21.7</v>
      </c>
      <c r="B20" s="1">
        <f t="shared" si="0"/>
        <v>294.84999999999997</v>
      </c>
      <c r="C20" s="4">
        <f>ROUND(10000*EXP(($AB$4)+($AC$4/B20)+($AD$4/(B20^2))+($AE$4/(B20^3))),6)</f>
        <v>11570.973910000001</v>
      </c>
      <c r="D20" s="4">
        <f>((C20+2*$AC$5)*$AC$6)/((C20+2*$AC$5)+$AC$6)</f>
        <v>2189.887809892447</v>
      </c>
      <c r="E20" s="4">
        <f t="shared" si="10"/>
        <v>2.189887809892447</v>
      </c>
      <c r="F20" s="24">
        <v>9.9990399102947171E-4</v>
      </c>
      <c r="G20" s="6">
        <v>2.1888854376788114</v>
      </c>
      <c r="H20" s="2">
        <f t="shared" si="1"/>
        <v>4.5772765577651594E-4</v>
      </c>
      <c r="I20" s="5">
        <f>G20/F20</f>
        <v>2189.0956104947632</v>
      </c>
      <c r="J20" s="2">
        <f>ABS(D20-I20)/I20</f>
        <v>3.6188432971402727E-4</v>
      </c>
      <c r="K20" s="1">
        <f>$AD$10*B20+$AD$11</f>
        <v>2209.8832996506462</v>
      </c>
      <c r="L20" s="2">
        <f>ABS(K20-D20)/D20</f>
        <v>9.130828377542E-3</v>
      </c>
      <c r="M20" s="21">
        <f>K20*F20</f>
        <v>2.209671131030059</v>
      </c>
      <c r="N20" s="2">
        <f>ABS(M20-G20)/M20</f>
        <v>9.4066909140267108E-3</v>
      </c>
      <c r="O20" s="21">
        <f t="shared" si="2"/>
        <v>2.0785693351247581E-2</v>
      </c>
      <c r="P20" s="25">
        <f>$AD$18*B20+$AD$19</f>
        <v>0.14166666666666572</v>
      </c>
      <c r="Q20" s="25">
        <f>$AD$29*G20+$AD$30</f>
        <v>0.21540974445443073</v>
      </c>
      <c r="R20" s="25">
        <f t="shared" si="3"/>
        <v>7.374307778776501E-2</v>
      </c>
      <c r="S20" s="26">
        <v>0.12728080152759849</v>
      </c>
      <c r="T20" s="26">
        <f t="shared" si="4"/>
        <v>1.4385865139067228E-2</v>
      </c>
      <c r="U20" s="27">
        <f t="shared" si="5"/>
        <v>0.10154728333459287</v>
      </c>
      <c r="V20" s="28">
        <f t="shared" si="6"/>
        <v>21.527369618331182</v>
      </c>
      <c r="W20" s="27">
        <f t="shared" si="7"/>
        <v>7.9553171275952659E-3</v>
      </c>
      <c r="X20" s="21">
        <v>0.13544688518544515</v>
      </c>
      <c r="Y20" s="21">
        <f t="shared" si="8"/>
        <v>21.625362622225342</v>
      </c>
      <c r="Z20" s="2">
        <f t="shared" si="9"/>
        <v>3.4395104965279704E-3</v>
      </c>
      <c r="AB20" s="19"/>
      <c r="AC20" s="11" t="s">
        <v>1</v>
      </c>
      <c r="AD20" s="16">
        <f>(5-0)/(80-20)</f>
        <v>8.3333333333333329E-2</v>
      </c>
      <c r="AE20" s="13" t="s">
        <v>25</v>
      </c>
    </row>
    <row r="21" spans="1:31">
      <c r="A21" s="1">
        <v>21.8</v>
      </c>
      <c r="B21" s="1">
        <f t="shared" si="0"/>
        <v>294.95</v>
      </c>
      <c r="C21" s="4">
        <f>ROUND(10000*EXP(($AB$4)+($AC$4/B21)+($AD$4/(B21^2))+($AE$4/(B21^3))),6)</f>
        <v>11519.452103</v>
      </c>
      <c r="D21" s="4">
        <f>((C21+2*$AC$5)*$AC$6)/((C21+2*$AC$5)+$AC$6)</f>
        <v>2188.0420997052179</v>
      </c>
      <c r="E21" s="4">
        <f t="shared" si="10"/>
        <v>2.1880420997052181</v>
      </c>
      <c r="F21" s="24">
        <v>9.9990399102947171E-4</v>
      </c>
      <c r="G21" s="6">
        <v>2.1869611514228096</v>
      </c>
      <c r="H21" s="2">
        <f t="shared" si="1"/>
        <v>4.9402535835768276E-4</v>
      </c>
      <c r="I21" s="5">
        <f>G21/F21</f>
        <v>2187.1711394722793</v>
      </c>
      <c r="J21" s="2">
        <f>ABS(D21-I21)/I21</f>
        <v>3.9821311520632063E-4</v>
      </c>
      <c r="K21" s="1">
        <f>$AD$10*B21+$AD$11</f>
        <v>2207.5341877317715</v>
      </c>
      <c r="L21" s="2">
        <f>ABS(K21-D21)/D21</f>
        <v>8.9084611439513104E-3</v>
      </c>
      <c r="M21" s="21">
        <f>K21*F21</f>
        <v>2.2073222446470013</v>
      </c>
      <c r="N21" s="2">
        <f>ABS(M21-G21)/M21</f>
        <v>9.2243410646404983E-3</v>
      </c>
      <c r="O21" s="21">
        <f t="shared" si="2"/>
        <v>2.0361093224191773E-2</v>
      </c>
      <c r="P21" s="25">
        <f>$AD$18*B21+$AD$19</f>
        <v>0.15000000000000213</v>
      </c>
      <c r="Q21" s="25">
        <f>$AD$29*G21+$AD$30</f>
        <v>0.2222366897318544</v>
      </c>
      <c r="R21" s="25">
        <f t="shared" si="3"/>
        <v>7.2236689731852266E-2</v>
      </c>
      <c r="S21" s="26">
        <v>0.13437757727199048</v>
      </c>
      <c r="T21" s="26">
        <f t="shared" si="4"/>
        <v>1.5622422728011648E-2</v>
      </c>
      <c r="U21" s="27">
        <f t="shared" si="5"/>
        <v>0.10414948485340951</v>
      </c>
      <c r="V21" s="28">
        <f t="shared" si="6"/>
        <v>21.612530927263883</v>
      </c>
      <c r="W21" s="27">
        <f t="shared" si="7"/>
        <v>8.5994987493631953E-3</v>
      </c>
      <c r="X21" s="21">
        <v>0.14253070685912658</v>
      </c>
      <c r="Y21" s="21">
        <f t="shared" si="8"/>
        <v>21.710368482309523</v>
      </c>
      <c r="Z21" s="2">
        <f t="shared" si="9"/>
        <v>4.111537508737515E-3</v>
      </c>
      <c r="AB21" s="14"/>
      <c r="AC21" s="11" t="s">
        <v>2</v>
      </c>
      <c r="AD21" s="1">
        <f>0-$AD$20*20</f>
        <v>-1.6666666666666665</v>
      </c>
      <c r="AE21" s="14"/>
    </row>
    <row r="22" spans="1:31">
      <c r="A22" s="1">
        <v>21.9</v>
      </c>
      <c r="B22" s="1">
        <f t="shared" si="0"/>
        <v>295.04999999999995</v>
      </c>
      <c r="C22" s="4">
        <f>ROUND(10000*EXP(($AB$4)+($AC$4/B22)+($AD$4/(B22^2))+($AE$4/(B22^3))),6)</f>
        <v>11468.189754000001</v>
      </c>
      <c r="D22" s="4">
        <f>((C22+2*$AC$5)*$AC$6)/((C22+2*$AC$5)+$AC$6)</f>
        <v>2186.1923806774034</v>
      </c>
      <c r="E22" s="4">
        <f t="shared" si="10"/>
        <v>2.1861923806774035</v>
      </c>
      <c r="F22" s="24">
        <v>9.9990399102947171E-4</v>
      </c>
      <c r="G22" s="6">
        <v>2.1850292811649443</v>
      </c>
      <c r="H22" s="2">
        <f t="shared" si="1"/>
        <v>5.3202065963599884E-4</v>
      </c>
      <c r="I22" s="5">
        <f>G22/F22</f>
        <v>2185.2390837197304</v>
      </c>
      <c r="J22" s="2">
        <f>ABS(D22-I22)/I22</f>
        <v>4.3624377981119452E-4</v>
      </c>
      <c r="K22" s="1">
        <f>$AD$10*B22+$AD$11</f>
        <v>2205.1850758128985</v>
      </c>
      <c r="L22" s="2">
        <f>ABS(K22-D22)/D22</f>
        <v>8.6875680765157916E-3</v>
      </c>
      <c r="M22" s="21">
        <f>K22*F22</f>
        <v>2.2049733582639455</v>
      </c>
      <c r="N22" s="2">
        <f>ABS(M22-G22)/M22</f>
        <v>9.0450422107157934E-3</v>
      </c>
      <c r="O22" s="21">
        <f t="shared" si="2"/>
        <v>1.9944077099001145E-2</v>
      </c>
      <c r="P22" s="25">
        <f>$AD$18*B22+$AD$19</f>
        <v>0.15833333333333144</v>
      </c>
      <c r="Q22" s="25">
        <f>$AD$29*G22+$AD$30</f>
        <v>0.22909054138328777</v>
      </c>
      <c r="R22" s="25">
        <f t="shared" si="3"/>
        <v>7.0757208049956333E-2</v>
      </c>
      <c r="S22" s="26">
        <v>0.14150096961680883</v>
      </c>
      <c r="T22" s="26">
        <f t="shared" si="4"/>
        <v>1.6832363716522608E-2</v>
      </c>
      <c r="U22" s="27">
        <f t="shared" si="5"/>
        <v>0.1063096655780388</v>
      </c>
      <c r="V22" s="28">
        <f t="shared" si="6"/>
        <v>21.698011635401706</v>
      </c>
      <c r="W22" s="27">
        <f t="shared" si="7"/>
        <v>9.2232129953558426E-3</v>
      </c>
      <c r="X22" s="21">
        <v>0.14964108263628889</v>
      </c>
      <c r="Y22" s="21">
        <f t="shared" si="8"/>
        <v>21.79569299163547</v>
      </c>
      <c r="Z22" s="2">
        <f t="shared" si="9"/>
        <v>4.7628770942707305E-3</v>
      </c>
      <c r="AB22" s="22" t="s">
        <v>45</v>
      </c>
      <c r="AC22" s="22"/>
      <c r="AD22" s="23">
        <f>MAX(W:W)</f>
        <v>3.6855248219933794E-2</v>
      </c>
      <c r="AE22" s="22" t="s">
        <v>17</v>
      </c>
    </row>
    <row r="23" spans="1:31">
      <c r="A23" s="1">
        <v>22</v>
      </c>
      <c r="B23" s="1">
        <f t="shared" si="0"/>
        <v>295.14999999999998</v>
      </c>
      <c r="C23" s="4">
        <f>ROUND(10000*EXP(($AB$4)+($AC$4/B23)+($AD$4/(B23^2))+($AE$4/(B23^3))),6)</f>
        <v>11417.185414</v>
      </c>
      <c r="D23" s="4">
        <f>((C23+2*$AC$5)*$AC$6)/((C23+2*$AC$5)+$AC$6)</f>
        <v>2184.3386581899999</v>
      </c>
      <c r="E23" s="4">
        <f t="shared" si="10"/>
        <v>2.1843386581900002</v>
      </c>
      <c r="F23" s="24">
        <v>9.9990399102947171E-4</v>
      </c>
      <c r="G23" s="6">
        <v>2.1833508195992226</v>
      </c>
      <c r="H23" s="2">
        <f t="shared" si="1"/>
        <v>4.5223692172170109E-4</v>
      </c>
      <c r="I23" s="5">
        <f>G23/F23</f>
        <v>2183.5604609911688</v>
      </c>
      <c r="J23" s="2">
        <f>ABS(D23-I23)/I23</f>
        <v>3.5638912351337068E-4</v>
      </c>
      <c r="K23" s="1">
        <f>$AD$10*B23+$AD$11</f>
        <v>2202.8359638940237</v>
      </c>
      <c r="L23" s="2">
        <f>ABS(K23-D23)/D23</f>
        <v>8.4681492197510953E-3</v>
      </c>
      <c r="M23" s="21">
        <f>K23*F23</f>
        <v>2.2026244718808874</v>
      </c>
      <c r="N23" s="2">
        <f>ABS(M23-G23)/M23</f>
        <v>8.7503124239813896E-3</v>
      </c>
      <c r="O23" s="21">
        <f t="shared" si="2"/>
        <v>1.9273652281664777E-2</v>
      </c>
      <c r="P23" s="25">
        <f>$AD$18*B23+$AD$19</f>
        <v>0.16666666666666785</v>
      </c>
      <c r="Q23" s="25">
        <f>$AD$29*G23+$AD$30</f>
        <v>0.23504535461531173</v>
      </c>
      <c r="R23" s="25">
        <f t="shared" si="3"/>
        <v>6.8378687948643879E-2</v>
      </c>
      <c r="S23" s="26">
        <v>0.14769249298615697</v>
      </c>
      <c r="T23" s="26">
        <f t="shared" si="4"/>
        <v>1.8974173680510881E-2</v>
      </c>
      <c r="U23" s="27">
        <f t="shared" si="5"/>
        <v>0.11384504208306448</v>
      </c>
      <c r="V23" s="28">
        <f t="shared" si="6"/>
        <v>21.772309915833883</v>
      </c>
      <c r="W23" s="27">
        <f t="shared" si="7"/>
        <v>1.0349549280278031E-2</v>
      </c>
      <c r="X23" s="21">
        <v>0.1558205310685242</v>
      </c>
      <c r="Y23" s="21">
        <f t="shared" si="8"/>
        <v>21.869846372822291</v>
      </c>
      <c r="Z23" s="2">
        <f t="shared" si="9"/>
        <v>5.9160739626231288E-3</v>
      </c>
      <c r="AB23" s="22" t="s">
        <v>46</v>
      </c>
      <c r="AC23" s="22"/>
      <c r="AD23" s="2">
        <f>MIN(W:W)</f>
        <v>6.9419589838236E-5</v>
      </c>
      <c r="AE23" s="12"/>
    </row>
    <row r="24" spans="1:31">
      <c r="A24" s="1">
        <v>22.1</v>
      </c>
      <c r="B24" s="1">
        <f t="shared" si="0"/>
        <v>295.25</v>
      </c>
      <c r="C24" s="4">
        <f>ROUND(10000*EXP(($AB$4)+($AC$4/B24)+($AD$4/(B24^2))+($AE$4/(B24^3))),6)</f>
        <v>11366.437644</v>
      </c>
      <c r="D24" s="4">
        <f>((C24+2*$AC$5)*$AC$6)/((C24+2*$AC$5)+$AC$6)</f>
        <v>2182.4809377475849</v>
      </c>
      <c r="E24" s="4">
        <f t="shared" si="10"/>
        <v>2.1824809377475849</v>
      </c>
      <c r="F24" s="24">
        <v>9.9990399102947171E-4</v>
      </c>
      <c r="G24" s="6">
        <v>2.1814046670752516</v>
      </c>
      <c r="H24" s="2">
        <f t="shared" si="1"/>
        <v>4.9314092678584792E-4</v>
      </c>
      <c r="I24" s="5">
        <f>G24/F24</f>
        <v>2181.6141216011565</v>
      </c>
      <c r="J24" s="2">
        <f>ABS(D24-I24)/I24</f>
        <v>3.9732789490389209E-4</v>
      </c>
      <c r="K24" s="1">
        <f>$AD$10*B24+$AD$11</f>
        <v>2200.4868519751499</v>
      </c>
      <c r="L24" s="2">
        <f>ABS(K24-D24)/D24</f>
        <v>8.2502045796321397E-3</v>
      </c>
      <c r="M24" s="21">
        <f>K24*F24</f>
        <v>2.2002755854978306</v>
      </c>
      <c r="N24" s="2">
        <f>ABS(M24-G24)/M24</f>
        <v>8.5766158325614201E-3</v>
      </c>
      <c r="O24" s="21">
        <f t="shared" si="2"/>
        <v>1.8870918422579042E-2</v>
      </c>
      <c r="P24" s="25">
        <f>$AD$18*B24+$AD$19</f>
        <v>0.17500000000000071</v>
      </c>
      <c r="Q24" s="25">
        <f>$AD$29*G24+$AD$30</f>
        <v>0.24194987661209311</v>
      </c>
      <c r="R24" s="25">
        <f t="shared" si="3"/>
        <v>6.6949876612092396E-2</v>
      </c>
      <c r="S24" s="26">
        <v>0.15486991098324548</v>
      </c>
      <c r="T24" s="26">
        <f t="shared" si="4"/>
        <v>2.0130089016755226E-2</v>
      </c>
      <c r="U24" s="27">
        <f t="shared" si="5"/>
        <v>0.11502908009574368</v>
      </c>
      <c r="V24" s="28">
        <f t="shared" si="6"/>
        <v>21.858438931798943</v>
      </c>
      <c r="W24" s="27">
        <f t="shared" si="7"/>
        <v>1.0930365076970951E-2</v>
      </c>
      <c r="X24" s="21">
        <v>0.16298479946231265</v>
      </c>
      <c r="Y24" s="21">
        <f t="shared" si="8"/>
        <v>21.955817593547753</v>
      </c>
      <c r="Z24" s="2">
        <f t="shared" si="9"/>
        <v>6.5240907896945049E-3</v>
      </c>
      <c r="AB24" s="22" t="s">
        <v>47</v>
      </c>
      <c r="AC24" s="22"/>
      <c r="AD24" s="2">
        <f>MAX(Z:Z)</f>
        <v>3.4167944178600571E-2</v>
      </c>
      <c r="AE24" s="12"/>
    </row>
    <row r="25" spans="1:31">
      <c r="A25" s="1">
        <v>22.2</v>
      </c>
      <c r="B25" s="1">
        <f t="shared" si="0"/>
        <v>295.34999999999997</v>
      </c>
      <c r="C25" s="4">
        <f>ROUND(10000*EXP(($AB$4)+($AC$4/B25)+($AD$4/(B25^2))+($AE$4/(B25^3))),6)</f>
        <v>11315.945014999999</v>
      </c>
      <c r="D25" s="4">
        <f>((C25+2*$AC$5)*$AC$6)/((C25+2*$AC$5)+$AC$6)</f>
        <v>2180.6192249820519</v>
      </c>
      <c r="E25" s="4">
        <f t="shared" si="10"/>
        <v>2.1806192249820522</v>
      </c>
      <c r="F25" s="24">
        <v>9.9990399102947171E-4</v>
      </c>
      <c r="G25" s="6">
        <v>2.1794513082471632</v>
      </c>
      <c r="H25" s="2">
        <f t="shared" si="1"/>
        <v>5.3558948830171953E-4</v>
      </c>
      <c r="I25" s="5">
        <f>G25/F25</f>
        <v>2179.6605752150908</v>
      </c>
      <c r="J25" s="2">
        <f>ABS(D25-I25)/I25</f>
        <v>4.3981607864174719E-4</v>
      </c>
      <c r="K25" s="1">
        <f>$AD$10*B25+$AD$11</f>
        <v>2198.137740056276</v>
      </c>
      <c r="L25" s="2">
        <f>ABS(K25-D25)/D25</f>
        <v>8.0337341217232728E-3</v>
      </c>
      <c r="M25" s="21">
        <f>K25*F25</f>
        <v>2.1979266991147739</v>
      </c>
      <c r="N25" s="2">
        <f>ABS(M25-G25)/M25</f>
        <v>8.4058266706764154E-3</v>
      </c>
      <c r="O25" s="21">
        <f t="shared" si="2"/>
        <v>1.8475390867610745E-2</v>
      </c>
      <c r="P25" s="25">
        <f>$AD$18*B25+$AD$19</f>
        <v>0.18333333333333357</v>
      </c>
      <c r="Q25" s="25">
        <f>$AD$29*G25+$AD$30</f>
        <v>0.24887996499418286</v>
      </c>
      <c r="R25" s="25">
        <f t="shared" si="3"/>
        <v>6.5546631660849286E-2</v>
      </c>
      <c r="S25" s="26">
        <v>0.16207367290791747</v>
      </c>
      <c r="T25" s="26">
        <f t="shared" si="4"/>
        <v>2.1259660425416105E-2</v>
      </c>
      <c r="U25" s="27">
        <f t="shared" si="5"/>
        <v>0.11596178413863314</v>
      </c>
      <c r="V25" s="28">
        <f t="shared" si="6"/>
        <v>21.944884074895011</v>
      </c>
      <c r="W25" s="27">
        <f t="shared" si="7"/>
        <v>1.1491708338062529E-2</v>
      </c>
      <c r="X25" s="21">
        <v>0.17017557935292399</v>
      </c>
      <c r="Y25" s="21">
        <f t="shared" si="8"/>
        <v>22.042106952235091</v>
      </c>
      <c r="Z25" s="2">
        <f t="shared" si="9"/>
        <v>7.1122994488697338E-3</v>
      </c>
      <c r="AB25" s="22" t="s">
        <v>48</v>
      </c>
      <c r="AC25" s="22"/>
      <c r="AD25" s="2">
        <f>MIN(Z:Z)</f>
        <v>4.1076466659163664E-6</v>
      </c>
      <c r="AE25" s="12"/>
    </row>
    <row r="26" spans="1:31">
      <c r="A26" s="1">
        <v>22.3</v>
      </c>
      <c r="B26" s="1">
        <f t="shared" si="0"/>
        <v>295.45</v>
      </c>
      <c r="C26" s="4">
        <f>ROUND(10000*EXP(($AB$4)+($AC$4/B26)+($AD$4/(B26^2))+($AE$4/(B26^3))),6)</f>
        <v>11265.706103</v>
      </c>
      <c r="D26" s="4">
        <f>((C26+2*$AC$5)*$AC$6)/((C26+2*$AC$5)+$AC$6)</f>
        <v>2178.7535254701043</v>
      </c>
      <c r="E26" s="4">
        <f t="shared" si="10"/>
        <v>2.1787535254701043</v>
      </c>
      <c r="F26" s="24">
        <v>9.9990399102947171E-4</v>
      </c>
      <c r="G26" s="6">
        <v>2.1777499609201958</v>
      </c>
      <c r="H26" s="2">
        <f t="shared" si="1"/>
        <v>4.6061407964534574E-4</v>
      </c>
      <c r="I26" s="5">
        <f>G26/F26</f>
        <v>2177.959064527834</v>
      </c>
      <c r="J26" s="2">
        <f>ABS(D26-I26)/I26</f>
        <v>3.6477312875596573E-4</v>
      </c>
      <c r="K26" s="1">
        <f>$AD$10*B26+$AD$11</f>
        <v>2195.7886281374022</v>
      </c>
      <c r="L26" s="2">
        <f>ABS(K26-D26)/D26</f>
        <v>7.8187378554544322E-3</v>
      </c>
      <c r="M26" s="21">
        <f>K26*F26</f>
        <v>2.1955778127317171</v>
      </c>
      <c r="N26" s="2">
        <f>ABS(M26-G26)/M26</f>
        <v>8.1198906766780047E-3</v>
      </c>
      <c r="O26" s="21">
        <f t="shared" si="2"/>
        <v>1.7827851811521356E-2</v>
      </c>
      <c r="P26" s="25">
        <f>$AD$18*B26+$AD$19</f>
        <v>0.19166666666666643</v>
      </c>
      <c r="Q26" s="25">
        <f>$AD$29*G26+$AD$30</f>
        <v>0.25491597188394266</v>
      </c>
      <c r="R26" s="25">
        <f t="shared" si="3"/>
        <v>6.324930521727623E-2</v>
      </c>
      <c r="S26" s="26">
        <v>0.16834826080484802</v>
      </c>
      <c r="T26" s="26">
        <f t="shared" si="4"/>
        <v>2.3318405861818409E-2</v>
      </c>
      <c r="U26" s="27">
        <f t="shared" si="5"/>
        <v>0.12166124797470489</v>
      </c>
      <c r="V26" s="28">
        <f t="shared" si="6"/>
        <v>22.020179129658178</v>
      </c>
      <c r="W26" s="27">
        <f t="shared" si="7"/>
        <v>1.2548021091561549E-2</v>
      </c>
      <c r="X26" s="21">
        <v>0.17643787971664276</v>
      </c>
      <c r="Y26" s="21">
        <f t="shared" si="8"/>
        <v>22.117254556599715</v>
      </c>
      <c r="Z26" s="2">
        <f t="shared" si="9"/>
        <v>8.1948629327482491E-3</v>
      </c>
    </row>
    <row r="27" spans="1:31">
      <c r="A27" s="1">
        <v>22.4</v>
      </c>
      <c r="B27" s="1">
        <f t="shared" si="0"/>
        <v>295.54999999999995</v>
      </c>
      <c r="C27" s="4">
        <f>ROUND(10000*EXP(($AB$4)+($AC$4/B27)+($AD$4/(B27^2))+($AE$4/(B27^3))),6)</f>
        <v>11215.719497</v>
      </c>
      <c r="D27" s="4">
        <f>((C27+2*$AC$5)*$AC$6)/((C27+2*$AC$5)+$AC$6)</f>
        <v>2176.8838450307967</v>
      </c>
      <c r="E27" s="4">
        <f t="shared" si="10"/>
        <v>2.1768838450307966</v>
      </c>
      <c r="F27" s="24">
        <v>9.9990399102947171E-4</v>
      </c>
      <c r="G27" s="6">
        <v>2.1757819760921864</v>
      </c>
      <c r="H27" s="2">
        <f t="shared" si="1"/>
        <v>5.061679984099506E-4</v>
      </c>
      <c r="I27" s="5">
        <f>G27/F27</f>
        <v>2175.9908907374852</v>
      </c>
      <c r="J27" s="2">
        <f>ABS(D27-I27)/I27</f>
        <v>4.1036674239425014E-4</v>
      </c>
      <c r="K27" s="1">
        <f>$AD$10*B27+$AD$11</f>
        <v>2193.4395162185292</v>
      </c>
      <c r="L27" s="2">
        <f>ABS(K27-D27)/D27</f>
        <v>7.6052156965216019E-3</v>
      </c>
      <c r="M27" s="21">
        <f>K27*F27</f>
        <v>2.1932289263486608</v>
      </c>
      <c r="N27" s="2">
        <f>ABS(M27-G27)/M27</f>
        <v>7.9549152607250005E-3</v>
      </c>
      <c r="O27" s="21">
        <f t="shared" si="2"/>
        <v>1.7446950256474469E-2</v>
      </c>
      <c r="P27" s="25">
        <f>$AD$18*B27+$AD$19</f>
        <v>0.19999999999999929</v>
      </c>
      <c r="Q27" s="25">
        <f>$AD$29*G27+$AD$30</f>
        <v>0.2618979501035108</v>
      </c>
      <c r="R27" s="25">
        <f t="shared" si="3"/>
        <v>6.1897950103511512E-2</v>
      </c>
      <c r="S27" s="26">
        <v>0.17560621124556783</v>
      </c>
      <c r="T27" s="26">
        <f t="shared" si="4"/>
        <v>2.4393788754431461E-2</v>
      </c>
      <c r="U27" s="27">
        <f t="shared" si="5"/>
        <v>0.12196894377215774</v>
      </c>
      <c r="V27" s="28">
        <f t="shared" si="6"/>
        <v>22.107274534946814</v>
      </c>
      <c r="W27" s="27">
        <f t="shared" si="7"/>
        <v>1.3068101118445729E-2</v>
      </c>
      <c r="X27" s="21">
        <v>0.18368246779152025</v>
      </c>
      <c r="Y27" s="21">
        <f t="shared" si="8"/>
        <v>22.204189613498247</v>
      </c>
      <c r="Z27" s="2">
        <f t="shared" si="9"/>
        <v>8.7415351116853276E-3</v>
      </c>
      <c r="AC27" s="8"/>
    </row>
    <row r="28" spans="1:31">
      <c r="A28" s="1">
        <v>22.5</v>
      </c>
      <c r="B28" s="1">
        <f t="shared" si="0"/>
        <v>295.64999999999998</v>
      </c>
      <c r="C28" s="4">
        <f>ROUND(10000*EXP(($AB$4)+($AC$4/B28)+($AD$4/(B28^2))+($AE$4/(B28^3))),6)</f>
        <v>11165.983792000001</v>
      </c>
      <c r="D28" s="4">
        <f>((C28+2*$AC$5)*$AC$6)/((C28+2*$AC$5)+$AC$6)</f>
        <v>2175.0101894689005</v>
      </c>
      <c r="E28" s="4">
        <f t="shared" si="10"/>
        <v>2.1750101894689005</v>
      </c>
      <c r="F28" s="24">
        <v>9.9990399102947171E-4</v>
      </c>
      <c r="G28" s="6">
        <v>2.1738067975623712</v>
      </c>
      <c r="H28" s="2">
        <f t="shared" si="1"/>
        <v>5.5328104316749961E-4</v>
      </c>
      <c r="I28" s="5">
        <f>G28/F28</f>
        <v>2174.0155225546041</v>
      </c>
      <c r="J28" s="2">
        <f>ABS(D28-I28)/I28</f>
        <v>4.5752521266620731E-4</v>
      </c>
      <c r="K28" s="1">
        <f>$AD$10*B28+$AD$11</f>
        <v>2191.0904042996544</v>
      </c>
      <c r="L28" s="2">
        <f>ABS(K28-D28)/D28</f>
        <v>7.3931675854265353E-3</v>
      </c>
      <c r="M28" s="21">
        <f>K28*F28</f>
        <v>2.1908800399656032</v>
      </c>
      <c r="N28" s="2">
        <f>ABS(M28-G28)/M28</f>
        <v>7.7928695737718694E-3</v>
      </c>
      <c r="O28" s="21">
        <f t="shared" si="2"/>
        <v>1.7073242403232047E-2</v>
      </c>
      <c r="P28" s="25">
        <f>$AD$18*B28+$AD$19</f>
        <v>0.20833333333333215</v>
      </c>
      <c r="Q28" s="25">
        <f>$AD$29*G28+$AD$30</f>
        <v>0.26890544999815091</v>
      </c>
      <c r="R28" s="25">
        <f t="shared" si="3"/>
        <v>6.0572116664818765E-2</v>
      </c>
      <c r="S28" s="26">
        <v>0.18289069197435576</v>
      </c>
      <c r="T28" s="26">
        <f t="shared" si="4"/>
        <v>2.5442641358976392E-2</v>
      </c>
      <c r="U28" s="27">
        <f t="shared" si="5"/>
        <v>0.12212467852308738</v>
      </c>
      <c r="V28" s="28">
        <f t="shared" si="6"/>
        <v>22.194688303692271</v>
      </c>
      <c r="W28" s="27">
        <f t="shared" si="7"/>
        <v>1.3569408724787973E-2</v>
      </c>
      <c r="X28" s="21">
        <v>0.19095352045328073</v>
      </c>
      <c r="Y28" s="21">
        <f t="shared" si="8"/>
        <v>22.29144224543937</v>
      </c>
      <c r="Z28" s="2">
        <f t="shared" si="9"/>
        <v>9.2692335360279945E-3</v>
      </c>
      <c r="AB28" s="15" t="s">
        <v>22</v>
      </c>
      <c r="AC28" s="15"/>
      <c r="AD28" s="15"/>
      <c r="AE28" s="15"/>
    </row>
    <row r="29" spans="1:31">
      <c r="A29" s="1">
        <v>22.6</v>
      </c>
      <c r="B29" s="1">
        <f t="shared" si="0"/>
        <v>295.75</v>
      </c>
      <c r="C29" s="4">
        <f>ROUND(10000*EXP(($AB$4)+($AC$4/B29)+($AD$4/(B29^2))+($AE$4/(B29^3))),6)</f>
        <v>11116.497593</v>
      </c>
      <c r="D29" s="4">
        <f>((C29+2*$AC$5)*$AC$6)/((C29+2*$AC$5)+$AC$6)</f>
        <v>2173.1325647259123</v>
      </c>
      <c r="E29" s="4">
        <f t="shared" si="10"/>
        <v>2.1731325647259125</v>
      </c>
      <c r="F29" s="24">
        <v>9.9990399102947171E-4</v>
      </c>
      <c r="G29" s="6">
        <v>2.1720829627827394</v>
      </c>
      <c r="H29" s="2">
        <f t="shared" si="1"/>
        <v>4.8299029714533008E-4</v>
      </c>
      <c r="I29" s="5">
        <f>G29/F29</f>
        <v>2172.2915222554784</v>
      </c>
      <c r="J29" s="2">
        <f>ABS(D29-I29)/I29</f>
        <v>3.8716832516136085E-4</v>
      </c>
      <c r="K29" s="1">
        <f>$AD$10*B29+$AD$11</f>
        <v>2188.7412923807797</v>
      </c>
      <c r="L29" s="2">
        <f>ABS(K29-D29)/D29</f>
        <v>7.1825934175516071E-3</v>
      </c>
      <c r="M29" s="21">
        <f>K29*F29</f>
        <v>2.1885311535825456</v>
      </c>
      <c r="N29" s="2">
        <f>ABS(M29-G29)/M29</f>
        <v>7.5156301855155714E-3</v>
      </c>
      <c r="O29" s="21">
        <f t="shared" si="2"/>
        <v>1.6448190799806195E-2</v>
      </c>
      <c r="P29" s="25">
        <f>$AD$18*B29+$AD$19</f>
        <v>0.21666666666666856</v>
      </c>
      <c r="Q29" s="25">
        <f>$AD$29*G29+$AD$30</f>
        <v>0.27502123743422491</v>
      </c>
      <c r="R29" s="25">
        <f t="shared" si="3"/>
        <v>5.8354570767556346E-2</v>
      </c>
      <c r="S29" s="26">
        <v>0.18924821413206602</v>
      </c>
      <c r="T29" s="26">
        <f t="shared" si="4"/>
        <v>2.7418452534602539E-2</v>
      </c>
      <c r="U29" s="27">
        <f t="shared" si="5"/>
        <v>0.12654670400585677</v>
      </c>
      <c r="V29" s="28">
        <f t="shared" si="6"/>
        <v>22.270978569584791</v>
      </c>
      <c r="W29" s="27">
        <f t="shared" si="7"/>
        <v>1.4558470372354431E-2</v>
      </c>
      <c r="X29" s="21">
        <v>0.19729855262713231</v>
      </c>
      <c r="Y29" s="21">
        <f t="shared" si="8"/>
        <v>22.36758263152559</v>
      </c>
      <c r="Z29" s="2">
        <f t="shared" si="9"/>
        <v>1.0283954357274855E-2</v>
      </c>
      <c r="AB29" s="13" t="s">
        <v>34</v>
      </c>
      <c r="AC29" s="1" t="s">
        <v>1</v>
      </c>
      <c r="AD29" s="16">
        <f>SLOPE(P:P,M:M)</f>
        <v>-3.547780511413221</v>
      </c>
      <c r="AE29" s="13" t="s">
        <v>13</v>
      </c>
    </row>
    <row r="30" spans="1:31">
      <c r="A30" s="1">
        <v>22.7</v>
      </c>
      <c r="B30" s="1">
        <f t="shared" si="0"/>
        <v>295.84999999999997</v>
      </c>
      <c r="C30" s="4">
        <f>ROUND(10000*EXP(($AB$4)+($AC$4/B30)+($AD$4/(B30^2))+($AE$4/(B30^3))),6)</f>
        <v>11067.259511</v>
      </c>
      <c r="D30" s="4">
        <f>((C30+2*$AC$5)*$AC$6)/((C30+2*$AC$5)+$AC$6)</f>
        <v>2171.2509767308175</v>
      </c>
      <c r="E30" s="4">
        <f t="shared" si="10"/>
        <v>2.1712509767308177</v>
      </c>
      <c r="F30" s="24">
        <v>9.9990399102947171E-4</v>
      </c>
      <c r="G30" s="6">
        <v>2.1700931831900481</v>
      </c>
      <c r="H30" s="2">
        <f t="shared" si="1"/>
        <v>5.3323800572924369E-4</v>
      </c>
      <c r="I30" s="5">
        <f>G30/F30</f>
        <v>2170.3015516077539</v>
      </c>
      <c r="J30" s="2">
        <f>ABS(D30-I30)/I30</f>
        <v>4.3746230672884524E-4</v>
      </c>
      <c r="K30" s="1">
        <f>$AD$10*B30+$AD$11</f>
        <v>2186.3921804619067</v>
      </c>
      <c r="L30" s="2">
        <f>ABS(K30-D30)/D30</f>
        <v>6.9734931121997164E-3</v>
      </c>
      <c r="M30" s="21">
        <f>K30*F30</f>
        <v>2.1861822671994893</v>
      </c>
      <c r="N30" s="2">
        <f>ABS(M30-G30)/M30</f>
        <v>7.3594431035484522E-3</v>
      </c>
      <c r="O30" s="21">
        <f t="shared" si="2"/>
        <v>1.6089084009441201E-2</v>
      </c>
      <c r="P30" s="25">
        <f>$AD$18*B30+$AD$19</f>
        <v>0.22499999999999787</v>
      </c>
      <c r="Q30" s="25">
        <f>$AD$29*G30+$AD$30</f>
        <v>0.28208053869518324</v>
      </c>
      <c r="R30" s="25">
        <f t="shared" si="3"/>
        <v>5.7080538695185368E-2</v>
      </c>
      <c r="S30" s="26">
        <v>0.19658654366569164</v>
      </c>
      <c r="T30" s="26">
        <f t="shared" si="4"/>
        <v>2.8413456334306225E-2</v>
      </c>
      <c r="U30" s="27">
        <f t="shared" si="5"/>
        <v>0.1262820281524733</v>
      </c>
      <c r="V30" s="28">
        <f t="shared" si="6"/>
        <v>22.3590385239883</v>
      </c>
      <c r="W30" s="27">
        <f t="shared" si="7"/>
        <v>1.5020329339722444E-2</v>
      </c>
      <c r="X30" s="21">
        <v>0.20462332042835779</v>
      </c>
      <c r="Y30" s="21">
        <f t="shared" si="8"/>
        <v>22.455479845140296</v>
      </c>
      <c r="Z30" s="2">
        <f t="shared" si="9"/>
        <v>1.0771812989414245E-2</v>
      </c>
      <c r="AB30" s="14"/>
      <c r="AC30" s="1" t="s">
        <v>2</v>
      </c>
      <c r="AD30" s="16">
        <f>INTERCEPT(P:P,M:M)</f>
        <v>7.9810948419675167</v>
      </c>
      <c r="AE30" s="14"/>
    </row>
    <row r="31" spans="1:31">
      <c r="A31" s="1">
        <v>22.8</v>
      </c>
      <c r="B31" s="1">
        <f t="shared" si="0"/>
        <v>295.95</v>
      </c>
      <c r="C31" s="4">
        <f>ROUND(10000*EXP(($AB$4)+($AC$4/B31)+($AD$4/(B31^2))+($AE$4/(B31^3))),6)</f>
        <v>11018.268167</v>
      </c>
      <c r="D31" s="4">
        <f>((C31+2*$AC$5)*$AC$6)/((C31+2*$AC$5)+$AC$6)</f>
        <v>2169.3654315533786</v>
      </c>
      <c r="E31" s="4">
        <f t="shared" si="10"/>
        <v>2.1693654315533788</v>
      </c>
      <c r="F31" s="24">
        <v>9.9990399102947171E-4</v>
      </c>
      <c r="G31" s="6">
        <v>2.1680958379874999</v>
      </c>
      <c r="H31" s="2">
        <f t="shared" si="1"/>
        <v>5.8523729907955708E-4</v>
      </c>
      <c r="I31" s="5">
        <f>G31/F31</f>
        <v>2168.3040146237363</v>
      </c>
      <c r="J31" s="2">
        <f>ABS(D31-I31)/I31</f>
        <v>4.8951481087696001E-4</v>
      </c>
      <c r="K31" s="1">
        <f>$AD$10*B31+$AD$11</f>
        <v>2184.0430685430319</v>
      </c>
      <c r="L31" s="2">
        <f>ABS(K31-D31)/D31</f>
        <v>6.7658665415090595E-3</v>
      </c>
      <c r="M31" s="21">
        <f>K31*F31</f>
        <v>2.1838333808164316</v>
      </c>
      <c r="N31" s="2">
        <f>ABS(M31-G31)/M31</f>
        <v>7.2063844097154401E-3</v>
      </c>
      <c r="O31" s="21">
        <f t="shared" si="2"/>
        <v>1.5737542828931694E-2</v>
      </c>
      <c r="P31" s="25">
        <f>$AD$18*B31+$AD$19</f>
        <v>0.23333333333333428</v>
      </c>
      <c r="Q31" s="25">
        <f>$AD$29*G31+$AD$30</f>
        <v>0.28916668107934829</v>
      </c>
      <c r="R31" s="25">
        <f t="shared" si="3"/>
        <v>5.5833347746014006E-2</v>
      </c>
      <c r="S31" s="26">
        <v>0.203951487787115</v>
      </c>
      <c r="T31" s="26">
        <f t="shared" si="4"/>
        <v>2.9381845546219282E-2</v>
      </c>
      <c r="U31" s="27">
        <f t="shared" si="5"/>
        <v>0.12592219519808212</v>
      </c>
      <c r="V31" s="28">
        <f t="shared" si="6"/>
        <v>22.44741785344538</v>
      </c>
      <c r="W31" s="27">
        <f t="shared" si="7"/>
        <v>1.5464129234851791E-2</v>
      </c>
      <c r="X31" s="21">
        <v>0.21197450116450739</v>
      </c>
      <c r="Y31" s="21">
        <f t="shared" si="8"/>
        <v>22.54369401397409</v>
      </c>
      <c r="Z31" s="2">
        <f t="shared" si="9"/>
        <v>1.1241490615171532E-2</v>
      </c>
    </row>
    <row r="32" spans="1:31">
      <c r="A32" s="1">
        <v>22.9</v>
      </c>
      <c r="B32" s="1">
        <f t="shared" si="0"/>
        <v>296.04999999999995</v>
      </c>
      <c r="C32" s="4">
        <f>ROUND(10000*EXP(($AB$4)+($AC$4/B32)+($AD$4/(B32^2))+($AE$4/(B32^3))),6)</f>
        <v>10969.522193000001</v>
      </c>
      <c r="D32" s="4">
        <f>((C32+2*$AC$5)*$AC$6)/((C32+2*$AC$5)+$AC$6)</f>
        <v>2167.4759354473549</v>
      </c>
      <c r="E32" s="4">
        <f t="shared" si="10"/>
        <v>2.1674759354473552</v>
      </c>
      <c r="F32" s="24">
        <v>9.9990399102947171E-4</v>
      </c>
      <c r="G32" s="6">
        <v>2.1663499370668107</v>
      </c>
      <c r="H32" s="2">
        <f t="shared" si="1"/>
        <v>5.1949752342330009E-4</v>
      </c>
      <c r="I32" s="5">
        <f>G32/F32</f>
        <v>2166.5579460648023</v>
      </c>
      <c r="J32" s="2">
        <f>ABS(D32-I32)/I32</f>
        <v>4.2370866849879665E-4</v>
      </c>
      <c r="K32" s="1">
        <f>$AD$10*B32+$AD$11</f>
        <v>2181.693956624159</v>
      </c>
      <c r="L32" s="2">
        <f>ABS(K32-D32)/D32</f>
        <v>6.5597135102076999E-3</v>
      </c>
      <c r="M32" s="21">
        <f>K32*F32</f>
        <v>2.1814844944333758</v>
      </c>
      <c r="N32" s="2">
        <f>ABS(M32-G32)/M32</f>
        <v>6.9377331836118286E-3</v>
      </c>
      <c r="O32" s="21">
        <f t="shared" si="2"/>
        <v>1.5134557366565105E-2</v>
      </c>
      <c r="P32" s="25">
        <f>$AD$18*B32+$AD$19</f>
        <v>0.24166666666666359</v>
      </c>
      <c r="Q32" s="25">
        <f>$AD$29*G32+$AD$30</f>
        <v>0.29536075434062781</v>
      </c>
      <c r="R32" s="25">
        <f t="shared" si="3"/>
        <v>5.3694087673964219E-2</v>
      </c>
      <c r="S32" s="26">
        <v>0.21039167767387981</v>
      </c>
      <c r="T32" s="26">
        <f t="shared" si="4"/>
        <v>3.1274988992783775E-2</v>
      </c>
      <c r="U32" s="27">
        <f t="shared" si="5"/>
        <v>0.1294137475563483</v>
      </c>
      <c r="V32" s="28">
        <f t="shared" si="6"/>
        <v>22.524700132086558</v>
      </c>
      <c r="W32" s="27">
        <f t="shared" si="7"/>
        <v>1.6388640520237589E-2</v>
      </c>
      <c r="X32" s="21">
        <v>0.21840213240529027</v>
      </c>
      <c r="Y32" s="21">
        <f t="shared" si="8"/>
        <v>22.620825588863486</v>
      </c>
      <c r="Z32" s="2">
        <f t="shared" si="9"/>
        <v>1.2191022320371732E-2</v>
      </c>
    </row>
    <row r="33" spans="1:26">
      <c r="A33" s="1">
        <v>23</v>
      </c>
      <c r="B33" s="1">
        <f t="shared" si="0"/>
        <v>296.14999999999998</v>
      </c>
      <c r="C33" s="4">
        <f>ROUND(10000*EXP(($AB$4)+($AC$4/B33)+($AD$4/(B33^2))+($AE$4/(B33^3))),6)</f>
        <v>10921.020224</v>
      </c>
      <c r="D33" s="4">
        <f>((C33+2*$AC$5)*$AC$6)/((C33+2*$AC$5)+$AC$6)</f>
        <v>2165.5824945428949</v>
      </c>
      <c r="E33" s="4">
        <f t="shared" si="10"/>
        <v>2.1655824945428948</v>
      </c>
      <c r="F33" s="24">
        <v>9.9990399102947171E-4</v>
      </c>
      <c r="G33" s="6">
        <v>2.164338403810707</v>
      </c>
      <c r="H33" s="2">
        <f t="shared" si="1"/>
        <v>5.7448318654348247E-4</v>
      </c>
      <c r="I33" s="5">
        <f>G33/F33</f>
        <v>2164.5462196649178</v>
      </c>
      <c r="J33" s="2">
        <f>ABS(D33-I33)/I33</f>
        <v>4.7874924940967129E-4</v>
      </c>
      <c r="K33" s="1">
        <f>$AD$10*B33+$AD$11</f>
        <v>2179.3448447052842</v>
      </c>
      <c r="L33" s="2">
        <f>ABS(K33-D33)/D33</f>
        <v>6.3550338983019245E-3</v>
      </c>
      <c r="M33" s="21">
        <f>K33*F33</f>
        <v>2.1791356080503181</v>
      </c>
      <c r="N33" s="2">
        <f>ABS(M33-G33)/M33</f>
        <v>6.7904008290930983E-3</v>
      </c>
      <c r="O33" s="21">
        <f t="shared" si="2"/>
        <v>1.4797204239611172E-2</v>
      </c>
      <c r="P33" s="25">
        <f>$AD$18*B33+$AD$19</f>
        <v>0.25</v>
      </c>
      <c r="Q33" s="25">
        <f>$AD$29*G33+$AD$30</f>
        <v>0.30249723282469265</v>
      </c>
      <c r="R33" s="25">
        <f t="shared" si="3"/>
        <v>5.2497232824692652E-2</v>
      </c>
      <c r="S33" s="26">
        <v>0.21781023534419344</v>
      </c>
      <c r="T33" s="26">
        <f t="shared" si="4"/>
        <v>3.2189764655806558E-2</v>
      </c>
      <c r="U33" s="27">
        <f t="shared" si="5"/>
        <v>0.12875905862322623</v>
      </c>
      <c r="V33" s="28">
        <f t="shared" si="6"/>
        <v>22.613722824130321</v>
      </c>
      <c r="W33" s="27">
        <f t="shared" si="7"/>
        <v>1.6794659820420846E-2</v>
      </c>
      <c r="X33" s="21">
        <v>0.22580692634108476</v>
      </c>
      <c r="Y33" s="21">
        <f t="shared" si="8"/>
        <v>22.709683116093018</v>
      </c>
      <c r="Z33" s="2">
        <f t="shared" si="9"/>
        <v>1.2622473213347047E-2</v>
      </c>
    </row>
    <row r="34" spans="1:26">
      <c r="A34" s="1">
        <v>23.1</v>
      </c>
      <c r="B34" s="1">
        <f t="shared" si="0"/>
        <v>296.25</v>
      </c>
      <c r="C34" s="4">
        <f>ROUND(10000*EXP(($AB$4)+($AC$4/B34)+($AD$4/(B34^2))+($AE$4/(B34^3))),6)</f>
        <v>10872.760908</v>
      </c>
      <c r="D34" s="4">
        <f>((C34+2*$AC$5)*$AC$6)/((C34+2*$AC$5)+$AC$6)</f>
        <v>2163.6851152358986</v>
      </c>
      <c r="E34" s="4">
        <f t="shared" si="10"/>
        <v>2.1636851152358987</v>
      </c>
      <c r="F34" s="24">
        <v>9.9990399102947171E-4</v>
      </c>
      <c r="G34" s="6">
        <v>2.1625770941594453</v>
      </c>
      <c r="H34" s="2">
        <f t="shared" si="1"/>
        <v>5.1209904280945001E-4</v>
      </c>
      <c r="I34" s="5">
        <f>G34/F34</f>
        <v>2162.7847408958928</v>
      </c>
      <c r="J34" s="2">
        <f>ABS(D34-I34)/I34</f>
        <v>4.1630326078258707E-4</v>
      </c>
      <c r="K34" s="1">
        <f>$AD$10*B34+$AD$11</f>
        <v>2176.9957327864104</v>
      </c>
      <c r="L34" s="2">
        <f>ABS(K34-D34)/D34</f>
        <v>6.1518274802480084E-3</v>
      </c>
      <c r="M34" s="21">
        <f>K34*F34</f>
        <v>2.1767867216672609</v>
      </c>
      <c r="N34" s="2">
        <f>ABS(M34-G34)/M34</f>
        <v>6.5277996077319324E-3</v>
      </c>
      <c r="O34" s="21">
        <f t="shared" si="2"/>
        <v>1.4209627507815625E-2</v>
      </c>
      <c r="P34" s="25">
        <f>$AD$18*B34+$AD$19</f>
        <v>0.25833333333333641</v>
      </c>
      <c r="Q34" s="25">
        <f>$AD$29*G34+$AD$30</f>
        <v>0.30874597288000238</v>
      </c>
      <c r="R34" s="25">
        <f t="shared" si="3"/>
        <v>5.0412639546665972E-2</v>
      </c>
      <c r="S34" s="26">
        <v>0.22430596520726245</v>
      </c>
      <c r="T34" s="26">
        <f t="shared" si="4"/>
        <v>3.4027368126073959E-2</v>
      </c>
      <c r="U34" s="27">
        <f t="shared" si="5"/>
        <v>0.13171884435899439</v>
      </c>
      <c r="V34" s="28">
        <f t="shared" si="6"/>
        <v>22.69167158248715</v>
      </c>
      <c r="W34" s="27">
        <f t="shared" si="7"/>
        <v>1.7676554870686229E-2</v>
      </c>
      <c r="X34" s="21">
        <v>0.23228982545953009</v>
      </c>
      <c r="Y34" s="21">
        <f t="shared" si="8"/>
        <v>22.787477905514361</v>
      </c>
      <c r="Z34" s="2">
        <f t="shared" si="9"/>
        <v>1.3529094999378362E-2</v>
      </c>
    </row>
    <row r="35" spans="1:26">
      <c r="A35" s="1">
        <v>23.2</v>
      </c>
      <c r="B35" s="1">
        <f t="shared" si="0"/>
        <v>296.34999999999997</v>
      </c>
      <c r="C35" s="4">
        <f>ROUND(10000*EXP(($AB$4)+($AC$4/B35)+($AD$4/(B35^2))+($AE$4/(B35^3))),6)</f>
        <v>10824.742897</v>
      </c>
      <c r="D35" s="4">
        <f>((C35+2*$AC$5)*$AC$6)/((C35+2*$AC$5)+$AC$6)</f>
        <v>2161.7838038391524</v>
      </c>
      <c r="E35" s="4">
        <f t="shared" si="10"/>
        <v>2.1617838038391524</v>
      </c>
      <c r="F35" s="24">
        <v>9.9990399102947171E-4</v>
      </c>
      <c r="G35" s="6">
        <v>2.1605510063978732</v>
      </c>
      <c r="H35" s="2">
        <f t="shared" si="1"/>
        <v>5.7026860830846455E-4</v>
      </c>
      <c r="I35" s="5">
        <f>G35/F35</f>
        <v>2160.7584585930431</v>
      </c>
      <c r="J35" s="2">
        <f>ABS(D35-I35)/I35</f>
        <v>4.7453024748399025E-4</v>
      </c>
      <c r="K35" s="1">
        <f>$AD$10*B35+$AD$11</f>
        <v>2174.6466208675374</v>
      </c>
      <c r="L35" s="2">
        <f>ABS(K35-D35)/D35</f>
        <v>5.9500940869025541E-3</v>
      </c>
      <c r="M35" s="21">
        <f>K35*F35</f>
        <v>2.1744378352842051</v>
      </c>
      <c r="N35" s="2">
        <f>ABS(M35-G35)/M35</f>
        <v>6.3863995838339578E-3</v>
      </c>
      <c r="O35" s="21">
        <f t="shared" si="2"/>
        <v>1.3886828886331859E-2</v>
      </c>
      <c r="P35" s="25">
        <f>$AD$18*B35+$AD$19</f>
        <v>0.26666666666666572</v>
      </c>
      <c r="Q35" s="25">
        <f>$AD$29*G35+$AD$30</f>
        <v>0.31593408755492103</v>
      </c>
      <c r="R35" s="25">
        <f t="shared" si="3"/>
        <v>4.9267420888255309E-2</v>
      </c>
      <c r="S35" s="26">
        <v>0.23177819965850352</v>
      </c>
      <c r="T35" s="26">
        <f t="shared" si="4"/>
        <v>3.4888467008162199E-2</v>
      </c>
      <c r="U35" s="27">
        <f t="shared" si="5"/>
        <v>0.1308317512806087</v>
      </c>
      <c r="V35" s="28">
        <f t="shared" si="6"/>
        <v>22.781338395902043</v>
      </c>
      <c r="W35" s="27">
        <f t="shared" si="7"/>
        <v>1.8045758797325683E-2</v>
      </c>
      <c r="X35" s="21">
        <v>0.23974816124988241</v>
      </c>
      <c r="Y35" s="21">
        <f t="shared" si="8"/>
        <v>22.876977934998592</v>
      </c>
      <c r="Z35" s="2">
        <f t="shared" si="9"/>
        <v>1.3923364870750295E-2</v>
      </c>
    </row>
    <row r="36" spans="1:26">
      <c r="A36" s="1">
        <v>23.3</v>
      </c>
      <c r="B36" s="1">
        <f t="shared" si="0"/>
        <v>296.45</v>
      </c>
      <c r="C36" s="4">
        <f>ROUND(10000*EXP(($AB$4)+($AC$4/B36)+($AD$4/(B36^2))+($AE$4/(B36^3))),6)</f>
        <v>10776.964856000001</v>
      </c>
      <c r="D36" s="4">
        <f>((C36+2*$AC$5)*$AC$6)/((C36+2*$AC$5)+$AC$6)</f>
        <v>2159.8785669387535</v>
      </c>
      <c r="E36" s="4">
        <f t="shared" si="10"/>
        <v>2.1598785669387537</v>
      </c>
      <c r="F36" s="24">
        <v>9.9990399102947171E-4</v>
      </c>
      <c r="G36" s="6">
        <v>2.1587746912252932</v>
      </c>
      <c r="H36" s="2">
        <f t="shared" si="1"/>
        <v>5.1108230358757538E-4</v>
      </c>
      <c r="I36" s="5">
        <f>G36/F36</f>
        <v>2158.9819728618968</v>
      </c>
      <c r="J36" s="2">
        <f>ABS(D36-I36)/I36</f>
        <v>4.1528557816912569E-4</v>
      </c>
      <c r="K36" s="1">
        <f>$AD$10*B36+$AD$11</f>
        <v>2172.2975089486627</v>
      </c>
      <c r="L36" s="2">
        <f>ABS(K36-D36)/D36</f>
        <v>5.7498334397154769E-3</v>
      </c>
      <c r="M36" s="21">
        <f>K36*F36</f>
        <v>2.1720889489011475</v>
      </c>
      <c r="N36" s="2">
        <f>ABS(M36-G36)/M36</f>
        <v>6.1297018626193444E-3</v>
      </c>
      <c r="O36" s="21">
        <f t="shared" si="2"/>
        <v>1.3314257675854257E-2</v>
      </c>
      <c r="P36" s="25">
        <f>$AD$18*B36+$AD$19</f>
        <v>0.27500000000000213</v>
      </c>
      <c r="Q36" s="25">
        <f>$AD$29*G36+$AD$30</f>
        <v>0.32223606390632753</v>
      </c>
      <c r="R36" s="25">
        <f t="shared" si="3"/>
        <v>4.7236063906325398E-2</v>
      </c>
      <c r="S36" s="26">
        <v>0.23832927029591711</v>
      </c>
      <c r="T36" s="26">
        <f t="shared" si="4"/>
        <v>3.6670729704085026E-2</v>
      </c>
      <c r="U36" s="27">
        <f t="shared" si="5"/>
        <v>0.13334810801485361</v>
      </c>
      <c r="V36" s="28">
        <f t="shared" si="6"/>
        <v>22.859951243551002</v>
      </c>
      <c r="W36" s="27">
        <f t="shared" si="7"/>
        <v>1.8886212723132983E-2</v>
      </c>
      <c r="X36" s="21">
        <v>0.24628626142565627</v>
      </c>
      <c r="Y36" s="21">
        <f t="shared" si="8"/>
        <v>22.955435137107877</v>
      </c>
      <c r="Z36" s="2">
        <f t="shared" si="9"/>
        <v>1.4788191540434509E-2</v>
      </c>
    </row>
    <row r="37" spans="1:26">
      <c r="A37" s="1">
        <v>23.4</v>
      </c>
      <c r="B37" s="1">
        <f t="shared" si="0"/>
        <v>296.54999999999995</v>
      </c>
      <c r="C37" s="4">
        <f>ROUND(10000*EXP(($AB$4)+($AC$4/B37)+($AD$4/(B37^2))+($AE$4/(B37^3))),6)</f>
        <v>10729.425454</v>
      </c>
      <c r="D37" s="4">
        <f>((C37+2*$AC$5)*$AC$6)/((C37+2*$AC$5)+$AC$6)</f>
        <v>2157.9694110403893</v>
      </c>
      <c r="E37" s="4">
        <f t="shared" si="10"/>
        <v>2.1579694110403893</v>
      </c>
      <c r="F37" s="24">
        <v>9.9990399102947171E-4</v>
      </c>
      <c r="G37" s="6">
        <v>2.1567340696216819</v>
      </c>
      <c r="H37" s="2">
        <f t="shared" si="1"/>
        <v>5.7245548170760515E-4</v>
      </c>
      <c r="I37" s="5">
        <f>G37/F37</f>
        <v>2156.9411553214945</v>
      </c>
      <c r="J37" s="2">
        <f>ABS(D37-I37)/I37</f>
        <v>4.7671941181980689E-4</v>
      </c>
      <c r="K37" s="1">
        <f>$AD$10*B37+$AD$11</f>
        <v>2169.9483970297897</v>
      </c>
      <c r="L37" s="2">
        <f>ABS(K37-D37)/D37</f>
        <v>5.5510453151535284E-3</v>
      </c>
      <c r="M37" s="21">
        <f>K37*F37</f>
        <v>2.1697400625180912</v>
      </c>
      <c r="N37" s="2">
        <f>ABS(M37-G37)/M37</f>
        <v>5.994263147501247E-3</v>
      </c>
      <c r="O37" s="21">
        <f t="shared" si="2"/>
        <v>1.3005992896409245E-2</v>
      </c>
      <c r="P37" s="25">
        <f>$AD$18*B37+$AD$19</f>
        <v>0.28333333333333144</v>
      </c>
      <c r="Q37" s="25">
        <f>$AD$29*G37+$AD$30</f>
        <v>0.32947574146278846</v>
      </c>
      <c r="R37" s="25">
        <f t="shared" si="3"/>
        <v>4.6142408129457024E-2</v>
      </c>
      <c r="S37" s="26">
        <v>0.24585510549614017</v>
      </c>
      <c r="T37" s="26">
        <f t="shared" si="4"/>
        <v>3.7478227837191264E-2</v>
      </c>
      <c r="U37" s="27">
        <f t="shared" si="5"/>
        <v>0.13227609824891123</v>
      </c>
      <c r="V37" s="28">
        <f t="shared" si="6"/>
        <v>22.950261265953682</v>
      </c>
      <c r="W37" s="27">
        <f t="shared" si="7"/>
        <v>1.921960401907338E-2</v>
      </c>
      <c r="X37" s="21">
        <v>0.25379806285474665</v>
      </c>
      <c r="Y37" s="21">
        <f t="shared" si="8"/>
        <v>23.045576754256963</v>
      </c>
      <c r="Z37" s="2">
        <f t="shared" si="9"/>
        <v>1.5146292553121173E-2</v>
      </c>
    </row>
    <row r="38" spans="1:26">
      <c r="A38" s="1">
        <v>23.5</v>
      </c>
      <c r="B38" s="1">
        <f t="shared" si="0"/>
        <v>296.64999999999998</v>
      </c>
      <c r="C38" s="4">
        <f>ROUND(10000*EXP(($AB$4)+($AC$4/B38)+($AD$4/(B38^2))+($AE$4/(B38^3))),6)</f>
        <v>10682.123369999999</v>
      </c>
      <c r="D38" s="4">
        <f>((C38+2*$AC$5)*$AC$6)/((C38+2*$AC$5)+$AC$6)</f>
        <v>2156.0563428092069</v>
      </c>
      <c r="E38" s="4">
        <f t="shared" si="10"/>
        <v>2.1560563428092068</v>
      </c>
      <c r="F38" s="24">
        <v>9.9990399102947171E-4</v>
      </c>
      <c r="G38" s="6">
        <v>2.1546863042215429</v>
      </c>
      <c r="H38" s="2">
        <f t="shared" si="1"/>
        <v>6.3543728448151298E-4</v>
      </c>
      <c r="I38" s="5">
        <f>G38/F38</f>
        <v>2154.8931932986297</v>
      </c>
      <c r="J38" s="2">
        <f>ABS(D38-I38)/I38</f>
        <v>5.3977130476550817E-4</v>
      </c>
      <c r="K38" s="1">
        <f>$AD$10*B38+$AD$11</f>
        <v>2167.5992851109149</v>
      </c>
      <c r="L38" s="2">
        <f>ABS(K38-D38)/D38</f>
        <v>5.353729433001898E-3</v>
      </c>
      <c r="M38" s="21">
        <f>K38*F38</f>
        <v>2.1673911761350335</v>
      </c>
      <c r="N38" s="2">
        <f>ABS(M38-G38)/M38</f>
        <v>5.8618269066437433E-3</v>
      </c>
      <c r="O38" s="21">
        <f t="shared" si="2"/>
        <v>1.2704871913490567E-2</v>
      </c>
      <c r="P38" s="25">
        <f>$AD$18*B38+$AD$19</f>
        <v>0.29166666666666785</v>
      </c>
      <c r="Q38" s="25">
        <f>$AD$29*G38+$AD$30</f>
        <v>0.3367407636413482</v>
      </c>
      <c r="R38" s="25">
        <f t="shared" si="3"/>
        <v>4.5074096974680344E-2</v>
      </c>
      <c r="S38" s="26">
        <v>0.25340728756148528</v>
      </c>
      <c r="T38" s="26">
        <f t="shared" si="4"/>
        <v>3.8259379105182567E-2</v>
      </c>
      <c r="U38" s="27">
        <f t="shared" si="5"/>
        <v>0.13117501407491114</v>
      </c>
      <c r="V38" s="28">
        <f t="shared" si="6"/>
        <v>23.040887450737824</v>
      </c>
      <c r="W38" s="27">
        <f t="shared" si="7"/>
        <v>1.95367042239224E-2</v>
      </c>
      <c r="X38" s="21">
        <v>0.2613361413379266</v>
      </c>
      <c r="Y38" s="21">
        <f t="shared" si="8"/>
        <v>23.136033696055119</v>
      </c>
      <c r="Z38" s="2">
        <f t="shared" si="9"/>
        <v>1.5487927827441756E-2</v>
      </c>
    </row>
    <row r="39" spans="1:26">
      <c r="A39" s="1">
        <v>23.6</v>
      </c>
      <c r="B39" s="1">
        <f t="shared" si="0"/>
        <v>296.75</v>
      </c>
      <c r="C39" s="4">
        <f>ROUND(10000*EXP(($AB$4)+($AC$4/B39)+($AD$4/(B39^2))+($AE$4/(B39^3))),6)</f>
        <v>10635.057290999999</v>
      </c>
      <c r="D39" s="4">
        <f>((C39+2*$AC$5)*$AC$6)/((C39+2*$AC$5)+$AC$6)</f>
        <v>2154.1393689929923</v>
      </c>
      <c r="E39" s="4">
        <f t="shared" si="10"/>
        <v>2.1541393689929924</v>
      </c>
      <c r="F39" s="24">
        <v>9.9990399102947171E-4</v>
      </c>
      <c r="G39" s="6">
        <v>2.1528876338106957</v>
      </c>
      <c r="H39" s="2">
        <f t="shared" si="1"/>
        <v>5.8108365703462585E-4</v>
      </c>
      <c r="I39" s="5">
        <f>G39/F39</f>
        <v>2153.0943501827069</v>
      </c>
      <c r="J39" s="2">
        <f>ABS(D39-I39)/I39</f>
        <v>4.8535671936382046E-4</v>
      </c>
      <c r="K39" s="1">
        <f>$AD$10*B39+$AD$11</f>
        <v>2165.2501731920402</v>
      </c>
      <c r="L39" s="2">
        <f>ABS(K39-D39)/D39</f>
        <v>5.1578854919873936E-3</v>
      </c>
      <c r="M39" s="21">
        <f>K39*F39</f>
        <v>2.1650422897519759</v>
      </c>
      <c r="N39" s="2">
        <f>ABS(M39-G39)/M39</f>
        <v>5.6140501267864839E-3</v>
      </c>
      <c r="O39" s="21">
        <f t="shared" si="2"/>
        <v>1.2154655941280179E-2</v>
      </c>
      <c r="P39" s="25">
        <f>$AD$18*B39+$AD$19</f>
        <v>0.30000000000000071</v>
      </c>
      <c r="Q39" s="25">
        <f>$AD$29*G39+$AD$30</f>
        <v>0.34312205147140773</v>
      </c>
      <c r="R39" s="25">
        <f t="shared" si="3"/>
        <v>4.3122051471407019E-2</v>
      </c>
      <c r="S39" s="26">
        <v>0.26004080431534832</v>
      </c>
      <c r="T39" s="26">
        <f t="shared" si="4"/>
        <v>3.9959195684652393E-2</v>
      </c>
      <c r="U39" s="27">
        <f t="shared" si="5"/>
        <v>0.13319731894884099</v>
      </c>
      <c r="V39" s="28">
        <f t="shared" si="6"/>
        <v>23.12048965178418</v>
      </c>
      <c r="W39" s="27">
        <f t="shared" si="7"/>
        <v>2.0318235093890753E-2</v>
      </c>
      <c r="X39" s="21">
        <v>0.26795648148783491</v>
      </c>
      <c r="Y39" s="21">
        <f t="shared" si="8"/>
        <v>23.215477777854023</v>
      </c>
      <c r="Z39" s="2">
        <f t="shared" si="9"/>
        <v>1.6293314497710952E-2</v>
      </c>
    </row>
    <row r="40" spans="1:26">
      <c r="A40" s="1">
        <v>23.7</v>
      </c>
      <c r="B40" s="1">
        <f t="shared" si="0"/>
        <v>296.84999999999997</v>
      </c>
      <c r="C40" s="4">
        <f>ROUND(10000*EXP(($AB$4)+($AC$4/B40)+($AD$4/(B40^2))+($AE$4/(B40^3))),6)</f>
        <v>10588.225909999999</v>
      </c>
      <c r="D40" s="4">
        <f>((C40+2*$AC$5)*$AC$6)/((C40+2*$AC$5)+$AC$6)</f>
        <v>2152.2184963420118</v>
      </c>
      <c r="E40" s="4">
        <f t="shared" si="10"/>
        <v>2.1522184963420119</v>
      </c>
      <c r="F40" s="24">
        <v>9.9990399102947171E-4</v>
      </c>
      <c r="G40" s="6">
        <v>2.1508253671590101</v>
      </c>
      <c r="H40" s="2">
        <f t="shared" si="1"/>
        <v>6.4729914057036562E-4</v>
      </c>
      <c r="I40" s="5">
        <f>G40/F40</f>
        <v>2151.0318855159121</v>
      </c>
      <c r="J40" s="2">
        <f>ABS(D40-I40)/I40</f>
        <v>5.5164725083333376E-4</v>
      </c>
      <c r="K40" s="1">
        <f>$AD$10*B40+$AD$11</f>
        <v>2162.9010612731672</v>
      </c>
      <c r="L40" s="2">
        <f>ABS(K40-D40)/D40</f>
        <v>4.9635132070985745E-3</v>
      </c>
      <c r="M40" s="21">
        <f>K40*F40</f>
        <v>2.16269340336892</v>
      </c>
      <c r="N40" s="2">
        <f>ABS(M40-G40)/M40</f>
        <v>5.4876184444002099E-3</v>
      </c>
      <c r="O40" s="21">
        <f t="shared" si="2"/>
        <v>1.1868036209909949E-2</v>
      </c>
      <c r="P40" s="25">
        <f>$AD$18*B40+$AD$19</f>
        <v>0.30833333333333357</v>
      </c>
      <c r="Q40" s="25">
        <f>$AD$29*G40+$AD$30</f>
        <v>0.35043852090759486</v>
      </c>
      <c r="R40" s="25">
        <f t="shared" si="3"/>
        <v>4.2105187574261294E-2</v>
      </c>
      <c r="S40" s="26">
        <v>0.2676464672211597</v>
      </c>
      <c r="T40" s="26">
        <f t="shared" si="4"/>
        <v>4.068686611217387E-2</v>
      </c>
      <c r="U40" s="27">
        <f t="shared" si="5"/>
        <v>0.1319574036070503</v>
      </c>
      <c r="V40" s="28">
        <f t="shared" si="6"/>
        <v>23.211757606653915</v>
      </c>
      <c r="W40" s="27">
        <f t="shared" si="7"/>
        <v>2.0600944866923387E-2</v>
      </c>
      <c r="X40" s="21">
        <v>0.27554790304073035</v>
      </c>
      <c r="Y40" s="21">
        <f t="shared" si="8"/>
        <v>23.306574836488767</v>
      </c>
      <c r="Z40" s="2">
        <f t="shared" si="9"/>
        <v>1.6600217869672227E-2</v>
      </c>
    </row>
    <row r="41" spans="1:26">
      <c r="A41" s="1">
        <v>23.8</v>
      </c>
      <c r="B41" s="1">
        <f t="shared" si="0"/>
        <v>296.95</v>
      </c>
      <c r="C41" s="4">
        <f>ROUND(10000*EXP(($AB$4)+($AC$4/B41)+($AD$4/(B41^2))+($AE$4/(B41^3))),6)</f>
        <v>10541.627931000001</v>
      </c>
      <c r="D41" s="4">
        <f>((C41+2*$AC$5)*$AC$6)/((C41+2*$AC$5)+$AC$6)</f>
        <v>2150.2937318156014</v>
      </c>
      <c r="E41" s="4">
        <f t="shared" si="10"/>
        <v>2.1502937318156015</v>
      </c>
      <c r="F41" s="24">
        <v>9.9990399102947171E-4</v>
      </c>
      <c r="G41" s="6">
        <v>2.1490117414644536</v>
      </c>
      <c r="H41" s="2">
        <f t="shared" si="1"/>
        <v>5.9619313035219363E-4</v>
      </c>
      <c r="I41" s="5">
        <f>G41/F41</f>
        <v>2149.2180856803006</v>
      </c>
      <c r="J41" s="2">
        <f>ABS(D41-I41)/I41</f>
        <v>5.004825440784803E-4</v>
      </c>
      <c r="K41" s="1">
        <f>$AD$10*B41+$AD$11</f>
        <v>2160.5519493542924</v>
      </c>
      <c r="L41" s="2">
        <f>ABS(K41-D41)/D41</f>
        <v>4.7706122130717057E-3</v>
      </c>
      <c r="M41" s="21">
        <f>K41*F41</f>
        <v>2.1603445169858619</v>
      </c>
      <c r="N41" s="2">
        <f>ABS(M41-G41)/M41</f>
        <v>5.2458186332335292E-3</v>
      </c>
      <c r="O41" s="21">
        <f t="shared" si="2"/>
        <v>1.1332775521408323E-2</v>
      </c>
      <c r="P41" s="25">
        <f>$AD$18*B41+$AD$19</f>
        <v>0.31666666666666643</v>
      </c>
      <c r="Q41" s="25">
        <f>$AD$29*G41+$AD$30</f>
        <v>0.35687286680174068</v>
      </c>
      <c r="R41" s="25">
        <f t="shared" si="3"/>
        <v>4.0206200135074255E-2</v>
      </c>
      <c r="S41" s="26">
        <v>0.27433513899523582</v>
      </c>
      <c r="T41" s="26">
        <f t="shared" si="4"/>
        <v>4.2331527671430613E-2</v>
      </c>
      <c r="U41" s="27">
        <f t="shared" si="5"/>
        <v>0.13367850843609677</v>
      </c>
      <c r="V41" s="28">
        <f t="shared" si="6"/>
        <v>23.29202166794283</v>
      </c>
      <c r="W41" s="27">
        <f t="shared" si="7"/>
        <v>2.1343627397360114E-2</v>
      </c>
      <c r="X41" s="21">
        <v>0.28222325853257463</v>
      </c>
      <c r="Y41" s="21">
        <f t="shared" si="8"/>
        <v>23.386679102390897</v>
      </c>
      <c r="Z41" s="2">
        <f t="shared" si="9"/>
        <v>1.7366424269290085E-2</v>
      </c>
    </row>
    <row r="42" spans="1:26">
      <c r="A42" s="1">
        <v>23.9</v>
      </c>
      <c r="B42" s="1">
        <f t="shared" si="0"/>
        <v>297.04999999999995</v>
      </c>
      <c r="C42" s="4">
        <f>ROUND(10000*EXP(($AB$4)+($AC$4/B42)+($AD$4/(B42^2))+($AE$4/(B42^3))),6)</f>
        <v>10495.262063</v>
      </c>
      <c r="D42" s="4">
        <f>((C42+2*$AC$5)*$AC$6)/((C42+2*$AC$5)+$AC$6)</f>
        <v>2148.36508233836</v>
      </c>
      <c r="E42" s="4">
        <f t="shared" si="10"/>
        <v>2.1483650823383602</v>
      </c>
      <c r="F42" s="24">
        <v>9.9990399102947171E-4</v>
      </c>
      <c r="G42" s="6">
        <v>2.1469349965465052</v>
      </c>
      <c r="H42" s="2">
        <f t="shared" si="1"/>
        <v>6.6566236977675948E-4</v>
      </c>
      <c r="I42" s="5">
        <f>G42/F42</f>
        <v>2147.1411413570659</v>
      </c>
      <c r="J42" s="2">
        <f>ABS(D42-I42)/I42</f>
        <v>5.7003284866526799E-4</v>
      </c>
      <c r="K42" s="1">
        <f>$AD$10*B42+$AD$11</f>
        <v>2158.2028374354195</v>
      </c>
      <c r="L42" s="2">
        <f>ABS(K42-D42)/D42</f>
        <v>4.5791821780829236E-3</v>
      </c>
      <c r="M42" s="21">
        <f>K42*F42</f>
        <v>2.1579956306028061</v>
      </c>
      <c r="N42" s="2">
        <f>ABS(M42-G42)/M42</f>
        <v>5.125420042306217E-3</v>
      </c>
      <c r="O42" s="21">
        <f t="shared" si="2"/>
        <v>1.1060634056300866E-2</v>
      </c>
      <c r="P42" s="25">
        <f>$AD$18*B42+$AD$19</f>
        <v>0.32499999999999929</v>
      </c>
      <c r="Q42" s="25">
        <f>$AD$29*G42+$AD$30</f>
        <v>0.3642407019488143</v>
      </c>
      <c r="R42" s="25">
        <f t="shared" si="3"/>
        <v>3.9240701948815015E-2</v>
      </c>
      <c r="S42" s="26">
        <v>0.28199419782642582</v>
      </c>
      <c r="T42" s="26">
        <f t="shared" si="4"/>
        <v>4.3005802173573471E-2</v>
      </c>
      <c r="U42" s="27">
        <f t="shared" si="5"/>
        <v>0.13232554514945713</v>
      </c>
      <c r="V42" s="28">
        <f t="shared" si="6"/>
        <v>23.38393037391711</v>
      </c>
      <c r="W42" s="27">
        <f t="shared" si="7"/>
        <v>2.1592871384221279E-2</v>
      </c>
      <c r="X42" s="21">
        <v>0.2898679378145001</v>
      </c>
      <c r="Y42" s="21">
        <f t="shared" si="8"/>
        <v>23.478415253774003</v>
      </c>
      <c r="Z42" s="2">
        <f t="shared" si="9"/>
        <v>1.7639529130794807E-2</v>
      </c>
    </row>
    <row r="43" spans="1:26">
      <c r="A43" s="1">
        <v>24</v>
      </c>
      <c r="B43" s="1">
        <f t="shared" si="0"/>
        <v>297.14999999999998</v>
      </c>
      <c r="C43" s="4">
        <f>ROUND(10000*EXP(($AB$4)+($AC$4/B43)+($AD$4/(B43^2))+($AE$4/(B43^3))),6)</f>
        <v>10449.127026</v>
      </c>
      <c r="D43" s="4">
        <f>((C43+2*$AC$5)*$AC$6)/((C43+2*$AC$5)+$AC$6)</f>
        <v>2146.4325550503654</v>
      </c>
      <c r="E43" s="4">
        <f t="shared" si="10"/>
        <v>2.1464325550503656</v>
      </c>
      <c r="F43" s="24">
        <v>9.9990399102947171E-4</v>
      </c>
      <c r="G43" s="6">
        <v>2.1451064372504409</v>
      </c>
      <c r="H43" s="2">
        <f t="shared" si="1"/>
        <v>6.1782411788546745E-4</v>
      </c>
      <c r="I43" s="5">
        <f>G43/F43</f>
        <v>2145.312406486049</v>
      </c>
      <c r="J43" s="2">
        <f>ABS(D43-I43)/I43</f>
        <v>5.221377366437692E-4</v>
      </c>
      <c r="K43" s="1">
        <f>$AD$10*B43+$AD$11</f>
        <v>2155.8537255165456</v>
      </c>
      <c r="L43" s="2">
        <f>ABS(K43-D43)/D43</f>
        <v>4.3892226867380717E-3</v>
      </c>
      <c r="M43" s="21">
        <f>K43*F43</f>
        <v>2.1556467442197493</v>
      </c>
      <c r="N43" s="2">
        <f>ABS(M43-G43)/M43</f>
        <v>4.8896262792462062E-3</v>
      </c>
      <c r="O43" s="21">
        <f t="shared" si="2"/>
        <v>1.0540306969308411E-2</v>
      </c>
      <c r="P43" s="25">
        <f>$AD$18*B43+$AD$19</f>
        <v>0.33333333333333215</v>
      </c>
      <c r="Q43" s="25">
        <f>$AD$29*G43+$AD$30</f>
        <v>0.370728028983355</v>
      </c>
      <c r="R43" s="25">
        <f t="shared" si="3"/>
        <v>3.7394695650022847E-2</v>
      </c>
      <c r="S43" s="26">
        <v>0.28873794521143198</v>
      </c>
      <c r="T43" s="26">
        <f t="shared" si="4"/>
        <v>4.459538812190017E-2</v>
      </c>
      <c r="U43" s="27">
        <f t="shared" si="5"/>
        <v>0.13378616436570098</v>
      </c>
      <c r="V43" s="28">
        <f t="shared" si="6"/>
        <v>23.464855342537184</v>
      </c>
      <c r="W43" s="27">
        <f t="shared" si="7"/>
        <v>2.2297694060950651E-2</v>
      </c>
      <c r="X43" s="21">
        <v>0.29659822789040086</v>
      </c>
      <c r="Y43" s="21">
        <f t="shared" si="8"/>
        <v>23.559178734684814</v>
      </c>
      <c r="Z43" s="2">
        <f t="shared" si="9"/>
        <v>1.8367552721466101E-2</v>
      </c>
    </row>
    <row r="44" spans="1:26">
      <c r="A44" s="1">
        <v>24.1</v>
      </c>
      <c r="B44" s="1">
        <f t="shared" si="0"/>
        <v>297.25</v>
      </c>
      <c r="C44" s="4">
        <f>ROUND(10000*EXP(($AB$4)+($AC$4/B44)+($AD$4/(B44^2))+($AE$4/(B44^3))),6)</f>
        <v>10403.221543</v>
      </c>
      <c r="D44" s="4">
        <f>((C44+2*$AC$5)*$AC$6)/((C44+2*$AC$5)+$AC$6)</f>
        <v>2144.4961569753787</v>
      </c>
      <c r="E44" s="4">
        <f t="shared" si="10"/>
        <v>2.1444961569753787</v>
      </c>
      <c r="F44" s="24">
        <v>9.9990399102947171E-4</v>
      </c>
      <c r="G44" s="6">
        <v>2.1432703017779389</v>
      </c>
      <c r="H44" s="2">
        <f t="shared" si="1"/>
        <v>5.7162853542658926E-4</v>
      </c>
      <c r="I44" s="5">
        <f>G44/F44</f>
        <v>2143.476094711144</v>
      </c>
      <c r="J44" s="2">
        <f>ABS(D44-I44)/I44</f>
        <v>4.7589159811558477E-4</v>
      </c>
      <c r="K44" s="1">
        <f>$AD$10*B44+$AD$11</f>
        <v>2153.5046135976709</v>
      </c>
      <c r="L44" s="2">
        <f>ABS(K44-D44)/D44</f>
        <v>4.2007333951103194E-3</v>
      </c>
      <c r="M44" s="21">
        <f>K44*F44</f>
        <v>2.1532978578366913</v>
      </c>
      <c r="N44" s="2">
        <f>ABS(M44-G44)/M44</f>
        <v>4.6568364995386935E-3</v>
      </c>
      <c r="O44" s="21">
        <f t="shared" si="2"/>
        <v>1.0027556058752385E-2</v>
      </c>
      <c r="P44" s="25">
        <f>$AD$18*B44+$AD$19</f>
        <v>0.34166666666666856</v>
      </c>
      <c r="Q44" s="25">
        <f>$AD$29*G44+$AD$30</f>
        <v>0.37724223462901207</v>
      </c>
      <c r="R44" s="25">
        <f t="shared" si="3"/>
        <v>3.5575567962343513E-2</v>
      </c>
      <c r="S44" s="26">
        <v>0.29550963350082715</v>
      </c>
      <c r="T44" s="26">
        <f t="shared" si="4"/>
        <v>4.615703316584141E-2</v>
      </c>
      <c r="U44" s="27">
        <f t="shared" si="5"/>
        <v>0.13509375560733997</v>
      </c>
      <c r="V44" s="28">
        <f t="shared" si="6"/>
        <v>23.546115602009927</v>
      </c>
      <c r="W44" s="27">
        <f t="shared" si="7"/>
        <v>2.2982755103322601E-2</v>
      </c>
      <c r="X44" s="21">
        <v>0.30335638607066173</v>
      </c>
      <c r="Y44" s="21">
        <f t="shared" si="8"/>
        <v>23.640276632847943</v>
      </c>
      <c r="Z44" s="2">
        <f t="shared" si="9"/>
        <v>1.9075658388052214E-2</v>
      </c>
    </row>
    <row r="45" spans="1:26">
      <c r="A45" s="1">
        <v>24.2</v>
      </c>
      <c r="B45" s="1">
        <f t="shared" si="0"/>
        <v>297.34999999999997</v>
      </c>
      <c r="C45" s="4">
        <f>ROUND(10000*EXP(($AB$4)+($AC$4/B45)+($AD$4/(B45^2))+($AE$4/(B45^3))),6)</f>
        <v>10357.544349</v>
      </c>
      <c r="D45" s="4">
        <f>((C45+2*$AC$5)*$AC$6)/((C45+2*$AC$5)+$AC$6)</f>
        <v>2142.5558953996251</v>
      </c>
      <c r="E45" s="4">
        <f t="shared" si="10"/>
        <v>2.1425558953996253</v>
      </c>
      <c r="F45" s="24">
        <v>9.9990399102947171E-4</v>
      </c>
      <c r="G45" s="6">
        <v>2.1414265962910513</v>
      </c>
      <c r="H45" s="2">
        <f t="shared" si="1"/>
        <v>5.2708034875488367E-4</v>
      </c>
      <c r="I45" s="5">
        <f>G45/F45</f>
        <v>2141.6322121949943</v>
      </c>
      <c r="J45" s="2">
        <f>ABS(D45-I45)/I45</f>
        <v>4.3129870729957664E-4</v>
      </c>
      <c r="K45" s="1">
        <f>$AD$10*B45+$AD$11</f>
        <v>2151.1555016787979</v>
      </c>
      <c r="L45" s="2">
        <f>ABS(K45-D45)/D45</f>
        <v>4.0137138534576356E-3</v>
      </c>
      <c r="M45" s="21">
        <f>K45*F45</f>
        <v>2.1509489714536354</v>
      </c>
      <c r="N45" s="2">
        <f>ABS(M45-G45)/M45</f>
        <v>4.4270576796384027E-3</v>
      </c>
      <c r="O45" s="21">
        <f t="shared" si="2"/>
        <v>9.5223751625841402E-3</v>
      </c>
      <c r="P45" s="25">
        <f>$AD$18*B45+$AD$19</f>
        <v>0.34999999999999787</v>
      </c>
      <c r="Q45" s="25">
        <f>$AD$29*G45+$AD$30</f>
        <v>0.38378329702417791</v>
      </c>
      <c r="R45" s="25">
        <f t="shared" si="3"/>
        <v>3.3783297024180037E-2</v>
      </c>
      <c r="S45" s="26">
        <v>0.30230924020429056</v>
      </c>
      <c r="T45" s="26">
        <f t="shared" si="4"/>
        <v>4.7690759795707305E-2</v>
      </c>
      <c r="U45" s="27">
        <f t="shared" si="5"/>
        <v>0.13625931370202171</v>
      </c>
      <c r="V45" s="28">
        <f t="shared" si="6"/>
        <v>23.627710882451488</v>
      </c>
      <c r="W45" s="27">
        <f t="shared" si="7"/>
        <v>2.3648310642500454E-2</v>
      </c>
      <c r="X45" s="21">
        <v>0.31014239302708885</v>
      </c>
      <c r="Y45" s="21">
        <f t="shared" si="8"/>
        <v>23.721708716325068</v>
      </c>
      <c r="Z45" s="2">
        <f t="shared" si="9"/>
        <v>1.9764102631195501E-2</v>
      </c>
    </row>
    <row r="46" spans="1:26">
      <c r="A46" s="1">
        <v>24.3</v>
      </c>
      <c r="B46" s="1">
        <f t="shared" si="0"/>
        <v>297.45</v>
      </c>
      <c r="C46" s="4">
        <f>ROUND(10000*EXP(($AB$4)+($AC$4/B46)+($AD$4/(B46^2))+($AE$4/(B46^3))),6)</f>
        <v>10312.094186</v>
      </c>
      <c r="D46" s="4">
        <f>((C46+2*$AC$5)*$AC$6)/((C46+2*$AC$5)+$AC$6)</f>
        <v>2140.6117776656774</v>
      </c>
      <c r="E46" s="4">
        <f t="shared" si="10"/>
        <v>2.1406117776656775</v>
      </c>
      <c r="F46" s="24">
        <v>9.9990399102947171E-4</v>
      </c>
      <c r="G46" s="6">
        <v>2.1395753254792877</v>
      </c>
      <c r="H46" s="2">
        <f t="shared" si="1"/>
        <v>4.841850340186143E-4</v>
      </c>
      <c r="I46" s="5">
        <f>G46/F46</f>
        <v>2139.7807636275597</v>
      </c>
      <c r="J46" s="2">
        <f>ABS(D46-I46)/I46</f>
        <v>3.8836410357708174E-4</v>
      </c>
      <c r="K46" s="1">
        <f>$AD$10*B46+$AD$11</f>
        <v>2148.8063897599231</v>
      </c>
      <c r="L46" s="2">
        <f>ABS(K46-D46)/D46</f>
        <v>3.8281636024547531E-3</v>
      </c>
      <c r="M46" s="21">
        <f>K46*F46</f>
        <v>2.1486000850705778</v>
      </c>
      <c r="N46" s="2">
        <f>ABS(M46-G46)/M46</f>
        <v>4.2002975118534272E-3</v>
      </c>
      <c r="O46" s="21">
        <f t="shared" si="2"/>
        <v>9.0247595912900103E-3</v>
      </c>
      <c r="P46" s="25">
        <f>$AD$18*B46+$AD$19</f>
        <v>0.35833333333333428</v>
      </c>
      <c r="Q46" s="25">
        <f>$AD$29*G46+$AD$30</f>
        <v>0.39035119953150055</v>
      </c>
      <c r="R46" s="25">
        <f t="shared" si="3"/>
        <v>3.2017866198166267E-2</v>
      </c>
      <c r="S46" s="26">
        <v>0.30913674789570661</v>
      </c>
      <c r="T46" s="26">
        <f t="shared" si="4"/>
        <v>4.9196585437627671E-2</v>
      </c>
      <c r="U46" s="27">
        <f t="shared" si="5"/>
        <v>0.13729279657012336</v>
      </c>
      <c r="V46" s="28">
        <f t="shared" si="6"/>
        <v>23.709640974748478</v>
      </c>
      <c r="W46" s="27">
        <f t="shared" si="7"/>
        <v>2.4294610092655263E-2</v>
      </c>
      <c r="X46" s="21">
        <v>0.31695622764164927</v>
      </c>
      <c r="Y46" s="21">
        <f t="shared" si="8"/>
        <v>23.803474731699794</v>
      </c>
      <c r="Z46" s="2">
        <f t="shared" si="9"/>
        <v>2.0433138613177245E-2</v>
      </c>
    </row>
    <row r="47" spans="1:26">
      <c r="A47" s="1">
        <v>24.4</v>
      </c>
      <c r="B47" s="1">
        <f t="shared" si="0"/>
        <v>297.54999999999995</v>
      </c>
      <c r="C47" s="4">
        <f>ROUND(10000*EXP(($AB$4)+($AC$4/B47)+($AD$4/(B47^2))+($AE$4/(B47^3))),6)</f>
        <v>10266.869801000001</v>
      </c>
      <c r="D47" s="4">
        <f>((C47+2*$AC$5)*$AC$6)/((C47+2*$AC$5)+$AC$6)</f>
        <v>2138.6638110872059</v>
      </c>
      <c r="E47" s="4">
        <f t="shared" si="10"/>
        <v>2.138663811087206</v>
      </c>
      <c r="F47" s="24">
        <v>9.9990399102947171E-4</v>
      </c>
      <c r="G47" s="6">
        <v>2.1374621395696409</v>
      </c>
      <c r="H47" s="2">
        <f t="shared" si="1"/>
        <v>5.618795770216163E-4</v>
      </c>
      <c r="I47" s="5">
        <f>G47/F47</f>
        <v>2137.6673748136286</v>
      </c>
      <c r="J47" s="2">
        <f>ABS(D47-I47)/I47</f>
        <v>4.661325168346865E-4</v>
      </c>
      <c r="K47" s="1">
        <f>$AD$10*B47+$AD$11</f>
        <v>2146.4572778410502</v>
      </c>
      <c r="L47" s="2">
        <f>ABS(K47-D47)/D47</f>
        <v>3.6440822131284141E-3</v>
      </c>
      <c r="M47" s="21">
        <f>K47*F47</f>
        <v>2.1462511986875219</v>
      </c>
      <c r="N47" s="2">
        <f>ABS(M47-G47)/M47</f>
        <v>4.0950747625700416E-3</v>
      </c>
      <c r="O47" s="21">
        <f t="shared" si="2"/>
        <v>8.7890591178809707E-3</v>
      </c>
      <c r="P47" s="25">
        <f>$AD$18*B47+$AD$19</f>
        <v>0.36666666666666359</v>
      </c>
      <c r="Q47" s="25">
        <f>$AD$29*G47+$AD$30</f>
        <v>0.39784831931873832</v>
      </c>
      <c r="R47" s="25">
        <f t="shared" si="3"/>
        <v>3.1181652652074732E-2</v>
      </c>
      <c r="S47" s="26">
        <v>0.31693020147210826</v>
      </c>
      <c r="T47" s="26">
        <f t="shared" si="4"/>
        <v>4.9736465194555324E-2</v>
      </c>
      <c r="U47" s="27">
        <f t="shared" si="5"/>
        <v>0.13564490507606111</v>
      </c>
      <c r="V47" s="28">
        <f t="shared" si="6"/>
        <v>23.803162417665298</v>
      </c>
      <c r="W47" s="27">
        <f t="shared" si="7"/>
        <v>2.4460556653061488E-2</v>
      </c>
      <c r="X47" s="21">
        <v>0.32473495233840277</v>
      </c>
      <c r="Y47" s="21">
        <f t="shared" si="8"/>
        <v>23.896819428060837</v>
      </c>
      <c r="Z47" s="2">
        <f t="shared" si="9"/>
        <v>2.0622154587670548E-2</v>
      </c>
    </row>
    <row r="48" spans="1:26">
      <c r="A48" s="1">
        <v>24.5</v>
      </c>
      <c r="B48" s="1">
        <f t="shared" si="0"/>
        <v>297.64999999999998</v>
      </c>
      <c r="C48" s="4">
        <f>ROUND(10000*EXP(($AB$4)+($AC$4/B48)+($AD$4/(B48^2))+($AE$4/(B48^3))),6)</f>
        <v>10221.869951000001</v>
      </c>
      <c r="D48" s="4">
        <f>((C48+2*$AC$5)*$AC$6)/((C48+2*$AC$5)+$AC$6)</f>
        <v>2136.7120031648356</v>
      </c>
      <c r="E48" s="4">
        <f t="shared" si="10"/>
        <v>2.1367120031648357</v>
      </c>
      <c r="F48" s="24">
        <v>9.9990399102947171E-4</v>
      </c>
      <c r="G48" s="6">
        <v>2.1355959931107882</v>
      </c>
      <c r="H48" s="2">
        <f t="shared" si="1"/>
        <v>5.2230251545107049E-4</v>
      </c>
      <c r="I48" s="5">
        <f>G48/F48</f>
        <v>2135.8010491707723</v>
      </c>
      <c r="J48" s="2">
        <f>ABS(D48-I48)/I48</f>
        <v>4.2651631546716367E-4</v>
      </c>
      <c r="K48" s="1">
        <f>$AD$10*B48+$AD$11</f>
        <v>2144.1081659221754</v>
      </c>
      <c r="L48" s="2">
        <f>ABS(K48-D48)/D48</f>
        <v>3.4614691855453144E-3</v>
      </c>
      <c r="M48" s="21">
        <f>K48*F48</f>
        <v>2.1439023123044638</v>
      </c>
      <c r="N48" s="2">
        <f>ABS(M48-G48)/M48</f>
        <v>3.8743925719018604E-3</v>
      </c>
      <c r="O48" s="21">
        <f t="shared" si="2"/>
        <v>8.3063191936756375E-3</v>
      </c>
      <c r="P48" s="25">
        <f>$AD$18*B48+$AD$19</f>
        <v>0.375</v>
      </c>
      <c r="Q48" s="25">
        <f>$AD$29*G48+$AD$30</f>
        <v>0.4044689973568989</v>
      </c>
      <c r="R48" s="25">
        <f t="shared" si="3"/>
        <v>2.9468997356898896E-2</v>
      </c>
      <c r="S48" s="26">
        <v>0.32381257064411895</v>
      </c>
      <c r="T48" s="26">
        <f t="shared" si="4"/>
        <v>5.1187429355881053E-2</v>
      </c>
      <c r="U48" s="27">
        <f t="shared" si="5"/>
        <v>0.13649981161568281</v>
      </c>
      <c r="V48" s="28">
        <f t="shared" si="6"/>
        <v>23.885750847729426</v>
      </c>
      <c r="W48" s="27">
        <f t="shared" si="7"/>
        <v>2.507139397022751E-2</v>
      </c>
      <c r="X48" s="21">
        <v>0.3316035070767846</v>
      </c>
      <c r="Y48" s="21">
        <f t="shared" si="8"/>
        <v>23.979242084921417</v>
      </c>
      <c r="Z48" s="2">
        <f t="shared" si="9"/>
        <v>2.1255425105248298E-2</v>
      </c>
    </row>
    <row r="49" spans="1:26">
      <c r="A49" s="1">
        <v>24.6</v>
      </c>
      <c r="B49" s="1">
        <f t="shared" si="0"/>
        <v>297.75</v>
      </c>
      <c r="C49" s="4">
        <f>ROUND(10000*EXP(($AB$4)+($AC$4/B49)+($AD$4/(B49^2))+($AE$4/(B49^3))),6)</f>
        <v>10177.0934</v>
      </c>
      <c r="D49" s="4">
        <f>((C49+2*$AC$5)*$AC$6)/((C49+2*$AC$5)+$AC$6)</f>
        <v>2134.7563614604824</v>
      </c>
      <c r="E49" s="4">
        <f t="shared" si="10"/>
        <v>2.1347563614604823</v>
      </c>
      <c r="F49" s="24">
        <v>9.9990399102947171E-4</v>
      </c>
      <c r="G49" s="6">
        <v>2.13372272548549</v>
      </c>
      <c r="H49" s="2">
        <f t="shared" si="1"/>
        <v>4.8419388444174944E-4</v>
      </c>
      <c r="I49" s="5">
        <f>G49/F49</f>
        <v>2133.9276016777089</v>
      </c>
      <c r="J49" s="2">
        <f>ABS(D49-I49)/I49</f>
        <v>3.8837296172646854E-4</v>
      </c>
      <c r="K49" s="1">
        <f>$AD$10*B49+$AD$11</f>
        <v>2141.7590540033007</v>
      </c>
      <c r="L49" s="2">
        <f>ABS(K49-D49)/D49</f>
        <v>3.2803240075731355E-3</v>
      </c>
      <c r="M49" s="21">
        <f>K49*F49</f>
        <v>2.1415534259214062</v>
      </c>
      <c r="N49" s="2">
        <f>ABS(M49-G49)/M49</f>
        <v>3.6565515205612912E-3</v>
      </c>
      <c r="O49" s="21">
        <f t="shared" si="2"/>
        <v>7.8307004359161603E-3</v>
      </c>
      <c r="P49" s="25">
        <f>$AD$18*B49+$AD$19</f>
        <v>0.38333333333333641</v>
      </c>
      <c r="Q49" s="25">
        <f>$AD$29*G49+$AD$30</f>
        <v>0.41111493973059332</v>
      </c>
      <c r="R49" s="25">
        <f t="shared" si="3"/>
        <v>2.7781606397256908E-2</v>
      </c>
      <c r="S49" s="26">
        <v>0.33072256077381346</v>
      </c>
      <c r="T49" s="26">
        <f t="shared" si="4"/>
        <v>5.2610772559522956E-2</v>
      </c>
      <c r="U49" s="27">
        <f t="shared" si="5"/>
        <v>0.13724549363353705</v>
      </c>
      <c r="V49" s="28">
        <f t="shared" si="6"/>
        <v>23.968670729285758</v>
      </c>
      <c r="W49" s="27">
        <f t="shared" si="7"/>
        <v>2.5663791492448903E-2</v>
      </c>
      <c r="X49" s="21">
        <v>0.33849982392967387</v>
      </c>
      <c r="Y49" s="21">
        <f t="shared" si="8"/>
        <v>24.061997887156085</v>
      </c>
      <c r="Z49" s="2">
        <f t="shared" si="9"/>
        <v>2.1870004587151059E-2</v>
      </c>
    </row>
    <row r="50" spans="1:26">
      <c r="A50" s="1">
        <v>24.7</v>
      </c>
      <c r="B50" s="1">
        <f t="shared" si="0"/>
        <v>297.84999999999997</v>
      </c>
      <c r="C50" s="4">
        <f>ROUND(10000*EXP(($AB$4)+($AC$4/B50)+($AD$4/(B50^2))+($AE$4/(B50^3))),6)</f>
        <v>10132.538918</v>
      </c>
      <c r="D50" s="4">
        <f>((C50+2*$AC$5)*$AC$6)/((C50+2*$AC$5)+$AC$6)</f>
        <v>2132.7968935546</v>
      </c>
      <c r="E50" s="4">
        <f t="shared" si="10"/>
        <v>2.1327968935546</v>
      </c>
      <c r="F50" s="24">
        <v>9.9990399102947171E-4</v>
      </c>
      <c r="G50" s="6">
        <v>2.1315874191294419</v>
      </c>
      <c r="H50" s="2">
        <f t="shared" si="1"/>
        <v>5.6708373348308277E-4</v>
      </c>
      <c r="I50" s="5">
        <f>G50/F50</f>
        <v>2131.7920902934115</v>
      </c>
      <c r="J50" s="2">
        <f>ABS(D50-I50)/I50</f>
        <v>4.7134205336609629E-4</v>
      </c>
      <c r="K50" s="1">
        <f>$AD$10*B50+$AD$11</f>
        <v>2139.4099420844277</v>
      </c>
      <c r="L50" s="2">
        <f>ABS(K50-D50)/D50</f>
        <v>3.1006461748948389E-3</v>
      </c>
      <c r="M50" s="21">
        <f>K50*F50</f>
        <v>2.1392045395383503</v>
      </c>
      <c r="N50" s="2">
        <f>ABS(M50-G50)/M50</f>
        <v>3.5607256193239904E-3</v>
      </c>
      <c r="O50" s="21">
        <f t="shared" si="2"/>
        <v>7.6171204089083844E-3</v>
      </c>
      <c r="P50" s="25">
        <f>$AD$18*B50+$AD$19</f>
        <v>0.39166666666666572</v>
      </c>
      <c r="Q50" s="25">
        <f>$AD$29*G50+$AD$30</f>
        <v>0.41869053800647738</v>
      </c>
      <c r="R50" s="25">
        <f t="shared" si="3"/>
        <v>2.7023871339811656E-2</v>
      </c>
      <c r="S50" s="26">
        <v>0.3385962368362998</v>
      </c>
      <c r="T50" s="26">
        <f t="shared" si="4"/>
        <v>5.3070429830365917E-2</v>
      </c>
      <c r="U50" s="27">
        <f t="shared" si="5"/>
        <v>0.135498969779658</v>
      </c>
      <c r="V50" s="28">
        <f t="shared" si="6"/>
        <v>24.063154842035598</v>
      </c>
      <c r="W50" s="27">
        <f t="shared" si="7"/>
        <v>2.5783204775886706E-2</v>
      </c>
      <c r="X50" s="21">
        <v>0.34635834388255204</v>
      </c>
      <c r="Y50" s="21">
        <f t="shared" si="8"/>
        <v>24.156300126590626</v>
      </c>
      <c r="Z50" s="2">
        <f t="shared" si="9"/>
        <v>2.2012140623861271E-2</v>
      </c>
    </row>
    <row r="51" spans="1:26">
      <c r="A51" s="1">
        <v>24.8</v>
      </c>
      <c r="B51" s="1">
        <f t="shared" si="0"/>
        <v>297.95</v>
      </c>
      <c r="C51" s="4">
        <f>ROUND(10000*EXP(($AB$4)+($AC$4/B51)+($AD$4/(B51^2))+($AE$4/(B51^3))),6)</f>
        <v>10088.205285</v>
      </c>
      <c r="D51" s="4">
        <f>((C51+2*$AC$5)*$AC$6)/((C51+2*$AC$5)+$AC$6)</f>
        <v>2130.8336072238399</v>
      </c>
      <c r="E51" s="4">
        <f t="shared" si="10"/>
        <v>2.1308336072238401</v>
      </c>
      <c r="F51" s="24">
        <v>9.9990399102947171E-4</v>
      </c>
      <c r="G51" s="6">
        <v>2.1296988876809522</v>
      </c>
      <c r="H51" s="2">
        <f t="shared" si="1"/>
        <v>5.3252376865140524E-4</v>
      </c>
      <c r="I51" s="5">
        <f>G51/F51</f>
        <v>2129.9033775115518</v>
      </c>
      <c r="J51" s="2">
        <f>ABS(D51-I51)/I51</f>
        <v>4.3674737648190091E-4</v>
      </c>
      <c r="K51" s="1">
        <f>$AD$10*B51+$AD$11</f>
        <v>2137.0608301655539</v>
      </c>
      <c r="L51" s="2">
        <f>ABS(K51-D51)/D51</f>
        <v>2.9224351073696164E-3</v>
      </c>
      <c r="M51" s="21">
        <f>K51*F51</f>
        <v>2.1368556531552931</v>
      </c>
      <c r="N51" s="2">
        <f>ABS(M51-G51)/M51</f>
        <v>3.3492039875380655E-3</v>
      </c>
      <c r="O51" s="21">
        <f t="shared" si="2"/>
        <v>7.1567654743409648E-3</v>
      </c>
      <c r="P51" s="25">
        <f>$AD$18*B51+$AD$19</f>
        <v>0.40000000000000213</v>
      </c>
      <c r="Q51" s="25">
        <f>$AD$29*G51+$AD$30</f>
        <v>0.42539063307462044</v>
      </c>
      <c r="R51" s="25">
        <f t="shared" si="3"/>
        <v>2.5390633074618307E-2</v>
      </c>
      <c r="S51" s="26">
        <v>0.3455611623283113</v>
      </c>
      <c r="T51" s="26">
        <f t="shared" si="4"/>
        <v>5.4438837671690832E-2</v>
      </c>
      <c r="U51" s="27">
        <f t="shared" si="5"/>
        <v>0.13609709417922636</v>
      </c>
      <c r="V51" s="28">
        <f t="shared" si="6"/>
        <v>24.146733947939733</v>
      </c>
      <c r="W51" s="27">
        <f t="shared" si="7"/>
        <v>2.6341373066946273E-2</v>
      </c>
      <c r="X51" s="21">
        <v>0.35330923877388831</v>
      </c>
      <c r="Y51" s="21">
        <f t="shared" si="8"/>
        <v>24.239710865286661</v>
      </c>
      <c r="Z51" s="2">
        <f t="shared" si="9"/>
        <v>2.2592303819086293E-2</v>
      </c>
    </row>
    <row r="52" spans="1:26">
      <c r="A52" s="1">
        <v>24.9</v>
      </c>
      <c r="B52" s="1">
        <f t="shared" si="0"/>
        <v>298.04999999999995</v>
      </c>
      <c r="C52" s="4">
        <f>ROUND(10000*EXP(($AB$4)+($AC$4/B52)+($AD$4/(B52^2))+($AE$4/(B52^3))),6)</f>
        <v>10044.091286000001</v>
      </c>
      <c r="D52" s="4">
        <f>((C52+2*$AC$5)*$AC$6)/((C52+2*$AC$5)+$AC$6)</f>
        <v>2128.8665102234213</v>
      </c>
      <c r="E52" s="4">
        <f t="shared" si="10"/>
        <v>2.1288665102234212</v>
      </c>
      <c r="F52" s="24">
        <v>9.9990399102947171E-4</v>
      </c>
      <c r="G52" s="6">
        <v>2.1278032610620223</v>
      </c>
      <c r="H52" s="2">
        <f t="shared" si="1"/>
        <v>4.9944379146971325E-4</v>
      </c>
      <c r="I52" s="5">
        <f>G52/F52</f>
        <v>2128.0075688779866</v>
      </c>
      <c r="J52" s="2">
        <f>ABS(D52-I52)/I52</f>
        <v>4.0363641464281647E-4</v>
      </c>
      <c r="K52" s="1">
        <f>$AD$10*B52+$AD$11</f>
        <v>2134.71171824668</v>
      </c>
      <c r="L52" s="2">
        <f>ABS(K52-D52)/D52</f>
        <v>2.7456902512150686E-3</v>
      </c>
      <c r="M52" s="21">
        <f>K52*F52</f>
        <v>2.1345067667722364</v>
      </c>
      <c r="N52" s="2">
        <f>ABS(M52-G52)/M52</f>
        <v>3.1405408568233196E-3</v>
      </c>
      <c r="O52" s="21">
        <f t="shared" si="2"/>
        <v>6.7035057102140527E-3</v>
      </c>
      <c r="P52" s="25">
        <f>$AD$18*B52+$AD$19</f>
        <v>0.40833333333333144</v>
      </c>
      <c r="Q52" s="25">
        <f>$AD$29*G52+$AD$30</f>
        <v>0.43211590025017532</v>
      </c>
      <c r="R52" s="25">
        <f t="shared" si="3"/>
        <v>2.3782566916843884E-2</v>
      </c>
      <c r="S52" s="26">
        <v>0.35255356982177505</v>
      </c>
      <c r="T52" s="26">
        <f t="shared" si="4"/>
        <v>5.5779763511556391E-2</v>
      </c>
      <c r="U52" s="27">
        <f t="shared" si="5"/>
        <v>0.13660350247728159</v>
      </c>
      <c r="V52" s="28">
        <f t="shared" si="6"/>
        <v>24.2306428378613</v>
      </c>
      <c r="W52" s="27">
        <f t="shared" si="7"/>
        <v>2.6881813740509988E-2</v>
      </c>
      <c r="X52" s="21">
        <v>0.36028782440109819</v>
      </c>
      <c r="Y52" s="21">
        <f t="shared" si="8"/>
        <v>24.32345389281318</v>
      </c>
      <c r="Z52" s="2">
        <f t="shared" si="9"/>
        <v>2.3154462136016792E-2</v>
      </c>
    </row>
    <row r="53" spans="1:26">
      <c r="A53" s="1">
        <v>25</v>
      </c>
      <c r="B53" s="1">
        <f t="shared" si="0"/>
        <v>298.14999999999998</v>
      </c>
      <c r="C53" s="4">
        <f>ROUND(10000*EXP(($AB$4)+($AC$4/B53)+($AD$4/(B53^2))+($AE$4/(B53^3))),6)</f>
        <v>10000.195715</v>
      </c>
      <c r="D53" s="4">
        <f>((C53+2*$AC$5)*$AC$6)/((C53+2*$AC$5)+$AC$6)</f>
        <v>2126.8956104658491</v>
      </c>
      <c r="E53" s="4">
        <f t="shared" si="10"/>
        <v>2.1268956104658492</v>
      </c>
      <c r="F53" s="24">
        <v>9.9990399102947171E-4</v>
      </c>
      <c r="G53" s="6">
        <v>2.1256463162375208</v>
      </c>
      <c r="H53" s="2">
        <f t="shared" si="1"/>
        <v>5.8737919349732143E-4</v>
      </c>
      <c r="I53" s="5">
        <f>G53/F53</f>
        <v>2125.8504169475491</v>
      </c>
      <c r="J53" s="2">
        <f>ABS(D53-I53)/I53</f>
        <v>4.9165901324365224E-4</v>
      </c>
      <c r="K53" s="1">
        <f>$AD$10*B53+$AD$11</f>
        <v>2132.3626063278061</v>
      </c>
      <c r="L53" s="2">
        <f>ABS(K53-D53)/D53</f>
        <v>2.5704109948111553E-3</v>
      </c>
      <c r="M53" s="21">
        <f>K53*F53</f>
        <v>2.1321578803891796</v>
      </c>
      <c r="N53" s="2">
        <f>ABS(M53-G53)/M53</f>
        <v>3.0539784185542262E-3</v>
      </c>
      <c r="O53" s="21">
        <f t="shared" si="2"/>
        <v>6.5115641516588774E-3</v>
      </c>
      <c r="P53" s="25">
        <f>$AD$18*B53+$AD$19</f>
        <v>0.41666666666666785</v>
      </c>
      <c r="Q53" s="25">
        <f>$AD$29*G53+$AD$30</f>
        <v>0.43976826706273631</v>
      </c>
      <c r="R53" s="25">
        <f t="shared" si="3"/>
        <v>2.3101600396068456E-2</v>
      </c>
      <c r="S53" s="26">
        <v>0.36050709128740877</v>
      </c>
      <c r="T53" s="26">
        <f t="shared" si="4"/>
        <v>5.6159575379259086E-2</v>
      </c>
      <c r="U53" s="27">
        <f t="shared" si="5"/>
        <v>0.13478298091022142</v>
      </c>
      <c r="V53" s="28">
        <f t="shared" si="6"/>
        <v>24.326085095448907</v>
      </c>
      <c r="W53" s="27">
        <f t="shared" si="7"/>
        <v>2.6956596182043741E-2</v>
      </c>
      <c r="X53" s="21">
        <v>0.36822590731644561</v>
      </c>
      <c r="Y53" s="21">
        <f t="shared" si="8"/>
        <v>24.418710887797349</v>
      </c>
      <c r="Z53" s="2">
        <f t="shared" si="9"/>
        <v>2.3251564488106027E-2</v>
      </c>
    </row>
    <row r="54" spans="1:26">
      <c r="A54" s="1">
        <v>25.1</v>
      </c>
      <c r="B54" s="1">
        <f t="shared" si="0"/>
        <v>298.25</v>
      </c>
      <c r="C54" s="4">
        <f>ROUND(10000*EXP(($AB$4)+($AC$4/B54)+($AD$4/(B54^2))+($AE$4/(B54^3))),6)</f>
        <v>9956.5173720000003</v>
      </c>
      <c r="D54" s="4">
        <f>((C54+2*$AC$5)*$AC$6)/((C54+2*$AC$5)+$AC$6)</f>
        <v>2124.9209158895478</v>
      </c>
      <c r="E54" s="4">
        <f t="shared" si="10"/>
        <v>2.1249209158895477</v>
      </c>
      <c r="F54" s="24">
        <v>9.9990399102947171E-4</v>
      </c>
      <c r="G54" s="6">
        <v>2.1237354594991977</v>
      </c>
      <c r="H54" s="2">
        <f t="shared" si="1"/>
        <v>5.5788259294049303E-4</v>
      </c>
      <c r="I54" s="5">
        <f>G54/F54</f>
        <v>2123.9393767322222</v>
      </c>
      <c r="J54" s="2">
        <f>ABS(D54-I54)/I54</f>
        <v>4.6213143749695193E-4</v>
      </c>
      <c r="K54" s="1">
        <f>$AD$10*B54+$AD$11</f>
        <v>2130.0134944089314</v>
      </c>
      <c r="L54" s="2">
        <f>ABS(K54-D54)/D54</f>
        <v>2.3965967304019234E-3</v>
      </c>
      <c r="M54" s="21">
        <f>K54*F54</f>
        <v>2.129808994006122</v>
      </c>
      <c r="N54" s="2">
        <f>ABS(M54-G54)/M54</f>
        <v>2.8516803732244987E-3</v>
      </c>
      <c r="O54" s="21">
        <f t="shared" si="2"/>
        <v>6.0735345069242719E-3</v>
      </c>
      <c r="P54" s="25">
        <f>$AD$18*B54+$AD$19</f>
        <v>0.42500000000000071</v>
      </c>
      <c r="Q54" s="25">
        <f>$AD$29*G54+$AD$30</f>
        <v>0.44654756735906087</v>
      </c>
      <c r="R54" s="25">
        <f t="shared" si="3"/>
        <v>2.154756735906016E-2</v>
      </c>
      <c r="S54" s="26">
        <v>0.36755435291304611</v>
      </c>
      <c r="T54" s="26">
        <f t="shared" si="4"/>
        <v>5.7445647086954599E-2</v>
      </c>
      <c r="U54" s="27">
        <f t="shared" si="5"/>
        <v>0.13516622843989295</v>
      </c>
      <c r="V54" s="28">
        <f t="shared" si="6"/>
        <v>24.410652234956551</v>
      </c>
      <c r="W54" s="27">
        <f t="shared" si="7"/>
        <v>2.7464054384201214E-2</v>
      </c>
      <c r="X54" s="21">
        <v>0.37525892027784247</v>
      </c>
      <c r="Y54" s="21">
        <f t="shared" si="8"/>
        <v>24.503107043334108</v>
      </c>
      <c r="Z54" s="2">
        <f t="shared" si="9"/>
        <v>2.3780595883103328E-2</v>
      </c>
    </row>
    <row r="55" spans="1:26">
      <c r="A55" s="1">
        <v>25.2</v>
      </c>
      <c r="B55" s="1">
        <f t="shared" si="0"/>
        <v>298.34999999999997</v>
      </c>
      <c r="C55" s="4">
        <f>ROUND(10000*EXP(($AB$4)+($AC$4/B55)+($AD$4/(B55^2))+($AE$4/(B55^3))),6)</f>
        <v>9913.0550640000001</v>
      </c>
      <c r="D55" s="4">
        <f>((C55+2*$AC$5)*$AC$6)/((C55+2*$AC$5)+$AC$6)</f>
        <v>2122.9424345046932</v>
      </c>
      <c r="E55" s="4">
        <f t="shared" si="10"/>
        <v>2.1229424345046932</v>
      </c>
      <c r="F55" s="24">
        <v>9.9990399102947171E-4</v>
      </c>
      <c r="G55" s="6">
        <v>2.1218175348661319</v>
      </c>
      <c r="H55" s="2">
        <f t="shared" si="1"/>
        <v>5.2987759831734651E-4</v>
      </c>
      <c r="I55" s="5">
        <f>G55/F55</f>
        <v>2122.0212679435062</v>
      </c>
      <c r="J55" s="2">
        <f>ABS(D55-I55)/I55</f>
        <v>4.3409864693754271E-4</v>
      </c>
      <c r="K55" s="1">
        <f>$AD$10*B55+$AD$11</f>
        <v>2127.6643824900584</v>
      </c>
      <c r="L55" s="2">
        <f>ABS(K55-D55)/D55</f>
        <v>2.224246832423833E-3</v>
      </c>
      <c r="M55" s="21">
        <f>K55*F55</f>
        <v>2.1274601076230657</v>
      </c>
      <c r="N55" s="2">
        <f>ABS(M55-G55)/M55</f>
        <v>2.6522578433858619E-3</v>
      </c>
      <c r="O55" s="21">
        <f t="shared" si="2"/>
        <v>5.6425727569338058E-3</v>
      </c>
      <c r="P55" s="25">
        <f>$AD$18*B55+$AD$19</f>
        <v>0.43333333333333357</v>
      </c>
      <c r="Q55" s="25">
        <f>$AD$29*G55+$AD$30</f>
        <v>0.45335194299461179</v>
      </c>
      <c r="R55" s="25">
        <f t="shared" si="3"/>
        <v>2.0018609661278219E-2</v>
      </c>
      <c r="S55" s="26">
        <v>0.37462895025363702</v>
      </c>
      <c r="T55" s="26">
        <f t="shared" si="4"/>
        <v>5.8704383079696554E-2</v>
      </c>
      <c r="U55" s="27">
        <f t="shared" si="5"/>
        <v>0.13547165326083813</v>
      </c>
      <c r="V55" s="28">
        <f t="shared" si="6"/>
        <v>24.495547403043645</v>
      </c>
      <c r="W55" s="27">
        <f t="shared" si="7"/>
        <v>2.7954468133188668E-2</v>
      </c>
      <c r="X55" s="21">
        <v>0.38231954856806788</v>
      </c>
      <c r="Y55" s="21">
        <f t="shared" si="8"/>
        <v>24.587834582816818</v>
      </c>
      <c r="Z55" s="2">
        <f t="shared" si="9"/>
        <v>2.4292278459650058E-2</v>
      </c>
    </row>
    <row r="56" spans="1:26">
      <c r="A56" s="1">
        <v>25.3</v>
      </c>
      <c r="B56" s="1">
        <f t="shared" si="0"/>
        <v>298.45</v>
      </c>
      <c r="C56" s="4">
        <f>ROUND(10000*EXP(($AB$4)+($AC$4/B56)+($AD$4/(B56^2))+($AE$4/(B56^3))),6)</f>
        <v>9869.8076070000006</v>
      </c>
      <c r="D56" s="4">
        <f>((C56+2*$AC$5)*$AC$6)/((C56+2*$AC$5)+$AC$6)</f>
        <v>2120.9601744869619</v>
      </c>
      <c r="E56" s="4">
        <f t="shared" si="10"/>
        <v>2.1209601744869619</v>
      </c>
      <c r="F56" s="24">
        <v>9.9990399102947171E-4</v>
      </c>
      <c r="G56" s="6">
        <v>2.1196390177990931</v>
      </c>
      <c r="H56" s="2">
        <f t="shared" si="1"/>
        <v>6.229049954643214E-4</v>
      </c>
      <c r="I56" s="5">
        <f>G56/F56</f>
        <v>2119.8425416992036</v>
      </c>
      <c r="J56" s="2">
        <f>ABS(D56-I56)/I56</f>
        <v>5.2722443567081037E-4</v>
      </c>
      <c r="K56" s="1">
        <f>$AD$10*B56+$AD$11</f>
        <v>2125.3152705711836</v>
      </c>
      <c r="L56" s="2">
        <f>ABS(K56-D56)/D56</f>
        <v>2.0533606130889118E-3</v>
      </c>
      <c r="M56" s="21">
        <f>K56*F56</f>
        <v>2.1251112212400081</v>
      </c>
      <c r="N56" s="2">
        <f>ABS(M56-G56)/M56</f>
        <v>2.5750197854218092E-3</v>
      </c>
      <c r="O56" s="21">
        <f t="shared" si="2"/>
        <v>5.4722034409149245E-3</v>
      </c>
      <c r="P56" s="25">
        <f>$AD$18*B56+$AD$19</f>
        <v>0.44166666666666643</v>
      </c>
      <c r="Q56" s="25">
        <f>$AD$29*G56+$AD$30</f>
        <v>0.46108084338883248</v>
      </c>
      <c r="R56" s="25">
        <f t="shared" si="3"/>
        <v>1.9414176722166054E-2</v>
      </c>
      <c r="S56" s="26">
        <v>0.38266207619050957</v>
      </c>
      <c r="T56" s="26">
        <f t="shared" si="4"/>
        <v>5.900459047615686E-2</v>
      </c>
      <c r="U56" s="27">
        <f t="shared" si="5"/>
        <v>0.13359529919129862</v>
      </c>
      <c r="V56" s="28">
        <f t="shared" si="6"/>
        <v>24.591944914286117</v>
      </c>
      <c r="W56" s="27">
        <f t="shared" si="7"/>
        <v>2.7986367024264183E-2</v>
      </c>
      <c r="X56" s="21">
        <v>0.3903369478777402</v>
      </c>
      <c r="Y56" s="21">
        <f t="shared" si="8"/>
        <v>24.684043374532884</v>
      </c>
      <c r="Z56" s="2">
        <f t="shared" si="9"/>
        <v>2.4346111678542171E-2</v>
      </c>
    </row>
    <row r="57" spans="1:26">
      <c r="A57" s="1">
        <v>25.4</v>
      </c>
      <c r="B57" s="1">
        <f t="shared" si="0"/>
        <v>298.54999999999995</v>
      </c>
      <c r="C57" s="4">
        <f>ROUND(10000*EXP(($AB$4)+($AC$4/B57)+($AD$4/(B57^2))+($AE$4/(B57^3))),6)</f>
        <v>9826.7738219999992</v>
      </c>
      <c r="D57" s="4">
        <f>((C57+2*$AC$5)*$AC$6)/((C57+2*$AC$5)+$AC$6)</f>
        <v>2118.9741439972854</v>
      </c>
      <c r="E57" s="4">
        <f t="shared" si="10"/>
        <v>2.1189741439972853</v>
      </c>
      <c r="F57" s="24">
        <v>9.9990399102947171E-4</v>
      </c>
      <c r="G57" s="6">
        <v>2.1177058991698954</v>
      </c>
      <c r="H57" s="2">
        <f t="shared" si="1"/>
        <v>5.9851831178907885E-4</v>
      </c>
      <c r="I57" s="5">
        <f>G57/F57</f>
        <v>2117.9092374554557</v>
      </c>
      <c r="J57" s="2">
        <f>ABS(D57-I57)/I57</f>
        <v>5.0281028242227092E-4</v>
      </c>
      <c r="K57" s="1">
        <f>$AD$10*B57+$AD$11</f>
        <v>2122.9661586523107</v>
      </c>
      <c r="L57" s="2">
        <f>ABS(K57-D57)/D57</f>
        <v>1.8839374073223239E-3</v>
      </c>
      <c r="M57" s="21">
        <f>K57*F57</f>
        <v>2.1227623348569522</v>
      </c>
      <c r="N57" s="2">
        <f>ABS(M57-G57)/M57</f>
        <v>2.3820074456887171E-3</v>
      </c>
      <c r="O57" s="21">
        <f t="shared" si="2"/>
        <v>5.0564356870568261E-3</v>
      </c>
      <c r="P57" s="25">
        <f>$AD$18*B57+$AD$19</f>
        <v>0.44999999999999929</v>
      </c>
      <c r="Q57" s="25">
        <f>$AD$29*G57+$AD$30</f>
        <v>0.46793912398775017</v>
      </c>
      <c r="R57" s="25">
        <f t="shared" si="3"/>
        <v>1.7939123987750882E-2</v>
      </c>
      <c r="S57" s="26">
        <v>0.38979143946853417</v>
      </c>
      <c r="T57" s="26">
        <f t="shared" si="4"/>
        <v>6.0208560531465116E-2</v>
      </c>
      <c r="U57" s="27">
        <f t="shared" si="5"/>
        <v>0.13379680118103379</v>
      </c>
      <c r="V57" s="28">
        <f t="shared" si="6"/>
        <v>24.677497273622411</v>
      </c>
      <c r="W57" s="27">
        <f t="shared" si="7"/>
        <v>2.844498922746409E-2</v>
      </c>
      <c r="X57" s="21">
        <v>0.39745184317826499</v>
      </c>
      <c r="Y57" s="21">
        <f t="shared" si="8"/>
        <v>24.769422118139182</v>
      </c>
      <c r="Z57" s="2">
        <f t="shared" si="9"/>
        <v>2.4825900860662053E-2</v>
      </c>
    </row>
    <row r="58" spans="1:26">
      <c r="A58" s="1">
        <v>25.5</v>
      </c>
      <c r="B58" s="1">
        <f t="shared" si="0"/>
        <v>298.64999999999998</v>
      </c>
      <c r="C58" s="4">
        <f>ROUND(10000*EXP(($AB$4)+($AC$4/B58)+($AD$4/(B58^2))+($AE$4/(B58^3))),6)</f>
        <v>9783.9525379999995</v>
      </c>
      <c r="D58" s="4">
        <f>((C58+2*$AC$5)*$AC$6)/((C58+2*$AC$5)+$AC$6)</f>
        <v>2116.9843513204801</v>
      </c>
      <c r="E58" s="4">
        <f t="shared" si="10"/>
        <v>2.1169843513204802</v>
      </c>
      <c r="F58" s="24">
        <v>9.9990399102947171E-4</v>
      </c>
      <c r="G58" s="6">
        <v>2.1157652937336846</v>
      </c>
      <c r="H58" s="2">
        <f t="shared" si="1"/>
        <v>5.758462909918261E-4</v>
      </c>
      <c r="I58" s="5">
        <f>G58/F58</f>
        <v>2115.9684456858254</v>
      </c>
      <c r="J58" s="2">
        <f>ABS(D58-I58)/I58</f>
        <v>4.8011379220989572E-4</v>
      </c>
      <c r="K58" s="1">
        <f>$AD$10*B58+$AD$11</f>
        <v>2120.6170467334359</v>
      </c>
      <c r="L58" s="2">
        <f>ABS(K58-D58)/D58</f>
        <v>1.7159765071904957E-3</v>
      </c>
      <c r="M58" s="21">
        <f>K58*F58</f>
        <v>2.1204134484738941</v>
      </c>
      <c r="N58" s="2">
        <f>ABS(M58-G58)/M58</f>
        <v>2.1920983115603677E-3</v>
      </c>
      <c r="O58" s="21">
        <f t="shared" si="2"/>
        <v>4.6481547402095202E-3</v>
      </c>
      <c r="P58" s="25">
        <f>$AD$18*B58+$AD$19</f>
        <v>0.45833333333333215</v>
      </c>
      <c r="Q58" s="25">
        <f>$AD$29*G58+$AD$30</f>
        <v>0.47482396613468136</v>
      </c>
      <c r="R58" s="25">
        <f t="shared" si="3"/>
        <v>1.6490632801349214E-2</v>
      </c>
      <c r="S58" s="26">
        <v>0.39694841415142479</v>
      </c>
      <c r="T58" s="26">
        <f t="shared" si="4"/>
        <v>6.138491918190736E-2</v>
      </c>
      <c r="U58" s="27">
        <f t="shared" si="5"/>
        <v>0.1339307327605255</v>
      </c>
      <c r="V58" s="28">
        <f t="shared" si="6"/>
        <v>24.763380969817096</v>
      </c>
      <c r="W58" s="27">
        <f t="shared" si="7"/>
        <v>2.8887020791486445E-2</v>
      </c>
      <c r="X58" s="21">
        <v>0.40459427375251356</v>
      </c>
      <c r="Y58" s="21">
        <f t="shared" si="8"/>
        <v>24.855131285030165</v>
      </c>
      <c r="Z58" s="2">
        <f t="shared" si="9"/>
        <v>2.5288969214503337E-2</v>
      </c>
    </row>
    <row r="59" spans="1:26">
      <c r="A59" s="1">
        <v>25.6</v>
      </c>
      <c r="B59" s="1">
        <f t="shared" si="0"/>
        <v>298.75</v>
      </c>
      <c r="C59" s="4">
        <f>ROUND(10000*EXP(($AB$4)+($AC$4/B59)+($AD$4/(B59^2))+($AE$4/(B59^3))),6)</f>
        <v>9741.3425920000009</v>
      </c>
      <c r="D59" s="4">
        <f>((C59+2*$AC$5)*$AC$6)/((C59+2*$AC$5)+$AC$6)</f>
        <v>2114.9908048688048</v>
      </c>
      <c r="E59" s="4">
        <f t="shared" si="10"/>
        <v>2.1149908048688051</v>
      </c>
      <c r="F59" s="24">
        <v>9.9990399102947171E-4</v>
      </c>
      <c r="G59" s="6">
        <v>2.113817659681887</v>
      </c>
      <c r="H59" s="2">
        <f t="shared" si="1"/>
        <v>5.546809868948369E-4</v>
      </c>
      <c r="I59" s="5">
        <f>G59/F59</f>
        <v>2114.020624625733</v>
      </c>
      <c r="J59" s="2">
        <f>ABS(D59-I59)/I59</f>
        <v>4.5892657421143655E-4</v>
      </c>
      <c r="K59" s="1">
        <f>$AD$10*B59+$AD$11</f>
        <v>2118.2679348145621</v>
      </c>
      <c r="L59" s="2">
        <f>ABS(K59-D59)/D59</f>
        <v>1.5494771600014156E-3</v>
      </c>
      <c r="M59" s="21">
        <f>K59*F59</f>
        <v>2.1180645620908374</v>
      </c>
      <c r="N59" s="2">
        <f>ABS(M59-G59)/M59</f>
        <v>2.0050863816720092E-3</v>
      </c>
      <c r="O59" s="21">
        <f t="shared" si="2"/>
        <v>4.2469024089504259E-3</v>
      </c>
      <c r="P59" s="25">
        <f>$AD$18*B59+$AD$19</f>
        <v>0.46666666666666856</v>
      </c>
      <c r="Q59" s="25">
        <f>$AD$29*G59+$AD$30</f>
        <v>0.48173374426701354</v>
      </c>
      <c r="R59" s="25">
        <f t="shared" si="3"/>
        <v>1.506707760034498E-2</v>
      </c>
      <c r="S59" s="26">
        <v>0.40413251539971728</v>
      </c>
      <c r="T59" s="26">
        <f t="shared" si="4"/>
        <v>6.2534151266951277E-2</v>
      </c>
      <c r="U59" s="27">
        <f t="shared" si="5"/>
        <v>0.13400175271489506</v>
      </c>
      <c r="V59" s="28">
        <f t="shared" si="6"/>
        <v>24.849590184796607</v>
      </c>
      <c r="W59" s="27">
        <f t="shared" si="7"/>
        <v>2.9312883406382578E-2</v>
      </c>
      <c r="X59" s="21">
        <v>0.41176421298696941</v>
      </c>
      <c r="Y59" s="21">
        <f t="shared" si="8"/>
        <v>24.941170555843634</v>
      </c>
      <c r="Z59" s="2">
        <f t="shared" si="9"/>
        <v>2.5735525162358108E-2</v>
      </c>
    </row>
    <row r="60" spans="1:26">
      <c r="A60" s="1">
        <v>25.7</v>
      </c>
      <c r="B60" s="1">
        <f t="shared" si="0"/>
        <v>298.84999999999997</v>
      </c>
      <c r="C60" s="4">
        <f>ROUND(10000*EXP(($AB$4)+($AC$4/B60)+($AD$4/(B60^2))+($AE$4/(B60^3))),6)</f>
        <v>9698.9428250000001</v>
      </c>
      <c r="D60" s="4">
        <f>((C60+2*$AC$5)*$AC$6)/((C60+2*$AC$5)+$AC$6)</f>
        <v>2112.9935129965461</v>
      </c>
      <c r="E60" s="4">
        <f t="shared" si="10"/>
        <v>2.112993512996546</v>
      </c>
      <c r="F60" s="24">
        <v>9.9990399102947171E-4</v>
      </c>
      <c r="G60" s="6">
        <v>2.1116104084671181</v>
      </c>
      <c r="H60" s="2">
        <f t="shared" si="1"/>
        <v>6.5457111956130037E-4</v>
      </c>
      <c r="I60" s="5">
        <f>G60/F60</f>
        <v>2111.8131614746994</v>
      </c>
      <c r="J60" s="2">
        <f>ABS(D60-I60)/I60</f>
        <v>5.5892800716442605E-4</v>
      </c>
      <c r="K60" s="1">
        <f>$AD$10*B60+$AD$11</f>
        <v>2115.9188228956882</v>
      </c>
      <c r="L60" s="2">
        <f>ABS(K60-D60)/D60</f>
        <v>1.3844386559396422E-3</v>
      </c>
      <c r="M60" s="21">
        <f>K60*F60</f>
        <v>2.1157156757077806</v>
      </c>
      <c r="N60" s="2">
        <f>ABS(M60-G60)/M60</f>
        <v>1.9403681164715852E-3</v>
      </c>
      <c r="O60" s="21">
        <f t="shared" si="2"/>
        <v>4.1052672406625135E-3</v>
      </c>
      <c r="P60" s="25">
        <f>$AD$18*B60+$AD$19</f>
        <v>0.47499999999999787</v>
      </c>
      <c r="Q60" s="25">
        <f>$AD$29*G60+$AD$30</f>
        <v>0.48956458711056428</v>
      </c>
      <c r="R60" s="25">
        <f t="shared" si="3"/>
        <v>1.4564587110566407E-2</v>
      </c>
      <c r="S60" s="26">
        <v>0.41227167810945753</v>
      </c>
      <c r="T60" s="26">
        <f t="shared" si="4"/>
        <v>6.2728321890540339E-2</v>
      </c>
      <c r="U60" s="27">
        <f t="shared" si="5"/>
        <v>0.13205962503271709</v>
      </c>
      <c r="V60" s="28">
        <f t="shared" si="6"/>
        <v>24.947260137313489</v>
      </c>
      <c r="W60" s="27">
        <f t="shared" si="7"/>
        <v>2.9289488820486799E-2</v>
      </c>
      <c r="X60" s="21">
        <v>0.41988725781079705</v>
      </c>
      <c r="Y60" s="21">
        <f t="shared" si="8"/>
        <v>25.038647093729566</v>
      </c>
      <c r="Z60" s="2">
        <f t="shared" si="9"/>
        <v>2.5733576119472131E-2</v>
      </c>
    </row>
    <row r="61" spans="1:26">
      <c r="A61" s="1">
        <v>25.8</v>
      </c>
      <c r="B61" s="1">
        <f t="shared" si="0"/>
        <v>298.95</v>
      </c>
      <c r="C61" s="4">
        <f>ROUND(10000*EXP(($AB$4)+($AC$4/B61)+($AD$4/(B61^2))+($AE$4/(B61^3))),6)</f>
        <v>9656.75209</v>
      </c>
      <c r="D61" s="4">
        <f>((C61+2*$AC$5)*$AC$6)/((C61+2*$AC$5)+$AC$6)</f>
        <v>2110.9924843780241</v>
      </c>
      <c r="E61" s="4">
        <f t="shared" si="10"/>
        <v>2.1109924843780243</v>
      </c>
      <c r="F61" s="24">
        <v>9.9990399102947171E-4</v>
      </c>
      <c r="G61" s="6">
        <v>2.1096476315411867</v>
      </c>
      <c r="H61" s="2">
        <f t="shared" si="1"/>
        <v>6.3707135235673256E-4</v>
      </c>
      <c r="I61" s="5">
        <f>G61/F61</f>
        <v>2109.8501960864819</v>
      </c>
      <c r="J61" s="2">
        <f>ABS(D61-I61)/I61</f>
        <v>5.4140729690713575E-4</v>
      </c>
      <c r="K61" s="1">
        <f>$AD$10*B61+$AD$11</f>
        <v>2113.5697109768143</v>
      </c>
      <c r="L61" s="2">
        <f>ABS(K61-D61)/D61</f>
        <v>1.220860148893245E-3</v>
      </c>
      <c r="M61" s="21">
        <f>K61*F61</f>
        <v>2.1133667893247239</v>
      </c>
      <c r="N61" s="2">
        <f>ABS(M61-G61)/M61</f>
        <v>1.759825981142403E-3</v>
      </c>
      <c r="O61" s="21">
        <f t="shared" si="2"/>
        <v>3.7191577835371525E-3</v>
      </c>
      <c r="P61" s="25">
        <f>$AD$18*B61+$AD$19</f>
        <v>0.48333333333333428</v>
      </c>
      <c r="Q61" s="25">
        <f>$AD$29*G61+$AD$30</f>
        <v>0.49652808883663457</v>
      </c>
      <c r="R61" s="25">
        <f t="shared" si="3"/>
        <v>1.3194755503300293E-2</v>
      </c>
      <c r="S61" s="26">
        <v>0.41951042144468825</v>
      </c>
      <c r="T61" s="26">
        <f t="shared" si="4"/>
        <v>6.3822911888646028E-2</v>
      </c>
      <c r="U61" s="27">
        <f t="shared" si="5"/>
        <v>0.13204740390754324</v>
      </c>
      <c r="V61" s="28">
        <f t="shared" si="6"/>
        <v>25.034125057336258</v>
      </c>
      <c r="W61" s="27">
        <f t="shared" si="7"/>
        <v>2.9685075297044294E-2</v>
      </c>
      <c r="X61" s="21">
        <v>0.42711123658200367</v>
      </c>
      <c r="Y61" s="21">
        <f t="shared" si="8"/>
        <v>25.125334838984045</v>
      </c>
      <c r="Z61" s="2">
        <f t="shared" si="9"/>
        <v>2.6149812442478888E-2</v>
      </c>
    </row>
    <row r="62" spans="1:26">
      <c r="A62" s="1">
        <v>25.9</v>
      </c>
      <c r="B62" s="1">
        <f t="shared" si="0"/>
        <v>299.04999999999995</v>
      </c>
      <c r="C62" s="4">
        <f>ROUND(10000*EXP(($AB$4)+($AC$4/B62)+($AD$4/(B62^2))+($AE$4/(B62^3))),6)</f>
        <v>9614.769241</v>
      </c>
      <c r="D62" s="4">
        <f>((C62+2*$AC$5)*$AC$6)/((C62+2*$AC$5)+$AC$6)</f>
        <v>2108.987727490799</v>
      </c>
      <c r="E62" s="4">
        <f t="shared" si="10"/>
        <v>2.1089877274907991</v>
      </c>
      <c r="F62" s="24">
        <v>9.9990399102947171E-4</v>
      </c>
      <c r="G62" s="6">
        <v>2.1076773982540171</v>
      </c>
      <c r="H62" s="2">
        <f t="shared" si="1"/>
        <v>6.2130718908495807E-4</v>
      </c>
      <c r="I62" s="5">
        <f>G62/F62</f>
        <v>2107.8797736210799</v>
      </c>
      <c r="J62" s="2">
        <f>ABS(D62-I62)/I62</f>
        <v>5.2562479301924829E-4</v>
      </c>
      <c r="K62" s="1">
        <f>$AD$10*B62+$AD$11</f>
        <v>2111.2205990579414</v>
      </c>
      <c r="L62" s="2">
        <f>ABS(K62-D62)/D62</f>
        <v>1.0587409011616224E-3</v>
      </c>
      <c r="M62" s="21">
        <f>K62*F62</f>
        <v>2.1110179029416676</v>
      </c>
      <c r="N62" s="2">
        <f>ABS(M62-G62)/M62</f>
        <v>1.5824141912749873E-3</v>
      </c>
      <c r="O62" s="21">
        <f t="shared" si="2"/>
        <v>3.3405046876504585E-3</v>
      </c>
      <c r="P62" s="25">
        <f>$AD$18*B62+$AD$19</f>
        <v>0.49166666666666359</v>
      </c>
      <c r="Q62" s="25">
        <f>$AD$29*G62+$AD$30</f>
        <v>0.50351804409579248</v>
      </c>
      <c r="R62" s="25">
        <f t="shared" si="3"/>
        <v>1.1851377429128895E-2</v>
      </c>
      <c r="S62" s="26">
        <v>0.42677666413501536</v>
      </c>
      <c r="T62" s="26">
        <f t="shared" si="4"/>
        <v>6.4890002531648228E-2</v>
      </c>
      <c r="U62" s="27">
        <f t="shared" si="5"/>
        <v>0.13197966616606502</v>
      </c>
      <c r="V62" s="28">
        <f t="shared" si="6"/>
        <v>25.121319969620181</v>
      </c>
      <c r="W62" s="27">
        <f t="shared" si="7"/>
        <v>3.006486603783079E-2</v>
      </c>
      <c r="X62" s="21">
        <v>0.43436263799034519</v>
      </c>
      <c r="Y62" s="21">
        <f t="shared" si="8"/>
        <v>25.212351655884145</v>
      </c>
      <c r="Z62" s="2">
        <f t="shared" si="9"/>
        <v>2.6550129116442219E-2</v>
      </c>
    </row>
    <row r="63" spans="1:26">
      <c r="A63" s="1">
        <v>26</v>
      </c>
      <c r="B63" s="1">
        <f t="shared" si="0"/>
        <v>299.14999999999998</v>
      </c>
      <c r="C63" s="4">
        <f>ROUND(10000*EXP(($AB$4)+($AC$4/B63)+($AD$4/(B63^2))+($AE$4/(B63^3))),6)</f>
        <v>9572.9931419999994</v>
      </c>
      <c r="D63" s="4">
        <f>((C63+2*$AC$5)*$AC$6)/((C63+2*$AC$5)+$AC$6)</f>
        <v>2106.9792510423576</v>
      </c>
      <c r="E63" s="4">
        <f t="shared" si="10"/>
        <v>2.1069792510423575</v>
      </c>
      <c r="F63" s="24">
        <v>9.9990399102947171E-4</v>
      </c>
      <c r="G63" s="6">
        <v>2.1057001770195889</v>
      </c>
      <c r="H63" s="2">
        <f t="shared" si="1"/>
        <v>6.0706531501714242E-4</v>
      </c>
      <c r="I63" s="5">
        <f>G63/F63</f>
        <v>2105.9023625374493</v>
      </c>
      <c r="J63" s="2">
        <f>ABS(D63-I63)/I63</f>
        <v>5.1136677752274505E-4</v>
      </c>
      <c r="K63" s="1">
        <f>$AD$10*B63+$AD$11</f>
        <v>2108.8714871390666</v>
      </c>
      <c r="L63" s="2">
        <f>ABS(K63-D63)/D63</f>
        <v>8.9808008112698013E-4</v>
      </c>
      <c r="M63" s="21">
        <f>K63*F63</f>
        <v>2.1086690165586099</v>
      </c>
      <c r="N63" s="2">
        <f>ABS(M63-G63)/M63</f>
        <v>1.407921070451472E-3</v>
      </c>
      <c r="O63" s="21">
        <f t="shared" si="2"/>
        <v>2.9688395390210509E-3</v>
      </c>
      <c r="P63" s="25">
        <f>$AD$18*B63+$AD$19</f>
        <v>0.5</v>
      </c>
      <c r="Q63" s="25">
        <f>$AD$29*G63+$AD$30</f>
        <v>0.51053279105804972</v>
      </c>
      <c r="R63" s="25">
        <f t="shared" si="3"/>
        <v>1.0532791058049717E-2</v>
      </c>
      <c r="S63" s="26">
        <v>0.43406981301980524</v>
      </c>
      <c r="T63" s="26">
        <f t="shared" si="4"/>
        <v>6.593018698019476E-2</v>
      </c>
      <c r="U63" s="27">
        <f t="shared" si="5"/>
        <v>0.13186037396038952</v>
      </c>
      <c r="V63" s="28">
        <f t="shared" si="6"/>
        <v>25.208837756237664</v>
      </c>
      <c r="W63" s="27">
        <f t="shared" si="7"/>
        <v>3.0429317067782173E-2</v>
      </c>
      <c r="X63" s="21">
        <v>0.44164143242549386</v>
      </c>
      <c r="Y63" s="21">
        <f t="shared" si="8"/>
        <v>25.299697189105931</v>
      </c>
      <c r="Z63" s="2">
        <f t="shared" si="9"/>
        <v>2.6934723495925732E-2</v>
      </c>
    </row>
    <row r="64" spans="1:26">
      <c r="A64" s="1">
        <v>26.1</v>
      </c>
      <c r="B64" s="1">
        <f t="shared" si="0"/>
        <v>299.25</v>
      </c>
      <c r="C64" s="4">
        <f>ROUND(10000*EXP(($AB$4)+($AC$4/B64)+($AD$4/(B64^2))+($AE$4/(B64^3))),6)</f>
        <v>9531.4226650000001</v>
      </c>
      <c r="D64" s="4">
        <f>((C64+2*$AC$5)*$AC$6)/((C64+2*$AC$5)+$AC$6)</f>
        <v>2104.9670638801686</v>
      </c>
      <c r="E64" s="4">
        <f t="shared" si="10"/>
        <v>2.1049670638801685</v>
      </c>
      <c r="F64" s="24">
        <v>9.9990399102947171E-4</v>
      </c>
      <c r="G64" s="6">
        <v>2.1037150587033944</v>
      </c>
      <c r="H64" s="2">
        <f t="shared" si="1"/>
        <v>5.9478611245644914E-4</v>
      </c>
      <c r="I64" s="5">
        <f>G64/F64</f>
        <v>2103.9170536137885</v>
      </c>
      <c r="J64" s="2">
        <f>ABS(D64-I64)/I64</f>
        <v>4.9907398420316314E-4</v>
      </c>
      <c r="K64" s="1">
        <f>$AD$10*B64+$AD$11</f>
        <v>2106.5223752201919</v>
      </c>
      <c r="L64" s="2">
        <f>ABS(K64-D64)/D64</f>
        <v>7.3887680558589938E-4</v>
      </c>
      <c r="M64" s="21">
        <f>K64*F64</f>
        <v>2.1063201301755523</v>
      </c>
      <c r="N64" s="2">
        <f>ABS(M64-G64)/M64</f>
        <v>1.2367880052216076E-3</v>
      </c>
      <c r="O64" s="21">
        <f t="shared" si="2"/>
        <v>2.6050714721579382E-3</v>
      </c>
      <c r="P64" s="25">
        <f>$AD$18*B64+$AD$19</f>
        <v>0.50833333333333641</v>
      </c>
      <c r="Q64" s="25">
        <f>$AD$29*G64+$AD$30</f>
        <v>0.51757555513309406</v>
      </c>
      <c r="R64" s="25">
        <f t="shared" si="3"/>
        <v>9.2422217997576439E-3</v>
      </c>
      <c r="S64" s="26">
        <v>0.44139093331365548</v>
      </c>
      <c r="T64" s="26">
        <f t="shared" si="4"/>
        <v>6.6942400019680937E-2</v>
      </c>
      <c r="U64" s="27">
        <f t="shared" si="5"/>
        <v>0.13168996725183055</v>
      </c>
      <c r="V64" s="28">
        <f t="shared" si="6"/>
        <v>25.296691199763863</v>
      </c>
      <c r="W64" s="27">
        <f t="shared" si="7"/>
        <v>3.0778114951576174E-2</v>
      </c>
      <c r="X64" s="21">
        <v>0.44894759031987419</v>
      </c>
      <c r="Y64" s="21">
        <f t="shared" si="8"/>
        <v>25.387371083838492</v>
      </c>
      <c r="Z64" s="2">
        <f t="shared" si="9"/>
        <v>2.7303789891245586E-2</v>
      </c>
    </row>
    <row r="65" spans="1:26">
      <c r="A65" s="1">
        <v>26.2</v>
      </c>
      <c r="B65" s="1">
        <f t="shared" si="0"/>
        <v>299.34999999999997</v>
      </c>
      <c r="C65" s="4">
        <f>ROUND(10000*EXP(($AB$4)+($AC$4/B65)+($AD$4/(B65^2))+($AE$4/(B65^3))),6)</f>
        <v>9490.0566859999999</v>
      </c>
      <c r="D65" s="4">
        <f>((C65+2*$AC$5)*$AC$6)/((C65+2*$AC$5)+$AC$6)</f>
        <v>2102.9511748001396</v>
      </c>
      <c r="E65" s="4">
        <f t="shared" si="10"/>
        <v>2.1029511748001397</v>
      </c>
      <c r="F65" s="24">
        <v>9.9990399102947171E-4</v>
      </c>
      <c r="G65" s="6">
        <v>2.1014720153438842</v>
      </c>
      <c r="H65" s="2">
        <f t="shared" si="1"/>
        <v>7.0337318050007385E-4</v>
      </c>
      <c r="I65" s="5">
        <f>G65/F65</f>
        <v>2101.673794881317</v>
      </c>
      <c r="J65" s="2">
        <f>ABS(D65-I65)/I65</f>
        <v>6.0779171436294369E-4</v>
      </c>
      <c r="K65" s="1">
        <f>$AD$10*B65+$AD$11</f>
        <v>2104.1732633013189</v>
      </c>
      <c r="L65" s="2">
        <f>ABS(K65-D65)/D65</f>
        <v>5.8113023061291918E-4</v>
      </c>
      <c r="M65" s="21">
        <f>K65*F65</f>
        <v>2.103971243792496</v>
      </c>
      <c r="N65" s="2">
        <f>ABS(M65-G65)/M65</f>
        <v>1.1878624558132604E-3</v>
      </c>
      <c r="O65" s="21">
        <f t="shared" si="2"/>
        <v>2.4992284486118344E-3</v>
      </c>
      <c r="P65" s="25">
        <f>$AD$18*B65+$AD$19</f>
        <v>0.51666666666666572</v>
      </c>
      <c r="Q65" s="25">
        <f>$AD$29*G65+$AD$30</f>
        <v>0.52553338065021915</v>
      </c>
      <c r="R65" s="25">
        <f t="shared" si="3"/>
        <v>8.8667139835534314E-3</v>
      </c>
      <c r="S65" s="26">
        <v>0.44966218633529109</v>
      </c>
      <c r="T65" s="26">
        <f t="shared" si="4"/>
        <v>6.7004480331374627E-2</v>
      </c>
      <c r="U65" s="27">
        <f t="shared" si="5"/>
        <v>0.12968609096395112</v>
      </c>
      <c r="V65" s="28">
        <f t="shared" si="6"/>
        <v>25.395946236023494</v>
      </c>
      <c r="W65" s="27">
        <f t="shared" si="7"/>
        <v>3.06890749609353E-2</v>
      </c>
      <c r="X65" s="21">
        <v>0.45720222360700741</v>
      </c>
      <c r="Y65" s="21">
        <f t="shared" si="8"/>
        <v>25.48642668328409</v>
      </c>
      <c r="Z65" s="2">
        <f t="shared" si="9"/>
        <v>2.7235622775416368E-2</v>
      </c>
    </row>
    <row r="66" spans="1:26">
      <c r="A66" s="1">
        <v>26.3</v>
      </c>
      <c r="B66" s="1">
        <f t="shared" si="0"/>
        <v>299.45</v>
      </c>
      <c r="C66" s="4">
        <f>ROUND(10000*EXP(($AB$4)+($AC$4/B66)+($AD$4/(B66^2))+($AE$4/(B66^3))),6)</f>
        <v>9448.8940889999994</v>
      </c>
      <c r="D66" s="4">
        <f>((C66+2*$AC$5)*$AC$6)/((C66+2*$AC$5)+$AC$6)</f>
        <v>2100.9315927410566</v>
      </c>
      <c r="E66" s="4">
        <f t="shared" si="10"/>
        <v>2.1009315927410568</v>
      </c>
      <c r="F66" s="24">
        <v>9.9990399102947171E-4</v>
      </c>
      <c r="G66" s="6">
        <v>2.0994722840092317</v>
      </c>
      <c r="H66" s="2">
        <f t="shared" si="1"/>
        <v>6.9460078417934252E-4</v>
      </c>
      <c r="I66" s="5">
        <f>G66/F66</f>
        <v>2099.673871536083</v>
      </c>
      <c r="J66" s="2">
        <f>ABS(D66-I66)/I66</f>
        <v>5.9900788499765982E-4</v>
      </c>
      <c r="K66" s="1">
        <f>$AD$10*B66+$AD$11</f>
        <v>2101.8241513824441</v>
      </c>
      <c r="L66" s="2">
        <f>ABS(K66-D66)/D66</f>
        <v>4.248394590625325E-4</v>
      </c>
      <c r="M66" s="21">
        <f>K66*F66</f>
        <v>2.1016223574094384</v>
      </c>
      <c r="N66" s="2">
        <f>ABS(M66-G66)/M66</f>
        <v>1.0230541146588107E-3</v>
      </c>
      <c r="O66" s="21">
        <f t="shared" si="2"/>
        <v>2.1500734002066757E-3</v>
      </c>
      <c r="P66" s="25">
        <f>$AD$18*B66+$AD$19</f>
        <v>0.52500000000000213</v>
      </c>
      <c r="Q66" s="25">
        <f>$AD$29*G66+$AD$30</f>
        <v>0.53262798850736104</v>
      </c>
      <c r="R66" s="25">
        <f t="shared" si="3"/>
        <v>7.6279885073589071E-3</v>
      </c>
      <c r="S66" s="26">
        <v>0.45703721818825266</v>
      </c>
      <c r="T66" s="26">
        <f t="shared" si="4"/>
        <v>6.7962781811749473E-2</v>
      </c>
      <c r="U66" s="27">
        <f t="shared" si="5"/>
        <v>0.12945291773666515</v>
      </c>
      <c r="V66" s="28">
        <f t="shared" si="6"/>
        <v>25.484446618259028</v>
      </c>
      <c r="W66" s="27">
        <f t="shared" si="7"/>
        <v>3.1009634286728996E-2</v>
      </c>
      <c r="X66" s="21">
        <v>0.46456211547817844</v>
      </c>
      <c r="Y66" s="21">
        <f t="shared" si="8"/>
        <v>25.57474538573814</v>
      </c>
      <c r="Z66" s="2">
        <f t="shared" si="9"/>
        <v>2.7576221074595456E-2</v>
      </c>
    </row>
    <row r="67" spans="1:26">
      <c r="A67" s="1">
        <v>26.4</v>
      </c>
      <c r="B67" s="1">
        <f t="shared" si="0"/>
        <v>299.54999999999995</v>
      </c>
      <c r="C67" s="4">
        <f>ROUND(10000*EXP(($AB$4)+($AC$4/B67)+($AD$4/(B67^2))+($AE$4/(B67^3))),6)</f>
        <v>9407.9337639999994</v>
      </c>
      <c r="D67" s="4">
        <f>((C67+2*$AC$5)*$AC$6)/((C67+2*$AC$5)+$AC$6)</f>
        <v>2098.9083266896378</v>
      </c>
      <c r="E67" s="4">
        <f t="shared" si="10"/>
        <v>2.0989083266896378</v>
      </c>
      <c r="F67" s="24">
        <v>9.9990399102947171E-4</v>
      </c>
      <c r="G67" s="6">
        <v>2.0974651379533018</v>
      </c>
      <c r="H67" s="2">
        <f t="shared" si="1"/>
        <v>6.8759017151175388E-4</v>
      </c>
      <c r="I67" s="5">
        <f>G67/F67</f>
        <v>2097.6665327576234</v>
      </c>
      <c r="J67" s="2">
        <f>ABS(D67-I67)/I67</f>
        <v>5.9198824628331557E-4</v>
      </c>
      <c r="K67" s="1">
        <f>$AD$10*B67+$AD$11</f>
        <v>2099.4750394635712</v>
      </c>
      <c r="L67" s="2">
        <f>ABS(K67-D67)/D67</f>
        <v>2.7000358554355803E-4</v>
      </c>
      <c r="M67" s="21">
        <f>K67*F67</f>
        <v>2.0992734710263825</v>
      </c>
      <c r="N67" s="2">
        <f>ABS(M67-G67)/M67</f>
        <v>8.6140900556256174E-4</v>
      </c>
      <c r="O67" s="21">
        <f t="shared" si="2"/>
        <v>1.8083330730807035E-3</v>
      </c>
      <c r="P67" s="25">
        <f>$AD$18*B67+$AD$19</f>
        <v>0.53333333333333144</v>
      </c>
      <c r="Q67" s="25">
        <f>$AD$29*G67+$AD$30</f>
        <v>0.53974890216814941</v>
      </c>
      <c r="R67" s="25">
        <f t="shared" si="3"/>
        <v>6.4155688348179751E-3</v>
      </c>
      <c r="S67" s="26">
        <v>0.46443959545003788</v>
      </c>
      <c r="T67" s="26">
        <f t="shared" si="4"/>
        <v>6.889373788329356E-2</v>
      </c>
      <c r="U67" s="27">
        <f t="shared" si="5"/>
        <v>0.12917575853117588</v>
      </c>
      <c r="V67" s="28">
        <f t="shared" si="6"/>
        <v>25.573275145400451</v>
      </c>
      <c r="W67" s="27">
        <f t="shared" si="7"/>
        <v>3.1315335401498001E-2</v>
      </c>
      <c r="X67" s="21">
        <v>0.47194927696378852</v>
      </c>
      <c r="Y67" s="21">
        <f t="shared" si="8"/>
        <v>25.663391323565463</v>
      </c>
      <c r="Z67" s="2">
        <f t="shared" si="9"/>
        <v>2.7901843804338463E-2</v>
      </c>
    </row>
    <row r="68" spans="1:26">
      <c r="A68" s="1">
        <v>26.5</v>
      </c>
      <c r="B68" s="1">
        <f t="shared" ref="B68:B131" si="11">A68+273.15</f>
        <v>299.64999999999998</v>
      </c>
      <c r="C68" s="4">
        <f>ROUND(10000*EXP(($AB$4)+($AC$4/B68)+($AD$4/(B68^2))+($AE$4/(B68^3))),6)</f>
        <v>9367.17461</v>
      </c>
      <c r="D68" s="4">
        <f>((C68+2*$AC$5)*$AC$6)/((C68+2*$AC$5)+$AC$6)</f>
        <v>2096.8813858311592</v>
      </c>
      <c r="E68" s="4">
        <f t="shared" ref="E68:E131" si="12">D68*0.001</f>
        <v>2.0968813858311592</v>
      </c>
      <c r="F68" s="24">
        <v>9.9990399102947171E-4</v>
      </c>
      <c r="G68" s="6">
        <v>2.0954505857239987</v>
      </c>
      <c r="H68" s="2">
        <f t="shared" ref="H68:H131" si="13">ABS(E68-G68)/E68</f>
        <v>6.8234670631759612E-4</v>
      </c>
      <c r="I68" s="5">
        <f>G68/F68</f>
        <v>2095.6517870946632</v>
      </c>
      <c r="J68" s="2">
        <f>ABS(D68-I68)/I68</f>
        <v>5.8673809459568887E-4</v>
      </c>
      <c r="K68" s="1">
        <f>$AD$10*B68+$AD$11</f>
        <v>2097.1259275446964</v>
      </c>
      <c r="L68" s="2">
        <f>ABS(K68-D68)/D68</f>
        <v>1.1662162447035242E-4</v>
      </c>
      <c r="M68" s="21">
        <f>K68*F68</f>
        <v>2.0969245846433249</v>
      </c>
      <c r="N68" s="2">
        <f>ABS(M68-G68)/M68</f>
        <v>7.029336820794257E-4</v>
      </c>
      <c r="O68" s="21">
        <f t="shared" ref="O68:O131" si="14">N68*M68</f>
        <v>1.4739989193262026E-3</v>
      </c>
      <c r="P68" s="25">
        <f>$AD$18*B68+$AD$19</f>
        <v>0.54166666666666785</v>
      </c>
      <c r="Q68" s="25">
        <f>$AD$29*G68+$AD$30</f>
        <v>0.54689609130649508</v>
      </c>
      <c r="R68" s="25">
        <f t="shared" ref="R68:R131" si="15">ABS(P68-Q68)</f>
        <v>5.2294246398272293E-3</v>
      </c>
      <c r="S68" s="26">
        <v>0.47186928673637812</v>
      </c>
      <c r="T68" s="26">
        <f t="shared" ref="T68:T131" si="16">ABS(P68-S68)</f>
        <v>6.9797379930289727E-2</v>
      </c>
      <c r="U68" s="27">
        <f t="shared" ref="U68:U131" si="17">IF(P68=0,ABS(P68-S68),ABS(P68-S68)/P68)</f>
        <v>0.12885670140976538</v>
      </c>
      <c r="V68" s="28">
        <f t="shared" ref="V68:V131" si="18">(S68-$AD$21)/($AD$20)</f>
        <v>25.662431440836535</v>
      </c>
      <c r="W68" s="27">
        <f t="shared" ref="W68:W131" si="19">ABS(A68-V68)/A68</f>
        <v>3.1606360723149624E-2</v>
      </c>
      <c r="X68" s="21">
        <v>0.47936367654644368</v>
      </c>
      <c r="Y68" s="21">
        <f t="shared" ref="Y68:Y131" si="20">(X68+5/3)/(1/12)</f>
        <v>25.752364118557328</v>
      </c>
      <c r="Z68" s="2">
        <f t="shared" ref="Z68:Z131" si="21">ABS(A68-Y68)/A68</f>
        <v>2.8212674771421604E-2</v>
      </c>
    </row>
    <row r="69" spans="1:26">
      <c r="A69" s="1">
        <v>26.6</v>
      </c>
      <c r="B69" s="1">
        <f t="shared" si="11"/>
        <v>299.75</v>
      </c>
      <c r="C69" s="4">
        <f>ROUND(10000*EXP(($AB$4)+($AC$4/B69)+($AD$4/(B69^2))+($AE$4/(B69^3))),6)</f>
        <v>9326.6155290000006</v>
      </c>
      <c r="D69" s="4">
        <f>((C69+2*$AC$5)*$AC$6)/((C69+2*$AC$5)+$AC$6)</f>
        <v>2094.850779254084</v>
      </c>
      <c r="E69" s="4">
        <f t="shared" si="12"/>
        <v>2.094850779254084</v>
      </c>
      <c r="F69" s="24">
        <v>9.9990399102947171E-4</v>
      </c>
      <c r="G69" s="6">
        <v>2.093428635427026</v>
      </c>
      <c r="H69" s="2">
        <f t="shared" si="13"/>
        <v>6.7887595677075378E-4</v>
      </c>
      <c r="I69" s="5">
        <f>G69/F69</f>
        <v>2093.6296426536846</v>
      </c>
      <c r="J69" s="2">
        <f>ABS(D69-I69)/I69</f>
        <v>5.8326294943532059E-4</v>
      </c>
      <c r="K69" s="1">
        <f>$AD$10*B69+$AD$11</f>
        <v>2094.7768156258226</v>
      </c>
      <c r="L69" s="2">
        <f>ABS(K69-D69)/D69</f>
        <v>3.5307349331973599E-5</v>
      </c>
      <c r="M69" s="21">
        <f>K69*F69</f>
        <v>2.0945756982602677</v>
      </c>
      <c r="N69" s="2">
        <f>ABS(M69-G69)/M69</f>
        <v>5.4763493828104094E-4</v>
      </c>
      <c r="O69" s="21">
        <f t="shared" si="14"/>
        <v>1.1470628332417299E-3</v>
      </c>
      <c r="P69" s="25">
        <f>$AD$18*B69+$AD$19</f>
        <v>0.55000000000000071</v>
      </c>
      <c r="Q69" s="25">
        <f>$AD$29*G69+$AD$30</f>
        <v>0.55406952716514102</v>
      </c>
      <c r="R69" s="25">
        <f t="shared" si="15"/>
        <v>4.0695271651403075E-3</v>
      </c>
      <c r="S69" s="26">
        <v>0.47932626261036554</v>
      </c>
      <c r="T69" s="26">
        <f t="shared" si="16"/>
        <v>7.0673737389635172E-2</v>
      </c>
      <c r="U69" s="27">
        <f t="shared" si="17"/>
        <v>0.12849770434479105</v>
      </c>
      <c r="V69" s="28">
        <f t="shared" si="18"/>
        <v>25.751915151324383</v>
      </c>
      <c r="W69" s="27">
        <f t="shared" si="19"/>
        <v>3.1882889047955588E-2</v>
      </c>
      <c r="X69" s="21">
        <v>0.48680528180912447</v>
      </c>
      <c r="Y69" s="21">
        <f t="shared" si="20"/>
        <v>25.841663381709498</v>
      </c>
      <c r="Z69" s="2">
        <f t="shared" si="21"/>
        <v>2.8508895424455005E-2</v>
      </c>
    </row>
    <row r="70" spans="1:26">
      <c r="A70" s="1">
        <v>26.7</v>
      </c>
      <c r="B70" s="1">
        <f t="shared" si="11"/>
        <v>299.84999999999997</v>
      </c>
      <c r="C70" s="4">
        <f>ROUND(10000*EXP(($AB$4)+($AC$4/B70)+($AD$4/(B70^2))+($AE$4/(B70^3))),6)</f>
        <v>9286.2554309999996</v>
      </c>
      <c r="D70" s="4">
        <f>((C70+2*$AC$5)*$AC$6)/((C70+2*$AC$5)+$AC$6)</f>
        <v>2092.8165161989382</v>
      </c>
      <c r="E70" s="4">
        <f t="shared" si="12"/>
        <v>2.0928165161989383</v>
      </c>
      <c r="F70" s="24">
        <v>9.9990399102947171E-4</v>
      </c>
      <c r="G70" s="6">
        <v>2.0913992970571504</v>
      </c>
      <c r="H70" s="2">
        <f t="shared" si="13"/>
        <v>6.7718270131097882E-4</v>
      </c>
      <c r="I70" s="5">
        <f>G70/F70</f>
        <v>2091.6001094304138</v>
      </c>
      <c r="J70" s="2">
        <f>ABS(D70-I70)/I70</f>
        <v>5.8156755827271707E-4</v>
      </c>
      <c r="K70" s="1">
        <f>$AD$10*B70+$AD$11</f>
        <v>2092.4277037069496</v>
      </c>
      <c r="L70" s="2">
        <f>ABS(K70-D70)/D70</f>
        <v>1.8578431935101111E-4</v>
      </c>
      <c r="M70" s="21">
        <f>K70*F70</f>
        <v>2.0922268118772118</v>
      </c>
      <c r="N70" s="2">
        <f>ABS(M70-G70)/M70</f>
        <v>3.9551869585253475E-4</v>
      </c>
      <c r="O70" s="21">
        <f t="shared" si="14"/>
        <v>8.2751482006138133E-4</v>
      </c>
      <c r="P70" s="25">
        <f>$AD$18*B70+$AD$19</f>
        <v>0.55833333333333357</v>
      </c>
      <c r="Q70" s="25">
        <f>$AD$29*G70+$AD$30</f>
        <v>0.56126917428484813</v>
      </c>
      <c r="R70" s="25">
        <f t="shared" si="15"/>
        <v>2.9358409515145567E-3</v>
      </c>
      <c r="S70" s="26">
        <v>0.48681048531673698</v>
      </c>
      <c r="T70" s="26">
        <f t="shared" si="16"/>
        <v>7.1522848016596585E-2</v>
      </c>
      <c r="U70" s="27">
        <f t="shared" si="17"/>
        <v>0.12810062331330727</v>
      </c>
      <c r="V70" s="28">
        <f t="shared" si="18"/>
        <v>25.841725823800839</v>
      </c>
      <c r="W70" s="27">
        <f t="shared" si="19"/>
        <v>3.2145100232178273E-2</v>
      </c>
      <c r="X70" s="21">
        <v>0.49427405979875927</v>
      </c>
      <c r="Y70" s="21">
        <f t="shared" si="20"/>
        <v>25.931288717585115</v>
      </c>
      <c r="Z70" s="2">
        <f t="shared" si="21"/>
        <v>2.8790684734639853E-2</v>
      </c>
    </row>
    <row r="71" spans="1:26">
      <c r="A71" s="1">
        <v>26.8</v>
      </c>
      <c r="B71" s="1">
        <f t="shared" si="11"/>
        <v>299.95</v>
      </c>
      <c r="C71" s="4">
        <f>ROUND(10000*EXP(($AB$4)+($AC$4/B71)+($AD$4/(B71^2))+($AE$4/(B71^3))),6)</f>
        <v>9246.0932339999999</v>
      </c>
      <c r="D71" s="4">
        <f>((C71+2*$AC$5)*$AC$6)/((C71+2*$AC$5)+$AC$6)</f>
        <v>2090.7786060627982</v>
      </c>
      <c r="E71" s="4">
        <f t="shared" si="12"/>
        <v>2.0907786060627984</v>
      </c>
      <c r="F71" s="24">
        <v>9.9990399102947171E-4</v>
      </c>
      <c r="G71" s="6">
        <v>2.0893630580357181</v>
      </c>
      <c r="H71" s="2">
        <f t="shared" si="13"/>
        <v>6.7704348178020785E-4</v>
      </c>
      <c r="I71" s="5">
        <f>G71/F71</f>
        <v>2089.5636748929978</v>
      </c>
      <c r="J71" s="2">
        <f>ABS(D71-I71)/I71</f>
        <v>5.8142816339998825E-4</v>
      </c>
      <c r="K71" s="1">
        <f>$AD$10*B71+$AD$11</f>
        <v>2090.0785917880748</v>
      </c>
      <c r="L71" s="2">
        <f>ABS(K71-D71)/D71</f>
        <v>3.3481032984241207E-4</v>
      </c>
      <c r="M71" s="21">
        <f>K71*F71</f>
        <v>2.0898779254941542</v>
      </c>
      <c r="N71" s="2">
        <f>ABS(M71-G71)/M71</f>
        <v>2.463624559862059E-4</v>
      </c>
      <c r="O71" s="21">
        <f t="shared" si="14"/>
        <v>5.1486745843609683E-4</v>
      </c>
      <c r="P71" s="25">
        <f>$AD$18*B71+$AD$19</f>
        <v>0.56666666666666643</v>
      </c>
      <c r="Q71" s="25">
        <f>$AD$29*G71+$AD$30</f>
        <v>0.56849330340166571</v>
      </c>
      <c r="R71" s="25">
        <f t="shared" si="15"/>
        <v>1.8266367349992763E-3</v>
      </c>
      <c r="S71" s="26">
        <v>0.49432113535086925</v>
      </c>
      <c r="T71" s="26">
        <f t="shared" si="16"/>
        <v>7.2345531315797185E-2</v>
      </c>
      <c r="U71" s="27">
        <f t="shared" si="17"/>
        <v>0.12766858467493628</v>
      </c>
      <c r="V71" s="28">
        <f t="shared" si="18"/>
        <v>25.931853624210433</v>
      </c>
      <c r="W71" s="27">
        <f t="shared" si="19"/>
        <v>3.2393521484685363E-2</v>
      </c>
      <c r="X71" s="21">
        <v>0.50176997750404295</v>
      </c>
      <c r="Y71" s="21">
        <f t="shared" si="20"/>
        <v>26.021239730048514</v>
      </c>
      <c r="Z71" s="2">
        <f t="shared" si="21"/>
        <v>2.9058219028040563E-2</v>
      </c>
    </row>
    <row r="72" spans="1:26">
      <c r="A72" s="1">
        <v>26.9</v>
      </c>
      <c r="B72" s="1">
        <f t="shared" si="11"/>
        <v>300.04999999999995</v>
      </c>
      <c r="C72" s="4">
        <f>ROUND(10000*EXP(($AB$4)+($AC$4/B72)+($AD$4/(B72^2))+($AE$4/(B72^3))),6)</f>
        <v>9206.1278610000008</v>
      </c>
      <c r="D72" s="4">
        <f>((C72+2*$AC$5)*$AC$6)/((C72+2*$AC$5)+$AC$6)</f>
        <v>2088.7370582501258</v>
      </c>
      <c r="E72" s="4">
        <f t="shared" si="12"/>
        <v>2.0887370582501257</v>
      </c>
      <c r="F72" s="24">
        <v>9.9990399102947171E-4</v>
      </c>
      <c r="G72" s="6">
        <v>2.0873189719005318</v>
      </c>
      <c r="H72" s="2">
        <f t="shared" si="13"/>
        <v>6.789204720587782E-4</v>
      </c>
      <c r="I72" s="5">
        <f>G72/F72</f>
        <v>2087.5193924883624</v>
      </c>
      <c r="J72" s="2">
        <f>ABS(D72-I72)/I72</f>
        <v>5.8330752094803181E-4</v>
      </c>
      <c r="K72" s="1">
        <f>$AD$10*B72+$AD$11</f>
        <v>2087.7294798692019</v>
      </c>
      <c r="L72" s="2">
        <f>ABS(K72-D72)/D72</f>
        <v>4.8238641476872903E-4</v>
      </c>
      <c r="M72" s="21">
        <f>K72*F72</f>
        <v>2.0875290391110979</v>
      </c>
      <c r="N72" s="2">
        <f>ABS(M72-G72)/M72</f>
        <v>1.0062959922008794E-4</v>
      </c>
      <c r="O72" s="21">
        <f t="shared" si="14"/>
        <v>2.1006721056604505E-4</v>
      </c>
      <c r="P72" s="25">
        <f>$AD$18*B72+$AD$19</f>
        <v>0.57499999999999929</v>
      </c>
      <c r="Q72" s="25">
        <f>$AD$29*G72+$AD$30</f>
        <v>0.57574527235572948</v>
      </c>
      <c r="R72" s="25">
        <f t="shared" si="15"/>
        <v>7.4527235573018658E-4</v>
      </c>
      <c r="S72" s="26">
        <v>0.50185877058691286</v>
      </c>
      <c r="T72" s="26">
        <f t="shared" si="16"/>
        <v>7.3141229413086428E-2</v>
      </c>
      <c r="U72" s="27">
        <f t="shared" si="17"/>
        <v>0.12720213810971567</v>
      </c>
      <c r="V72" s="28">
        <f t="shared" si="18"/>
        <v>26.022305247042954</v>
      </c>
      <c r="W72" s="27">
        <f t="shared" si="19"/>
        <v>3.262805773074514E-2</v>
      </c>
      <c r="X72" s="21">
        <v>0.50929300104683495</v>
      </c>
      <c r="Y72" s="21">
        <f t="shared" si="20"/>
        <v>26.111516012562021</v>
      </c>
      <c r="Z72" s="2">
        <f t="shared" si="21"/>
        <v>2.9311672395463863E-2</v>
      </c>
    </row>
    <row r="73" spans="1:26">
      <c r="A73" s="1">
        <v>27</v>
      </c>
      <c r="B73" s="1">
        <f t="shared" si="11"/>
        <v>300.14999999999998</v>
      </c>
      <c r="C73" s="4">
        <f>ROUND(10000*EXP(($AB$4)+($AC$4/B73)+($AD$4/(B73^2))+($AE$4/(B73^3))),6)</f>
        <v>9166.3582409999999</v>
      </c>
      <c r="D73" s="4">
        <f>((C73+2*$AC$5)*$AC$6)/((C73+2*$AC$5)+$AC$6)</f>
        <v>2086.6918822239122</v>
      </c>
      <c r="E73" s="4">
        <f t="shared" si="12"/>
        <v>2.0866918822239122</v>
      </c>
      <c r="F73" s="24">
        <v>9.9990399102947171E-4</v>
      </c>
      <c r="G73" s="6">
        <v>2.0852675244391161</v>
      </c>
      <c r="H73" s="2">
        <f t="shared" si="13"/>
        <v>6.8259132885401409E-4</v>
      </c>
      <c r="I73" s="5">
        <f>G73/F73</f>
        <v>2085.4677480506766</v>
      </c>
      <c r="J73" s="2">
        <f>ABS(D73-I73)/I73</f>
        <v>5.8698302785061885E-4</v>
      </c>
      <c r="K73" s="1">
        <f>$AD$10*B73+$AD$11</f>
        <v>2085.3803679503271</v>
      </c>
      <c r="L73" s="2">
        <f>ABS(K73-D73)/D73</f>
        <v>6.2851362233092619E-4</v>
      </c>
      <c r="M73" s="21">
        <f>K73*F73</f>
        <v>2.0851801527280402</v>
      </c>
      <c r="N73" s="2">
        <f>ABS(M73-G73)/M73</f>
        <v>4.1901276952765562E-5</v>
      </c>
      <c r="O73" s="21">
        <f t="shared" si="14"/>
        <v>8.7371711075867609E-5</v>
      </c>
      <c r="P73" s="25">
        <f>$AD$18*B73+$AD$19</f>
        <v>0.58333333333333215</v>
      </c>
      <c r="Q73" s="25">
        <f>$AD$29*G73+$AD$30</f>
        <v>0.58302335767952762</v>
      </c>
      <c r="R73" s="25">
        <f t="shared" si="15"/>
        <v>3.0997565380452841E-4</v>
      </c>
      <c r="S73" s="26">
        <v>0.50942453216292016</v>
      </c>
      <c r="T73" s="26">
        <f t="shared" si="16"/>
        <v>7.3908801170411986E-2</v>
      </c>
      <c r="U73" s="27">
        <f t="shared" si="17"/>
        <v>0.12670080200642081</v>
      </c>
      <c r="V73" s="28">
        <f t="shared" si="18"/>
        <v>26.113094385955041</v>
      </c>
      <c r="W73" s="27">
        <f t="shared" si="19"/>
        <v>3.2848356075739236E-2</v>
      </c>
      <c r="X73" s="21">
        <v>0.51684309604862944</v>
      </c>
      <c r="Y73" s="21">
        <f t="shared" si="20"/>
        <v>26.202117152583554</v>
      </c>
      <c r="Z73" s="2">
        <f t="shared" si="21"/>
        <v>2.9551216570979477E-2</v>
      </c>
    </row>
    <row r="74" spans="1:26">
      <c r="A74" s="1">
        <v>27.1</v>
      </c>
      <c r="B74" s="1">
        <f t="shared" si="11"/>
        <v>300.25</v>
      </c>
      <c r="C74" s="4">
        <f>ROUND(10000*EXP(($AB$4)+($AC$4/B74)+($AD$4/(B74^2))+($AE$4/(B74^3))),6)</f>
        <v>9126.7833100000007</v>
      </c>
      <c r="D74" s="4">
        <f>((C74+2*$AC$5)*$AC$6)/((C74+2*$AC$5)+$AC$6)</f>
        <v>2084.6430875589299</v>
      </c>
      <c r="E74" s="4">
        <f t="shared" si="12"/>
        <v>2.0846430875589301</v>
      </c>
      <c r="F74" s="24">
        <v>9.9990399102947171E-4</v>
      </c>
      <c r="G74" s="6">
        <v>2.0832087250502949</v>
      </c>
      <c r="H74" s="2">
        <f t="shared" si="13"/>
        <v>6.8806143228809173E-4</v>
      </c>
      <c r="I74" s="5">
        <f>G74/F74</f>
        <v>2083.4087509796659</v>
      </c>
      <c r="J74" s="2">
        <f>ABS(D74-I74)/I74</f>
        <v>5.9246011071210512E-4</v>
      </c>
      <c r="K74" s="1">
        <f>$AD$10*B74+$AD$11</f>
        <v>2083.0312560314524</v>
      </c>
      <c r="L74" s="2">
        <f>ABS(K74-D74)/D74</f>
        <v>7.7319304062018238E-4</v>
      </c>
      <c r="M74" s="21">
        <f>K74*F74</f>
        <v>2.0828312663449826</v>
      </c>
      <c r="N74" s="2">
        <f>ABS(M74-G74)/M74</f>
        <v>1.8122385207642219E-4</v>
      </c>
      <c r="O74" s="21">
        <f t="shared" si="14"/>
        <v>3.7745870531225023E-4</v>
      </c>
      <c r="P74" s="25">
        <f>$AD$18*B74+$AD$19</f>
        <v>0.59166666666666856</v>
      </c>
      <c r="Q74" s="25">
        <f>$AD$29*G74+$AD$30</f>
        <v>0.59032752602809779</v>
      </c>
      <c r="R74" s="25">
        <f t="shared" si="15"/>
        <v>1.3391406385707683E-3</v>
      </c>
      <c r="S74" s="26">
        <v>0.51701740741754176</v>
      </c>
      <c r="T74" s="26">
        <f t="shared" si="16"/>
        <v>7.4649259249126798E-2</v>
      </c>
      <c r="U74" s="27">
        <f t="shared" si="17"/>
        <v>0.12616776211119982</v>
      </c>
      <c r="V74" s="28">
        <f t="shared" si="18"/>
        <v>26.204208889010502</v>
      </c>
      <c r="W74" s="27">
        <f t="shared" si="19"/>
        <v>3.3055022545737986E-2</v>
      </c>
      <c r="X74" s="21">
        <v>0.52442022761729479</v>
      </c>
      <c r="Y74" s="21">
        <f t="shared" si="20"/>
        <v>26.293042731407539</v>
      </c>
      <c r="Z74" s="2">
        <f t="shared" si="21"/>
        <v>2.9777020981271683E-2</v>
      </c>
    </row>
    <row r="75" spans="1:26">
      <c r="A75" s="1">
        <v>27.2</v>
      </c>
      <c r="B75" s="1">
        <f t="shared" si="11"/>
        <v>300.34999999999997</v>
      </c>
      <c r="C75" s="4">
        <f>ROUND(10000*EXP(($AB$4)+($AC$4/B75)+($AD$4/(B75^2))+($AE$4/(B75^3))),6)</f>
        <v>9087.4020110000001</v>
      </c>
      <c r="D75" s="4">
        <f>((C75+2*$AC$5)*$AC$6)/((C75+2*$AC$5)+$AC$6)</f>
        <v>2082.5906839448257</v>
      </c>
      <c r="E75" s="4">
        <f t="shared" si="12"/>
        <v>2.0825906839448258</v>
      </c>
      <c r="F75" s="24">
        <v>9.9990399102947171E-4</v>
      </c>
      <c r="G75" s="6">
        <v>2.0811425832874275</v>
      </c>
      <c r="H75" s="2">
        <f t="shared" si="13"/>
        <v>6.9533618322700362E-4</v>
      </c>
      <c r="I75" s="5">
        <f>G75/F75</f>
        <v>2081.3424108296081</v>
      </c>
      <c r="J75" s="2">
        <f>ABS(D75-I75)/I75</f>
        <v>5.9974423656707142E-4</v>
      </c>
      <c r="K75" s="1">
        <f>$AD$10*B75+$AD$11</f>
        <v>2080.6821441125794</v>
      </c>
      <c r="L75" s="2">
        <f>ABS(K75-D75)/D75</f>
        <v>9.1642579934679883E-4</v>
      </c>
      <c r="M75" s="21">
        <f>K75*F75</f>
        <v>2.0804823799619268</v>
      </c>
      <c r="N75" s="2">
        <f>ABS(M75-G75)/M75</f>
        <v>3.173318514299771E-4</v>
      </c>
      <c r="O75" s="21">
        <f t="shared" si="14"/>
        <v>6.6020332550076333E-4</v>
      </c>
      <c r="P75" s="25">
        <f>$AD$18*B75+$AD$19</f>
        <v>0.59999999999999787</v>
      </c>
      <c r="Q75" s="25">
        <f>$AD$29*G75+$AD$30</f>
        <v>0.59765774350821488</v>
      </c>
      <c r="R75" s="25">
        <f t="shared" si="15"/>
        <v>2.3422564917829902E-3</v>
      </c>
      <c r="S75" s="26">
        <v>0.52463736166524477</v>
      </c>
      <c r="T75" s="26">
        <f t="shared" si="16"/>
        <v>7.5362638334753096E-2</v>
      </c>
      <c r="U75" s="27">
        <f t="shared" si="17"/>
        <v>0.12560439722458894</v>
      </c>
      <c r="V75" s="28">
        <f t="shared" si="18"/>
        <v>26.295648339982936</v>
      </c>
      <c r="W75" s="27">
        <f t="shared" si="19"/>
        <v>3.3248222794744979E-2</v>
      </c>
      <c r="X75" s="21">
        <v>0.53202436045766222</v>
      </c>
      <c r="Y75" s="21">
        <f t="shared" si="20"/>
        <v>26.384292325491945</v>
      </c>
      <c r="Z75" s="2">
        <f t="shared" si="21"/>
        <v>2.9989252739266711E-2</v>
      </c>
    </row>
    <row r="76" spans="1:26">
      <c r="A76" s="1">
        <v>27.3</v>
      </c>
      <c r="B76" s="1">
        <f t="shared" si="11"/>
        <v>300.45</v>
      </c>
      <c r="C76" s="4">
        <f>ROUND(10000*EXP(($AB$4)+($AC$4/B76)+($AD$4/(B76^2))+($AE$4/(B76^3))),6)</f>
        <v>9048.2132920000004</v>
      </c>
      <c r="D76" s="4">
        <f>((C76+2*$AC$5)*$AC$6)/((C76+2*$AC$5)+$AC$6)</f>
        <v>2080.5346810840247</v>
      </c>
      <c r="E76" s="4">
        <f t="shared" si="12"/>
        <v>2.0805346810840248</v>
      </c>
      <c r="F76" s="24">
        <v>9.9990399102947171E-4</v>
      </c>
      <c r="G76" s="6">
        <v>2.0790691087861104</v>
      </c>
      <c r="H76" s="2">
        <f t="shared" si="13"/>
        <v>7.0442098910402761E-4</v>
      </c>
      <c r="I76" s="5">
        <f>G76/F76</f>
        <v>2079.2687372370242</v>
      </c>
      <c r="J76" s="2">
        <f>ABS(D76-I76)/I76</f>
        <v>6.0884089888384716E-4</v>
      </c>
      <c r="K76" s="1">
        <f>$AD$10*B76+$AD$11</f>
        <v>2078.3330321937046</v>
      </c>
      <c r="L76" s="2">
        <f>ABS(K76-D76)/D76</f>
        <v>1.0582130210744195E-3</v>
      </c>
      <c r="M76" s="21">
        <f>K76*F76</f>
        <v>2.0781334935788687</v>
      </c>
      <c r="N76" s="2">
        <f>ABS(M76-G76)/M76</f>
        <v>4.5021901149884736E-4</v>
      </c>
      <c r="O76" s="21">
        <f t="shared" si="14"/>
        <v>9.3561520724172453E-4</v>
      </c>
      <c r="P76" s="25">
        <f>$AD$18*B76+$AD$19</f>
        <v>0.60833333333333428</v>
      </c>
      <c r="Q76" s="25">
        <f>$AD$29*G76+$AD$30</f>
        <v>0.60501397593490047</v>
      </c>
      <c r="R76" s="25">
        <f t="shared" si="15"/>
        <v>3.3193573984338087E-3</v>
      </c>
      <c r="S76" s="26">
        <v>0.53228435902565574</v>
      </c>
      <c r="T76" s="26">
        <f t="shared" si="16"/>
        <v>7.6048974307678541E-2</v>
      </c>
      <c r="U76" s="27">
        <f t="shared" si="17"/>
        <v>0.12501201256056726</v>
      </c>
      <c r="V76" s="28">
        <f t="shared" si="18"/>
        <v>26.387412308307866</v>
      </c>
      <c r="W76" s="27">
        <f t="shared" si="19"/>
        <v>3.3428120574803474E-2</v>
      </c>
      <c r="X76" s="21">
        <v>0.53965545883633759</v>
      </c>
      <c r="Y76" s="21">
        <f t="shared" si="20"/>
        <v>26.475865506036055</v>
      </c>
      <c r="Z76" s="2">
        <f t="shared" si="21"/>
        <v>3.0188076701976048E-2</v>
      </c>
    </row>
    <row r="77" spans="1:26">
      <c r="A77" s="1">
        <v>27.4</v>
      </c>
      <c r="B77" s="1">
        <f t="shared" si="11"/>
        <v>300.54999999999995</v>
      </c>
      <c r="C77" s="4">
        <f>ROUND(10000*EXP(($AB$4)+($AC$4/B77)+($AD$4/(B77^2))+($AE$4/(B77^3))),6)</f>
        <v>9009.2161080000005</v>
      </c>
      <c r="D77" s="4">
        <f>((C77+2*$AC$5)*$AC$6)/((C77+2*$AC$5)+$AC$6)</f>
        <v>2078.4750887974687</v>
      </c>
      <c r="E77" s="4">
        <f t="shared" si="12"/>
        <v>2.078475088797469</v>
      </c>
      <c r="F77" s="24">
        <v>9.9990399102947171E-4</v>
      </c>
      <c r="G77" s="6">
        <v>2.0772353733525781</v>
      </c>
      <c r="H77" s="2">
        <f t="shared" si="13"/>
        <v>5.9645431959837983E-4</v>
      </c>
      <c r="I77" s="5">
        <f>G77/F77</f>
        <v>2077.4348257315364</v>
      </c>
      <c r="J77" s="2">
        <f>ABS(D77-I77)/I77</f>
        <v>5.0074402000361662E-4</v>
      </c>
      <c r="K77" s="1">
        <f>$AD$10*B77+$AD$11</f>
        <v>2075.9839202748317</v>
      </c>
      <c r="L77" s="2">
        <f>ABS(K77-D77)/D77</f>
        <v>1.1985558720736724E-3</v>
      </c>
      <c r="M77" s="21">
        <f>K77*F77</f>
        <v>2.0757846071958128</v>
      </c>
      <c r="N77" s="2">
        <f>ABS(M77-G77)/M77</f>
        <v>6.9890014201673943E-4</v>
      </c>
      <c r="O77" s="21">
        <f t="shared" si="14"/>
        <v>1.4507661567653152E-3</v>
      </c>
      <c r="P77" s="25">
        <f>$AD$18*B77+$AD$19</f>
        <v>0.61666666666666359</v>
      </c>
      <c r="Q77" s="25">
        <f>$AD$29*G77+$AD$30</f>
        <v>0.6115196667690741</v>
      </c>
      <c r="R77" s="25">
        <f t="shared" si="15"/>
        <v>5.1469998975894882E-3</v>
      </c>
      <c r="S77" s="26">
        <v>0.5390471960764156</v>
      </c>
      <c r="T77" s="26">
        <f t="shared" si="16"/>
        <v>7.7619470590247985E-2</v>
      </c>
      <c r="U77" s="27">
        <f t="shared" si="17"/>
        <v>0.12586941176797034</v>
      </c>
      <c r="V77" s="28">
        <f t="shared" si="18"/>
        <v>26.468566352916987</v>
      </c>
      <c r="W77" s="27">
        <f t="shared" si="19"/>
        <v>3.3993928725657353E-2</v>
      </c>
      <c r="X77" s="21">
        <v>0.54640327350649731</v>
      </c>
      <c r="Y77" s="21">
        <f t="shared" si="20"/>
        <v>26.55683928207797</v>
      </c>
      <c r="Z77" s="2">
        <f t="shared" si="21"/>
        <v>3.077228897525652E-2</v>
      </c>
    </row>
    <row r="78" spans="1:26">
      <c r="A78" s="1">
        <v>27.5</v>
      </c>
      <c r="B78" s="1">
        <f t="shared" si="11"/>
        <v>300.64999999999998</v>
      </c>
      <c r="C78" s="4">
        <f>ROUND(10000*EXP(($AB$4)+($AC$4/B78)+($AD$4/(B78^2))+($AE$4/(B78^3))),6)</f>
        <v>8970.40942</v>
      </c>
      <c r="D78" s="4">
        <f>((C78+2*$AC$5)*$AC$6)/((C78+2*$AC$5)+$AC$6)</f>
        <v>2076.4119169745895</v>
      </c>
      <c r="E78" s="4">
        <f t="shared" si="12"/>
        <v>2.0764119169745894</v>
      </c>
      <c r="F78" s="24">
        <v>9.9990399102947171E-4</v>
      </c>
      <c r="G78" s="6">
        <v>2.0751470129337459</v>
      </c>
      <c r="H78" s="2">
        <f t="shared" si="13"/>
        <v>6.0917779873198954E-4</v>
      </c>
      <c r="I78" s="5">
        <f>G78/F78</f>
        <v>2075.3462647921183</v>
      </c>
      <c r="J78" s="2">
        <f>ABS(D78-I78)/I78</f>
        <v>5.1348162981274036E-4</v>
      </c>
      <c r="K78" s="1">
        <f>$AD$10*B78+$AD$11</f>
        <v>2073.6348083559578</v>
      </c>
      <c r="L78" s="2">
        <f>ABS(K78-D78)/D78</f>
        <v>1.3374555385320909E-3</v>
      </c>
      <c r="M78" s="21">
        <f>K78*F78</f>
        <v>2.0734357208127561</v>
      </c>
      <c r="N78" s="2">
        <f>ABS(M78-G78)/M78</f>
        <v>8.2534129407159005E-4</v>
      </c>
      <c r="O78" s="21">
        <f t="shared" si="14"/>
        <v>1.7112921209898602E-3</v>
      </c>
      <c r="P78" s="25">
        <f>$AD$18*B78+$AD$19</f>
        <v>0.625</v>
      </c>
      <c r="Q78" s="25">
        <f>$AD$29*G78+$AD$30</f>
        <v>0.61892871116381354</v>
      </c>
      <c r="R78" s="25">
        <f t="shared" si="15"/>
        <v>6.0712888361864614E-3</v>
      </c>
      <c r="S78" s="26">
        <v>0.54674909274515604</v>
      </c>
      <c r="T78" s="26">
        <f t="shared" si="16"/>
        <v>7.825090725484396E-2</v>
      </c>
      <c r="U78" s="27">
        <f t="shared" si="17"/>
        <v>0.12520145160775034</v>
      </c>
      <c r="V78" s="28">
        <f t="shared" si="18"/>
        <v>26.560989112941872</v>
      </c>
      <c r="W78" s="27">
        <f t="shared" si="19"/>
        <v>3.4145850438477378E-2</v>
      </c>
      <c r="X78" s="21">
        <v>0.55408911399530658</v>
      </c>
      <c r="Y78" s="21">
        <f t="shared" si="20"/>
        <v>26.649069367943682</v>
      </c>
      <c r="Z78" s="2">
        <f t="shared" si="21"/>
        <v>3.0942932074775213E-2</v>
      </c>
    </row>
    <row r="79" spans="1:26">
      <c r="A79" s="1">
        <v>27.6</v>
      </c>
      <c r="B79" s="1">
        <f t="shared" si="11"/>
        <v>300.75</v>
      </c>
      <c r="C79" s="4">
        <f>ROUND(10000*EXP(($AB$4)+($AC$4/B79)+($AD$4/(B79^2))+($AE$4/(B79^3))),6)</f>
        <v>8931.792195</v>
      </c>
      <c r="D79" s="4">
        <f>((C79+2*$AC$5)*$AC$6)/((C79+2*$AC$5)+$AC$6)</f>
        <v>2074.3451755749406</v>
      </c>
      <c r="E79" s="4">
        <f t="shared" si="12"/>
        <v>2.0743451755749405</v>
      </c>
      <c r="F79" s="24">
        <v>9.9990399102947171E-4</v>
      </c>
      <c r="G79" s="6">
        <v>2.0730513492043805</v>
      </c>
      <c r="H79" s="2">
        <f t="shared" si="13"/>
        <v>6.2372761572883513E-4</v>
      </c>
      <c r="I79" s="5">
        <f>G79/F79</f>
        <v>2073.2503998409165</v>
      </c>
      <c r="J79" s="2">
        <f>ABS(D79-I79)/I79</f>
        <v>5.2804800332275378E-4</v>
      </c>
      <c r="K79" s="1">
        <f>$AD$10*B79+$AD$11</f>
        <v>2071.2856964370831</v>
      </c>
      <c r="L79" s="2">
        <f>ABS(K79-D79)/D79</f>
        <v>1.4749132275006216E-3</v>
      </c>
      <c r="M79" s="21">
        <f>K79*F79</f>
        <v>2.071086834429698</v>
      </c>
      <c r="N79" s="2">
        <f>ABS(M79-G79)/M79</f>
        <v>9.4854293022603718E-4</v>
      </c>
      <c r="O79" s="21">
        <f t="shared" si="14"/>
        <v>1.9645147746825131E-3</v>
      </c>
      <c r="P79" s="25">
        <f>$AD$18*B79+$AD$19</f>
        <v>0.63333333333333641</v>
      </c>
      <c r="Q79" s="25">
        <f>$AD$29*G79+$AD$30</f>
        <v>0.62636366610133187</v>
      </c>
      <c r="R79" s="25">
        <f t="shared" si="15"/>
        <v>6.9696672320045394E-3</v>
      </c>
      <c r="S79" s="26">
        <v>0.55447792434288545</v>
      </c>
      <c r="T79" s="26">
        <f t="shared" si="16"/>
        <v>7.8855408990450959E-2</v>
      </c>
      <c r="U79" s="27">
        <f t="shared" si="17"/>
        <v>0.12450854051123775</v>
      </c>
      <c r="V79" s="28">
        <f t="shared" si="18"/>
        <v>26.653735092114626</v>
      </c>
      <c r="W79" s="27">
        <f t="shared" si="19"/>
        <v>3.4284960430629528E-2</v>
      </c>
      <c r="X79" s="21">
        <v>0.56180181073460123</v>
      </c>
      <c r="Y79" s="21">
        <f t="shared" si="20"/>
        <v>26.741621728815218</v>
      </c>
      <c r="Z79" s="2">
        <f t="shared" si="21"/>
        <v>3.1100661999448664E-2</v>
      </c>
    </row>
    <row r="80" spans="1:26">
      <c r="A80" s="1">
        <v>27.7</v>
      </c>
      <c r="B80" s="1">
        <f t="shared" si="11"/>
        <v>300.84999999999997</v>
      </c>
      <c r="C80" s="4">
        <f>ROUND(10000*EXP(($AB$4)+($AC$4/B80)+($AD$4/(B80^2))+($AE$4/(B80^3))),6)</f>
        <v>8893.3634079999993</v>
      </c>
      <c r="D80" s="4">
        <f>((C80+2*$AC$5)*$AC$6)/((C80+2*$AC$5)+$AC$6)</f>
        <v>2072.2748747379937</v>
      </c>
      <c r="E80" s="4">
        <f t="shared" si="12"/>
        <v>2.0722748747379938</v>
      </c>
      <c r="F80" s="24">
        <v>9.9990399102947171E-4</v>
      </c>
      <c r="G80" s="6">
        <v>2.0709483923821446</v>
      </c>
      <c r="H80" s="2">
        <f t="shared" si="13"/>
        <v>6.4010926929609848E-4</v>
      </c>
      <c r="I80" s="5">
        <f>G80/F80</f>
        <v>2071.1472410965748</v>
      </c>
      <c r="J80" s="2">
        <f>ABS(D80-I80)/I80</f>
        <v>5.4444880549482113E-4</v>
      </c>
      <c r="K80" s="1">
        <f>$AD$10*B80+$AD$11</f>
        <v>2068.9365845182101</v>
      </c>
      <c r="L80" s="2">
        <f>ABS(K80-D80)/D80</f>
        <v>1.6109302199621099E-3</v>
      </c>
      <c r="M80" s="21">
        <f>K80*F80</f>
        <v>2.0687379480466421</v>
      </c>
      <c r="N80" s="2">
        <f>ABS(M80-G80)/M80</f>
        <v>1.0684989549254403E-3</v>
      </c>
      <c r="O80" s="21">
        <f t="shared" si="14"/>
        <v>2.2104443355024368E-3</v>
      </c>
      <c r="P80" s="25">
        <f>$AD$18*B80+$AD$19</f>
        <v>0.64166666666666572</v>
      </c>
      <c r="Q80" s="25">
        <f>$AD$29*G80+$AD$30</f>
        <v>0.6338244953316039</v>
      </c>
      <c r="R80" s="25">
        <f t="shared" si="15"/>
        <v>7.8421713350618205E-3</v>
      </c>
      <c r="S80" s="26">
        <v>0.5622336528537033</v>
      </c>
      <c r="T80" s="26">
        <f t="shared" si="16"/>
        <v>7.9433013812962416E-2</v>
      </c>
      <c r="U80" s="27">
        <f t="shared" si="17"/>
        <v>0.12379170983838317</v>
      </c>
      <c r="V80" s="28">
        <f t="shared" si="18"/>
        <v>26.746803834244435</v>
      </c>
      <c r="W80" s="27">
        <f t="shared" si="19"/>
        <v>3.4411413926193651E-2</v>
      </c>
      <c r="X80" s="21">
        <v>0.5695413257834343</v>
      </c>
      <c r="Y80" s="21">
        <f t="shared" si="20"/>
        <v>26.834495909401213</v>
      </c>
      <c r="Z80" s="2">
        <f t="shared" si="21"/>
        <v>3.1245635039667392E-2</v>
      </c>
    </row>
    <row r="81" spans="1:26">
      <c r="A81" s="1">
        <v>27.8</v>
      </c>
      <c r="B81" s="1">
        <f t="shared" si="11"/>
        <v>300.95</v>
      </c>
      <c r="C81" s="4">
        <f>ROUND(10000*EXP(($AB$4)+($AC$4/B81)+($AD$4/(B81^2))+($AE$4/(B81^3))),6)</f>
        <v>8855.1220360000007</v>
      </c>
      <c r="D81" s="4">
        <f>((C81+2*$AC$5)*$AC$6)/((C81+2*$AC$5)+$AC$6)</f>
        <v>2070.201024462011</v>
      </c>
      <c r="E81" s="4">
        <f t="shared" si="12"/>
        <v>2.070201024462011</v>
      </c>
      <c r="F81" s="24">
        <v>9.9990399102947171E-4</v>
      </c>
      <c r="G81" s="6">
        <v>2.0688376488144744</v>
      </c>
      <c r="H81" s="2">
        <f t="shared" si="13"/>
        <v>6.5857162247851735E-4</v>
      </c>
      <c r="I81" s="5">
        <f>G81/F81</f>
        <v>2069.0362948591296</v>
      </c>
      <c r="J81" s="2">
        <f>ABS(D81-I81)/I81</f>
        <v>5.6293338390213236E-4</v>
      </c>
      <c r="K81" s="1">
        <f>$AD$10*B81+$AD$11</f>
        <v>2066.5874725993353</v>
      </c>
      <c r="L81" s="2">
        <f>ABS(K81-D81)/D81</f>
        <v>1.7455077163893845E-3</v>
      </c>
      <c r="M81" s="21">
        <f>K81*F81</f>
        <v>2.0663890616635845</v>
      </c>
      <c r="N81" s="2">
        <f>ABS(M81-G81)/M81</f>
        <v>1.1849594039752775E-3</v>
      </c>
      <c r="O81" s="21">
        <f t="shared" si="14"/>
        <v>2.4485871508899137E-3</v>
      </c>
      <c r="P81" s="25">
        <f>$AD$18*B81+$AD$19</f>
        <v>0.65000000000000213</v>
      </c>
      <c r="Q81" s="25">
        <f>$AD$29*G81+$AD$30</f>
        <v>0.64131295022557477</v>
      </c>
      <c r="R81" s="25">
        <f t="shared" si="15"/>
        <v>8.6870497744273578E-3</v>
      </c>
      <c r="S81" s="26">
        <v>0.57001809908416767</v>
      </c>
      <c r="T81" s="26">
        <f t="shared" si="16"/>
        <v>7.9981900915834458E-2</v>
      </c>
      <c r="U81" s="27">
        <f t="shared" si="17"/>
        <v>0.12304907833205261</v>
      </c>
      <c r="V81" s="28">
        <f t="shared" si="18"/>
        <v>26.840217189010012</v>
      </c>
      <c r="W81" s="27">
        <f t="shared" si="19"/>
        <v>3.4524561546402467E-2</v>
      </c>
      <c r="X81" s="21">
        <v>0.57730762105818256</v>
      </c>
      <c r="Y81" s="21">
        <f t="shared" si="20"/>
        <v>26.927691452698195</v>
      </c>
      <c r="Z81" s="2">
        <f t="shared" si="21"/>
        <v>3.137800529862611E-2</v>
      </c>
    </row>
    <row r="82" spans="1:26">
      <c r="A82" s="1">
        <v>27.9</v>
      </c>
      <c r="B82" s="1">
        <f t="shared" si="11"/>
        <v>301.04999999999995</v>
      </c>
      <c r="C82" s="4">
        <f>ROUND(10000*EXP(($AB$4)+($AC$4/B82)+($AD$4/(B82^2))+($AE$4/(B82^3))),6)</f>
        <v>8817.0670649999993</v>
      </c>
      <c r="D82" s="4">
        <f>((C82+2*$AC$5)*$AC$6)/((C82+2*$AC$5)+$AC$6)</f>
        <v>2068.1236349820938</v>
      </c>
      <c r="E82" s="4">
        <f t="shared" si="12"/>
        <v>2.068123634982094</v>
      </c>
      <c r="F82" s="24">
        <v>9.9990399102947171E-4</v>
      </c>
      <c r="G82" s="6">
        <v>2.0667201345718609</v>
      </c>
      <c r="H82" s="2">
        <f t="shared" si="13"/>
        <v>6.7863467468434171E-4</v>
      </c>
      <c r="I82" s="5">
        <f>G82/F82</f>
        <v>2066.918577296633</v>
      </c>
      <c r="J82" s="2">
        <f>ABS(D82-I82)/I82</f>
        <v>5.8302136266873941E-4</v>
      </c>
      <c r="K82" s="1">
        <f>$AD$10*B82+$AD$11</f>
        <v>2064.2383606804624</v>
      </c>
      <c r="L82" s="2">
        <f>ABS(K82-D82)/D82</f>
        <v>1.8786470189269113E-3</v>
      </c>
      <c r="M82" s="21">
        <f>K82*F82</f>
        <v>2.0640401752805286</v>
      </c>
      <c r="N82" s="2">
        <f>ABS(M82-G82)/M82</f>
        <v>1.2984046160671296E-3</v>
      </c>
      <c r="O82" s="21">
        <f t="shared" si="14"/>
        <v>2.6799592913322456E-3</v>
      </c>
      <c r="P82" s="25">
        <f>$AD$18*B82+$AD$19</f>
        <v>0.65833333333333144</v>
      </c>
      <c r="Q82" s="25">
        <f>$AD$29*G82+$AD$30</f>
        <v>0.64882542598815895</v>
      </c>
      <c r="R82" s="25">
        <f t="shared" si="15"/>
        <v>9.5079073451724838E-3</v>
      </c>
      <c r="S82" s="26">
        <v>0.57782751540927835</v>
      </c>
      <c r="T82" s="26">
        <f t="shared" si="16"/>
        <v>8.0505817924053091E-2</v>
      </c>
      <c r="U82" s="27">
        <f t="shared" si="17"/>
        <v>0.12228731836565061</v>
      </c>
      <c r="V82" s="28">
        <f t="shared" si="18"/>
        <v>26.93393018491134</v>
      </c>
      <c r="W82" s="27">
        <f t="shared" si="19"/>
        <v>3.4626158246905341E-2</v>
      </c>
      <c r="X82" s="21">
        <v>0.58510065687874102</v>
      </c>
      <c r="Y82" s="21">
        <f t="shared" si="20"/>
        <v>27.021207882544896</v>
      </c>
      <c r="Z82" s="2">
        <f t="shared" si="21"/>
        <v>3.1497925356813707E-2</v>
      </c>
    </row>
    <row r="83" spans="1:26">
      <c r="A83" s="1">
        <v>28</v>
      </c>
      <c r="B83" s="1">
        <f t="shared" si="11"/>
        <v>301.14999999999998</v>
      </c>
      <c r="C83" s="4">
        <f>ROUND(10000*EXP(($AB$4)+($AC$4/B83)+($AD$4/(B83^2))+($AE$4/(B83^3))),6)</f>
        <v>8779.1974879999998</v>
      </c>
      <c r="D83" s="4">
        <f>((C83+2*$AC$5)*$AC$6)/((C83+2*$AC$5)+$AC$6)</f>
        <v>2066.0427166671857</v>
      </c>
      <c r="E83" s="4">
        <f t="shared" si="12"/>
        <v>2.0660427166671855</v>
      </c>
      <c r="F83" s="24">
        <v>9.9990399102947171E-4</v>
      </c>
      <c r="G83" s="6">
        <v>2.0645953594480582</v>
      </c>
      <c r="H83" s="2">
        <f t="shared" si="13"/>
        <v>7.0054564092564069E-4</v>
      </c>
      <c r="I83" s="5">
        <f>G83/F83</f>
        <v>2064.7935981557703</v>
      </c>
      <c r="J83" s="2">
        <f>ABS(D83-I83)/I83</f>
        <v>6.0496047281970644E-4</v>
      </c>
      <c r="K83" s="1">
        <f>$AD$10*B83+$AD$11</f>
        <v>2061.8892487615876</v>
      </c>
      <c r="L83" s="2">
        <f>ABS(K83-D83)/D83</f>
        <v>2.0103494821724619E-3</v>
      </c>
      <c r="M83" s="21">
        <f>K83*F83</f>
        <v>2.0616912888974706</v>
      </c>
      <c r="N83" s="2">
        <f>ABS(M83-G83)/M83</f>
        <v>1.408586516432642E-3</v>
      </c>
      <c r="O83" s="21">
        <f t="shared" si="14"/>
        <v>2.9040705505876119E-3</v>
      </c>
      <c r="P83" s="25">
        <f>$AD$18*B83+$AD$19</f>
        <v>0.66666666666666785</v>
      </c>
      <c r="Q83" s="25">
        <f>$AD$29*G83+$AD$30</f>
        <v>0.65636366176352201</v>
      </c>
      <c r="R83" s="25">
        <f t="shared" si="15"/>
        <v>1.030300490314584E-2</v>
      </c>
      <c r="S83" s="26">
        <v>0.5856637101254264</v>
      </c>
      <c r="T83" s="26">
        <f t="shared" si="16"/>
        <v>8.1002956541241455E-2</v>
      </c>
      <c r="U83" s="27">
        <f t="shared" si="17"/>
        <v>0.12150443481186196</v>
      </c>
      <c r="V83" s="28">
        <f t="shared" si="18"/>
        <v>27.027964521505115</v>
      </c>
      <c r="W83" s="27">
        <f t="shared" si="19"/>
        <v>3.4715552803388734E-2</v>
      </c>
      <c r="X83" s="21">
        <v>0.5929203942519008</v>
      </c>
      <c r="Y83" s="21">
        <f t="shared" si="20"/>
        <v>27.115044731022813</v>
      </c>
      <c r="Z83" s="2">
        <f t="shared" si="21"/>
        <v>3.1605545320613819E-2</v>
      </c>
    </row>
    <row r="84" spans="1:26">
      <c r="A84" s="1">
        <v>28.1</v>
      </c>
      <c r="B84" s="1">
        <f t="shared" si="11"/>
        <v>301.25</v>
      </c>
      <c r="C84" s="4">
        <f>ROUND(10000*EXP(($AB$4)+($AC$4/B84)+($AD$4/(B84^2))+($AE$4/(B84^3))),6)</f>
        <v>8741.5123010000007</v>
      </c>
      <c r="D84" s="4">
        <f>((C84+2*$AC$5)*$AC$6)/((C84+2*$AC$5)+$AC$6)</f>
        <v>2063.958279801876</v>
      </c>
      <c r="E84" s="4">
        <f t="shared" si="12"/>
        <v>2.0639582798018759</v>
      </c>
      <c r="F84" s="24">
        <v>9.9990399102947171E-4</v>
      </c>
      <c r="G84" s="6">
        <v>2.0624633328681714</v>
      </c>
      <c r="H84" s="2">
        <f t="shared" si="13"/>
        <v>7.2431063570139E-4</v>
      </c>
      <c r="I84" s="5">
        <f>G84/F84</f>
        <v>2062.6613668625523</v>
      </c>
      <c r="J84" s="2">
        <f>ABS(D84-I84)/I84</f>
        <v>6.2875708061393499E-4</v>
      </c>
      <c r="K84" s="1">
        <f>$AD$10*B84+$AD$11</f>
        <v>2059.5401368427129</v>
      </c>
      <c r="L84" s="2">
        <f>ABS(K84-D84)/D84</f>
        <v>2.1406164079960052E-3</v>
      </c>
      <c r="M84" s="21">
        <f>K84*F84</f>
        <v>2.0593424025144129</v>
      </c>
      <c r="N84" s="2">
        <f>ABS(M84-G84)/M84</f>
        <v>1.5154985154231272E-3</v>
      </c>
      <c r="O84" s="21">
        <f t="shared" si="14"/>
        <v>3.1209303537584887E-3</v>
      </c>
      <c r="P84" s="25">
        <f>$AD$18*B84+$AD$19</f>
        <v>0.67500000000000071</v>
      </c>
      <c r="Q84" s="25">
        <f>$AD$29*G84+$AD$30</f>
        <v>0.66392762411345885</v>
      </c>
      <c r="R84" s="25">
        <f t="shared" si="15"/>
        <v>1.1072375886541863E-2</v>
      </c>
      <c r="S84" s="26">
        <v>0.5935266482499898</v>
      </c>
      <c r="T84" s="26">
        <f t="shared" si="16"/>
        <v>8.1473351750010914E-2</v>
      </c>
      <c r="U84" s="27">
        <f t="shared" si="17"/>
        <v>0.1207012618518679</v>
      </c>
      <c r="V84" s="28">
        <f t="shared" si="18"/>
        <v>27.122319778999877</v>
      </c>
      <c r="W84" s="27">
        <f t="shared" si="19"/>
        <v>3.4792890427050686E-2</v>
      </c>
      <c r="X84" s="21">
        <v>0.60076679314058279</v>
      </c>
      <c r="Y84" s="21">
        <f t="shared" si="20"/>
        <v>27.209201517686996</v>
      </c>
      <c r="Z84" s="2">
        <f t="shared" si="21"/>
        <v>3.1701013605445041E-2</v>
      </c>
    </row>
    <row r="85" spans="1:26">
      <c r="A85" s="1">
        <v>28.2</v>
      </c>
      <c r="B85" s="1">
        <f t="shared" si="11"/>
        <v>301.34999999999997</v>
      </c>
      <c r="C85" s="4">
        <f>ROUND(10000*EXP(($AB$4)+($AC$4/B85)+($AD$4/(B85^2))+($AE$4/(B85^3))),6)</f>
        <v>8704.0105079999994</v>
      </c>
      <c r="D85" s="4">
        <f>((C85+2*$AC$5)*$AC$6)/((C85+2*$AC$5)+$AC$6)</f>
        <v>2061.8703348622653</v>
      </c>
      <c r="E85" s="4">
        <f t="shared" si="12"/>
        <v>2.0618703348622653</v>
      </c>
      <c r="F85" s="24">
        <v>9.9990399102947171E-4</v>
      </c>
      <c r="G85" s="6">
        <v>2.0605696298012006</v>
      </c>
      <c r="H85" s="2">
        <f t="shared" si="13"/>
        <v>6.3083746784281178E-4</v>
      </c>
      <c r="I85" s="5">
        <f>G85/F85</f>
        <v>2060.7674819656422</v>
      </c>
      <c r="J85" s="2">
        <f>ABS(D85-I85)/I85</f>
        <v>5.3516610014202933E-4</v>
      </c>
      <c r="K85" s="1">
        <f>$AD$10*B85+$AD$11</f>
        <v>2057.1910249238399</v>
      </c>
      <c r="L85" s="2">
        <f>ABS(K85-D85)/D85</f>
        <v>2.2694491788873613E-3</v>
      </c>
      <c r="M85" s="21">
        <f>K85*F85</f>
        <v>2.0569935161313571</v>
      </c>
      <c r="N85" s="2">
        <f>ABS(M85-G85)/M85</f>
        <v>1.738514799292734E-3</v>
      </c>
      <c r="O85" s="21">
        <f t="shared" si="14"/>
        <v>3.5761136698435614E-3</v>
      </c>
      <c r="P85" s="25">
        <f>$AD$18*B85+$AD$19</f>
        <v>0.68333333333333357</v>
      </c>
      <c r="Q85" s="25">
        <f>$AD$29*G85+$AD$30</f>
        <v>0.67064606694886209</v>
      </c>
      <c r="R85" s="25">
        <f t="shared" si="15"/>
        <v>1.2687266384471485E-2</v>
      </c>
      <c r="S85" s="26">
        <v>0.60051064681426736</v>
      </c>
      <c r="T85" s="26">
        <f t="shared" si="16"/>
        <v>8.2822686519066213E-2</v>
      </c>
      <c r="U85" s="27">
        <f t="shared" si="17"/>
        <v>0.12120393149131636</v>
      </c>
      <c r="V85" s="28">
        <f t="shared" si="18"/>
        <v>27.206127761771207</v>
      </c>
      <c r="W85" s="27">
        <f t="shared" si="19"/>
        <v>3.5243696391091942E-2</v>
      </c>
      <c r="X85" s="21">
        <v>0.60773701482529563</v>
      </c>
      <c r="Y85" s="21">
        <f t="shared" si="20"/>
        <v>27.29284417790355</v>
      </c>
      <c r="Z85" s="2">
        <f t="shared" si="21"/>
        <v>3.2168646173632943E-2</v>
      </c>
    </row>
    <row r="86" spans="1:26">
      <c r="A86" s="1">
        <v>28.3</v>
      </c>
      <c r="B86" s="1">
        <f t="shared" si="11"/>
        <v>301.45</v>
      </c>
      <c r="C86" s="4">
        <f>ROUND(10000*EXP(($AB$4)+($AC$4/B86)+($AD$4/(B86^2))+($AE$4/(B86^3))),6)</f>
        <v>8666.6911180000006</v>
      </c>
      <c r="D86" s="4">
        <f>((C86+2*$AC$5)*$AC$6)/((C86+2*$AC$5)+$AC$6)</f>
        <v>2059.7788923530193</v>
      </c>
      <c r="E86" s="4">
        <f t="shared" si="12"/>
        <v>2.0597788923530191</v>
      </c>
      <c r="F86" s="24">
        <v>9.9990399102947171E-4</v>
      </c>
      <c r="G86" s="6">
        <v>2.0584228837101093</v>
      </c>
      <c r="H86" s="2">
        <f t="shared" si="13"/>
        <v>6.583272835468274E-4</v>
      </c>
      <c r="I86" s="5">
        <f>G86/F86</f>
        <v>2058.6205297478787</v>
      </c>
      <c r="J86" s="2">
        <f>ABS(D86-I86)/I86</f>
        <v>5.6268874637254091E-4</v>
      </c>
      <c r="K86" s="1">
        <f>$AD$10*B86+$AD$11</f>
        <v>2054.841913004966</v>
      </c>
      <c r="L86" s="2">
        <f>ABS(K86-D86)/D86</f>
        <v>2.3968491794832385E-3</v>
      </c>
      <c r="M86" s="21">
        <f>K86*F86</f>
        <v>2.0546446297482999</v>
      </c>
      <c r="N86" s="2">
        <f>ABS(M86-G86)/M86</f>
        <v>1.8388844022492914E-3</v>
      </c>
      <c r="O86" s="21">
        <f t="shared" si="14"/>
        <v>3.7782539618094191E-3</v>
      </c>
      <c r="P86" s="25">
        <f>$AD$18*B86+$AD$19</f>
        <v>0.69166666666666643</v>
      </c>
      <c r="Q86" s="25">
        <f>$AD$29*G86+$AD$30</f>
        <v>0.67826225089378767</v>
      </c>
      <c r="R86" s="25">
        <f t="shared" si="15"/>
        <v>1.3404415772878764E-2</v>
      </c>
      <c r="S86" s="26">
        <v>0.60842787024316358</v>
      </c>
      <c r="T86" s="26">
        <f t="shared" si="16"/>
        <v>8.3238796423502848E-2</v>
      </c>
      <c r="U86" s="27">
        <f t="shared" si="17"/>
        <v>0.12034524784120898</v>
      </c>
      <c r="V86" s="28">
        <f t="shared" si="18"/>
        <v>27.301134442917963</v>
      </c>
      <c r="W86" s="27">
        <f t="shared" si="19"/>
        <v>3.5295602723746912E-2</v>
      </c>
      <c r="X86" s="21">
        <v>0.61563754819347627</v>
      </c>
      <c r="Y86" s="21">
        <f t="shared" si="20"/>
        <v>27.387650578321715</v>
      </c>
      <c r="Z86" s="2">
        <f t="shared" si="21"/>
        <v>3.2238495465663812E-2</v>
      </c>
    </row>
    <row r="87" spans="1:26">
      <c r="A87" s="1">
        <v>28.4</v>
      </c>
      <c r="B87" s="1">
        <f t="shared" si="11"/>
        <v>301.54999999999995</v>
      </c>
      <c r="C87" s="4">
        <f>ROUND(10000*EXP(($AB$4)+($AC$4/B87)+($AD$4/(B87^2))+($AE$4/(B87^3))),6)</f>
        <v>8629.5531460000002</v>
      </c>
      <c r="D87" s="4">
        <f>((C87+2*$AC$5)*$AC$6)/((C87+2*$AC$5)+$AC$6)</f>
        <v>2057.6839628642765</v>
      </c>
      <c r="E87" s="4">
        <f t="shared" si="12"/>
        <v>2.0576839628642767</v>
      </c>
      <c r="F87" s="24">
        <v>9.9990399102947171E-4</v>
      </c>
      <c r="G87" s="6">
        <v>2.0562689196066097</v>
      </c>
      <c r="H87" s="2">
        <f t="shared" si="13"/>
        <v>6.876873626877187E-4</v>
      </c>
      <c r="I87" s="5">
        <f>G87/F87</f>
        <v>2056.4663588246467</v>
      </c>
      <c r="J87" s="2">
        <f>ABS(D87-I87)/I87</f>
        <v>5.9208556191783009E-4</v>
      </c>
      <c r="K87" s="1">
        <f>$AD$10*B87+$AD$11</f>
        <v>2052.4928010860922</v>
      </c>
      <c r="L87" s="2">
        <f>ABS(K87-D87)/D87</f>
        <v>2.5228178242485185E-3</v>
      </c>
      <c r="M87" s="21">
        <f>K87*F87</f>
        <v>2.0522957433652431</v>
      </c>
      <c r="N87" s="2">
        <f>ABS(M87-G87)/M87</f>
        <v>1.9359667115284357E-3</v>
      </c>
      <c r="O87" s="21">
        <f t="shared" si="14"/>
        <v>3.9731762413666161E-3</v>
      </c>
      <c r="P87" s="25">
        <f>$AD$18*B87+$AD$19</f>
        <v>0.69999999999999929</v>
      </c>
      <c r="Q87" s="25">
        <f>$AD$29*G87+$AD$30</f>
        <v>0.68590404276246719</v>
      </c>
      <c r="R87" s="25">
        <f t="shared" si="15"/>
        <v>1.4095957237532097E-2</v>
      </c>
      <c r="S87" s="26">
        <v>0.61637171429428517</v>
      </c>
      <c r="T87" s="26">
        <f t="shared" si="16"/>
        <v>8.3628285705714123E-2</v>
      </c>
      <c r="U87" s="27">
        <f t="shared" si="17"/>
        <v>0.11946897957959172</v>
      </c>
      <c r="V87" s="28">
        <f t="shared" si="18"/>
        <v>27.396460571531421</v>
      </c>
      <c r="W87" s="27">
        <f t="shared" si="19"/>
        <v>3.5335895368611897E-2</v>
      </c>
      <c r="X87" s="21">
        <v>0.6235646214388979</v>
      </c>
      <c r="Y87" s="21">
        <f t="shared" si="20"/>
        <v>27.482775457266776</v>
      </c>
      <c r="Z87" s="2">
        <f t="shared" si="21"/>
        <v>3.2296638828634608E-2</v>
      </c>
    </row>
    <row r="88" spans="1:26">
      <c r="A88" s="1">
        <v>28.5</v>
      </c>
      <c r="B88" s="1">
        <f t="shared" si="11"/>
        <v>301.64999999999998</v>
      </c>
      <c r="C88" s="4">
        <f>ROUND(10000*EXP(($AB$4)+($AC$4/B88)+($AD$4/(B88^2))+($AE$4/(B88^3))),6)</f>
        <v>8592.5956129999995</v>
      </c>
      <c r="D88" s="4">
        <f>((C88+2*$AC$5)*$AC$6)/((C88+2*$AC$5)+$AC$6)</f>
        <v>2055.5855570738681</v>
      </c>
      <c r="E88" s="4">
        <f t="shared" si="12"/>
        <v>2.0555855570738681</v>
      </c>
      <c r="F88" s="24">
        <v>9.9990399102947171E-4</v>
      </c>
      <c r="G88" s="6">
        <v>2.0541072269471066</v>
      </c>
      <c r="H88" s="2">
        <f t="shared" si="13"/>
        <v>7.1917713260545601E-4</v>
      </c>
      <c r="I88" s="5">
        <f>G88/F88</f>
        <v>2054.3044586033288</v>
      </c>
      <c r="J88" s="2">
        <f>ABS(D88-I88)/I88</f>
        <v>6.2361665291340435E-4</v>
      </c>
      <c r="K88" s="1">
        <f>$AD$10*B88+$AD$11</f>
        <v>2050.1436891672183</v>
      </c>
      <c r="L88" s="2">
        <f>ABS(K88-D88)/D88</f>
        <v>2.6473565587784723E-3</v>
      </c>
      <c r="M88" s="21">
        <f>K88*F88</f>
        <v>2.0499468569821864</v>
      </c>
      <c r="N88" s="2">
        <f>ABS(M88-G88)/M88</f>
        <v>2.0295013749989858E-3</v>
      </c>
      <c r="O88" s="21">
        <f t="shared" si="14"/>
        <v>4.1603699649201964E-3</v>
      </c>
      <c r="P88" s="25">
        <f>$AD$18*B88+$AD$19</f>
        <v>0.70833333333333215</v>
      </c>
      <c r="Q88" s="25">
        <f>$AD$29*G88+$AD$30</f>
        <v>0.69357325385151736</v>
      </c>
      <c r="R88" s="25">
        <f t="shared" si="15"/>
        <v>1.4760079481814792E-2</v>
      </c>
      <c r="S88" s="26">
        <v>0.6243426925486828</v>
      </c>
      <c r="T88" s="26">
        <f t="shared" si="16"/>
        <v>8.3990640784649351E-2</v>
      </c>
      <c r="U88" s="27">
        <f t="shared" si="17"/>
        <v>0.11857502228421105</v>
      </c>
      <c r="V88" s="28">
        <f t="shared" si="18"/>
        <v>27.492112310584194</v>
      </c>
      <c r="W88" s="27">
        <f t="shared" si="19"/>
        <v>3.5364480330379172E-2</v>
      </c>
      <c r="X88" s="21">
        <v>0.63151819261410402</v>
      </c>
      <c r="Y88" s="21">
        <f t="shared" si="20"/>
        <v>27.578218311369252</v>
      </c>
      <c r="Z88" s="2">
        <f t="shared" si="21"/>
        <v>3.2343217144938534E-2</v>
      </c>
    </row>
    <row r="89" spans="1:26">
      <c r="A89" s="1">
        <v>28.6</v>
      </c>
      <c r="B89" s="1">
        <f t="shared" si="11"/>
        <v>301.75</v>
      </c>
      <c r="C89" s="4">
        <f>ROUND(10000*EXP(($AB$4)+($AC$4/B89)+($AD$4/(B89^2))+($AE$4/(B89^3))),6)</f>
        <v>8555.8175460000002</v>
      </c>
      <c r="D89" s="4">
        <f>((C89+2*$AC$5)*$AC$6)/((C89+2*$AC$5)+$AC$6)</f>
        <v>2053.483685749592</v>
      </c>
      <c r="E89" s="4">
        <f t="shared" si="12"/>
        <v>2.0534836857495922</v>
      </c>
      <c r="F89" s="24">
        <v>9.9990399102947171E-4</v>
      </c>
      <c r="G89" s="6">
        <v>2.0519388584585005</v>
      </c>
      <c r="H89" s="2">
        <f t="shared" si="13"/>
        <v>7.5229586765755414E-4</v>
      </c>
      <c r="I89" s="5">
        <f>G89/F89</f>
        <v>2052.1358819119073</v>
      </c>
      <c r="J89" s="2">
        <f>ABS(D89-I89)/I89</f>
        <v>6.5678099075439707E-4</v>
      </c>
      <c r="K89" s="1">
        <f>$AD$10*B89+$AD$11</f>
        <v>2047.7945772483436</v>
      </c>
      <c r="L89" s="2">
        <f>ABS(K89-D89)/D89</f>
        <v>2.770466861133968E-3</v>
      </c>
      <c r="M89" s="21">
        <f>K89*F89</f>
        <v>2.0475979705991287</v>
      </c>
      <c r="N89" s="2">
        <f>ABS(M89-G89)/M89</f>
        <v>2.1199903114289885E-3</v>
      </c>
      <c r="O89" s="21">
        <f t="shared" si="14"/>
        <v>4.3408878593718114E-3</v>
      </c>
      <c r="P89" s="25">
        <f>$AD$18*B89+$AD$19</f>
        <v>0.71666666666666856</v>
      </c>
      <c r="Q89" s="25">
        <f>$AD$29*G89+$AD$30</f>
        <v>0.70126614931695652</v>
      </c>
      <c r="R89" s="25">
        <f t="shared" si="15"/>
        <v>1.540051734971204E-2</v>
      </c>
      <c r="S89" s="26">
        <v>0.63233962282632894</v>
      </c>
      <c r="T89" s="26">
        <f t="shared" si="16"/>
        <v>8.4327043840339622E-2</v>
      </c>
      <c r="U89" s="27">
        <f t="shared" si="17"/>
        <v>0.11766564256791544</v>
      </c>
      <c r="V89" s="28">
        <f t="shared" si="18"/>
        <v>27.588075473915943</v>
      </c>
      <c r="W89" s="27">
        <f t="shared" si="19"/>
        <v>3.5381976436505543E-2</v>
      </c>
      <c r="X89" s="21">
        <v>0.63949821909021987</v>
      </c>
      <c r="Y89" s="21">
        <f t="shared" si="20"/>
        <v>27.673978629082637</v>
      </c>
      <c r="Z89" s="2">
        <f t="shared" si="21"/>
        <v>3.2378369612495274E-2</v>
      </c>
    </row>
    <row r="90" spans="1:26">
      <c r="A90" s="1">
        <v>28.7</v>
      </c>
      <c r="B90" s="1">
        <f t="shared" si="11"/>
        <v>301.84999999999997</v>
      </c>
      <c r="C90" s="4">
        <f>ROUND(10000*EXP(($AB$4)+($AC$4/B90)+($AD$4/(B90^2))+($AE$4/(B90^3))),6)</f>
        <v>8519.2179780000006</v>
      </c>
      <c r="D90" s="4">
        <f>((C90+2*$AC$5)*$AC$6)/((C90+2*$AC$5)+$AC$6)</f>
        <v>2051.3783597515703</v>
      </c>
      <c r="E90" s="4">
        <f t="shared" si="12"/>
        <v>2.0513783597515705</v>
      </c>
      <c r="F90" s="24">
        <v>9.9990399102947171E-4</v>
      </c>
      <c r="G90" s="6">
        <v>2.0500076115575649</v>
      </c>
      <c r="H90" s="2">
        <f t="shared" si="13"/>
        <v>6.6820837194144617E-4</v>
      </c>
      <c r="I90" s="5">
        <f>G90/F90</f>
        <v>2050.2044495761411</v>
      </c>
      <c r="J90" s="2">
        <f>ABS(D90-I90)/I90</f>
        <v>5.7258200550287645E-4</v>
      </c>
      <c r="K90" s="1">
        <f>$AD$10*B90+$AD$11</f>
        <v>2045.4454653294706</v>
      </c>
      <c r="L90" s="2">
        <f>ABS(K90-D90)/D90</f>
        <v>2.8921502432238794E-3</v>
      </c>
      <c r="M90" s="21">
        <f>K90*F90</f>
        <v>2.0452490842160724</v>
      </c>
      <c r="N90" s="2">
        <f>ABS(M90-G90)/M90</f>
        <v>2.3266248488830977E-3</v>
      </c>
      <c r="O90" s="21">
        <f t="shared" si="14"/>
        <v>4.7585273414925133E-3</v>
      </c>
      <c r="P90" s="25">
        <f>$AD$18*B90+$AD$19</f>
        <v>0.72499999999999787</v>
      </c>
      <c r="Q90" s="25">
        <f>$AD$29*G90+$AD$30</f>
        <v>0.70811778943482295</v>
      </c>
      <c r="R90" s="25">
        <f t="shared" si="15"/>
        <v>1.6882210565174915E-2</v>
      </c>
      <c r="S90" s="26">
        <v>0.63946348933917063</v>
      </c>
      <c r="T90" s="26">
        <f t="shared" si="16"/>
        <v>8.5536510660827236E-2</v>
      </c>
      <c r="U90" s="27">
        <f t="shared" si="17"/>
        <v>0.11798139401493446</v>
      </c>
      <c r="V90" s="28">
        <f t="shared" si="18"/>
        <v>27.673561872070046</v>
      </c>
      <c r="W90" s="27">
        <f t="shared" si="19"/>
        <v>3.5764394701392109E-2</v>
      </c>
      <c r="X90" s="21">
        <v>0.64660654482607927</v>
      </c>
      <c r="Y90" s="21">
        <f t="shared" si="20"/>
        <v>27.759278537912955</v>
      </c>
      <c r="Z90" s="2">
        <f t="shared" si="21"/>
        <v>3.2777751292231504E-2</v>
      </c>
    </row>
    <row r="91" spans="1:26">
      <c r="A91" s="1">
        <v>28.8</v>
      </c>
      <c r="B91" s="1">
        <f t="shared" si="11"/>
        <v>301.95</v>
      </c>
      <c r="C91" s="4">
        <f>ROUND(10000*EXP(($AB$4)+($AC$4/B91)+($AD$4/(B91^2))+($AE$4/(B91^3))),6)</f>
        <v>8482.7959460000002</v>
      </c>
      <c r="D91" s="4">
        <f>((C91+2*$AC$5)*$AC$6)/((C91+2*$AC$5)+$AC$6)</f>
        <v>2049.2695899184951</v>
      </c>
      <c r="E91" s="4">
        <f t="shared" si="12"/>
        <v>2.0492695899184952</v>
      </c>
      <c r="F91" s="24">
        <v>9.9990399102947171E-4</v>
      </c>
      <c r="G91" s="6">
        <v>2.0478246347907354</v>
      </c>
      <c r="H91" s="2">
        <f t="shared" si="13"/>
        <v>7.0510738795340362E-4</v>
      </c>
      <c r="I91" s="5">
        <f>G91/F91</f>
        <v>2048.0212632038356</v>
      </c>
      <c r="J91" s="2">
        <f>ABS(D91-I91)/I91</f>
        <v>6.0952820026225786E-4</v>
      </c>
      <c r="K91" s="1">
        <f>$AD$10*B91+$AD$11</f>
        <v>2043.0963534105958</v>
      </c>
      <c r="L91" s="2">
        <f>ABS(K91-D91)/D91</f>
        <v>3.0124081957146227E-3</v>
      </c>
      <c r="M91" s="21">
        <f>K91*F91</f>
        <v>2.0429001978330148</v>
      </c>
      <c r="N91" s="2">
        <f>ABS(M91-G91)/M91</f>
        <v>2.4105127421026966E-3</v>
      </c>
      <c r="O91" s="21">
        <f t="shared" si="14"/>
        <v>4.9244369577206015E-3</v>
      </c>
      <c r="P91" s="25">
        <f>$AD$18*B91+$AD$19</f>
        <v>0.73333333333333428</v>
      </c>
      <c r="Q91" s="25">
        <f>$AD$29*G91+$AD$30</f>
        <v>0.71586251186504857</v>
      </c>
      <c r="R91" s="25">
        <f t="shared" si="15"/>
        <v>1.7470821468285713E-2</v>
      </c>
      <c r="S91" s="26">
        <v>0.64751433205192366</v>
      </c>
      <c r="T91" s="26">
        <f t="shared" si="16"/>
        <v>8.5819001281410623E-2</v>
      </c>
      <c r="U91" s="27">
        <f t="shared" si="17"/>
        <v>0.11702591083828706</v>
      </c>
      <c r="V91" s="28">
        <f t="shared" si="18"/>
        <v>27.770171984623079</v>
      </c>
      <c r="W91" s="27">
        <f t="shared" si="19"/>
        <v>3.575791720058754E-2</v>
      </c>
      <c r="X91" s="21">
        <v>0.65464029341775665</v>
      </c>
      <c r="Y91" s="21">
        <f t="shared" si="20"/>
        <v>27.855683521013081</v>
      </c>
      <c r="Z91" s="2">
        <f t="shared" si="21"/>
        <v>3.2788766631490281E-2</v>
      </c>
    </row>
    <row r="92" spans="1:26">
      <c r="A92" s="1">
        <v>28.9</v>
      </c>
      <c r="B92" s="1">
        <f t="shared" si="11"/>
        <v>302.04999999999995</v>
      </c>
      <c r="C92" s="4">
        <f>ROUND(10000*EXP(($AB$4)+($AC$4/B92)+($AD$4/(B92^2))+($AE$4/(B92^3))),6)</f>
        <v>8446.5504939999992</v>
      </c>
      <c r="D92" s="4">
        <f>((C92+2*$AC$5)*$AC$6)/((C92+2*$AC$5)+$AC$6)</f>
        <v>2047.15738724174</v>
      </c>
      <c r="E92" s="4">
        <f t="shared" si="12"/>
        <v>2.0471573872417399</v>
      </c>
      <c r="F92" s="24">
        <v>9.9990399102947171E-4</v>
      </c>
      <c r="G92" s="6">
        <v>2.0456344977098952</v>
      </c>
      <c r="H92" s="2">
        <f t="shared" si="13"/>
        <v>7.4390447033314481E-4</v>
      </c>
      <c r="I92" s="5">
        <f>G92/F92</f>
        <v>2045.830915829999</v>
      </c>
      <c r="J92" s="2">
        <f>ABS(D92-I92)/I92</f>
        <v>6.4837783097187909E-4</v>
      </c>
      <c r="K92" s="1">
        <f>$AD$10*B92+$AD$11</f>
        <v>2040.7472414917229</v>
      </c>
      <c r="L92" s="2">
        <f>ABS(K92-D92)/D92</f>
        <v>3.1312422728053736E-3</v>
      </c>
      <c r="M92" s="21">
        <f>K92*F92</f>
        <v>2.0405513114499589</v>
      </c>
      <c r="N92" s="2">
        <f>ABS(M92-G92)/M92</f>
        <v>2.4910847531319081E-3</v>
      </c>
      <c r="O92" s="21">
        <f t="shared" si="14"/>
        <v>5.083186259936312E-3</v>
      </c>
      <c r="P92" s="25">
        <f>$AD$18*B92+$AD$19</f>
        <v>0.74166666666666359</v>
      </c>
      <c r="Q92" s="25">
        <f>$AD$29*G92+$AD$30</f>
        <v>0.72363263751777662</v>
      </c>
      <c r="R92" s="25">
        <f t="shared" si="15"/>
        <v>1.8034029148886965E-2</v>
      </c>
      <c r="S92" s="26">
        <v>0.65559158277673601</v>
      </c>
      <c r="T92" s="26">
        <f t="shared" si="16"/>
        <v>8.6075083889927573E-2</v>
      </c>
      <c r="U92" s="27">
        <f t="shared" si="17"/>
        <v>0.11605629288529609</v>
      </c>
      <c r="V92" s="28">
        <f t="shared" si="18"/>
        <v>27.86709899332083</v>
      </c>
      <c r="W92" s="27">
        <f t="shared" si="19"/>
        <v>3.5740519262254959E-2</v>
      </c>
      <c r="X92" s="21">
        <v>0.66270036817616973</v>
      </c>
      <c r="Y92" s="21">
        <f t="shared" si="20"/>
        <v>27.952404418114039</v>
      </c>
      <c r="Z92" s="2">
        <f t="shared" si="21"/>
        <v>3.2788774459721788E-2</v>
      </c>
    </row>
    <row r="93" spans="1:26">
      <c r="A93" s="1">
        <v>29</v>
      </c>
      <c r="B93" s="1">
        <f t="shared" si="11"/>
        <v>302.14999999999998</v>
      </c>
      <c r="C93" s="4">
        <f>ROUND(10000*EXP(($AB$4)+($AC$4/B93)+($AD$4/(B93^2))+($AE$4/(B93^3))),6)</f>
        <v>8410.4806719999997</v>
      </c>
      <c r="D93" s="4">
        <f>((C93+2*$AC$5)*$AC$6)/((C93+2*$AC$5)+$AC$6)</f>
        <v>2045.0417628109421</v>
      </c>
      <c r="E93" s="4">
        <f t="shared" si="12"/>
        <v>2.0450417628109423</v>
      </c>
      <c r="F93" s="24">
        <v>9.9990399102947171E-4</v>
      </c>
      <c r="G93" s="6">
        <v>2.0434366775284203</v>
      </c>
      <c r="H93" s="2">
        <f t="shared" si="13"/>
        <v>7.8486675025931827E-4</v>
      </c>
      <c r="I93" s="5">
        <f>G93/F93</f>
        <v>2043.6328846178103</v>
      </c>
      <c r="J93" s="2">
        <f>ABS(D93-I93)/I93</f>
        <v>6.8939886597847635E-4</v>
      </c>
      <c r="K93" s="1">
        <f>$AD$10*B93+$AD$11</f>
        <v>2038.3981295728481</v>
      </c>
      <c r="L93" s="2">
        <f>ABS(K93-D93)/D93</f>
        <v>3.2486540660970399E-3</v>
      </c>
      <c r="M93" s="21">
        <f>K93*F93</f>
        <v>2.0382024250669009</v>
      </c>
      <c r="N93" s="2">
        <f>ABS(M93-G93)/M93</f>
        <v>2.5680729240362974E-3</v>
      </c>
      <c r="O93" s="21">
        <f t="shared" si="14"/>
        <v>5.2342524615194286E-3</v>
      </c>
      <c r="P93" s="25">
        <f>$AD$18*B93+$AD$19</f>
        <v>0.75</v>
      </c>
      <c r="Q93" s="25">
        <f>$AD$29*G93+$AD$30</f>
        <v>0.73143002112520428</v>
      </c>
      <c r="R93" s="25">
        <f t="shared" si="15"/>
        <v>1.8569978874795723E-2</v>
      </c>
      <c r="S93" s="26">
        <v>0.66369560781661319</v>
      </c>
      <c r="T93" s="26">
        <f t="shared" si="16"/>
        <v>8.6304392183386813E-2</v>
      </c>
      <c r="U93" s="27">
        <f t="shared" si="17"/>
        <v>0.11507252291118242</v>
      </c>
      <c r="V93" s="28">
        <f t="shared" si="18"/>
        <v>27.964347293799356</v>
      </c>
      <c r="W93" s="27">
        <f t="shared" si="19"/>
        <v>3.5712162282780811E-2</v>
      </c>
      <c r="X93" s="21">
        <v>0.67078672469857203</v>
      </c>
      <c r="Y93" s="21">
        <f t="shared" si="20"/>
        <v>28.049440696382867</v>
      </c>
      <c r="Z93" s="2">
        <f t="shared" si="21"/>
        <v>3.2777907021280459E-2</v>
      </c>
    </row>
    <row r="94" spans="1:26">
      <c r="A94" s="1">
        <v>29.1</v>
      </c>
      <c r="B94" s="1">
        <f t="shared" si="11"/>
        <v>302.25</v>
      </c>
      <c r="C94" s="4">
        <f>ROUND(10000*EXP(($AB$4)+($AC$4/B94)+($AD$4/(B94^2))+($AE$4/(B94^3))),6)</f>
        <v>8374.5855360000005</v>
      </c>
      <c r="D94" s="4">
        <f>((C94+2*$AC$5)*$AC$6)/((C94+2*$AC$5)+$AC$6)</f>
        <v>2042.9227278166256</v>
      </c>
      <c r="E94" s="4">
        <f t="shared" si="12"/>
        <v>2.0429227278166255</v>
      </c>
      <c r="F94" s="24">
        <v>9.9990399102947171E-4</v>
      </c>
      <c r="G94" s="6">
        <v>2.0414755440845189</v>
      </c>
      <c r="H94" s="2">
        <f t="shared" si="13"/>
        <v>7.0838887462635182E-4</v>
      </c>
      <c r="I94" s="5">
        <f>G94/F94</f>
        <v>2041.6715628694269</v>
      </c>
      <c r="J94" s="2">
        <f>ABS(D94-I94)/I94</f>
        <v>6.1281401472835628E-4</v>
      </c>
      <c r="K94" s="1">
        <f>$AD$10*B94+$AD$11</f>
        <v>2036.0490176539743</v>
      </c>
      <c r="L94" s="2">
        <f>ABS(K94-D94)/D94</f>
        <v>3.3646452061344766E-3</v>
      </c>
      <c r="M94" s="21">
        <f>K94*F94</f>
        <v>2.0358535386838441</v>
      </c>
      <c r="N94" s="2">
        <f>ABS(M94-G94)/M94</f>
        <v>2.7614979633109431E-3</v>
      </c>
      <c r="O94" s="21">
        <f t="shared" si="14"/>
        <v>5.6220054006748121E-3</v>
      </c>
      <c r="P94" s="25">
        <f>$AD$18*B94+$AD$19</f>
        <v>0.75833333333333641</v>
      </c>
      <c r="Q94" s="25">
        <f>$AD$29*G94+$AD$30</f>
        <v>0.73838769213775812</v>
      </c>
      <c r="R94" s="25">
        <f t="shared" si="15"/>
        <v>1.994564119557829E-2</v>
      </c>
      <c r="S94" s="26">
        <v>0.67092985053405363</v>
      </c>
      <c r="T94" s="26">
        <f t="shared" si="16"/>
        <v>8.7403482799282783E-2</v>
      </c>
      <c r="U94" s="27">
        <f t="shared" si="17"/>
        <v>0.11525733995509771</v>
      </c>
      <c r="V94" s="28">
        <f t="shared" si="18"/>
        <v>28.05115820640864</v>
      </c>
      <c r="W94" s="27">
        <f t="shared" si="19"/>
        <v>3.6042673319290751E-2</v>
      </c>
      <c r="X94" s="21">
        <v>0.67800497983937191</v>
      </c>
      <c r="Y94" s="21">
        <f t="shared" si="20"/>
        <v>28.136059758072467</v>
      </c>
      <c r="Z94" s="2">
        <f t="shared" si="21"/>
        <v>3.3125094224313915E-2</v>
      </c>
    </row>
    <row r="95" spans="1:26">
      <c r="A95" s="1">
        <v>29.2</v>
      </c>
      <c r="B95" s="1">
        <f t="shared" si="11"/>
        <v>302.34999999999997</v>
      </c>
      <c r="C95" s="4">
        <f>ROUND(10000*EXP(($AB$4)+($AC$4/B95)+($AD$4/(B95^2))+($AE$4/(B95^3))),6)</f>
        <v>8338.8641449999996</v>
      </c>
      <c r="D95" s="4">
        <f>((C95+2*$AC$5)*$AC$6)/((C95+2*$AC$5)+$AC$6)</f>
        <v>2040.8002933740715</v>
      </c>
      <c r="E95" s="4">
        <f t="shared" si="12"/>
        <v>2.0408002933740717</v>
      </c>
      <c r="F95" s="24">
        <v>9.9990399102947171E-4</v>
      </c>
      <c r="G95" s="6">
        <v>2.0392637417173476</v>
      </c>
      <c r="H95" s="2">
        <f t="shared" si="13"/>
        <v>7.5291622689041657E-4</v>
      </c>
      <c r="I95" s="5">
        <f>G95/F95</f>
        <v>2039.4595481289975</v>
      </c>
      <c r="J95" s="2">
        <f>ABS(D95-I95)/I95</f>
        <v>6.5740222516499772E-4</v>
      </c>
      <c r="K95" s="1">
        <f>$AD$10*B95+$AD$11</f>
        <v>2033.6999057351004</v>
      </c>
      <c r="L95" s="2">
        <f>ABS(K95-D95)/D95</f>
        <v>3.4792172766851255E-3</v>
      </c>
      <c r="M95" s="21">
        <f>K95*F95</f>
        <v>2.0335046523007874</v>
      </c>
      <c r="N95" s="2">
        <f>ABS(M95-G95)/M95</f>
        <v>2.8321004380512061E-3</v>
      </c>
      <c r="O95" s="21">
        <f t="shared" si="14"/>
        <v>5.7590894165602258E-3</v>
      </c>
      <c r="P95" s="25">
        <f>$AD$18*B95+$AD$19</f>
        <v>0.76666666666666572</v>
      </c>
      <c r="Q95" s="25">
        <f>$AD$29*G95+$AD$30</f>
        <v>0.7462346814711065</v>
      </c>
      <c r="R95" s="25">
        <f t="shared" si="15"/>
        <v>2.0431985195559221E-2</v>
      </c>
      <c r="S95" s="26">
        <v>0.67908700263265287</v>
      </c>
      <c r="T95" s="26">
        <f t="shared" si="16"/>
        <v>8.757966403401285E-2</v>
      </c>
      <c r="U95" s="27">
        <f t="shared" si="17"/>
        <v>0.11423434439219081</v>
      </c>
      <c r="V95" s="28">
        <f t="shared" si="18"/>
        <v>28.149044031591831</v>
      </c>
      <c r="W95" s="27">
        <f t="shared" si="19"/>
        <v>3.5991642753704381E-2</v>
      </c>
      <c r="X95" s="21">
        <v>0.68614471054013026</v>
      </c>
      <c r="Y95" s="21">
        <f t="shared" si="20"/>
        <v>28.233736526481565</v>
      </c>
      <c r="Z95" s="2">
        <f t="shared" si="21"/>
        <v>3.3091214846521742E-2</v>
      </c>
    </row>
    <row r="96" spans="1:26">
      <c r="A96" s="1">
        <v>29.3</v>
      </c>
      <c r="B96" s="1">
        <f t="shared" si="11"/>
        <v>302.45</v>
      </c>
      <c r="C96" s="4">
        <f>ROUND(10000*EXP(($AB$4)+($AC$4/B96)+($AD$4/(B96^2))+($AE$4/(B96^3))),6)</f>
        <v>8303.3155650000008</v>
      </c>
      <c r="D96" s="4">
        <f>((C96+2*$AC$5)*$AC$6)/((C96+2*$AC$5)+$AC$6)</f>
        <v>2038.6744707602863</v>
      </c>
      <c r="E96" s="4">
        <f t="shared" si="12"/>
        <v>2.0386744707602862</v>
      </c>
      <c r="F96" s="24">
        <v>9.9990399102947171E-4</v>
      </c>
      <c r="G96" s="6">
        <v>2.0370442849528154</v>
      </c>
      <c r="H96" s="2">
        <f t="shared" si="13"/>
        <v>7.9963026508239707E-4</v>
      </c>
      <c r="I96" s="5">
        <f>G96/F96</f>
        <v>2037.2398782562459</v>
      </c>
      <c r="J96" s="2">
        <f>ABS(D96-I96)/I96</f>
        <v>7.0418438169802687E-4</v>
      </c>
      <c r="K96" s="1">
        <f>$AD$10*B96+$AD$11</f>
        <v>2031.3507938162265</v>
      </c>
      <c r="L96" s="2">
        <f>ABS(K96-D96)/D96</f>
        <v>3.5923719304380001E-3</v>
      </c>
      <c r="M96" s="21">
        <f>K96*F96</f>
        <v>2.0311557659177306</v>
      </c>
      <c r="N96" s="2">
        <f>ABS(M96-G96)/M96</f>
        <v>2.8990977126878373E-3</v>
      </c>
      <c r="O96" s="21">
        <f t="shared" si="14"/>
        <v>5.8885190350848049E-3</v>
      </c>
      <c r="P96" s="25">
        <f>$AD$18*B96+$AD$19</f>
        <v>0.77500000000000213</v>
      </c>
      <c r="Q96" s="25">
        <f>$AD$29*G96+$AD$30</f>
        <v>0.75410882692623815</v>
      </c>
      <c r="R96" s="25">
        <f t="shared" si="15"/>
        <v>2.089117307376398E-2</v>
      </c>
      <c r="S96" s="26">
        <v>0.68727070304278393</v>
      </c>
      <c r="T96" s="26">
        <f t="shared" si="16"/>
        <v>8.7729296957218206E-2</v>
      </c>
      <c r="U96" s="27">
        <f t="shared" si="17"/>
        <v>0.11319909284802318</v>
      </c>
      <c r="V96" s="28">
        <f t="shared" si="18"/>
        <v>28.247248436513406</v>
      </c>
      <c r="W96" s="27">
        <f t="shared" si="19"/>
        <v>3.5930087491010065E-2</v>
      </c>
      <c r="X96" s="21">
        <v>0.69431058732151274</v>
      </c>
      <c r="Y96" s="21">
        <f t="shared" si="20"/>
        <v>28.331727047858156</v>
      </c>
      <c r="Z96" s="2">
        <f t="shared" si="21"/>
        <v>3.3046858434875259E-2</v>
      </c>
    </row>
    <row r="97" spans="1:26">
      <c r="A97" s="1">
        <v>29.4</v>
      </c>
      <c r="B97" s="1">
        <f t="shared" si="11"/>
        <v>302.54999999999995</v>
      </c>
      <c r="C97" s="4">
        <f>ROUND(10000*EXP(($AB$4)+($AC$4/B97)+($AD$4/(B97^2))+($AE$4/(B97^3))),6)</f>
        <v>8267.9388689999996</v>
      </c>
      <c r="D97" s="4">
        <f>((C97+2*$AC$5)*$AC$6)/((C97+2*$AC$5)+$AC$6)</f>
        <v>2036.5452714187284</v>
      </c>
      <c r="E97" s="4">
        <f t="shared" si="12"/>
        <v>2.0365452714187282</v>
      </c>
      <c r="F97" s="24">
        <v>9.9990399102947171E-4</v>
      </c>
      <c r="G97" s="6">
        <v>2.0350607944482531</v>
      </c>
      <c r="H97" s="2">
        <f t="shared" si="13"/>
        <v>7.2891921005076342E-4</v>
      </c>
      <c r="I97" s="5">
        <f>G97/F97</f>
        <v>2035.2561973005172</v>
      </c>
      <c r="J97" s="2">
        <f>ABS(D97-I97)/I97</f>
        <v>6.3337191647956832E-4</v>
      </c>
      <c r="K97" s="1">
        <f>$AD$10*B97+$AD$11</f>
        <v>2029.0016818973527</v>
      </c>
      <c r="L97" s="2">
        <f>ABS(K97-D97)/D97</f>
        <v>3.7041108917360587E-3</v>
      </c>
      <c r="M97" s="21">
        <f>K97*F97</f>
        <v>2.0288068795346734</v>
      </c>
      <c r="N97" s="2">
        <f>ABS(M97-G97)/M97</f>
        <v>3.0825580180475452E-3</v>
      </c>
      <c r="O97" s="21">
        <f t="shared" si="14"/>
        <v>6.2539149135796279E-3</v>
      </c>
      <c r="P97" s="25">
        <f>$AD$18*B97+$AD$19</f>
        <v>0.78333333333333144</v>
      </c>
      <c r="Q97" s="25">
        <f>$AD$29*G97+$AD$30</f>
        <v>0.7611458158828972</v>
      </c>
      <c r="R97" s="25">
        <f t="shared" si="15"/>
        <v>2.2187517450434235E-2</v>
      </c>
      <c r="S97" s="26">
        <v>0.6945875194955351</v>
      </c>
      <c r="T97" s="26">
        <f t="shared" si="16"/>
        <v>8.8745813837796339E-2</v>
      </c>
      <c r="U97" s="27">
        <f t="shared" si="17"/>
        <v>0.11329252830357008</v>
      </c>
      <c r="V97" s="28">
        <f t="shared" si="18"/>
        <v>28.335050233946422</v>
      </c>
      <c r="W97" s="27">
        <f t="shared" si="19"/>
        <v>3.6222781158284915E-2</v>
      </c>
      <c r="X97" s="21">
        <v>0.70161107412611967</v>
      </c>
      <c r="Y97" s="21">
        <f t="shared" si="20"/>
        <v>28.419332889513434</v>
      </c>
      <c r="Z97" s="2">
        <f t="shared" si="21"/>
        <v>3.3356024166209669E-2</v>
      </c>
    </row>
    <row r="98" spans="1:26">
      <c r="A98" s="1">
        <v>29.5</v>
      </c>
      <c r="B98" s="1">
        <f t="shared" si="11"/>
        <v>302.64999999999998</v>
      </c>
      <c r="C98" s="4">
        <f>ROUND(10000*EXP(($AB$4)+($AC$4/B98)+($AD$4/(B98^2))+($AE$4/(B98^3))),6)</f>
        <v>8232.7331340000001</v>
      </c>
      <c r="D98" s="4">
        <f>((C98+2*$AC$5)*$AC$6)/((C98+2*$AC$5)+$AC$6)</f>
        <v>2034.4127067818324</v>
      </c>
      <c r="E98" s="4">
        <f t="shared" si="12"/>
        <v>2.0344127067818323</v>
      </c>
      <c r="F98" s="24">
        <v>9.9990399102947171E-4</v>
      </c>
      <c r="G98" s="6">
        <v>2.0328274364114582</v>
      </c>
      <c r="H98" s="2">
        <f t="shared" si="13"/>
        <v>7.7922752108726336E-4</v>
      </c>
      <c r="I98" s="5">
        <f>G98/F98</f>
        <v>2033.022624820728</v>
      </c>
      <c r="J98" s="2">
        <f>ABS(D98-I98)/I98</f>
        <v>6.8375134842732998E-4</v>
      </c>
      <c r="K98" s="1">
        <f>$AD$10*B98+$AD$11</f>
        <v>2026.6525699784788</v>
      </c>
      <c r="L98" s="2">
        <f>ABS(K98-D98)/D98</f>
        <v>3.814435870108717E-3</v>
      </c>
      <c r="M98" s="21">
        <f>K98*F98</f>
        <v>2.0264579931516167</v>
      </c>
      <c r="N98" s="2">
        <f>ABS(M98-G98)/M98</f>
        <v>3.1431410280237746E-3</v>
      </c>
      <c r="O98" s="21">
        <f t="shared" si="14"/>
        <v>6.3694432598415673E-3</v>
      </c>
      <c r="P98" s="25">
        <f>$AD$18*B98+$AD$19</f>
        <v>0.79166666666666785</v>
      </c>
      <c r="Q98" s="25">
        <f>$AD$29*G98+$AD$30</f>
        <v>0.76906928000084651</v>
      </c>
      <c r="R98" s="25">
        <f t="shared" si="15"/>
        <v>2.259738666582134E-2</v>
      </c>
      <c r="S98" s="26">
        <v>0.70282416943107129</v>
      </c>
      <c r="T98" s="26">
        <f t="shared" si="16"/>
        <v>8.8842497235596563E-2</v>
      </c>
      <c r="U98" s="27">
        <f t="shared" si="17"/>
        <v>0.1122221017712797</v>
      </c>
      <c r="V98" s="28">
        <f t="shared" si="18"/>
        <v>28.433890033172851</v>
      </c>
      <c r="W98" s="27">
        <f t="shared" si="19"/>
        <v>3.6139320909394881E-2</v>
      </c>
      <c r="X98" s="21">
        <v>0.70983005453699288</v>
      </c>
      <c r="Y98" s="21">
        <f t="shared" si="20"/>
        <v>28.517960654443918</v>
      </c>
      <c r="Z98" s="2">
        <f t="shared" si="21"/>
        <v>3.3289469340884129E-2</v>
      </c>
    </row>
    <row r="99" spans="1:26">
      <c r="A99" s="1">
        <v>29.6</v>
      </c>
      <c r="B99" s="1">
        <f t="shared" si="11"/>
        <v>302.75</v>
      </c>
      <c r="C99" s="4">
        <f>ROUND(10000*EXP(($AB$4)+($AC$4/B99)+($AD$4/(B99^2))+($AE$4/(B99^3))),6)</f>
        <v>8197.6974420000006</v>
      </c>
      <c r="D99" s="4">
        <f>((C99+2*$AC$5)*$AC$6)/((C99+2*$AC$5)+$AC$6)</f>
        <v>2032.2767883312442</v>
      </c>
      <c r="E99" s="4">
        <f t="shared" si="12"/>
        <v>2.0322767883312443</v>
      </c>
      <c r="F99" s="24">
        <v>9.9990399102947171E-4</v>
      </c>
      <c r="G99" s="6">
        <v>2.0305864538662419</v>
      </c>
      <c r="H99" s="2">
        <f t="shared" si="13"/>
        <v>8.3174421649046535E-4</v>
      </c>
      <c r="I99" s="5">
        <f>G99/F99</f>
        <v>2030.7814271004258</v>
      </c>
      <c r="J99" s="2">
        <f>ABS(D99-I99)/I99</f>
        <v>7.3634769890203492E-4</v>
      </c>
      <c r="K99" s="1">
        <f>$AD$10*B99+$AD$11</f>
        <v>2024.3034580596041</v>
      </c>
      <c r="L99" s="2">
        <f>ABS(K99-D99)/D99</f>
        <v>3.9233485898283026E-3</v>
      </c>
      <c r="M99" s="21">
        <f>K99*F99</f>
        <v>2.024109106768559</v>
      </c>
      <c r="N99" s="2">
        <f>ABS(M99-G99)/M99</f>
        <v>3.2000977990874271E-3</v>
      </c>
      <c r="O99" s="21">
        <f t="shared" si="14"/>
        <v>6.477347097682884E-3</v>
      </c>
      <c r="P99" s="25">
        <f>$AD$18*B99+$AD$19</f>
        <v>0.80000000000000071</v>
      </c>
      <c r="Q99" s="25">
        <f>$AD$29*G99+$AD$30</f>
        <v>0.77701979420118228</v>
      </c>
      <c r="R99" s="25">
        <f t="shared" si="15"/>
        <v>2.2980205798818432E-2</v>
      </c>
      <c r="S99" s="26">
        <v>0.71108713221212627</v>
      </c>
      <c r="T99" s="26">
        <f t="shared" si="16"/>
        <v>8.8912867787874439E-2</v>
      </c>
      <c r="U99" s="27">
        <f t="shared" si="17"/>
        <v>0.11114108473484295</v>
      </c>
      <c r="V99" s="28">
        <f t="shared" si="18"/>
        <v>28.533045586545512</v>
      </c>
      <c r="W99" s="27">
        <f t="shared" si="19"/>
        <v>3.6045757211300308E-2</v>
      </c>
      <c r="X99" s="21">
        <v>0.71807504119237098</v>
      </c>
      <c r="Y99" s="21">
        <f t="shared" si="20"/>
        <v>28.616900494308453</v>
      </c>
      <c r="Z99" s="2">
        <f t="shared" si="21"/>
        <v>3.3212821138227981E-2</v>
      </c>
    </row>
    <row r="100" spans="1:26">
      <c r="A100" s="1">
        <v>29.7</v>
      </c>
      <c r="B100" s="1">
        <f t="shared" si="11"/>
        <v>302.84999999999997</v>
      </c>
      <c r="C100" s="4">
        <f>ROUND(10000*EXP(($AB$4)+($AC$4/B100)+($AD$4/(B100^2))+($AE$4/(B100^3))),6)</f>
        <v>8162.8308809999999</v>
      </c>
      <c r="D100" s="4">
        <f>((C100+2*$AC$5)*$AC$6)/((C100+2*$AC$5)+$AC$6)</f>
        <v>2030.1375276604374</v>
      </c>
      <c r="E100" s="4">
        <f t="shared" si="12"/>
        <v>2.0301375276604374</v>
      </c>
      <c r="F100" s="24">
        <v>9.9990399102947171E-4</v>
      </c>
      <c r="G100" s="6">
        <v>2.0285807148568695</v>
      </c>
      <c r="H100" s="2">
        <f t="shared" si="13"/>
        <v>7.6685090657970998E-4</v>
      </c>
      <c r="I100" s="5">
        <f>G100/F100</f>
        <v>2028.7754955036257</v>
      </c>
      <c r="J100" s="2">
        <f>ABS(D100-I100)/I100</f>
        <v>6.7135676659656847E-4</v>
      </c>
      <c r="K100" s="1">
        <f>$AD$10*B100+$AD$11</f>
        <v>2021.9543461407311</v>
      </c>
      <c r="L100" s="2">
        <f>ABS(K100-D100)/D100</f>
        <v>4.0308508207996738E-3</v>
      </c>
      <c r="M100" s="21">
        <f>K100*F100</f>
        <v>2.0217602203855027</v>
      </c>
      <c r="N100" s="2">
        <f>ABS(M100-G100)/M100</f>
        <v>3.3735427191589908E-3</v>
      </c>
      <c r="O100" s="21">
        <f t="shared" si="14"/>
        <v>6.8204944713667892E-3</v>
      </c>
      <c r="P100" s="25">
        <f>$AD$18*B100+$AD$19</f>
        <v>0.80833333333333357</v>
      </c>
      <c r="Q100" s="25">
        <f>$AD$29*G100+$AD$30</f>
        <v>0.78413571596961429</v>
      </c>
      <c r="R100" s="25">
        <f t="shared" si="15"/>
        <v>2.4197617363719282E-2</v>
      </c>
      <c r="S100" s="26">
        <v>0.7184861265589878</v>
      </c>
      <c r="T100" s="26">
        <f t="shared" si="16"/>
        <v>8.9847206774345767E-2</v>
      </c>
      <c r="U100" s="27">
        <f t="shared" si="17"/>
        <v>0.11115118363836586</v>
      </c>
      <c r="V100" s="28">
        <f t="shared" si="18"/>
        <v>28.621833518707852</v>
      </c>
      <c r="W100" s="27">
        <f t="shared" si="19"/>
        <v>3.6301901727008319E-2</v>
      </c>
      <c r="X100" s="21">
        <v>0.72545735720165883</v>
      </c>
      <c r="Y100" s="21">
        <f t="shared" si="20"/>
        <v>28.705488286419907</v>
      </c>
      <c r="Z100" s="2">
        <f t="shared" si="21"/>
        <v>3.3485242881484578E-2</v>
      </c>
    </row>
    <row r="101" spans="1:26">
      <c r="A101" s="1">
        <v>29.8</v>
      </c>
      <c r="B101" s="1">
        <f t="shared" si="11"/>
        <v>302.95</v>
      </c>
      <c r="C101" s="4">
        <f>ROUND(10000*EXP(($AB$4)+($AC$4/B101)+($AD$4/(B101^2))+($AE$4/(B101^3))),6)</f>
        <v>8128.1325440000001</v>
      </c>
      <c r="D101" s="4">
        <f>((C101+2*$AC$5)*$AC$6)/((C101+2*$AC$5)+$AC$6)</f>
        <v>2027.9949364158506</v>
      </c>
      <c r="E101" s="4">
        <f t="shared" si="12"/>
        <v>2.0279949364158507</v>
      </c>
      <c r="F101" s="24">
        <v>9.9990399102947171E-4</v>
      </c>
      <c r="G101" s="6">
        <v>2.0263259144957022</v>
      </c>
      <c r="H101" s="2">
        <f t="shared" si="13"/>
        <v>8.2299116737353834E-4</v>
      </c>
      <c r="I101" s="5">
        <f>G101/F101</f>
        <v>2026.5204786406109</v>
      </c>
      <c r="J101" s="2">
        <f>ABS(D101-I101)/I101</f>
        <v>7.2758098957319023E-4</v>
      </c>
      <c r="K101" s="1">
        <f>$AD$10*B101+$AD$11</f>
        <v>2019.6052342218563</v>
      </c>
      <c r="L101" s="2">
        <f>ABS(K101-D101)/D101</f>
        <v>4.1369443499803208E-3</v>
      </c>
      <c r="M101" s="21">
        <f>K101*F101</f>
        <v>2.0194113340024451</v>
      </c>
      <c r="N101" s="2">
        <f>ABS(M101-G101)/M101</f>
        <v>3.4240574848871941E-3</v>
      </c>
      <c r="O101" s="21">
        <f t="shared" si="14"/>
        <v>6.9145804932571053E-3</v>
      </c>
      <c r="P101" s="25">
        <f>$AD$18*B101+$AD$19</f>
        <v>0.81666666666666643</v>
      </c>
      <c r="Q101" s="25">
        <f>$AD$29*G101+$AD$30</f>
        <v>0.79213525274809182</v>
      </c>
      <c r="R101" s="25">
        <f t="shared" si="15"/>
        <v>2.4531413918574607E-2</v>
      </c>
      <c r="S101" s="26">
        <v>0.72680185569953715</v>
      </c>
      <c r="T101" s="26">
        <f t="shared" si="16"/>
        <v>8.9864810967129283E-2</v>
      </c>
      <c r="U101" s="27">
        <f t="shared" si="17"/>
        <v>0.11003854404138283</v>
      </c>
      <c r="V101" s="28">
        <f t="shared" si="18"/>
        <v>28.721622268394444</v>
      </c>
      <c r="W101" s="27">
        <f t="shared" si="19"/>
        <v>3.6187172201528735E-2</v>
      </c>
      <c r="X101" s="21">
        <v>0.73375516721878153</v>
      </c>
      <c r="Y101" s="21">
        <f t="shared" si="20"/>
        <v>28.805062006625381</v>
      </c>
      <c r="Z101" s="2">
        <f t="shared" si="21"/>
        <v>3.3387180985725504E-2</v>
      </c>
    </row>
    <row r="102" spans="1:26">
      <c r="A102" s="1">
        <v>29.9</v>
      </c>
      <c r="B102" s="1">
        <f t="shared" si="11"/>
        <v>303.04999999999995</v>
      </c>
      <c r="C102" s="4">
        <f>ROUND(10000*EXP(($AB$4)+($AC$4/B102)+($AD$4/(B102^2))+($AE$4/(B102^3))),6)</f>
        <v>8093.6015299999999</v>
      </c>
      <c r="D102" s="4">
        <f>((C102+2*$AC$5)*$AC$6)/((C102+2*$AC$5)+$AC$6)</f>
        <v>2025.8490263604156</v>
      </c>
      <c r="E102" s="4">
        <f t="shared" si="12"/>
        <v>2.0258490263604156</v>
      </c>
      <c r="F102" s="24">
        <v>9.9990399102947171E-4</v>
      </c>
      <c r="G102" s="6">
        <v>2.0243047618075365</v>
      </c>
      <c r="H102" s="2">
        <f t="shared" si="13"/>
        <v>7.6228017625456113E-4</v>
      </c>
      <c r="I102" s="5">
        <f>G102/F102</f>
        <v>2024.4991318850241</v>
      </c>
      <c r="J102" s="2">
        <f>ABS(D102-I102)/I102</f>
        <v>6.6677947850467603E-4</v>
      </c>
      <c r="K102" s="1">
        <f>$AD$10*B102+$AD$11</f>
        <v>2017.2561223029834</v>
      </c>
      <c r="L102" s="2">
        <f>ABS(K102-D102)/D102</f>
        <v>4.2416310127857621E-3</v>
      </c>
      <c r="M102" s="21">
        <f>K102*F102</f>
        <v>2.0170624476193892</v>
      </c>
      <c r="N102" s="2">
        <f>ABS(M102-G102)/M102</f>
        <v>3.5905255172911932E-3</v>
      </c>
      <c r="O102" s="21">
        <f t="shared" si="14"/>
        <v>7.2423141881472475E-3</v>
      </c>
      <c r="P102" s="25">
        <f>$AD$18*B102+$AD$19</f>
        <v>0.82499999999999929</v>
      </c>
      <c r="Q102" s="25">
        <f>$AD$29*G102+$AD$30</f>
        <v>0.79930585886575667</v>
      </c>
      <c r="R102" s="25">
        <f t="shared" si="15"/>
        <v>2.5694141134242621E-2</v>
      </c>
      <c r="S102" s="26">
        <v>0.73425588960348542</v>
      </c>
      <c r="T102" s="26">
        <f t="shared" si="16"/>
        <v>9.0744110396513866E-2</v>
      </c>
      <c r="U102" s="27">
        <f t="shared" si="17"/>
        <v>0.10999286108668357</v>
      </c>
      <c r="V102" s="28">
        <f t="shared" si="18"/>
        <v>28.811070675241826</v>
      </c>
      <c r="W102" s="27">
        <f t="shared" si="19"/>
        <v>3.6419040961811797E-2</v>
      </c>
      <c r="X102" s="21">
        <v>0.7411921256176548</v>
      </c>
      <c r="Y102" s="21">
        <f t="shared" si="20"/>
        <v>28.894305507411861</v>
      </c>
      <c r="Z102" s="2">
        <f t="shared" si="21"/>
        <v>3.3635267310640052E-2</v>
      </c>
    </row>
    <row r="103" spans="1:26">
      <c r="A103" s="1">
        <v>30</v>
      </c>
      <c r="B103" s="1">
        <f t="shared" si="11"/>
        <v>303.14999999999998</v>
      </c>
      <c r="C103" s="4">
        <f>ROUND(10000*EXP(($AB$4)+($AC$4/B103)+($AD$4/(B103^2))+($AE$4/(B103^3))),6)</f>
        <v>8059.2369429999999</v>
      </c>
      <c r="D103" s="4">
        <f>((C103+2*$AC$5)*$AC$6)/((C103+2*$AC$5)+$AC$6)</f>
        <v>2023.6998093140442</v>
      </c>
      <c r="E103" s="4">
        <f t="shared" si="12"/>
        <v>2.0236998093140444</v>
      </c>
      <c r="F103" s="24">
        <v>9.9990399102947171E-4</v>
      </c>
      <c r="G103" s="6">
        <v>2.0220356455481046</v>
      </c>
      <c r="H103" s="2">
        <f t="shared" si="13"/>
        <v>8.2233726478627019E-4</v>
      </c>
      <c r="I103" s="5">
        <f>G103/F103</f>
        <v>2022.229797749158</v>
      </c>
      <c r="J103" s="2">
        <f>ABS(D103-I103)/I103</f>
        <v>7.2692607265619923E-4</v>
      </c>
      <c r="K103" s="1">
        <f>$AD$10*B103+$AD$11</f>
        <v>2014.9070103841086</v>
      </c>
      <c r="L103" s="2">
        <f>ABS(K103-D103)/D103</f>
        <v>4.3449126641544539E-3</v>
      </c>
      <c r="M103" s="21">
        <f>K103*F103</f>
        <v>2.0147135612363316</v>
      </c>
      <c r="N103" s="2">
        <f>ABS(M103-G103)/M103</f>
        <v>3.6343053685903323E-3</v>
      </c>
      <c r="O103" s="21">
        <f t="shared" si="14"/>
        <v>7.3220843117729473E-3</v>
      </c>
      <c r="P103" s="25">
        <f>$AD$18*B103+$AD$19</f>
        <v>0.83333333333333215</v>
      </c>
      <c r="Q103" s="25">
        <f>$AD$29*G103+$AD$30</f>
        <v>0.80735618530910003</v>
      </c>
      <c r="R103" s="25">
        <f t="shared" si="15"/>
        <v>2.5977148024232122E-2</v>
      </c>
      <c r="S103" s="26">
        <v>0.74262441611866969</v>
      </c>
      <c r="T103" s="26">
        <f t="shared" si="16"/>
        <v>9.0708917214662454E-2</v>
      </c>
      <c r="U103" s="27">
        <f t="shared" si="17"/>
        <v>0.1088507006575951</v>
      </c>
      <c r="V103" s="28">
        <f t="shared" si="18"/>
        <v>28.911492993424037</v>
      </c>
      <c r="W103" s="27">
        <f t="shared" si="19"/>
        <v>3.6283566885865426E-2</v>
      </c>
      <c r="X103" s="21">
        <v>0.74954256816926235</v>
      </c>
      <c r="Y103" s="21">
        <f t="shared" si="20"/>
        <v>28.994510818031152</v>
      </c>
      <c r="Z103" s="2">
        <f t="shared" si="21"/>
        <v>3.3516306065628262E-2</v>
      </c>
    </row>
    <row r="104" spans="1:26">
      <c r="A104" s="1">
        <v>30.1</v>
      </c>
      <c r="B104" s="1">
        <f t="shared" si="11"/>
        <v>303.25</v>
      </c>
      <c r="C104" s="4">
        <f>ROUND(10000*EXP(($AB$4)+($AC$4/B104)+($AD$4/(B104^2))+($AE$4/(B104^3))),6)</f>
        <v>8025.0378920000003</v>
      </c>
      <c r="D104" s="4">
        <f>((C104+2*$AC$5)*$AC$6)/((C104+2*$AC$5)+$AC$6)</f>
        <v>2021.5472971549389</v>
      </c>
      <c r="E104" s="4">
        <f t="shared" si="12"/>
        <v>2.0215472971549389</v>
      </c>
      <c r="F104" s="24">
        <v>9.9990399102947171E-4</v>
      </c>
      <c r="G104" s="6">
        <v>2.0199996810629335</v>
      </c>
      <c r="H104" s="2">
        <f t="shared" si="13"/>
        <v>7.655601697686929E-4</v>
      </c>
      <c r="I104" s="5">
        <f>G104/F104</f>
        <v>2020.1936377743641</v>
      </c>
      <c r="J104" s="2">
        <f>ABS(D104-I104)/I104</f>
        <v>6.7006417368291153E-4</v>
      </c>
      <c r="K104" s="1">
        <f>$AD$10*B104+$AD$11</f>
        <v>2012.5578984652348</v>
      </c>
      <c r="L104" s="2">
        <f>ABS(K104-D104)/D104</f>
        <v>4.4467911793879353E-3</v>
      </c>
      <c r="M104" s="21">
        <f>K104*F104</f>
        <v>2.0123646748532744</v>
      </c>
      <c r="N104" s="2">
        <f>ABS(M104-G104)/M104</f>
        <v>3.7940470259028728E-3</v>
      </c>
      <c r="O104" s="21">
        <f t="shared" si="14"/>
        <v>7.6350062096590676E-3</v>
      </c>
      <c r="P104" s="25">
        <f>$AD$18*B104+$AD$19</f>
        <v>0.84166666666666856</v>
      </c>
      <c r="Q104" s="25">
        <f>$AD$29*G104+$AD$30</f>
        <v>0.81457934043151958</v>
      </c>
      <c r="R104" s="25">
        <f t="shared" si="15"/>
        <v>2.7087326235148979E-2</v>
      </c>
      <c r="S104" s="26">
        <v>0.75013307605895507</v>
      </c>
      <c r="T104" s="26">
        <f t="shared" si="16"/>
        <v>9.1533590607713489E-2</v>
      </c>
      <c r="U104" s="27">
        <f t="shared" si="17"/>
        <v>0.10875278092005539</v>
      </c>
      <c r="V104" s="28">
        <f t="shared" si="18"/>
        <v>29.001596912707459</v>
      </c>
      <c r="W104" s="27">
        <f t="shared" si="19"/>
        <v>3.6491796920018013E-2</v>
      </c>
      <c r="X104" s="21">
        <v>0.75703398203010119</v>
      </c>
      <c r="Y104" s="21">
        <f t="shared" si="20"/>
        <v>29.084407784361218</v>
      </c>
      <c r="Z104" s="2">
        <f t="shared" si="21"/>
        <v>3.3740605170723692E-2</v>
      </c>
    </row>
    <row r="105" spans="1:26">
      <c r="A105" s="1">
        <v>30.2</v>
      </c>
      <c r="B105" s="1">
        <f t="shared" si="11"/>
        <v>303.34999999999997</v>
      </c>
      <c r="C105" s="4">
        <f>ROUND(10000*EXP(($AB$4)+($AC$4/B105)+($AD$4/(B105^2))+($AE$4/(B105^3))),6)</f>
        <v>7991.0034919999998</v>
      </c>
      <c r="D105" s="4">
        <f>((C105+2*$AC$5)*$AC$6)/((C105+2*$AC$5)+$AC$6)</f>
        <v>2019.3915018844996</v>
      </c>
      <c r="E105" s="4">
        <f t="shared" si="12"/>
        <v>2.0193915018844995</v>
      </c>
      <c r="F105" s="24">
        <v>9.9990399102947171E-4</v>
      </c>
      <c r="G105" s="6">
        <v>2.0179567666345859</v>
      </c>
      <c r="H105" s="2">
        <f t="shared" si="13"/>
        <v>7.1047899754686364E-4</v>
      </c>
      <c r="I105" s="5">
        <f>G105/F105</f>
        <v>2018.1505271890724</v>
      </c>
      <c r="J105" s="2">
        <f>ABS(D105-I105)/I105</f>
        <v>6.1490690546045198E-4</v>
      </c>
      <c r="K105" s="1">
        <f>$AD$10*B105+$AD$11</f>
        <v>2010.2087865463618</v>
      </c>
      <c r="L105" s="2">
        <f>ABS(K105-D105)/D105</f>
        <v>4.5472684863576193E-3</v>
      </c>
      <c r="M105" s="21">
        <f>K105*F105</f>
        <v>2.0100157884702186</v>
      </c>
      <c r="N105" s="2">
        <f>ABS(M105-G105)/M105</f>
        <v>3.9507043725318467E-3</v>
      </c>
      <c r="O105" s="21">
        <f t="shared" si="14"/>
        <v>7.9409781643673405E-3</v>
      </c>
      <c r="P105" s="25">
        <f>$AD$18*B105+$AD$19</f>
        <v>0.84999999999999787</v>
      </c>
      <c r="Q105" s="25">
        <f>$AD$29*G105+$AD$30</f>
        <v>0.82182715242689586</v>
      </c>
      <c r="R105" s="25">
        <f t="shared" si="15"/>
        <v>2.8172847573102011E-2</v>
      </c>
      <c r="S105" s="26">
        <v>0.7576694816943651</v>
      </c>
      <c r="T105" s="26">
        <f t="shared" si="16"/>
        <v>9.2330518305632769E-2</v>
      </c>
      <c r="U105" s="27">
        <f t="shared" si="17"/>
        <v>0.10862413918309764</v>
      </c>
      <c r="V105" s="28">
        <f t="shared" si="18"/>
        <v>29.092033780332383</v>
      </c>
      <c r="W105" s="27">
        <f t="shared" si="19"/>
        <v>3.6687623167801879E-2</v>
      </c>
      <c r="X105" s="21">
        <v>0.76455303409170183</v>
      </c>
      <c r="Y105" s="21">
        <f t="shared" si="20"/>
        <v>29.174636409100426</v>
      </c>
      <c r="Z105" s="2">
        <f t="shared" si="21"/>
        <v>3.3952436784754084E-2</v>
      </c>
    </row>
    <row r="106" spans="1:26">
      <c r="A106" s="1">
        <v>30.3</v>
      </c>
      <c r="B106" s="1">
        <f t="shared" si="11"/>
        <v>303.45</v>
      </c>
      <c r="C106" s="4">
        <f>ROUND(10000*EXP(($AB$4)+($AC$4/B106)+($AD$4/(B106^2))+($AE$4/(B106^3))),6)</f>
        <v>7957.132861</v>
      </c>
      <c r="D106" s="4">
        <f>((C106+2*$AC$5)*$AC$6)/((C106+2*$AC$5)+$AC$6)</f>
        <v>2017.2324354389243</v>
      </c>
      <c r="E106" s="4">
        <f t="shared" si="12"/>
        <v>2.0172324354389244</v>
      </c>
      <c r="F106" s="24">
        <v>9.9990399102947171E-4</v>
      </c>
      <c r="G106" s="6">
        <v>2.0156650068994675</v>
      </c>
      <c r="H106" s="2">
        <f t="shared" si="13"/>
        <v>7.7701930224805882E-4</v>
      </c>
      <c r="I106" s="5">
        <f>G106/F106</f>
        <v>2015.8585474033343</v>
      </c>
      <c r="J106" s="2">
        <f>ABS(D106-I106)/I106</f>
        <v>6.8153990137834934E-4</v>
      </c>
      <c r="K106" s="1">
        <f>$AD$10*B106+$AD$11</f>
        <v>2007.859674627487</v>
      </c>
      <c r="L106" s="2">
        <f>ABS(K106-D106)/D106</f>
        <v>4.646346472908007E-3</v>
      </c>
      <c r="M106" s="21">
        <f>K106*F106</f>
        <v>2.0076669020871609</v>
      </c>
      <c r="N106" s="2">
        <f>ABS(M106-G106)/M106</f>
        <v>3.9837807775740938E-3</v>
      </c>
      <c r="O106" s="21">
        <f t="shared" si="14"/>
        <v>7.9981048123065612E-3</v>
      </c>
      <c r="P106" s="25">
        <f>$AD$18*B106+$AD$19</f>
        <v>0.85833333333333428</v>
      </c>
      <c r="Q106" s="25">
        <f>$AD$29*G106+$AD$30</f>
        <v>0.82995781295199045</v>
      </c>
      <c r="R106" s="25">
        <f t="shared" si="15"/>
        <v>2.8375520381343833E-2</v>
      </c>
      <c r="S106" s="26">
        <v>0.76611728440852367</v>
      </c>
      <c r="T106" s="26">
        <f t="shared" si="16"/>
        <v>9.2216048924810612E-2</v>
      </c>
      <c r="U106" s="27">
        <f t="shared" si="17"/>
        <v>0.10743617350463361</v>
      </c>
      <c r="V106" s="28">
        <f t="shared" si="18"/>
        <v>29.193407412902285</v>
      </c>
      <c r="W106" s="27">
        <f t="shared" si="19"/>
        <v>3.6521207494974103E-2</v>
      </c>
      <c r="X106" s="21">
        <v>0.7729825402593552</v>
      </c>
      <c r="Y106" s="21">
        <f t="shared" si="20"/>
        <v>29.275790483112264</v>
      </c>
      <c r="Z106" s="2">
        <f t="shared" si="21"/>
        <v>3.3802294286723995E-2</v>
      </c>
    </row>
    <row r="107" spans="1:26">
      <c r="A107" s="1">
        <v>30.4</v>
      </c>
      <c r="B107" s="1">
        <f t="shared" si="11"/>
        <v>303.54999999999995</v>
      </c>
      <c r="C107" s="4">
        <f>ROUND(10000*EXP(($AB$4)+($AC$4/B107)+($AD$4/(B107^2))+($AE$4/(B107^3))),6)</f>
        <v>7923.4251249999998</v>
      </c>
      <c r="D107" s="4">
        <f>((C107+2*$AC$5)*$AC$6)/((C107+2*$AC$5)+$AC$6)</f>
        <v>2015.0701100084075</v>
      </c>
      <c r="E107" s="4">
        <f t="shared" si="12"/>
        <v>2.0150701100084074</v>
      </c>
      <c r="F107" s="24">
        <v>9.9990399102947171E-4</v>
      </c>
      <c r="G107" s="6">
        <v>2.0136073606990168</v>
      </c>
      <c r="H107" s="2">
        <f t="shared" si="13"/>
        <v>7.2590492118634355E-4</v>
      </c>
      <c r="I107" s="5">
        <f>G107/F107</f>
        <v>2013.8007036314216</v>
      </c>
      <c r="J107" s="2">
        <f>ABS(D107-I107)/I107</f>
        <v>6.3035352738571361E-4</v>
      </c>
      <c r="K107" s="1">
        <f>$AD$10*B107+$AD$11</f>
        <v>2005.5105627086141</v>
      </c>
      <c r="L107" s="2">
        <f>ABS(K107-D107)/D107</f>
        <v>4.7440271444220417E-3</v>
      </c>
      <c r="M107" s="21">
        <f>K107*F107</f>
        <v>2.0053180157041046</v>
      </c>
      <c r="N107" s="2">
        <f>ABS(M107-G107)/M107</f>
        <v>4.133681007200068E-3</v>
      </c>
      <c r="O107" s="21">
        <f t="shared" si="14"/>
        <v>8.2893449949121845E-3</v>
      </c>
      <c r="P107" s="25">
        <f>$AD$18*B107+$AD$19</f>
        <v>0.86666666666666359</v>
      </c>
      <c r="Q107" s="25">
        <f>$AD$29*G107+$AD$30</f>
        <v>0.83725789004133233</v>
      </c>
      <c r="R107" s="25">
        <f t="shared" si="15"/>
        <v>2.9408776625331257E-2</v>
      </c>
      <c r="S107" s="26">
        <v>0.77370802591078625</v>
      </c>
      <c r="T107" s="26">
        <f t="shared" si="16"/>
        <v>9.2958640755877342E-2</v>
      </c>
      <c r="U107" s="27">
        <f t="shared" si="17"/>
        <v>0.10725997010293578</v>
      </c>
      <c r="V107" s="28">
        <f t="shared" si="18"/>
        <v>29.284496310929431</v>
      </c>
      <c r="W107" s="27">
        <f t="shared" si="19"/>
        <v>3.6694200298373954E-2</v>
      </c>
      <c r="X107" s="21">
        <v>0.78055576045461894</v>
      </c>
      <c r="Y107" s="21">
        <f t="shared" si="20"/>
        <v>29.366669125455431</v>
      </c>
      <c r="Z107" s="2">
        <f t="shared" si="21"/>
        <v>3.3991147188966044E-2</v>
      </c>
    </row>
    <row r="108" spans="1:26">
      <c r="A108" s="1">
        <v>30.5</v>
      </c>
      <c r="B108" s="1">
        <f t="shared" si="11"/>
        <v>303.64999999999998</v>
      </c>
      <c r="C108" s="4">
        <f>ROUND(10000*EXP(($AB$4)+($AC$4/B108)+($AD$4/(B108^2))+($AE$4/(B108^3))),6)</f>
        <v>7889.879414</v>
      </c>
      <c r="D108" s="4">
        <f>((C108+2*$AC$5)*$AC$6)/((C108+2*$AC$5)+$AC$6)</f>
        <v>2012.9045377857301</v>
      </c>
      <c r="E108" s="4">
        <f t="shared" si="12"/>
        <v>2.01290453778573</v>
      </c>
      <c r="F108" s="24">
        <v>9.9990399102947171E-4</v>
      </c>
      <c r="G108" s="6">
        <v>2.0115422403810319</v>
      </c>
      <c r="H108" s="2">
        <f t="shared" si="13"/>
        <v>6.7678192339744195E-4</v>
      </c>
      <c r="I108" s="5">
        <f>G108/F108</f>
        <v>2011.7353850243235</v>
      </c>
      <c r="J108" s="2">
        <f>ABS(D108-I108)/I108</f>
        <v>5.8116627569907049E-4</v>
      </c>
      <c r="K108" s="1">
        <f>$AD$10*B108+$AD$11</f>
        <v>2003.1614507897393</v>
      </c>
      <c r="L108" s="2">
        <f>ABS(K108-D108)/D108</f>
        <v>4.8403125002184841E-3</v>
      </c>
      <c r="M108" s="21">
        <f>K108*F108</f>
        <v>2.002969129321047</v>
      </c>
      <c r="N108" s="2">
        <f>ABS(M108-G108)/M108</f>
        <v>4.280201294410855E-3</v>
      </c>
      <c r="O108" s="21">
        <f t="shared" si="14"/>
        <v>8.5731110599849281E-3</v>
      </c>
      <c r="P108" s="25">
        <f>$AD$18*B108+$AD$19</f>
        <v>0.875</v>
      </c>
      <c r="Q108" s="25">
        <f>$AD$29*G108+$AD$30</f>
        <v>0.84458448365920269</v>
      </c>
      <c r="R108" s="25">
        <f t="shared" si="15"/>
        <v>3.0415516340797311E-2</v>
      </c>
      <c r="S108" s="26">
        <v>0.78132624410766816</v>
      </c>
      <c r="T108" s="26">
        <f t="shared" si="16"/>
        <v>9.3673755892331845E-2</v>
      </c>
      <c r="U108" s="27">
        <f t="shared" si="17"/>
        <v>0.10705572101980783</v>
      </c>
      <c r="V108" s="28">
        <f t="shared" si="18"/>
        <v>29.375914929292019</v>
      </c>
      <c r="W108" s="27">
        <f t="shared" si="19"/>
        <v>3.6855248219933794E-2</v>
      </c>
      <c r="X108" s="21">
        <v>0.78815647521272325</v>
      </c>
      <c r="Y108" s="21">
        <f t="shared" si="20"/>
        <v>29.457877702552683</v>
      </c>
      <c r="Z108" s="2">
        <f t="shared" si="21"/>
        <v>3.4167944178600571E-2</v>
      </c>
    </row>
    <row r="109" spans="1:26">
      <c r="A109" s="1">
        <v>30.6</v>
      </c>
      <c r="B109" s="1">
        <f t="shared" si="11"/>
        <v>303.75</v>
      </c>
      <c r="C109" s="4">
        <f>ROUND(10000*EXP(($AB$4)+($AC$4/B109)+($AD$4/(B109^2))+($AE$4/(B109^3))),6)</f>
        <v>7856.4948619999996</v>
      </c>
      <c r="D109" s="4">
        <f>((C109+2*$AC$5)*$AC$6)/((C109+2*$AC$5)+$AC$6)</f>
        <v>2010.735730965838</v>
      </c>
      <c r="E109" s="4">
        <f t="shared" si="12"/>
        <v>2.010735730965838</v>
      </c>
      <c r="F109" s="24">
        <v>9.9990399102947171E-4</v>
      </c>
      <c r="G109" s="6">
        <v>2.009229656735148</v>
      </c>
      <c r="H109" s="2">
        <f t="shared" si="13"/>
        <v>7.4901649555241055E-4</v>
      </c>
      <c r="I109" s="5">
        <f>G109/F109</f>
        <v>2009.4225793283456</v>
      </c>
      <c r="J109" s="2">
        <f>ABS(D109-I109)/I109</f>
        <v>6.5349700506069487E-4</v>
      </c>
      <c r="K109" s="1">
        <f>$AD$10*B109+$AD$11</f>
        <v>2000.8123388708646</v>
      </c>
      <c r="L109" s="2">
        <f>ABS(K109-D109)/D109</f>
        <v>4.9352045334206318E-3</v>
      </c>
      <c r="M109" s="21">
        <f>K109*F109</f>
        <v>2.0006202429379893</v>
      </c>
      <c r="N109" s="2">
        <f>ABS(M109-G109)/M109</f>
        <v>4.3033723304305698E-3</v>
      </c>
      <c r="O109" s="21">
        <f t="shared" si="14"/>
        <v>8.6094137971586271E-3</v>
      </c>
      <c r="P109" s="25">
        <f>$AD$18*B109+$AD$19</f>
        <v>0.88333333333333641</v>
      </c>
      <c r="Q109" s="25">
        <f>$AD$29*G109+$AD$30</f>
        <v>0.85278902284908309</v>
      </c>
      <c r="R109" s="25">
        <f t="shared" si="15"/>
        <v>3.0544310484253323E-2</v>
      </c>
      <c r="S109" s="26">
        <v>0.78985304754787</v>
      </c>
      <c r="T109" s="26">
        <f t="shared" si="16"/>
        <v>9.348028578546641E-2</v>
      </c>
      <c r="U109" s="27">
        <f t="shared" si="17"/>
        <v>0.10582673862505594</v>
      </c>
      <c r="V109" s="28">
        <f t="shared" si="18"/>
        <v>29.478236570574438</v>
      </c>
      <c r="W109" s="27">
        <f t="shared" si="19"/>
        <v>3.6658935602142582E-2</v>
      </c>
      <c r="X109" s="21">
        <v>0.79666459668787448</v>
      </c>
      <c r="Y109" s="21">
        <f t="shared" si="20"/>
        <v>29.559975160254492</v>
      </c>
      <c r="Z109" s="2">
        <f t="shared" si="21"/>
        <v>3.3987739860964358E-2</v>
      </c>
    </row>
    <row r="110" spans="1:26">
      <c r="A110" s="1">
        <v>30.7</v>
      </c>
      <c r="B110" s="1">
        <f t="shared" si="11"/>
        <v>303.84999999999997</v>
      </c>
      <c r="C110" s="4">
        <f>ROUND(10000*EXP(($AB$4)+($AC$4/B110)+($AD$4/(B110^2))+($AE$4/(B110^3))),6)</f>
        <v>7823.2706090000001</v>
      </c>
      <c r="D110" s="4">
        <f>((C110+2*$AC$5)*$AC$6)/((C110+2*$AC$5)+$AC$6)</f>
        <v>2008.5637018766195</v>
      </c>
      <c r="E110" s="4">
        <f t="shared" si="12"/>
        <v>2.0085637018766196</v>
      </c>
      <c r="F110" s="24">
        <v>9.9990399102947171E-4</v>
      </c>
      <c r="G110" s="6">
        <v>2.0071493074676292</v>
      </c>
      <c r="H110" s="2">
        <f t="shared" si="13"/>
        <v>7.0418200212863595E-4</v>
      </c>
      <c r="I110" s="5">
        <f>G110/F110</f>
        <v>2007.3420303094574</v>
      </c>
      <c r="J110" s="2">
        <f>ABS(D110-I110)/I110</f>
        <v>6.0860159789197037E-4</v>
      </c>
      <c r="K110" s="1">
        <f>$AD$10*B110+$AD$11</f>
        <v>1998.4632269519916</v>
      </c>
      <c r="L110" s="2">
        <f>ABS(K110-D110)/D110</f>
        <v>5.0287052958245208E-3</v>
      </c>
      <c r="M110" s="21">
        <f>K110*F110</f>
        <v>1.9982713565549333</v>
      </c>
      <c r="N110" s="2">
        <f>ABS(M110-G110)/M110</f>
        <v>4.4428154782750516E-3</v>
      </c>
      <c r="O110" s="21">
        <f t="shared" si="14"/>
        <v>8.8779509126959422E-3</v>
      </c>
      <c r="P110" s="25">
        <f>$AD$18*B110+$AD$19</f>
        <v>0.89166666666666572</v>
      </c>
      <c r="Q110" s="25">
        <f>$AD$29*G110+$AD$30</f>
        <v>0.86016964543731866</v>
      </c>
      <c r="R110" s="25">
        <f t="shared" si="15"/>
        <v>3.1497021229347055E-2</v>
      </c>
      <c r="S110" s="26">
        <v>0.79752539915909626</v>
      </c>
      <c r="T110" s="26">
        <f t="shared" si="16"/>
        <v>9.4141267507569459E-2</v>
      </c>
      <c r="U110" s="27">
        <f t="shared" si="17"/>
        <v>0.10557899159727427</v>
      </c>
      <c r="V110" s="28">
        <f t="shared" si="18"/>
        <v>29.570304789909155</v>
      </c>
      <c r="W110" s="27">
        <f t="shared" si="19"/>
        <v>3.6797889579506325E-2</v>
      </c>
      <c r="X110" s="21">
        <v>0.80431918364855015</v>
      </c>
      <c r="Y110" s="21">
        <f t="shared" si="20"/>
        <v>29.651830203782605</v>
      </c>
      <c r="Z110" s="2">
        <f t="shared" si="21"/>
        <v>3.414233863900306E-2</v>
      </c>
    </row>
    <row r="111" spans="1:26">
      <c r="A111" s="1">
        <v>30.8</v>
      </c>
      <c r="B111" s="1">
        <f t="shared" si="11"/>
        <v>303.95</v>
      </c>
      <c r="C111" s="4">
        <f>ROUND(10000*EXP(($AB$4)+($AC$4/B111)+($AD$4/(B111^2))+($AE$4/(B111^3))),6)</f>
        <v>7790.2058010000001</v>
      </c>
      <c r="D111" s="4">
        <f>((C111+2*$AC$5)*$AC$6)/((C111+2*$AC$5)+$AC$6)</f>
        <v>2006.3884629826766</v>
      </c>
      <c r="E111" s="4">
        <f t="shared" si="12"/>
        <v>2.0063884629826765</v>
      </c>
      <c r="F111" s="24">
        <v>9.9990399102947171E-4</v>
      </c>
      <c r="G111" s="6">
        <v>2.0048231979394044</v>
      </c>
      <c r="H111" s="2">
        <f t="shared" si="13"/>
        <v>7.8014057205309491E-4</v>
      </c>
      <c r="I111" s="5">
        <f>G111/F111</f>
        <v>2005.0156974324079</v>
      </c>
      <c r="J111" s="2">
        <f>ABS(D111-I111)/I111</f>
        <v>6.846657370446716E-4</v>
      </c>
      <c r="K111" s="1">
        <f>$AD$10*B111+$AD$11</f>
        <v>1996.1141150331168</v>
      </c>
      <c r="L111" s="2">
        <f>ABS(K111-D111)/D111</f>
        <v>5.1208169001759792E-3</v>
      </c>
      <c r="M111" s="21">
        <f>K111*F111</f>
        <v>1.9959224701718756</v>
      </c>
      <c r="N111" s="2">
        <f>ABS(M111-G111)/M111</f>
        <v>4.4594556655110675E-3</v>
      </c>
      <c r="O111" s="21">
        <f t="shared" si="14"/>
        <v>8.9007277675288154E-3</v>
      </c>
      <c r="P111" s="25">
        <f>$AD$18*B111+$AD$19</f>
        <v>0.90000000000000213</v>
      </c>
      <c r="Q111" s="25">
        <f>$AD$29*G111+$AD$30</f>
        <v>0.86842217148896683</v>
      </c>
      <c r="R111" s="25">
        <f t="shared" si="15"/>
        <v>3.15778285110353E-2</v>
      </c>
      <c r="S111" s="26">
        <v>0.80610411727358022</v>
      </c>
      <c r="T111" s="26">
        <f t="shared" si="16"/>
        <v>9.3895882726421909E-2</v>
      </c>
      <c r="U111" s="27">
        <f t="shared" si="17"/>
        <v>0.10432875858491299</v>
      </c>
      <c r="V111" s="28">
        <f t="shared" si="18"/>
        <v>29.67324940728296</v>
      </c>
      <c r="W111" s="27">
        <f t="shared" si="19"/>
        <v>3.6582811451851986E-2</v>
      </c>
      <c r="X111" s="21">
        <v>0.81287913614732232</v>
      </c>
      <c r="Y111" s="21">
        <f t="shared" si="20"/>
        <v>29.754549633767869</v>
      </c>
      <c r="Z111" s="2">
        <f t="shared" si="21"/>
        <v>3.3943193708835438E-2</v>
      </c>
    </row>
    <row r="112" spans="1:26">
      <c r="A112" s="1">
        <v>30.9</v>
      </c>
      <c r="B112" s="1">
        <f t="shared" si="11"/>
        <v>304.04999999999995</v>
      </c>
      <c r="C112" s="4">
        <f>ROUND(10000*EXP(($AB$4)+($AC$4/B112)+($AD$4/(B112^2))+($AE$4/(B112^3))),6)</f>
        <v>7757.2995870000004</v>
      </c>
      <c r="D112" s="4">
        <f>((C112+2*$AC$5)*$AC$6)/((C112+2*$AC$5)+$AC$6)</f>
        <v>2004.210026689962</v>
      </c>
      <c r="E112" s="4">
        <f t="shared" si="12"/>
        <v>2.0042100266899618</v>
      </c>
      <c r="F112" s="24">
        <v>9.9990399102947171E-4</v>
      </c>
      <c r="G112" s="6">
        <v>2.0027282492698038</v>
      </c>
      <c r="H112" s="2">
        <f t="shared" si="13"/>
        <v>7.3933240549909382E-4</v>
      </c>
      <c r="I112" s="5">
        <f>G112/F112</f>
        <v>2002.9205476096297</v>
      </c>
      <c r="J112" s="2">
        <f>ABS(D112-I112)/I112</f>
        <v>6.4379941674231852E-4</v>
      </c>
      <c r="K112" s="1">
        <f>$AD$10*B112+$AD$11</f>
        <v>1993.7650031142439</v>
      </c>
      <c r="L112" s="2">
        <f>ABS(K112-D112)/D112</f>
        <v>5.2115414236144188E-3</v>
      </c>
      <c r="M112" s="21">
        <f>K112*F112</f>
        <v>1.9935735837888195</v>
      </c>
      <c r="N112" s="2">
        <f>ABS(M112-G112)/M112</f>
        <v>4.592088075116651E-3</v>
      </c>
      <c r="O112" s="21">
        <f t="shared" si="14"/>
        <v>9.1546654809842032E-3</v>
      </c>
      <c r="P112" s="25">
        <f>$AD$18*B112+$AD$19</f>
        <v>0.90833333333333144</v>
      </c>
      <c r="Q112" s="25">
        <f>$AD$29*G112+$AD$30</f>
        <v>0.87585458955138762</v>
      </c>
      <c r="R112" s="25">
        <f t="shared" si="15"/>
        <v>3.247874378194382E-2</v>
      </c>
      <c r="S112" s="26">
        <v>0.81383031186888422</v>
      </c>
      <c r="T112" s="26">
        <f t="shared" si="16"/>
        <v>9.4503021464447223E-2</v>
      </c>
      <c r="U112" s="27">
        <f t="shared" si="17"/>
        <v>0.10404002363058432</v>
      </c>
      <c r="V112" s="28">
        <f t="shared" si="18"/>
        <v>29.76596374242661</v>
      </c>
      <c r="W112" s="27">
        <f t="shared" si="19"/>
        <v>3.670020251046565E-2</v>
      </c>
      <c r="X112" s="21">
        <v>0.82058739154583005</v>
      </c>
      <c r="Y112" s="21">
        <f t="shared" si="20"/>
        <v>29.847048698549962</v>
      </c>
      <c r="Z112" s="2">
        <f t="shared" si="21"/>
        <v>3.4076093898059441E-2</v>
      </c>
    </row>
    <row r="113" spans="1:26">
      <c r="A113" s="1">
        <v>31</v>
      </c>
      <c r="B113" s="1">
        <f t="shared" si="11"/>
        <v>304.14999999999998</v>
      </c>
      <c r="C113" s="4">
        <f>ROUND(10000*EXP(($AB$4)+($AC$4/B113)+($AD$4/(B113^2))+($AE$4/(B113^3))),6)</f>
        <v>7724.5511219999999</v>
      </c>
      <c r="D113" s="4">
        <f>((C113+2*$AC$5)*$AC$6)/((C113+2*$AC$5)+$AC$6)</f>
        <v>2002.0284055439561</v>
      </c>
      <c r="E113" s="4">
        <f t="shared" si="12"/>
        <v>2.0020284055439559</v>
      </c>
      <c r="F113" s="24">
        <v>9.9990399102947171E-4</v>
      </c>
      <c r="G113" s="6">
        <v>2.0003880963126859</v>
      </c>
      <c r="H113" s="2">
        <f t="shared" si="13"/>
        <v>8.193236553126396E-4</v>
      </c>
      <c r="I113" s="5">
        <f>G113/F113</f>
        <v>2000.5801699552626</v>
      </c>
      <c r="J113" s="2">
        <f>ABS(D113-I113)/I113</f>
        <v>7.2390779956889415E-4</v>
      </c>
      <c r="K113" s="1">
        <f>$AD$10*B113+$AD$11</f>
        <v>1991.41589119537</v>
      </c>
      <c r="L113" s="2">
        <f>ABS(K113-D113)/D113</f>
        <v>5.3008810060827284E-3</v>
      </c>
      <c r="M113" s="21">
        <f>K113*F113</f>
        <v>1.9912246974057626</v>
      </c>
      <c r="N113" s="2">
        <f>ABS(M113-G113)/M113</f>
        <v>4.6018909462411254E-3</v>
      </c>
      <c r="O113" s="21">
        <f t="shared" si="14"/>
        <v>9.1633989069233035E-3</v>
      </c>
      <c r="P113" s="25">
        <f>$AD$18*B113+$AD$19</f>
        <v>0.91666666666666785</v>
      </c>
      <c r="Q113" s="25">
        <f>$AD$29*G113+$AD$30</f>
        <v>0.88415693860637656</v>
      </c>
      <c r="R113" s="25">
        <f t="shared" si="15"/>
        <v>3.2509728060291287E-2</v>
      </c>
      <c r="S113" s="26">
        <v>0.82246082224779293</v>
      </c>
      <c r="T113" s="26">
        <f t="shared" si="16"/>
        <v>9.4205844418874918E-2</v>
      </c>
      <c r="U113" s="27">
        <f t="shared" si="17"/>
        <v>0.10277001209331796</v>
      </c>
      <c r="V113" s="28">
        <f t="shared" si="18"/>
        <v>29.869529866973515</v>
      </c>
      <c r="W113" s="27">
        <f t="shared" si="19"/>
        <v>3.6466778484725314E-2</v>
      </c>
      <c r="X113" s="21">
        <v>0.82919896415496586</v>
      </c>
      <c r="Y113" s="21">
        <f t="shared" si="20"/>
        <v>29.95038756985959</v>
      </c>
      <c r="Z113" s="2">
        <f t="shared" si="21"/>
        <v>3.3858465488400331E-2</v>
      </c>
    </row>
    <row r="114" spans="1:26">
      <c r="A114" s="1">
        <v>31.1</v>
      </c>
      <c r="B114" s="1">
        <f t="shared" si="11"/>
        <v>304.25</v>
      </c>
      <c r="C114" s="4">
        <f>ROUND(10000*EXP(($AB$4)+($AC$4/B114)+($AD$4/(B114^2))+($AE$4/(B114^3))),6)</f>
        <v>7691.9595669999999</v>
      </c>
      <c r="D114" s="4">
        <f>((C114+2*$AC$5)*$AC$6)/((C114+2*$AC$5)+$AC$6)</f>
        <v>1999.8436122336509</v>
      </c>
      <c r="E114" s="4">
        <f t="shared" si="12"/>
        <v>1.9998436122336509</v>
      </c>
      <c r="F114" s="24">
        <v>9.9990399102947171E-4</v>
      </c>
      <c r="G114" s="6">
        <v>1.9982786053138728</v>
      </c>
      <c r="H114" s="2">
        <f t="shared" si="13"/>
        <v>7.8256465165800948E-4</v>
      </c>
      <c r="I114" s="5">
        <f>G114/F114</f>
        <v>1998.4704764069438</v>
      </c>
      <c r="J114" s="2">
        <f>ABS(D114-I114)/I114</f>
        <v>6.87093376118245E-4</v>
      </c>
      <c r="K114" s="1">
        <f>$AD$10*B114+$AD$11</f>
        <v>1989.0667792764953</v>
      </c>
      <c r="L114" s="2">
        <f>ABS(K114-D114)/D114</f>
        <v>5.3888378527353273E-3</v>
      </c>
      <c r="M114" s="21">
        <f>K114*F114</f>
        <v>1.9888758110227049</v>
      </c>
      <c r="N114" s="2">
        <f>ABS(M114-G114)/M114</f>
        <v>4.7276930208793805E-3</v>
      </c>
      <c r="O114" s="21">
        <f t="shared" si="14"/>
        <v>9.4027942911678597E-3</v>
      </c>
      <c r="P114" s="25">
        <f>$AD$18*B114+$AD$19</f>
        <v>0.92500000000000071</v>
      </c>
      <c r="Q114" s="25">
        <f>$AD$29*G114+$AD$30</f>
        <v>0.89164094966096741</v>
      </c>
      <c r="R114" s="25">
        <f t="shared" si="15"/>
        <v>3.3359050339033303E-2</v>
      </c>
      <c r="S114" s="26">
        <v>0.830240649048819</v>
      </c>
      <c r="T114" s="26">
        <f t="shared" si="16"/>
        <v>9.4759350951181709E-2</v>
      </c>
      <c r="U114" s="27">
        <f t="shared" si="17"/>
        <v>0.10244254156884501</v>
      </c>
      <c r="V114" s="28">
        <f t="shared" si="18"/>
        <v>29.962887788585828</v>
      </c>
      <c r="W114" s="27">
        <f t="shared" si="19"/>
        <v>3.6563093614603644E-2</v>
      </c>
      <c r="X114" s="21">
        <v>0.83696068028697856</v>
      </c>
      <c r="Y114" s="21">
        <f t="shared" si="20"/>
        <v>30.043528163443742</v>
      </c>
      <c r="Z114" s="2">
        <f t="shared" si="21"/>
        <v>3.3970155516278425E-2</v>
      </c>
    </row>
    <row r="115" spans="1:26">
      <c r="A115" s="1">
        <v>31.2</v>
      </c>
      <c r="B115" s="1">
        <f t="shared" si="11"/>
        <v>304.34999999999997</v>
      </c>
      <c r="C115" s="4">
        <f>ROUND(10000*EXP(($AB$4)+($AC$4/B115)+($AD$4/(B115^2))+($AE$4/(B115^3))),6)</f>
        <v>7659.524085</v>
      </c>
      <c r="D115" s="4">
        <f>((C115+2*$AC$5)*$AC$6)/((C115+2*$AC$5)+$AC$6)</f>
        <v>1997.655659324962</v>
      </c>
      <c r="E115" s="4">
        <f t="shared" si="12"/>
        <v>1.9976556593249621</v>
      </c>
      <c r="F115" s="24">
        <v>9.9990399102947171E-4</v>
      </c>
      <c r="G115" s="6">
        <v>1.9961623237021848</v>
      </c>
      <c r="H115" s="2">
        <f t="shared" si="13"/>
        <v>7.4754406036220216E-4</v>
      </c>
      <c r="I115" s="5">
        <f>G115/F115</f>
        <v>1996.3539915937279</v>
      </c>
      <c r="J115" s="2">
        <f>ABS(D115-I115)/I115</f>
        <v>6.5202250538492958E-4</v>
      </c>
      <c r="K115" s="1">
        <f>$AD$10*B115+$AD$11</f>
        <v>1986.7176673576223</v>
      </c>
      <c r="L115" s="2">
        <f>ABS(K115-D115)/D115</f>
        <v>5.4754141016654621E-3</v>
      </c>
      <c r="M115" s="21">
        <f>K115*F115</f>
        <v>1.9865269246396489</v>
      </c>
      <c r="N115" s="2">
        <f>ABS(M115-G115)/M115</f>
        <v>4.8503742602350099E-3</v>
      </c>
      <c r="O115" s="21">
        <f t="shared" si="14"/>
        <v>9.6353990625359653E-3</v>
      </c>
      <c r="P115" s="25">
        <f>$AD$18*B115+$AD$19</f>
        <v>0.93333333333333357</v>
      </c>
      <c r="Q115" s="25">
        <f>$AD$29*G115+$AD$30</f>
        <v>0.89914905231957576</v>
      </c>
      <c r="R115" s="25">
        <f t="shared" si="15"/>
        <v>3.4184281013757811E-2</v>
      </c>
      <c r="S115" s="26">
        <v>0.83804551959453588</v>
      </c>
      <c r="T115" s="26">
        <f t="shared" si="16"/>
        <v>9.5287813738797689E-2</v>
      </c>
      <c r="U115" s="27">
        <f t="shared" si="17"/>
        <v>0.10209408614871178</v>
      </c>
      <c r="V115" s="28">
        <f t="shared" si="18"/>
        <v>30.05654623513443</v>
      </c>
      <c r="W115" s="27">
        <f t="shared" si="19"/>
        <v>3.6649159130306704E-2</v>
      </c>
      <c r="X115" s="21">
        <v>0.84474953677248688</v>
      </c>
      <c r="Y115" s="21">
        <f t="shared" si="20"/>
        <v>30.136994441269845</v>
      </c>
      <c r="Z115" s="2">
        <f t="shared" si="21"/>
        <v>3.4070690984940838E-2</v>
      </c>
    </row>
    <row r="116" spans="1:26">
      <c r="A116" s="1">
        <v>31.3</v>
      </c>
      <c r="B116" s="1">
        <f t="shared" si="11"/>
        <v>304.45</v>
      </c>
      <c r="C116" s="4">
        <f>ROUND(10000*EXP(($AB$4)+($AC$4/B116)+($AD$4/(B116^2))+($AE$4/(B116^3))),6)</f>
        <v>7627.2438469999997</v>
      </c>
      <c r="D116" s="4">
        <f>((C116+2*$AC$5)*$AC$6)/((C116+2*$AC$5)+$AC$6)</f>
        <v>1995.4645596649773</v>
      </c>
      <c r="E116" s="4">
        <f t="shared" si="12"/>
        <v>1.9954645596649774</v>
      </c>
      <c r="F116" s="24">
        <v>9.9990399102947171E-4</v>
      </c>
      <c r="G116" s="6">
        <v>1.9938004888245171</v>
      </c>
      <c r="H116" s="2">
        <f t="shared" si="13"/>
        <v>8.3392653224553315E-4</v>
      </c>
      <c r="I116" s="5">
        <f>G116/F116</f>
        <v>1993.9919299369521</v>
      </c>
      <c r="J116" s="2">
        <f>ABS(D116-I116)/I116</f>
        <v>7.3853344435135355E-4</v>
      </c>
      <c r="K116" s="1">
        <f>$AD$10*B116+$AD$11</f>
        <v>1984.3685554387475</v>
      </c>
      <c r="L116" s="2">
        <f>ABS(K116-D116)/D116</f>
        <v>5.5606120251480099E-3</v>
      </c>
      <c r="M116" s="21">
        <f>K116*F116</f>
        <v>1.9841780382565912</v>
      </c>
      <c r="N116" s="2">
        <f>ABS(M116-G116)/M116</f>
        <v>4.8495903000623352E-3</v>
      </c>
      <c r="O116" s="21">
        <f t="shared" si="14"/>
        <v>9.6224505679258776E-3</v>
      </c>
      <c r="P116" s="25">
        <f>$AD$18*B116+$AD$19</f>
        <v>0.94166666666666643</v>
      </c>
      <c r="Q116" s="25">
        <f>$AD$29*G116+$AD$30</f>
        <v>0.90752832406974093</v>
      </c>
      <c r="R116" s="25">
        <f t="shared" si="15"/>
        <v>3.4138342596925497E-2</v>
      </c>
      <c r="S116" s="26">
        <v>0.84675599334134843</v>
      </c>
      <c r="T116" s="26">
        <f t="shared" si="16"/>
        <v>9.4910673325317996E-2</v>
      </c>
      <c r="U116" s="27">
        <f t="shared" si="17"/>
        <v>0.1007900955667094</v>
      </c>
      <c r="V116" s="28">
        <f t="shared" si="18"/>
        <v>30.161071920096177</v>
      </c>
      <c r="W116" s="27">
        <f t="shared" si="19"/>
        <v>3.6387478591176484E-2</v>
      </c>
      <c r="X116" s="21">
        <v>0.85343862335987219</v>
      </c>
      <c r="Y116" s="21">
        <f t="shared" si="20"/>
        <v>30.241263480318466</v>
      </c>
      <c r="Z116" s="2">
        <f t="shared" si="21"/>
        <v>3.382544791314808E-2</v>
      </c>
    </row>
    <row r="117" spans="1:26">
      <c r="A117" s="1">
        <v>31.4</v>
      </c>
      <c r="B117" s="1">
        <f t="shared" si="11"/>
        <v>304.54999999999995</v>
      </c>
      <c r="C117" s="4">
        <f>ROUND(10000*EXP(($AB$4)+($AC$4/B117)+($AD$4/(B117^2))+($AE$4/(B117^3))),6)</f>
        <v>7595.1180279999999</v>
      </c>
      <c r="D117" s="4">
        <f>((C117+2*$AC$5)*$AC$6)/((C117+2*$AC$5)+$AC$6)</f>
        <v>1993.2703261163304</v>
      </c>
      <c r="E117" s="4">
        <f t="shared" si="12"/>
        <v>1.9932703261163305</v>
      </c>
      <c r="F117" s="24">
        <v>9.9990399102947171E-4</v>
      </c>
      <c r="G117" s="6">
        <v>1.9916691561782145</v>
      </c>
      <c r="H117" s="2">
        <f t="shared" si="13"/>
        <v>8.0328790186511825E-4</v>
      </c>
      <c r="I117" s="5">
        <f>G117/F117</f>
        <v>1991.8603926439482</v>
      </c>
      <c r="J117" s="2">
        <f>ABS(D117-I117)/I117</f>
        <v>7.0784753669940871E-4</v>
      </c>
      <c r="K117" s="1">
        <f>$AD$10*B117+$AD$11</f>
        <v>1982.0194435198746</v>
      </c>
      <c r="L117" s="2">
        <f>ABS(K117-D117)/D117</f>
        <v>5.6444338979233606E-3</v>
      </c>
      <c r="M117" s="21">
        <f>K117*F117</f>
        <v>1.9818291518735351</v>
      </c>
      <c r="N117" s="2">
        <f>ABS(M117-G117)/M117</f>
        <v>4.9651123031352312E-3</v>
      </c>
      <c r="O117" s="21">
        <f t="shared" si="14"/>
        <v>9.8400043046793506E-3</v>
      </c>
      <c r="P117" s="25">
        <f>$AD$18*B117+$AD$19</f>
        <v>0.94999999999999929</v>
      </c>
      <c r="Q117" s="25">
        <f>$AD$29*G117+$AD$30</f>
        <v>0.9150898244956327</v>
      </c>
      <c r="R117" s="25">
        <f t="shared" si="15"/>
        <v>3.4910175504366592E-2</v>
      </c>
      <c r="S117" s="26">
        <v>0.85461637189990636</v>
      </c>
      <c r="T117" s="26">
        <f t="shared" si="16"/>
        <v>9.5383628100092932E-2</v>
      </c>
      <c r="U117" s="27">
        <f t="shared" si="17"/>
        <v>0.10040381905272948</v>
      </c>
      <c r="V117" s="28">
        <f t="shared" si="18"/>
        <v>30.255396462798878</v>
      </c>
      <c r="W117" s="27">
        <f t="shared" si="19"/>
        <v>3.6452341949080286E-2</v>
      </c>
      <c r="X117" s="21">
        <v>0.86128062284332452</v>
      </c>
      <c r="Y117" s="21">
        <f t="shared" si="20"/>
        <v>30.335367474119895</v>
      </c>
      <c r="Z117" s="2">
        <f t="shared" si="21"/>
        <v>3.3905494454780367E-2</v>
      </c>
    </row>
    <row r="118" spans="1:26">
      <c r="A118" s="1">
        <v>31.5</v>
      </c>
      <c r="B118" s="1">
        <f t="shared" si="11"/>
        <v>304.64999999999998</v>
      </c>
      <c r="C118" s="4">
        <f>ROUND(10000*EXP(($AB$4)+($AC$4/B118)+($AD$4/(B118^2))+($AE$4/(B118^3))),6)</f>
        <v>7563.1458050000001</v>
      </c>
      <c r="D118" s="4">
        <f>((C118+2*$AC$5)*$AC$6)/((C118+2*$AC$5)+$AC$6)</f>
        <v>1991.0729714193722</v>
      </c>
      <c r="E118" s="4">
        <f t="shared" si="12"/>
        <v>1.9910729714193722</v>
      </c>
      <c r="F118" s="24">
        <v>9.9990399102947171E-4</v>
      </c>
      <c r="G118" s="6">
        <v>1.9895310861272568</v>
      </c>
      <c r="H118" s="2">
        <f t="shared" si="13"/>
        <v>7.7439918789930001E-4</v>
      </c>
      <c r="I118" s="5">
        <f>G118/F118</f>
        <v>1989.7221172993761</v>
      </c>
      <c r="J118" s="2">
        <f>ABS(D118-I118)/I118</f>
        <v>6.7891596934627522E-4</v>
      </c>
      <c r="K118" s="1">
        <f>$AD$10*B118+$AD$11</f>
        <v>1979.6703316009998</v>
      </c>
      <c r="L118" s="2">
        <f>ABS(K118-D118)/D118</f>
        <v>5.7268819285130265E-3</v>
      </c>
      <c r="M118" s="21">
        <f>K118*F118</f>
        <v>1.9794802654904775</v>
      </c>
      <c r="N118" s="2">
        <f>ABS(M118-G118)/M118</f>
        <v>5.077504844075275E-3</v>
      </c>
      <c r="O118" s="21">
        <f t="shared" si="14"/>
        <v>1.0050820636779312E-2</v>
      </c>
      <c r="P118" s="25">
        <f>$AD$18*B118+$AD$19</f>
        <v>0.95833333333333215</v>
      </c>
      <c r="Q118" s="25">
        <f>$AD$29*G118+$AD$30</f>
        <v>0.9226752277544561</v>
      </c>
      <c r="R118" s="25">
        <f t="shared" si="15"/>
        <v>3.5658105578876054E-2</v>
      </c>
      <c r="S118" s="26">
        <v>0.86250159842550222</v>
      </c>
      <c r="T118" s="26">
        <f t="shared" si="16"/>
        <v>9.5831734907829924E-2</v>
      </c>
      <c r="U118" s="27">
        <f t="shared" si="17"/>
        <v>9.9998332077735702E-2</v>
      </c>
      <c r="V118" s="28">
        <f t="shared" si="18"/>
        <v>30.350019181106028</v>
      </c>
      <c r="W118" s="27">
        <f t="shared" si="19"/>
        <v>3.6507327583935635E-2</v>
      </c>
      <c r="X118" s="21">
        <v>0.8691496034890458</v>
      </c>
      <c r="Y118" s="21">
        <f t="shared" si="20"/>
        <v>30.42979524186855</v>
      </c>
      <c r="Z118" s="2">
        <f t="shared" si="21"/>
        <v>3.3974754226395225E-2</v>
      </c>
    </row>
    <row r="119" spans="1:26">
      <c r="A119" s="1">
        <v>31.6</v>
      </c>
      <c r="B119" s="1">
        <f t="shared" si="11"/>
        <v>304.75</v>
      </c>
      <c r="C119" s="4">
        <f>ROUND(10000*EXP(($AB$4)+($AC$4/B119)+($AD$4/(B119^2))+($AE$4/(B119^3))),6)</f>
        <v>7531.3263649999999</v>
      </c>
      <c r="D119" s="4">
        <f>((C119+2*$AC$5)*$AC$6)/((C119+2*$AC$5)+$AC$6)</f>
        <v>1988.8725087429209</v>
      </c>
      <c r="E119" s="4">
        <f t="shared" si="12"/>
        <v>1.9888725087429209</v>
      </c>
      <c r="F119" s="24">
        <v>9.9990399102947171E-4</v>
      </c>
      <c r="G119" s="6">
        <v>1.9871482879231697</v>
      </c>
      <c r="H119" s="2">
        <f t="shared" si="13"/>
        <v>8.6693380906602919E-4</v>
      </c>
      <c r="I119" s="5">
        <f>G119/F119</f>
        <v>1987.3390903033203</v>
      </c>
      <c r="J119" s="2">
        <f>ABS(D119-I119)/I119</f>
        <v>7.7159375925452633E-4</v>
      </c>
      <c r="K119" s="1">
        <f>$AD$10*B119+$AD$11</f>
        <v>1977.321219682125</v>
      </c>
      <c r="L119" s="2">
        <f>ABS(K119-D119)/D119</f>
        <v>5.8079585343038982E-3</v>
      </c>
      <c r="M119" s="21">
        <f>K119*F119</f>
        <v>1.9771313791074197</v>
      </c>
      <c r="N119" s="2">
        <f>ABS(M119-G119)/M119</f>
        <v>5.0663850271154814E-3</v>
      </c>
      <c r="O119" s="21">
        <f t="shared" si="14"/>
        <v>1.0016908815750014E-2</v>
      </c>
      <c r="P119" s="25">
        <f>$AD$18*B119+$AD$19</f>
        <v>0.96666666666666856</v>
      </c>
      <c r="Q119" s="25">
        <f>$AD$29*G119+$AD$30</f>
        <v>0.93112887278554712</v>
      </c>
      <c r="R119" s="25">
        <f t="shared" si="15"/>
        <v>3.5537793881121438E-2</v>
      </c>
      <c r="S119" s="26">
        <v>0.87128938525277333</v>
      </c>
      <c r="T119" s="26">
        <f t="shared" si="16"/>
        <v>9.5377281413895232E-2</v>
      </c>
      <c r="U119" s="27">
        <f t="shared" si="17"/>
        <v>9.866615318678798E-2</v>
      </c>
      <c r="V119" s="28">
        <f t="shared" si="18"/>
        <v>30.455472623033277</v>
      </c>
      <c r="W119" s="27">
        <f t="shared" si="19"/>
        <v>3.6219220790086222E-2</v>
      </c>
      <c r="X119" s="21">
        <v>0.87878591088776248</v>
      </c>
      <c r="Y119" s="21">
        <f t="shared" si="20"/>
        <v>30.545430930653151</v>
      </c>
      <c r="Z119" s="2">
        <f t="shared" si="21"/>
        <v>3.3372438903381353E-2</v>
      </c>
    </row>
    <row r="120" spans="1:26">
      <c r="A120" s="1">
        <v>31.7</v>
      </c>
      <c r="B120" s="1">
        <f t="shared" si="11"/>
        <v>304.84999999999997</v>
      </c>
      <c r="C120" s="4">
        <f>ROUND(10000*EXP(($AB$4)+($AC$4/B120)+($AD$4/(B120^2))+($AE$4/(B120^3))),6)</f>
        <v>7499.6588940000001</v>
      </c>
      <c r="D120" s="4">
        <f>((C120+2*$AC$5)*$AC$6)/((C120+2*$AC$5)+$AC$6)</f>
        <v>1986.668950929469</v>
      </c>
      <c r="E120" s="4">
        <f t="shared" si="12"/>
        <v>1.986668950929469</v>
      </c>
      <c r="F120" s="24">
        <v>9.9990399102947171E-4</v>
      </c>
      <c r="G120" s="6">
        <v>1.9849952469725238</v>
      </c>
      <c r="H120" s="2">
        <f t="shared" si="13"/>
        <v>8.4246746603764495E-4</v>
      </c>
      <c r="I120" s="5">
        <f>G120/F120</f>
        <v>1985.1858426215813</v>
      </c>
      <c r="J120" s="2">
        <f>ABS(D120-I120)/I120</f>
        <v>7.4708789275324526E-4</v>
      </c>
      <c r="K120" s="1">
        <f>$AD$10*B120+$AD$11</f>
        <v>1974.9721077632521</v>
      </c>
      <c r="L120" s="2">
        <f>ABS(K120-D120)/D120</f>
        <v>5.8876659650539762E-3</v>
      </c>
      <c r="M120" s="21">
        <f>K120*F120</f>
        <v>1.9747824927243636</v>
      </c>
      <c r="N120" s="2">
        <f>ABS(M120-G120)/M120</f>
        <v>5.1715843571567138E-3</v>
      </c>
      <c r="O120" s="21">
        <f t="shared" si="14"/>
        <v>1.0212754248160261E-2</v>
      </c>
      <c r="P120" s="25">
        <f>$AD$18*B120+$AD$19</f>
        <v>0.97499999999999787</v>
      </c>
      <c r="Q120" s="25">
        <f>$AD$29*G120+$AD$30</f>
        <v>0.93876738951052285</v>
      </c>
      <c r="R120" s="25">
        <f t="shared" si="15"/>
        <v>3.6232610489475015E-2</v>
      </c>
      <c r="S120" s="26">
        <v>0.87922982456832621</v>
      </c>
      <c r="T120" s="26">
        <f t="shared" si="16"/>
        <v>9.5770175431671656E-2</v>
      </c>
      <c r="U120" s="27">
        <f t="shared" si="17"/>
        <v>9.8225820955560886E-2</v>
      </c>
      <c r="V120" s="28">
        <f t="shared" si="18"/>
        <v>30.550757894819913</v>
      </c>
      <c r="W120" s="27">
        <f t="shared" si="19"/>
        <v>3.6253694169718804E-2</v>
      </c>
      <c r="X120" s="21">
        <v>0.88670672333666789</v>
      </c>
      <c r="Y120" s="21">
        <f t="shared" si="20"/>
        <v>30.640480680040017</v>
      </c>
      <c r="Z120" s="2">
        <f t="shared" si="21"/>
        <v>3.3423322396213942E-2</v>
      </c>
    </row>
    <row r="121" spans="1:26">
      <c r="A121" s="1">
        <v>31.8</v>
      </c>
      <c r="B121" s="1">
        <f t="shared" si="11"/>
        <v>304.95</v>
      </c>
      <c r="C121" s="4">
        <f>ROUND(10000*EXP(($AB$4)+($AC$4/B121)+($AD$4/(B121^2))+($AE$4/(B121^3))),6)</f>
        <v>7468.1425870000003</v>
      </c>
      <c r="D121" s="4">
        <f>((C121+2*$AC$5)*$AC$6)/((C121+2*$AC$5)+$AC$6)</f>
        <v>1984.4623111869294</v>
      </c>
      <c r="E121" s="4">
        <f t="shared" si="12"/>
        <v>1.9844623111869295</v>
      </c>
      <c r="F121" s="24">
        <v>9.9990399102947171E-4</v>
      </c>
      <c r="G121" s="6">
        <v>1.9828349090005939</v>
      </c>
      <c r="H121" s="2">
        <f t="shared" si="13"/>
        <v>8.2007210575959285E-4</v>
      </c>
      <c r="I121" s="5">
        <f>G121/F121</f>
        <v>1983.0252972179114</v>
      </c>
      <c r="J121" s="2">
        <f>ABS(D121-I121)/I121</f>
        <v>7.2465740655653103E-4</v>
      </c>
      <c r="K121" s="1">
        <f>$AD$10*B121+$AD$11</f>
        <v>1972.6229958443782</v>
      </c>
      <c r="L121" s="2">
        <f>ABS(K121-D121)/D121</f>
        <v>5.966006648657333E-3</v>
      </c>
      <c r="M121" s="21">
        <f>K121*F121</f>
        <v>1.9724336063413068</v>
      </c>
      <c r="N121" s="2">
        <f>ABS(M121-G121)/M121</f>
        <v>5.2733347403163466E-3</v>
      </c>
      <c r="O121" s="21">
        <f t="shared" si="14"/>
        <v>1.0401302659287071E-2</v>
      </c>
      <c r="P121" s="25">
        <f>$AD$18*B121+$AD$19</f>
        <v>0.98333333333333428</v>
      </c>
      <c r="Q121" s="25">
        <f>$AD$29*G121+$AD$30</f>
        <v>0.94643179446540238</v>
      </c>
      <c r="R121" s="25">
        <f t="shared" si="15"/>
        <v>3.6901538867931905E-2</v>
      </c>
      <c r="S121" s="26">
        <v>0.88719717552982913</v>
      </c>
      <c r="T121" s="26">
        <f t="shared" si="16"/>
        <v>9.6136157803505151E-2</v>
      </c>
      <c r="U121" s="27">
        <f t="shared" si="17"/>
        <v>9.7765584206954304E-2</v>
      </c>
      <c r="V121" s="28">
        <f t="shared" si="18"/>
        <v>30.646366106357945</v>
      </c>
      <c r="W121" s="27">
        <f t="shared" si="19"/>
        <v>3.6277795397548919E-2</v>
      </c>
      <c r="X121" s="21">
        <v>0.89465435198933063</v>
      </c>
      <c r="Y121" s="21">
        <f t="shared" si="20"/>
        <v>30.735852223871966</v>
      </c>
      <c r="Z121" s="2">
        <f t="shared" si="21"/>
        <v>3.3463766544906758E-2</v>
      </c>
    </row>
    <row r="122" spans="1:26">
      <c r="A122" s="1">
        <v>31.9</v>
      </c>
      <c r="B122" s="1">
        <f t="shared" si="11"/>
        <v>305.04999999999995</v>
      </c>
      <c r="C122" s="4">
        <f>ROUND(10000*EXP(($AB$4)+($AC$4/B122)+($AD$4/(B122^2))+($AE$4/(B122^3))),6)</f>
        <v>7436.7766430000001</v>
      </c>
      <c r="D122" s="4">
        <f>((C122+2*$AC$5)*$AC$6)/((C122+2*$AC$5)+$AC$6)</f>
        <v>1982.2526027463412</v>
      </c>
      <c r="E122" s="4">
        <f t="shared" si="12"/>
        <v>1.9822526027463412</v>
      </c>
      <c r="F122" s="24">
        <v>9.9990399102947171E-4</v>
      </c>
      <c r="G122" s="6">
        <v>1.9806679036906178</v>
      </c>
      <c r="H122" s="2">
        <f t="shared" si="13"/>
        <v>7.9944354898452033E-4</v>
      </c>
      <c r="I122" s="5">
        <f>G122/F122</f>
        <v>1980.8580838360097</v>
      </c>
      <c r="J122" s="2">
        <f>ABS(D122-I122)/I122</f>
        <v>7.0399738462381819E-4</v>
      </c>
      <c r="K122" s="1">
        <f>$AD$10*B122+$AD$11</f>
        <v>1970.2738839255044</v>
      </c>
      <c r="L122" s="2">
        <f>ABS(K122-D122)/D122</f>
        <v>6.0429830205497937E-3</v>
      </c>
      <c r="M122" s="21">
        <f>K122*F122</f>
        <v>1.9700847199582499</v>
      </c>
      <c r="N122" s="2">
        <f>ABS(M122-G122)/M122</f>
        <v>5.3719434627117332E-3</v>
      </c>
      <c r="O122" s="21">
        <f t="shared" si="14"/>
        <v>1.0583183732367996E-2</v>
      </c>
      <c r="P122" s="25">
        <f>$AD$18*B122+$AD$19</f>
        <v>0.99166666666666359</v>
      </c>
      <c r="Q122" s="25">
        <f>$AD$29*G122+$AD$30</f>
        <v>0.95411985367226393</v>
      </c>
      <c r="R122" s="25">
        <f t="shared" si="15"/>
        <v>3.7546812994399659E-2</v>
      </c>
      <c r="S122" s="26">
        <v>0.89518911563727832</v>
      </c>
      <c r="T122" s="26">
        <f t="shared" si="16"/>
        <v>9.6477551029385267E-2</v>
      </c>
      <c r="U122" s="27">
        <f t="shared" si="17"/>
        <v>9.7288286752321582E-2</v>
      </c>
      <c r="V122" s="28">
        <f t="shared" si="18"/>
        <v>30.742269387647337</v>
      </c>
      <c r="W122" s="27">
        <f t="shared" si="19"/>
        <v>3.6292495685036424E-2</v>
      </c>
      <c r="X122" s="21">
        <v>0.90262874173329077</v>
      </c>
      <c r="Y122" s="21">
        <f t="shared" si="20"/>
        <v>30.831544900799493</v>
      </c>
      <c r="Z122" s="2">
        <f t="shared" si="21"/>
        <v>3.3493890257069149E-2</v>
      </c>
    </row>
    <row r="123" spans="1:26">
      <c r="A123" s="1">
        <v>32</v>
      </c>
      <c r="B123" s="1">
        <f t="shared" si="11"/>
        <v>305.14999999999998</v>
      </c>
      <c r="C123" s="4">
        <f>ROUND(10000*EXP(($AB$4)+($AC$4/B123)+($AD$4/(B123^2))+($AE$4/(B123^3))),6)</f>
        <v>7405.5602630000003</v>
      </c>
      <c r="D123" s="4">
        <f>((C123+2*$AC$5)*$AC$6)/((C123+2*$AC$5)+$AC$6)</f>
        <v>1980.0398387199846</v>
      </c>
      <c r="E123" s="4">
        <f t="shared" si="12"/>
        <v>1.9800398387199847</v>
      </c>
      <c r="F123" s="24">
        <v>9.9990399102947171E-4</v>
      </c>
      <c r="G123" s="6">
        <v>1.9782572786904051</v>
      </c>
      <c r="H123" s="2">
        <f t="shared" si="13"/>
        <v>9.0026472938640578E-4</v>
      </c>
      <c r="I123" s="5">
        <f>G123/F123</f>
        <v>1978.4472273719496</v>
      </c>
      <c r="J123" s="2">
        <f>ABS(D123-I123)/I123</f>
        <v>8.0498045436902359E-4</v>
      </c>
      <c r="K123" s="1">
        <f>$AD$10*B123+$AD$11</f>
        <v>1967.9247720066305</v>
      </c>
      <c r="L123" s="2">
        <f>ABS(K123-D123)/D123</f>
        <v>6.1185974526583023E-3</v>
      </c>
      <c r="M123" s="21">
        <f>K123*F123</f>
        <v>1.9677358335751931</v>
      </c>
      <c r="N123" s="2">
        <f>ABS(M123-G123)/M123</f>
        <v>5.3469804918353991E-3</v>
      </c>
      <c r="O123" s="21">
        <f t="shared" si="14"/>
        <v>1.0521445115212025E-2</v>
      </c>
      <c r="P123" s="25">
        <f>$AD$18*B123+$AD$19</f>
        <v>1</v>
      </c>
      <c r="Q123" s="25">
        <f>$AD$29*G123+$AD$30</f>
        <v>0.96267222206834457</v>
      </c>
      <c r="R123" s="25">
        <f t="shared" si="15"/>
        <v>3.7327777931655426E-2</v>
      </c>
      <c r="S123" s="26">
        <v>0.90407952779774536</v>
      </c>
      <c r="T123" s="26">
        <f t="shared" si="16"/>
        <v>9.5920472202254636E-2</v>
      </c>
      <c r="U123" s="27">
        <f t="shared" si="17"/>
        <v>9.5920472202254636E-2</v>
      </c>
      <c r="V123" s="28">
        <f t="shared" si="18"/>
        <v>30.848954333572944</v>
      </c>
      <c r="W123" s="27">
        <f t="shared" si="19"/>
        <v>3.5970177075845489E-2</v>
      </c>
      <c r="X123" s="21">
        <v>0.9114960935847799</v>
      </c>
      <c r="Y123" s="21">
        <f t="shared" si="20"/>
        <v>30.937953123017358</v>
      </c>
      <c r="Z123" s="2">
        <f t="shared" si="21"/>
        <v>3.3188964905707552E-2</v>
      </c>
    </row>
    <row r="124" spans="1:26">
      <c r="A124" s="1">
        <v>32.1</v>
      </c>
      <c r="B124" s="1">
        <f t="shared" si="11"/>
        <v>305.25</v>
      </c>
      <c r="C124" s="4">
        <f>ROUND(10000*EXP(($AB$4)+($AC$4/B124)+($AD$4/(B124^2))+($AE$4/(B124^3))),6)</f>
        <v>7374.4926560000004</v>
      </c>
      <c r="D124" s="4">
        <f>((C124+2*$AC$5)*$AC$6)/((C124+2*$AC$5)+$AC$6)</f>
        <v>1977.8240325265931</v>
      </c>
      <c r="E124" s="4">
        <f t="shared" si="12"/>
        <v>1.9778240325265932</v>
      </c>
      <c r="F124" s="24">
        <v>9.9990399102947171E-4</v>
      </c>
      <c r="G124" s="6">
        <v>1.9760754127648115</v>
      </c>
      <c r="H124" s="2">
        <f t="shared" si="13"/>
        <v>8.8411291046350661E-4</v>
      </c>
      <c r="I124" s="5">
        <f>G124/F124</f>
        <v>1976.265151947541</v>
      </c>
      <c r="J124" s="2">
        <f>ABS(D124-I124)/I124</f>
        <v>7.8880132937420174E-4</v>
      </c>
      <c r="K124" s="1">
        <f>$AD$10*B124+$AD$11</f>
        <v>1965.5756600877558</v>
      </c>
      <c r="L124" s="2">
        <f>ABS(K124-D124)/D124</f>
        <v>6.1928524668549666E-3</v>
      </c>
      <c r="M124" s="21">
        <f>K124*F124</f>
        <v>1.9653869471921352</v>
      </c>
      <c r="N124" s="2">
        <f>ABS(M124-G124)/M124</f>
        <v>5.438351764748604E-3</v>
      </c>
      <c r="O124" s="21">
        <f t="shared" si="14"/>
        <v>1.068846557267622E-2</v>
      </c>
      <c r="P124" s="25">
        <f>$AD$18*B124+$AD$19</f>
        <v>1.0083333333333364</v>
      </c>
      <c r="Q124" s="25">
        <f>$AD$29*G124+$AD$30</f>
        <v>0.97041300347768189</v>
      </c>
      <c r="R124" s="25">
        <f t="shared" si="15"/>
        <v>3.7920329855654522E-2</v>
      </c>
      <c r="S124" s="26">
        <v>0.91212627400875235</v>
      </c>
      <c r="T124" s="26">
        <f t="shared" si="16"/>
        <v>9.6207059324584066E-2</v>
      </c>
      <c r="U124" s="27">
        <f t="shared" si="17"/>
        <v>9.5411959660744242E-2</v>
      </c>
      <c r="V124" s="28">
        <f t="shared" si="18"/>
        <v>30.945515288105028</v>
      </c>
      <c r="W124" s="27">
        <f t="shared" si="19"/>
        <v>3.5965255822273307E-2</v>
      </c>
      <c r="X124" s="21">
        <v>0.91952284825432851</v>
      </c>
      <c r="Y124" s="21">
        <f t="shared" si="20"/>
        <v>31.034274179051945</v>
      </c>
      <c r="Z124" s="2">
        <f t="shared" si="21"/>
        <v>3.3200181337945688E-2</v>
      </c>
    </row>
    <row r="125" spans="1:26">
      <c r="A125" s="1">
        <v>32.200000000000003</v>
      </c>
      <c r="B125" s="1">
        <f t="shared" si="11"/>
        <v>305.34999999999997</v>
      </c>
      <c r="C125" s="4">
        <f>ROUND(10000*EXP(($AB$4)+($AC$4/B125)+($AD$4/(B125^2))+($AE$4/(B125^3))),6)</f>
        <v>7343.5730329999997</v>
      </c>
      <c r="D125" s="4">
        <f>((C125+2*$AC$5)*$AC$6)/((C125+2*$AC$5)+$AC$6)</f>
        <v>1975.6051974686352</v>
      </c>
      <c r="E125" s="4">
        <f t="shared" si="12"/>
        <v>1.9756051974686353</v>
      </c>
      <c r="F125" s="24">
        <v>9.9990399102947171E-4</v>
      </c>
      <c r="G125" s="6">
        <v>1.9738863104765203</v>
      </c>
      <c r="H125" s="2">
        <f t="shared" si="13"/>
        <v>8.7005591720319686E-4</v>
      </c>
      <c r="I125" s="5">
        <f>G125/F125</f>
        <v>1974.0758394656123</v>
      </c>
      <c r="J125" s="2">
        <f>ABS(D125-I125)/I125</f>
        <v>7.7472099726266666E-4</v>
      </c>
      <c r="K125" s="1">
        <f>$AD$10*B125+$AD$11</f>
        <v>1963.2265481688828</v>
      </c>
      <c r="L125" s="2">
        <f>ABS(K125-D125)/D125</f>
        <v>6.2657505232388017E-3</v>
      </c>
      <c r="M125" s="21">
        <f>K125*F125</f>
        <v>1.9630380608090794</v>
      </c>
      <c r="N125" s="2">
        <f>ABS(M125-G125)/M125</f>
        <v>5.5262553915891638E-3</v>
      </c>
      <c r="O125" s="21">
        <f t="shared" si="14"/>
        <v>1.0848249667440912E-2</v>
      </c>
      <c r="P125" s="25">
        <f>$AD$18*B125+$AD$19</f>
        <v>1.0166666666666657</v>
      </c>
      <c r="Q125" s="25">
        <f>$AD$29*G125+$AD$30</f>
        <v>0.97817945791357186</v>
      </c>
      <c r="R125" s="25">
        <f t="shared" si="15"/>
        <v>3.848720875309386E-2</v>
      </c>
      <c r="S125" s="26">
        <v>0.92019970807031926</v>
      </c>
      <c r="T125" s="26">
        <f t="shared" si="16"/>
        <v>9.6466958596346464E-2</v>
      </c>
      <c r="U125" s="27">
        <f t="shared" si="17"/>
        <v>9.4885533045586778E-2</v>
      </c>
      <c r="V125" s="28">
        <f t="shared" si="18"/>
        <v>31.042396496843832</v>
      </c>
      <c r="W125" s="27">
        <f t="shared" si="19"/>
        <v>3.5950419352676108E-2</v>
      </c>
      <c r="X125" s="21">
        <v>0.92757619430936622</v>
      </c>
      <c r="Y125" s="21">
        <f t="shared" si="20"/>
        <v>31.130914331712397</v>
      </c>
      <c r="Z125" s="2">
        <f t="shared" si="21"/>
        <v>3.3201418269801428E-2</v>
      </c>
    </row>
    <row r="126" spans="1:26">
      <c r="A126" s="1">
        <v>32.299999999999997</v>
      </c>
      <c r="B126" s="1">
        <f t="shared" si="11"/>
        <v>305.45</v>
      </c>
      <c r="C126" s="4">
        <f>ROUND(10000*EXP(($AB$4)+($AC$4/B126)+($AD$4/(B126^2))+($AE$4/(B126^3))),6)</f>
        <v>7312.8006109999997</v>
      </c>
      <c r="D126" s="4">
        <f>((C126+2*$AC$5)*$AC$6)/((C126+2*$AC$5)+$AC$6)</f>
        <v>1973.3833470180587</v>
      </c>
      <c r="E126" s="4">
        <f t="shared" si="12"/>
        <v>1.9733833470180586</v>
      </c>
      <c r="F126" s="24">
        <v>9.9990399102947171E-4</v>
      </c>
      <c r="G126" s="6">
        <v>1.9716906131315763</v>
      </c>
      <c r="H126" s="2">
        <f t="shared" si="13"/>
        <v>8.5778259406117706E-4</v>
      </c>
      <c r="I126" s="5">
        <f>G126/F126</f>
        <v>1971.8799312937851</v>
      </c>
      <c r="J126" s="2">
        <f>ABS(D126-I126)/I126</f>
        <v>7.6242762067520588E-4</v>
      </c>
      <c r="K126" s="1">
        <f>$AD$10*B126+$AD$11</f>
        <v>1960.877436250008</v>
      </c>
      <c r="L126" s="2">
        <f>ABS(K126-D126)/D126</f>
        <v>6.3372941638268438E-3</v>
      </c>
      <c r="M126" s="21">
        <f>K126*F126</f>
        <v>1.9606891744260215</v>
      </c>
      <c r="N126" s="2">
        <f>ABS(M126-G126)/M126</f>
        <v>5.6110059916944293E-3</v>
      </c>
      <c r="O126" s="21">
        <f t="shared" si="14"/>
        <v>1.1001438705554811E-2</v>
      </c>
      <c r="P126" s="25">
        <f>$AD$18*B126+$AD$19</f>
        <v>1.0250000000000021</v>
      </c>
      <c r="Q126" s="25">
        <f>$AD$29*G126+$AD$30</f>
        <v>0.98596931016292544</v>
      </c>
      <c r="R126" s="25">
        <f t="shared" si="15"/>
        <v>3.9030689837076693E-2</v>
      </c>
      <c r="S126" s="26">
        <v>0.92829746470979979</v>
      </c>
      <c r="T126" s="26">
        <f t="shared" si="16"/>
        <v>9.6702535290202341E-2</v>
      </c>
      <c r="U126" s="27">
        <f t="shared" si="17"/>
        <v>9.4343936868489894E-2</v>
      </c>
      <c r="V126" s="28">
        <f t="shared" si="18"/>
        <v>31.139569576517594</v>
      </c>
      <c r="W126" s="27">
        <f t="shared" si="19"/>
        <v>3.5926638497907212E-2</v>
      </c>
      <c r="X126" s="21">
        <v>0.93565607463144485</v>
      </c>
      <c r="Y126" s="21">
        <f t="shared" si="20"/>
        <v>31.227872895577342</v>
      </c>
      <c r="Z126" s="2">
        <f t="shared" si="21"/>
        <v>3.3192789610608529E-2</v>
      </c>
    </row>
    <row r="127" spans="1:26">
      <c r="A127" s="1">
        <v>32.4</v>
      </c>
      <c r="B127" s="1">
        <f t="shared" si="11"/>
        <v>305.54999999999995</v>
      </c>
      <c r="C127" s="4">
        <f>ROUND(10000*EXP(($AB$4)+($AC$4/B127)+($AD$4/(B127^2))+($AE$4/(B127^3))),6)</f>
        <v>7282.1746119999998</v>
      </c>
      <c r="D127" s="4">
        <f>((C127+2*$AC$5)*$AC$6)/((C127+2*$AC$5)+$AC$6)</f>
        <v>1971.158494748342</v>
      </c>
      <c r="E127" s="4">
        <f t="shared" si="12"/>
        <v>1.971158494748342</v>
      </c>
      <c r="F127" s="24">
        <v>9.9990399102947171E-4</v>
      </c>
      <c r="G127" s="6">
        <v>1.969487090852132</v>
      </c>
      <c r="H127" s="2">
        <f t="shared" si="13"/>
        <v>8.4792973302910332E-4</v>
      </c>
      <c r="I127" s="5">
        <f>G127/F127</f>
        <v>1969.676197436122</v>
      </c>
      <c r="J127" s="2">
        <f>ABS(D127-I127)/I127</f>
        <v>7.5255887955059182E-4</v>
      </c>
      <c r="K127" s="1">
        <f>$AD$10*B127+$AD$11</f>
        <v>1958.5283243311351</v>
      </c>
      <c r="L127" s="2">
        <f>ABS(K127-D127)/D127</f>
        <v>6.4074859788580572E-3</v>
      </c>
      <c r="M127" s="21">
        <f>K127*F127</f>
        <v>1.9583402880429657</v>
      </c>
      <c r="N127" s="2">
        <f>ABS(M127-G127)/M127</f>
        <v>5.691964199084994E-3</v>
      </c>
      <c r="O127" s="21">
        <f t="shared" si="14"/>
        <v>1.1146802809166356E-2</v>
      </c>
      <c r="P127" s="25">
        <f>$AD$18*B127+$AD$19</f>
        <v>1.0333333333333314</v>
      </c>
      <c r="Q127" s="25">
        <f>$AD$29*G127+$AD$30</f>
        <v>0.99378692356240261</v>
      </c>
      <c r="R127" s="25">
        <f t="shared" si="15"/>
        <v>3.9546409770928825E-2</v>
      </c>
      <c r="S127" s="26">
        <v>0.93642407970842423</v>
      </c>
      <c r="T127" s="26">
        <f t="shared" si="16"/>
        <v>9.690925362490721E-2</v>
      </c>
      <c r="U127" s="27">
        <f t="shared" si="17"/>
        <v>9.3783148669265209E-2</v>
      </c>
      <c r="V127" s="28">
        <f t="shared" si="18"/>
        <v>31.237088956501086</v>
      </c>
      <c r="W127" s="27">
        <f t="shared" si="19"/>
        <v>3.5892316157373837E-2</v>
      </c>
      <c r="X127" s="21">
        <v>0.94376243143645377</v>
      </c>
      <c r="Y127" s="21">
        <f t="shared" si="20"/>
        <v>31.325149177237449</v>
      </c>
      <c r="Z127" s="2">
        <f t="shared" si="21"/>
        <v>3.3174408109955228E-2</v>
      </c>
    </row>
    <row r="128" spans="1:26">
      <c r="A128" s="1">
        <v>32.5</v>
      </c>
      <c r="B128" s="1">
        <f t="shared" si="11"/>
        <v>305.64999999999998</v>
      </c>
      <c r="C128" s="4">
        <f>ROUND(10000*EXP(($AB$4)+($AC$4/B128)+($AD$4/(B128^2))+($AE$4/(B128^3))),6)</f>
        <v>7251.6942600000002</v>
      </c>
      <c r="D128" s="4">
        <f>((C128+2*$AC$5)*$AC$6)/((C128+2*$AC$5)+$AC$6)</f>
        <v>1968.9306541173476</v>
      </c>
      <c r="E128" s="4">
        <f t="shared" si="12"/>
        <v>1.9689306541173477</v>
      </c>
      <c r="F128" s="24">
        <v>9.9990399102947171E-4</v>
      </c>
      <c r="G128" s="6">
        <v>1.9670419689904195</v>
      </c>
      <c r="H128" s="2">
        <f t="shared" si="13"/>
        <v>9.5924410693624463E-4</v>
      </c>
      <c r="I128" s="5">
        <f>G128/F128</f>
        <v>1967.2308407982359</v>
      </c>
      <c r="J128" s="2">
        <f>ABS(D128-I128)/I128</f>
        <v>8.6406398469327569E-4</v>
      </c>
      <c r="K128" s="1">
        <f>$AD$10*B128+$AD$11</f>
        <v>1956.1792124122603</v>
      </c>
      <c r="L128" s="2">
        <f>ABS(K128-D128)/D128</f>
        <v>6.4763284976146569E-3</v>
      </c>
      <c r="M128" s="21">
        <f>K128*F128</f>
        <v>1.9559914016599078</v>
      </c>
      <c r="N128" s="2">
        <f>ABS(M128-G128)/M128</f>
        <v>5.6495991348090137E-3</v>
      </c>
      <c r="O128" s="21">
        <f t="shared" si="14"/>
        <v>1.1050567330511685E-2</v>
      </c>
      <c r="P128" s="25">
        <f>$AD$18*B128+$AD$19</f>
        <v>1.0416666666666679</v>
      </c>
      <c r="Q128" s="25">
        <f>$AD$29*G128+$AD$30</f>
        <v>1.0024616792514172</v>
      </c>
      <c r="R128" s="25">
        <f t="shared" si="15"/>
        <v>3.9204987415250692E-2</v>
      </c>
      <c r="S128" s="26">
        <v>0.94544171674428468</v>
      </c>
      <c r="T128" s="26">
        <f t="shared" si="16"/>
        <v>9.6224949922383174E-2</v>
      </c>
      <c r="U128" s="27">
        <f t="shared" si="17"/>
        <v>9.237595192548774E-2</v>
      </c>
      <c r="V128" s="28">
        <f t="shared" si="18"/>
        <v>31.345300600931413</v>
      </c>
      <c r="W128" s="27">
        <f t="shared" si="19"/>
        <v>3.5529212279033447E-2</v>
      </c>
      <c r="X128" s="21">
        <v>0.95275650354648911</v>
      </c>
      <c r="Y128" s="21">
        <f t="shared" si="20"/>
        <v>31.43307804255787</v>
      </c>
      <c r="Z128" s="2">
        <f t="shared" si="21"/>
        <v>3.28283679212963E-2</v>
      </c>
    </row>
    <row r="129" spans="1:26">
      <c r="A129" s="1">
        <v>32.6</v>
      </c>
      <c r="B129" s="1">
        <f t="shared" si="11"/>
        <v>305.75</v>
      </c>
      <c r="C129" s="4">
        <f>ROUND(10000*EXP(($AB$4)+($AC$4/B129)+($AD$4/(B129^2))+($AE$4/(B129^3))),6)</f>
        <v>7221.3587870000001</v>
      </c>
      <c r="D129" s="4">
        <f>((C129+2*$AC$5)*$AC$6)/((C129+2*$AC$5)+$AC$6)</f>
        <v>1966.6998389060352</v>
      </c>
      <c r="E129" s="4">
        <f t="shared" si="12"/>
        <v>1.9666998389060353</v>
      </c>
      <c r="F129" s="24">
        <v>9.9990399102947171E-4</v>
      </c>
      <c r="G129" s="6">
        <v>1.9648243532995577</v>
      </c>
      <c r="H129" s="2">
        <f t="shared" si="13"/>
        <v>9.5362066410742798E-4</v>
      </c>
      <c r="I129" s="5">
        <f>G129/F129</f>
        <v>1965.0130121759314</v>
      </c>
      <c r="J129" s="2">
        <f>ABS(D129-I129)/I129</f>
        <v>8.5843031046187201E-4</v>
      </c>
      <c r="K129" s="1">
        <f>$AD$10*B129+$AD$11</f>
        <v>1953.8301004933865</v>
      </c>
      <c r="L129" s="2">
        <f>ABS(K129-D129)/D129</f>
        <v>6.5438244098334148E-3</v>
      </c>
      <c r="M129" s="21">
        <f>K129*F129</f>
        <v>1.9536425152768508</v>
      </c>
      <c r="N129" s="2">
        <f>ABS(M129-G129)/M129</f>
        <v>5.7235845019078697E-3</v>
      </c>
      <c r="O129" s="21">
        <f t="shared" si="14"/>
        <v>1.1181838022706891E-2</v>
      </c>
      <c r="P129" s="25">
        <f>$AD$18*B129+$AD$19</f>
        <v>1.0500000000000007</v>
      </c>
      <c r="Q129" s="25">
        <f>$AD$29*G129+$AD$30</f>
        <v>1.0103292929812602</v>
      </c>
      <c r="R129" s="25">
        <f t="shared" si="15"/>
        <v>3.9670707018740536E-2</v>
      </c>
      <c r="S129" s="26">
        <v>0.95362030843306433</v>
      </c>
      <c r="T129" s="26">
        <f t="shared" si="16"/>
        <v>9.6379691566936376E-2</v>
      </c>
      <c r="U129" s="27">
        <f t="shared" si="17"/>
        <v>9.1790182444701246E-2</v>
      </c>
      <c r="V129" s="28">
        <f t="shared" si="18"/>
        <v>31.44344370119677</v>
      </c>
      <c r="W129" s="27">
        <f t="shared" si="19"/>
        <v>3.5477187079853714E-2</v>
      </c>
      <c r="X129" s="21">
        <v>0.96091464259846548</v>
      </c>
      <c r="Y129" s="21">
        <f t="shared" si="20"/>
        <v>31.53097571118159</v>
      </c>
      <c r="Z129" s="2">
        <f t="shared" si="21"/>
        <v>3.2792156098724282E-2</v>
      </c>
    </row>
    <row r="130" spans="1:26">
      <c r="A130" s="1">
        <v>32.700000000000003</v>
      </c>
      <c r="B130" s="1">
        <f t="shared" si="11"/>
        <v>305.84999999999997</v>
      </c>
      <c r="C130" s="4">
        <f>ROUND(10000*EXP(($AB$4)+($AC$4/B130)+($AD$4/(B130^2))+($AE$4/(B130^3))),6)</f>
        <v>7191.1674270000003</v>
      </c>
      <c r="D130" s="4">
        <f>((C130+2*$AC$5)*$AC$6)/((C130+2*$AC$5)+$AC$6)</f>
        <v>1964.4660627828177</v>
      </c>
      <c r="E130" s="4">
        <f t="shared" si="12"/>
        <v>1.9644660627828179</v>
      </c>
      <c r="F130" s="24">
        <v>9.9990399102947171E-4</v>
      </c>
      <c r="G130" s="6">
        <v>1.962833456598051</v>
      </c>
      <c r="H130" s="2">
        <f t="shared" si="13"/>
        <v>8.3106866323472757E-4</v>
      </c>
      <c r="I130" s="5">
        <f>G130/F130</f>
        <v>1963.0219243121287</v>
      </c>
      <c r="J130" s="2">
        <f>ABS(D130-I130)/I130</f>
        <v>7.3567108589227162E-4</v>
      </c>
      <c r="K130" s="1">
        <f>$AD$10*B130+$AD$11</f>
        <v>1951.4809885745126</v>
      </c>
      <c r="L130" s="2">
        <f>ABS(K130-D130)/D130</f>
        <v>6.609976346402641E-3</v>
      </c>
      <c r="M130" s="21">
        <f>K130*F130</f>
        <v>1.9512936288937941</v>
      </c>
      <c r="N130" s="2">
        <f>ABS(M130-G130)/M130</f>
        <v>5.9139370586675415E-3</v>
      </c>
      <c r="O130" s="21">
        <f t="shared" si="14"/>
        <v>1.1539827704256878E-2</v>
      </c>
      <c r="P130" s="25">
        <f>$AD$18*B130+$AD$19</f>
        <v>1.0583333333333336</v>
      </c>
      <c r="Q130" s="25">
        <f>$AD$29*G130+$AD$30</f>
        <v>1.017392557499103</v>
      </c>
      <c r="R130" s="25">
        <f t="shared" si="15"/>
        <v>4.0940775834230614E-2</v>
      </c>
      <c r="S130" s="26">
        <v>0.96096275819307464</v>
      </c>
      <c r="T130" s="26">
        <f t="shared" si="16"/>
        <v>9.737057514025893E-2</v>
      </c>
      <c r="U130" s="27">
        <f t="shared" si="17"/>
        <v>9.2003693045913923E-2</v>
      </c>
      <c r="V130" s="28">
        <f t="shared" si="18"/>
        <v>31.531553098316891</v>
      </c>
      <c r="W130" s="27">
        <f t="shared" si="19"/>
        <v>3.5732321152388731E-2</v>
      </c>
      <c r="X130" s="21">
        <v>0.96909908099520237</v>
      </c>
      <c r="Y130" s="21">
        <f t="shared" si="20"/>
        <v>31.62918897194243</v>
      </c>
      <c r="Z130" s="2">
        <f t="shared" si="21"/>
        <v>3.2746514619497645E-2</v>
      </c>
    </row>
    <row r="131" spans="1:26">
      <c r="A131" s="1">
        <v>32.799999999999997</v>
      </c>
      <c r="B131" s="1">
        <f t="shared" si="11"/>
        <v>305.95</v>
      </c>
      <c r="C131" s="4">
        <f>ROUND(10000*EXP(($AB$4)+($AC$4/B131)+($AD$4/(B131^2))+($AE$4/(B131^3))),6)</f>
        <v>7161.1194189999997</v>
      </c>
      <c r="D131" s="4">
        <f>((C131+2*$AC$5)*$AC$6)/((C131+2*$AC$5)+$AC$6)</f>
        <v>1962.2293395237834</v>
      </c>
      <c r="E131" s="4">
        <f t="shared" si="12"/>
        <v>1.9622293395237835</v>
      </c>
      <c r="F131" s="24">
        <v>9.9990399102947171E-4</v>
      </c>
      <c r="G131" s="6">
        <v>1.9606006372652458</v>
      </c>
      <c r="H131" s="2">
        <f t="shared" si="13"/>
        <v>8.3002645293898264E-4</v>
      </c>
      <c r="I131" s="5">
        <f>G131/F131</f>
        <v>1960.7888905880545</v>
      </c>
      <c r="J131" s="2">
        <f>ABS(D131-I131)/I131</f>
        <v>7.3462724245490214E-4</v>
      </c>
      <c r="K131" s="1">
        <f>$AD$10*B131+$AD$11</f>
        <v>1949.1318766556387</v>
      </c>
      <c r="L131" s="2">
        <f>ABS(K131-D131)/D131</f>
        <v>6.6747869906599944E-3</v>
      </c>
      <c r="M131" s="21">
        <f>K131*F131</f>
        <v>1.9489447425107371</v>
      </c>
      <c r="N131" s="2">
        <f>ABS(M131-G131)/M131</f>
        <v>5.9806183829988514E-3</v>
      </c>
      <c r="O131" s="21">
        <f t="shared" si="14"/>
        <v>1.1655894754508678E-2</v>
      </c>
      <c r="P131" s="25">
        <f>$AD$18*B131+$AD$19</f>
        <v>1.0666666666666664</v>
      </c>
      <c r="Q131" s="25">
        <f>$AD$29*G131+$AD$30</f>
        <v>1.0253141104135359</v>
      </c>
      <c r="R131" s="25">
        <f t="shared" si="15"/>
        <v>4.1352556253130501E-2</v>
      </c>
      <c r="S131" s="26">
        <v>0.96919742107539064</v>
      </c>
      <c r="T131" s="26">
        <f t="shared" si="16"/>
        <v>9.7469245591275788E-2</v>
      </c>
      <c r="U131" s="27">
        <f t="shared" si="17"/>
        <v>9.1377417741821065E-2</v>
      </c>
      <c r="V131" s="28">
        <f t="shared" si="18"/>
        <v>31.630369052904683</v>
      </c>
      <c r="W131" s="27">
        <f t="shared" si="19"/>
        <v>3.5659480094369332E-2</v>
      </c>
      <c r="X131" s="21">
        <v>0.97645145628538266</v>
      </c>
      <c r="Y131" s="21">
        <f t="shared" si="20"/>
        <v>31.717417475424593</v>
      </c>
      <c r="Z131" s="2">
        <f t="shared" si="21"/>
        <v>3.3005564773640368E-2</v>
      </c>
    </row>
    <row r="132" spans="1:26">
      <c r="A132" s="1">
        <v>32.9</v>
      </c>
      <c r="B132" s="1">
        <f t="shared" ref="B132:B195" si="22">A132+273.15</f>
        <v>306.04999999999995</v>
      </c>
      <c r="C132" s="4">
        <f>ROUND(10000*EXP(($AB$4)+($AC$4/B132)+($AD$4/(B132^2))+($AE$4/(B132^3))),6)</f>
        <v>7131.2140060000002</v>
      </c>
      <c r="D132" s="4">
        <f>((C132+2*$AC$5)*$AC$6)/((C132+2*$AC$5)+$AC$6)</f>
        <v>1959.9896829406061</v>
      </c>
      <c r="E132" s="4">
        <f t="shared" ref="E132:E195" si="23">D132*0.001</f>
        <v>1.9599896829406063</v>
      </c>
      <c r="F132" s="24">
        <v>9.9990399102947171E-4</v>
      </c>
      <c r="G132" s="6">
        <v>1.9583613294768405</v>
      </c>
      <c r="H132" s="2">
        <f t="shared" ref="H132:H195" si="24">ABS(E132-G132)/E132</f>
        <v>8.3079695670781699E-4</v>
      </c>
      <c r="I132" s="5">
        <f>G132/F132</f>
        <v>1958.5493677853704</v>
      </c>
      <c r="J132" s="2">
        <f>ABS(D132-I132)/I132</f>
        <v>7.3539895339193328E-4</v>
      </c>
      <c r="K132" s="1">
        <f>$AD$10*B132+$AD$11</f>
        <v>1946.7827647367649</v>
      </c>
      <c r="L132" s="2">
        <f>ABS(K132-D132)/D132</f>
        <v>6.7382590422755198E-3</v>
      </c>
      <c r="M132" s="21">
        <f>K132*F132</f>
        <v>1.9465958561276804</v>
      </c>
      <c r="N132" s="2">
        <f>ABS(M132-G132)/M132</f>
        <v>6.0441273991843946E-3</v>
      </c>
      <c r="O132" s="21">
        <f t="shared" ref="O132:O195" si="25">N132*M132</f>
        <v>1.1765473349160116E-2</v>
      </c>
      <c r="P132" s="25">
        <f>$AD$18*B132+$AD$19</f>
        <v>1.0749999999999993</v>
      </c>
      <c r="Q132" s="25">
        <f>$AD$29*G132+$AD$30</f>
        <v>1.0332586829442958</v>
      </c>
      <c r="R132" s="25">
        <f t="shared" ref="R132:R195" si="26">ABS(P132-Q132)</f>
        <v>4.1741317055703497E-2</v>
      </c>
      <c r="S132" s="26">
        <v>0.97745601347469735</v>
      </c>
      <c r="T132" s="26">
        <f t="shared" ref="T132:T195" si="27">ABS(P132-S132)</f>
        <v>9.754398652530194E-2</v>
      </c>
      <c r="U132" s="27">
        <f t="shared" ref="U132:U195" si="28">IF(P132=0,ABS(P132-S132),ABS(P132-S132)/P132)</f>
        <v>9.0738592116560005E-2</v>
      </c>
      <c r="V132" s="28">
        <f t="shared" ref="V132:V195" si="29">(S132-$AD$21)/($AD$20)</f>
        <v>31.729472161696368</v>
      </c>
      <c r="W132" s="27">
        <f t="shared" ref="W132:W195" si="30">ABS(A132-V132)/A132</f>
        <v>3.5578353747830728E-2</v>
      </c>
      <c r="X132" s="21">
        <v>0.98468931468348087</v>
      </c>
      <c r="Y132" s="21">
        <f t="shared" ref="Y132:Y195" si="31">(X132+5/3)/(1/12)</f>
        <v>31.81627177620177</v>
      </c>
      <c r="Z132" s="2">
        <f t="shared" ref="Z132:Z195" si="32">ABS(A132-Y132)/A132</f>
        <v>3.2940067592651327E-2</v>
      </c>
    </row>
    <row r="133" spans="1:26">
      <c r="A133" s="1">
        <v>33</v>
      </c>
      <c r="B133" s="1">
        <f t="shared" si="22"/>
        <v>306.14999999999998</v>
      </c>
      <c r="C133" s="4">
        <f>ROUND(10000*EXP(($AB$4)+($AC$4/B133)+($AD$4/(B133^2))+($AE$4/(B133^3))),6)</f>
        <v>7101.4504370000004</v>
      </c>
      <c r="D133" s="4">
        <f>((C133+2*$AC$5)*$AC$6)/((C133+2*$AC$5)+$AC$6)</f>
        <v>1957.7471070325173</v>
      </c>
      <c r="E133" s="4">
        <f t="shared" si="23"/>
        <v>1.9577471070325174</v>
      </c>
      <c r="F133" s="24">
        <v>9.9990399102947171E-4</v>
      </c>
      <c r="G133" s="6">
        <v>1.9561149137173541</v>
      </c>
      <c r="H133" s="2">
        <f t="shared" si="24"/>
        <v>8.3370998700506738E-4</v>
      </c>
      <c r="I133" s="5">
        <f>G133/F133</f>
        <v>1956.3027363291108</v>
      </c>
      <c r="J133" s="2">
        <f>ABS(D133-I133)/I133</f>
        <v>7.3831655836500368E-4</v>
      </c>
      <c r="K133" s="1">
        <f>$AD$10*B133+$AD$11</f>
        <v>1944.433652817891</v>
      </c>
      <c r="L133" s="2">
        <f>ABS(K133-D133)/D133</f>
        <v>6.8003952945722111E-3</v>
      </c>
      <c r="M133" s="21">
        <f>K133*F133</f>
        <v>1.9442469697446234</v>
      </c>
      <c r="N133" s="2">
        <f>ABS(M133-G133)/M133</f>
        <v>6.1041339693020452E-3</v>
      </c>
      <c r="O133" s="21">
        <f t="shared" si="25"/>
        <v>1.1867943972730721E-2</v>
      </c>
      <c r="P133" s="25">
        <f>$AD$18*B133+$AD$19</f>
        <v>1.0833333333333321</v>
      </c>
      <c r="Q133" s="25">
        <f>$AD$29*G133+$AD$30</f>
        <v>1.041228472996333</v>
      </c>
      <c r="R133" s="25">
        <f t="shared" si="26"/>
        <v>4.2104860336999117E-2</v>
      </c>
      <c r="S133" s="26">
        <v>0.98574082024422593</v>
      </c>
      <c r="T133" s="26">
        <f t="shared" si="27"/>
        <v>9.7592513089106214E-2</v>
      </c>
      <c r="U133" s="27">
        <f t="shared" si="28"/>
        <v>9.0085396697636599E-2</v>
      </c>
      <c r="V133" s="28">
        <f t="shared" si="29"/>
        <v>31.828889842930707</v>
      </c>
      <c r="W133" s="27">
        <f t="shared" si="30"/>
        <v>3.5488186577857371E-2</v>
      </c>
      <c r="X133" s="21">
        <v>0.99295329383236197</v>
      </c>
      <c r="Y133" s="21">
        <f t="shared" si="31"/>
        <v>31.915439525988347</v>
      </c>
      <c r="Z133" s="2">
        <f t="shared" si="32"/>
        <v>3.2865468909444022E-2</v>
      </c>
    </row>
    <row r="134" spans="1:26">
      <c r="A134" s="1">
        <v>33.1</v>
      </c>
      <c r="B134" s="1">
        <f t="shared" si="22"/>
        <v>306.25</v>
      </c>
      <c r="C134" s="4">
        <f>ROUND(10000*EXP(($AB$4)+($AC$4/B134)+($AD$4/(B134^2))+($AE$4/(B134^3))),6)</f>
        <v>7071.8279629999997</v>
      </c>
      <c r="D134" s="4">
        <f>((C134+2*$AC$5)*$AC$6)/((C134+2*$AC$5)+$AC$6)</f>
        <v>1955.5016256876202</v>
      </c>
      <c r="E134" s="4">
        <f t="shared" si="23"/>
        <v>1.9555016256876201</v>
      </c>
      <c r="F134" s="24">
        <v>9.9990399102947171E-4</v>
      </c>
      <c r="G134" s="6">
        <v>1.9538614065220972</v>
      </c>
      <c r="H134" s="2">
        <f t="shared" si="24"/>
        <v>8.3877156836735989E-4</v>
      </c>
      <c r="I134" s="5">
        <f>G134/F134</f>
        <v>1954.0490127561736</v>
      </c>
      <c r="J134" s="2">
        <f>ABS(D134-I134)/I134</f>
        <v>7.4338612898846212E-4</v>
      </c>
      <c r="K134" s="1">
        <f>$AD$10*B134+$AD$11</f>
        <v>1942.0845408990162</v>
      </c>
      <c r="L134" s="2">
        <f>ABS(K134-D134)/D134</f>
        <v>6.8611984834765953E-3</v>
      </c>
      <c r="M134" s="21">
        <f>K134*F134</f>
        <v>1.9418980833615656</v>
      </c>
      <c r="N134" s="2">
        <f>ABS(M134-G134)/M134</f>
        <v>6.1606338988821905E-3</v>
      </c>
      <c r="O134" s="21">
        <f t="shared" si="25"/>
        <v>1.1963323160531614E-2</v>
      </c>
      <c r="P134" s="25">
        <f>$AD$18*B134+$AD$19</f>
        <v>1.0916666666666686</v>
      </c>
      <c r="Q134" s="25">
        <f>$AD$29*G134+$AD$30</f>
        <v>1.049223421905995</v>
      </c>
      <c r="R134" s="25">
        <f t="shared" si="26"/>
        <v>4.2443244760673515E-2</v>
      </c>
      <c r="S134" s="26">
        <v>0.99405178030951069</v>
      </c>
      <c r="T134" s="26">
        <f t="shared" si="27"/>
        <v>9.7614886357157871E-2</v>
      </c>
      <c r="U134" s="27">
        <f t="shared" si="28"/>
        <v>8.9418216510373461E-2</v>
      </c>
      <c r="V134" s="28">
        <f t="shared" si="29"/>
        <v>31.928621363714125</v>
      </c>
      <c r="W134" s="27">
        <f t="shared" si="30"/>
        <v>3.5389082667247017E-2</v>
      </c>
      <c r="X134" s="21">
        <v>1.0012433320095309</v>
      </c>
      <c r="Y134" s="21">
        <f t="shared" si="31"/>
        <v>32.014919984114371</v>
      </c>
      <c r="Z134" s="2">
        <f t="shared" si="32"/>
        <v>3.2781873591710878E-2</v>
      </c>
    </row>
    <row r="135" spans="1:26">
      <c r="A135" s="1">
        <v>33.200000000000003</v>
      </c>
      <c r="B135" s="1">
        <f t="shared" si="22"/>
        <v>306.34999999999997</v>
      </c>
      <c r="C135" s="4">
        <f>ROUND(10000*EXP(($AB$4)+($AC$4/B135)+($AD$4/(B135^2))+($AE$4/(B135^3))),6)</f>
        <v>7042.3458419999997</v>
      </c>
      <c r="D135" s="4">
        <f>((C135+2*$AC$5)*$AC$6)/((C135+2*$AC$5)+$AC$6)</f>
        <v>1953.2532530617143</v>
      </c>
      <c r="E135" s="4">
        <f t="shared" si="23"/>
        <v>1.9532532530617144</v>
      </c>
      <c r="F135" s="24">
        <v>9.9990399102947171E-4</v>
      </c>
      <c r="G135" s="6">
        <v>1.951600824492683</v>
      </c>
      <c r="H135" s="2">
        <f t="shared" si="24"/>
        <v>8.4598787507005958E-4</v>
      </c>
      <c r="I135" s="5">
        <f>G135/F135</f>
        <v>1951.7882136697667</v>
      </c>
      <c r="J135" s="2">
        <f>ABS(D135-I135)/I135</f>
        <v>7.5061391481251265E-4</v>
      </c>
      <c r="K135" s="1">
        <f>$AD$10*B135+$AD$11</f>
        <v>1939.7354289801433</v>
      </c>
      <c r="L135" s="2">
        <f>ABS(K135-D135)/D135</f>
        <v>6.9206714799434675E-3</v>
      </c>
      <c r="M135" s="21">
        <f>K135*F135</f>
        <v>1.9395491969785097</v>
      </c>
      <c r="N135" s="2">
        <f>ABS(M135-G135)/M135</f>
        <v>6.2136230073192916E-3</v>
      </c>
      <c r="O135" s="21">
        <f t="shared" si="25"/>
        <v>1.2051627514173324E-2</v>
      </c>
      <c r="P135" s="25">
        <f>$AD$18*B135+$AD$19</f>
        <v>1.0999999999999979</v>
      </c>
      <c r="Q135" s="25">
        <f>$AD$29*G135+$AD$30</f>
        <v>1.0572434707744023</v>
      </c>
      <c r="R135" s="25">
        <f t="shared" si="26"/>
        <v>4.2756529225595585E-2</v>
      </c>
      <c r="S135" s="26">
        <v>1.0023888322773846</v>
      </c>
      <c r="T135" s="26">
        <f t="shared" si="27"/>
        <v>9.7611167722613246E-2</v>
      </c>
      <c r="U135" s="27">
        <f t="shared" si="28"/>
        <v>8.8737425202375847E-2</v>
      </c>
      <c r="V135" s="28">
        <f t="shared" si="29"/>
        <v>32.028665987328615</v>
      </c>
      <c r="W135" s="27">
        <f t="shared" si="30"/>
        <v>3.5281144959981546E-2</v>
      </c>
      <c r="X135" s="21">
        <v>1.0095593682736812</v>
      </c>
      <c r="Y135" s="21">
        <f t="shared" si="31"/>
        <v>32.114712419284182</v>
      </c>
      <c r="Z135" s="2">
        <f t="shared" si="32"/>
        <v>3.2689384961319914E-2</v>
      </c>
    </row>
    <row r="136" spans="1:26">
      <c r="A136" s="1">
        <v>33.299999999999997</v>
      </c>
      <c r="B136" s="1">
        <f t="shared" si="22"/>
        <v>306.45</v>
      </c>
      <c r="C136" s="4">
        <f>ROUND(10000*EXP(($AB$4)+($AC$4/B136)+($AD$4/(B136^2))+($AE$4/(B136^3))),6)</f>
        <v>7013.0033329999997</v>
      </c>
      <c r="D136" s="4">
        <f>((C136+2*$AC$5)*$AC$6)/((C136+2*$AC$5)+$AC$6)</f>
        <v>1951.0020031244551</v>
      </c>
      <c r="E136" s="4">
        <f t="shared" si="23"/>
        <v>1.951002003124455</v>
      </c>
      <c r="F136" s="24">
        <v>9.9990399102947171E-4</v>
      </c>
      <c r="G136" s="6">
        <v>1.949333835747165</v>
      </c>
      <c r="H136" s="2">
        <f t="shared" si="24"/>
        <v>8.5503109408320674E-4</v>
      </c>
      <c r="I136" s="5">
        <f>G136/F136</f>
        <v>1949.5210072520945</v>
      </c>
      <c r="J136" s="2">
        <f>ABS(D136-I136)/I136</f>
        <v>7.5967166645109132E-4</v>
      </c>
      <c r="K136" s="1">
        <f>$AD$10*B136+$AD$11</f>
        <v>1937.3863170612685</v>
      </c>
      <c r="L136" s="2">
        <f>ABS(K136-D136)/D136</f>
        <v>6.9788170598397937E-3</v>
      </c>
      <c r="M136" s="21">
        <f>K136*F136</f>
        <v>1.9372003105954518</v>
      </c>
      <c r="N136" s="2">
        <f>ABS(M136-G136)/M136</f>
        <v>6.2634334123060319E-3</v>
      </c>
      <c r="O136" s="21">
        <f t="shared" si="25"/>
        <v>1.2133525151713176E-2</v>
      </c>
      <c r="P136" s="25">
        <f>$AD$18*B136+$AD$19</f>
        <v>1.1083333333333343</v>
      </c>
      <c r="Q136" s="25">
        <f>$AD$29*G136+$AD$30</f>
        <v>1.0652862492653439</v>
      </c>
      <c r="R136" s="25">
        <f t="shared" si="26"/>
        <v>4.3047084067990404E-2</v>
      </c>
      <c r="S136" s="26">
        <v>1.0107495123275771</v>
      </c>
      <c r="T136" s="26">
        <f t="shared" si="27"/>
        <v>9.7583821005757132E-2</v>
      </c>
      <c r="U136" s="27">
        <f t="shared" si="28"/>
        <v>8.804555278714922E-2</v>
      </c>
      <c r="V136" s="28">
        <f t="shared" si="29"/>
        <v>32.128994147930925</v>
      </c>
      <c r="W136" s="27">
        <f t="shared" si="30"/>
        <v>3.5165340902975149E-2</v>
      </c>
      <c r="X136" s="21">
        <v>1.0179013398794567</v>
      </c>
      <c r="Y136" s="21">
        <f t="shared" si="31"/>
        <v>32.214816078553483</v>
      </c>
      <c r="Z136" s="2">
        <f t="shared" si="32"/>
        <v>3.2588105749144579E-2</v>
      </c>
    </row>
    <row r="137" spans="1:26">
      <c r="A137" s="1">
        <v>33.4</v>
      </c>
      <c r="B137" s="1">
        <f t="shared" si="22"/>
        <v>306.54999999999995</v>
      </c>
      <c r="C137" s="4">
        <f>ROUND(10000*EXP(($AB$4)+($AC$4/B137)+($AD$4/(B137^2))+($AE$4/(B137^3))),6)</f>
        <v>6983.7997020000003</v>
      </c>
      <c r="D137" s="4">
        <f>((C137+2*$AC$5)*$AC$6)/((C137+2*$AC$5)+$AC$6)</f>
        <v>1948.7478901179816</v>
      </c>
      <c r="E137" s="4">
        <f t="shared" si="23"/>
        <v>1.9487478901179816</v>
      </c>
      <c r="F137" s="24">
        <v>9.9990399102947171E-4</v>
      </c>
      <c r="G137" s="6">
        <v>1.9470591573525156</v>
      </c>
      <c r="H137" s="2">
        <f t="shared" si="24"/>
        <v>8.6657323609148581E-4</v>
      </c>
      <c r="I137" s="5">
        <f>G137/F137</f>
        <v>1947.2461104469448</v>
      </c>
      <c r="J137" s="2">
        <f>ABS(D137-I137)/I137</f>
        <v>7.7123259508888209E-4</v>
      </c>
      <c r="K137" s="1">
        <f>$AD$10*B137+$AD$11</f>
        <v>1935.0372051423956</v>
      </c>
      <c r="L137" s="2">
        <f>ABS(K137-D137)/D137</f>
        <v>7.0356381372430454E-3</v>
      </c>
      <c r="M137" s="21">
        <f>K137*F137</f>
        <v>1.934851424212396</v>
      </c>
      <c r="N137" s="2">
        <f>ABS(M137-G137)/M137</f>
        <v>6.3093904717200092E-3</v>
      </c>
      <c r="O137" s="21">
        <f t="shared" si="25"/>
        <v>1.2207733140119581E-2</v>
      </c>
      <c r="P137" s="25">
        <f>$AD$18*B137+$AD$19</f>
        <v>1.1166666666666636</v>
      </c>
      <c r="Q137" s="25">
        <f>$AD$29*G137+$AD$30</f>
        <v>1.0733563089436142</v>
      </c>
      <c r="R137" s="25">
        <f t="shared" si="26"/>
        <v>4.3310357723049364E-2</v>
      </c>
      <c r="S137" s="26">
        <v>1.019138551960908</v>
      </c>
      <c r="T137" s="26">
        <f t="shared" si="27"/>
        <v>9.752811470575562E-2</v>
      </c>
      <c r="U137" s="27">
        <f t="shared" si="28"/>
        <v>8.7338610184259008E-2</v>
      </c>
      <c r="V137" s="28">
        <f t="shared" si="29"/>
        <v>32.229662623530899</v>
      </c>
      <c r="W137" s="27">
        <f t="shared" si="30"/>
        <v>3.5040041211649685E-2</v>
      </c>
      <c r="X137" s="21">
        <v>1.0262691849931513</v>
      </c>
      <c r="Y137" s="21">
        <f t="shared" si="31"/>
        <v>32.315230219917822</v>
      </c>
      <c r="Z137" s="2">
        <f t="shared" si="32"/>
        <v>3.2478137128208871E-2</v>
      </c>
    </row>
    <row r="138" spans="1:26">
      <c r="A138" s="1">
        <v>33.5</v>
      </c>
      <c r="B138" s="1">
        <f t="shared" si="22"/>
        <v>306.64999999999998</v>
      </c>
      <c r="C138" s="4">
        <f>ROUND(10000*EXP(($AB$4)+($AC$4/B138)+($AD$4/(B138^2))+($AE$4/(B138^3))),6)</f>
        <v>6954.7342189999999</v>
      </c>
      <c r="D138" s="4">
        <f>((C138+2*$AC$5)*$AC$6)/((C138+2*$AC$5)+$AC$6)</f>
        <v>1946.49092833131</v>
      </c>
      <c r="E138" s="4">
        <f t="shared" si="23"/>
        <v>1.9464909283313101</v>
      </c>
      <c r="F138" s="24">
        <v>9.9990399102947171E-4</v>
      </c>
      <c r="G138" s="6">
        <v>1.9447767979101735</v>
      </c>
      <c r="H138" s="2">
        <f t="shared" si="24"/>
        <v>8.8062594907957882E-4</v>
      </c>
      <c r="I138" s="5">
        <f>G138/F138</f>
        <v>1944.9635318565822</v>
      </c>
      <c r="J138" s="2">
        <f>ABS(D138-I138)/I138</f>
        <v>7.8530854163099708E-4</v>
      </c>
      <c r="K138" s="1">
        <f>$AD$10*B138+$AD$11</f>
        <v>1932.6880932235208</v>
      </c>
      <c r="L138" s="2">
        <f>ABS(K138-D138)/D138</f>
        <v>7.091137650264874E-3</v>
      </c>
      <c r="M138" s="21">
        <f>K138*F138</f>
        <v>1.9325025378293381</v>
      </c>
      <c r="N138" s="2">
        <f>ABS(M138-G138)/M138</f>
        <v>6.3514845856928893E-3</v>
      </c>
      <c r="O138" s="21">
        <f t="shared" si="25"/>
        <v>1.2274260080835431E-2</v>
      </c>
      <c r="P138" s="25">
        <f>$AD$18*B138+$AD$19</f>
        <v>1.125</v>
      </c>
      <c r="Q138" s="25">
        <f>$AD$29*G138+$AD$30</f>
        <v>1.0814536192931952</v>
      </c>
      <c r="R138" s="25">
        <f t="shared" si="26"/>
        <v>4.3546380706804833E-2</v>
      </c>
      <c r="S138" s="26">
        <v>1.0275559194818993</v>
      </c>
      <c r="T138" s="26">
        <f t="shared" si="27"/>
        <v>9.7444080518100717E-2</v>
      </c>
      <c r="U138" s="27">
        <f t="shared" si="28"/>
        <v>8.6616960460533965E-2</v>
      </c>
      <c r="V138" s="28">
        <f t="shared" si="29"/>
        <v>32.330671033782792</v>
      </c>
      <c r="W138" s="27">
        <f t="shared" si="30"/>
        <v>3.4905342275140527E-2</v>
      </c>
      <c r="X138" s="21">
        <v>1.034662839961606</v>
      </c>
      <c r="Y138" s="21">
        <f t="shared" si="31"/>
        <v>32.415954079539276</v>
      </c>
      <c r="Z138" s="2">
        <f t="shared" si="32"/>
        <v>3.2359579715245501E-2</v>
      </c>
    </row>
    <row r="139" spans="1:26">
      <c r="A139" s="1">
        <v>33.6</v>
      </c>
      <c r="B139" s="1">
        <f t="shared" si="22"/>
        <v>306.75</v>
      </c>
      <c r="C139" s="4">
        <f>ROUND(10000*EXP(($AB$4)+($AC$4/B139)+($AD$4/(B139^2))+($AE$4/(B139^3))),6)</f>
        <v>6925.8061559999996</v>
      </c>
      <c r="D139" s="4">
        <f>((C139+2*$AC$5)*$AC$6)/((C139+2*$AC$5)+$AC$6)</f>
        <v>1944.2311319448002</v>
      </c>
      <c r="E139" s="4">
        <f t="shared" si="23"/>
        <v>1.9442311319448002</v>
      </c>
      <c r="F139" s="24">
        <v>9.9990399102947171E-4</v>
      </c>
      <c r="G139" s="6">
        <v>1.9424880856771778</v>
      </c>
      <c r="H139" s="2">
        <f t="shared" si="24"/>
        <v>8.9652214645842727E-4</v>
      </c>
      <c r="I139" s="5">
        <f>G139/F139</f>
        <v>1942.6745998655824</v>
      </c>
      <c r="J139" s="2">
        <f>ABS(D139-I139)/I139</f>
        <v>8.0123149771219092E-4</v>
      </c>
      <c r="K139" s="1">
        <f>$AD$10*B139+$AD$11</f>
        <v>1930.3389813046469</v>
      </c>
      <c r="L139" s="2">
        <f>ABS(K139-D139)/D139</f>
        <v>7.1453184818910847E-3</v>
      </c>
      <c r="M139" s="21">
        <f>K139*F139</f>
        <v>1.9301536514462814</v>
      </c>
      <c r="N139" s="2">
        <f>ABS(M139-G139)/M139</f>
        <v>6.390389812569645E-3</v>
      </c>
      <c r="O139" s="21">
        <f t="shared" si="25"/>
        <v>1.2334434230896418E-2</v>
      </c>
      <c r="P139" s="25">
        <f>$AD$18*B139+$AD$19</f>
        <v>1.1333333333333364</v>
      </c>
      <c r="Q139" s="25">
        <f>$AD$29*G139+$AD$30</f>
        <v>1.0895734679496503</v>
      </c>
      <c r="R139" s="25">
        <f t="shared" si="26"/>
        <v>4.3759865383686147E-2</v>
      </c>
      <c r="S139" s="26">
        <v>1.0359967158469421</v>
      </c>
      <c r="T139" s="26">
        <f t="shared" si="27"/>
        <v>9.7336617486394328E-2</v>
      </c>
      <c r="U139" s="27">
        <f t="shared" si="28"/>
        <v>8.5885250723288883E-2</v>
      </c>
      <c r="V139" s="28">
        <f t="shared" si="29"/>
        <v>32.431960590163307</v>
      </c>
      <c r="W139" s="27">
        <f t="shared" si="30"/>
        <v>3.4763077673711146E-2</v>
      </c>
      <c r="X139" s="21">
        <v>1.0430822414126548</v>
      </c>
      <c r="Y139" s="21">
        <f t="shared" si="31"/>
        <v>32.516986896951856</v>
      </c>
      <c r="Z139" s="2">
        <f t="shared" si="32"/>
        <v>3.2232532828813845E-2</v>
      </c>
    </row>
    <row r="140" spans="1:26">
      <c r="A140" s="1">
        <v>33.700000000000003</v>
      </c>
      <c r="B140" s="1">
        <f t="shared" si="22"/>
        <v>306.84999999999997</v>
      </c>
      <c r="C140" s="4">
        <f>ROUND(10000*EXP(($AB$4)+($AC$4/B140)+($AD$4/(B140^2))+($AE$4/(B140^3))),6)</f>
        <v>6897.0147919999999</v>
      </c>
      <c r="D140" s="4">
        <f>((C140+2*$AC$5)*$AC$6)/((C140+2*$AC$5)+$AC$6)</f>
        <v>1941.9685154207882</v>
      </c>
      <c r="E140" s="4">
        <f t="shared" si="23"/>
        <v>1.9419685154207882</v>
      </c>
      <c r="F140" s="24">
        <v>9.9990399102947171E-4</v>
      </c>
      <c r="G140" s="6">
        <v>1.9401923838009203</v>
      </c>
      <c r="H140" s="2">
        <f t="shared" si="24"/>
        <v>9.1460371564419467E-4</v>
      </c>
      <c r="I140" s="5">
        <f>G140/F140</f>
        <v>1940.378677560188</v>
      </c>
      <c r="J140" s="2">
        <f>ABS(D140-I140)/I140</f>
        <v>8.1934412029269503E-4</v>
      </c>
      <c r="K140" s="1">
        <f>$AD$10*B140+$AD$11</f>
        <v>1927.9898693857731</v>
      </c>
      <c r="L140" s="2">
        <f>ABS(K140-D140)/D140</f>
        <v>7.1981836595256064E-3</v>
      </c>
      <c r="M140" s="21">
        <f>K140*F140</f>
        <v>1.9278047650632244</v>
      </c>
      <c r="N140" s="2">
        <f>ABS(M140-G140)/M140</f>
        <v>6.4257641448923529E-3</v>
      </c>
      <c r="O140" s="21">
        <f t="shared" si="25"/>
        <v>1.2387618737695894E-2</v>
      </c>
      <c r="P140" s="25">
        <f>$AD$18*B140+$AD$19</f>
        <v>1.1416666666666657</v>
      </c>
      <c r="Q140" s="25">
        <f>$AD$29*G140+$AD$30</f>
        <v>1.0977181143262511</v>
      </c>
      <c r="R140" s="25">
        <f t="shared" si="26"/>
        <v>4.3948552340414615E-2</v>
      </c>
      <c r="S140" s="26">
        <v>1.0444632906186824</v>
      </c>
      <c r="T140" s="26">
        <f t="shared" si="27"/>
        <v>9.7203376047983348E-2</v>
      </c>
      <c r="U140" s="27">
        <f t="shared" si="28"/>
        <v>8.5141643253708113E-2</v>
      </c>
      <c r="V140" s="28">
        <f t="shared" si="29"/>
        <v>32.533559487424192</v>
      </c>
      <c r="W140" s="27">
        <f t="shared" si="30"/>
        <v>3.4612478117976582E-2</v>
      </c>
      <c r="X140" s="21">
        <v>1.0515273253880242</v>
      </c>
      <c r="Y140" s="21">
        <f t="shared" si="31"/>
        <v>32.618327904656297</v>
      </c>
      <c r="Z140" s="2">
        <f t="shared" si="32"/>
        <v>3.2097094817320634E-2</v>
      </c>
    </row>
    <row r="141" spans="1:26">
      <c r="A141" s="1">
        <v>33.799999999999997</v>
      </c>
      <c r="B141" s="1">
        <f t="shared" si="22"/>
        <v>306.95</v>
      </c>
      <c r="C141" s="4">
        <f>ROUND(10000*EXP(($AB$4)+($AC$4/B141)+($AD$4/(B141^2))+($AE$4/(B141^3))),6)</f>
        <v>6868.3594080000003</v>
      </c>
      <c r="D141" s="4">
        <f>((C141+2*$AC$5)*$AC$6)/((C141+2*$AC$5)+$AC$6)</f>
        <v>1939.7030931154263</v>
      </c>
      <c r="E141" s="4">
        <f t="shared" si="23"/>
        <v>1.9397030931154264</v>
      </c>
      <c r="F141" s="24">
        <v>9.9990399102947171E-4</v>
      </c>
      <c r="G141" s="6">
        <v>1.9378897097215528</v>
      </c>
      <c r="H141" s="2">
        <f t="shared" si="24"/>
        <v>9.3487678619982102E-4</v>
      </c>
      <c r="I141" s="5">
        <f>G141/F141</f>
        <v>1938.075782382225</v>
      </c>
      <c r="J141" s="2">
        <f>ABS(D141-I141)/I141</f>
        <v>8.3965278757110434E-4</v>
      </c>
      <c r="K141" s="1">
        <f>$AD$10*B141+$AD$11</f>
        <v>1925.6407574668992</v>
      </c>
      <c r="L141" s="2">
        <f>ABS(K141-D141)/D141</f>
        <v>7.2497361572698617E-3</v>
      </c>
      <c r="M141" s="21">
        <f>K141*F141</f>
        <v>1.9254558786801674</v>
      </c>
      <c r="N141" s="2">
        <f>ABS(M141-G141)/M141</f>
        <v>6.4576037181949646E-3</v>
      </c>
      <c r="O141" s="21">
        <f t="shared" si="25"/>
        <v>1.2433831041385401E-2</v>
      </c>
      <c r="P141" s="25">
        <f>$AD$18*B141+$AD$19</f>
        <v>1.1500000000000021</v>
      </c>
      <c r="Q141" s="25">
        <f>$AD$29*G141+$AD$30</f>
        <v>1.1058874965491672</v>
      </c>
      <c r="R141" s="25">
        <f t="shared" si="26"/>
        <v>4.411250345083495E-2</v>
      </c>
      <c r="S141" s="26">
        <v>1.0529555784073683</v>
      </c>
      <c r="T141" s="26">
        <f t="shared" si="27"/>
        <v>9.7044421592633823E-2</v>
      </c>
      <c r="U141" s="27">
        <f t="shared" si="28"/>
        <v>8.4386453558811858E-2</v>
      </c>
      <c r="V141" s="28">
        <f t="shared" si="29"/>
        <v>32.635466940888421</v>
      </c>
      <c r="W141" s="27">
        <f t="shared" si="30"/>
        <v>3.4453640802117651E-2</v>
      </c>
      <c r="X141" s="21">
        <v>1.0599980275310716</v>
      </c>
      <c r="Y141" s="21">
        <f t="shared" si="31"/>
        <v>32.719976330372866</v>
      </c>
      <c r="Z141" s="2">
        <f t="shared" si="32"/>
        <v>3.1953363006719859E-2</v>
      </c>
    </row>
    <row r="142" spans="1:26">
      <c r="A142" s="1">
        <v>33.9</v>
      </c>
      <c r="B142" s="1">
        <f t="shared" si="22"/>
        <v>307.04999999999995</v>
      </c>
      <c r="C142" s="4">
        <f>ROUND(10000*EXP(($AB$4)+($AC$4/B142)+($AD$4/(B142^2))+($AE$4/(B142^3))),6)</f>
        <v>6839.8392910000002</v>
      </c>
      <c r="D142" s="4">
        <f>((C142+2*$AC$5)*$AC$6)/((C142+2*$AC$5)+$AC$6)</f>
        <v>1937.4348795943583</v>
      </c>
      <c r="E142" s="4">
        <f t="shared" si="23"/>
        <v>1.9374348795943583</v>
      </c>
      <c r="F142" s="24">
        <v>9.9990399102947171E-4</v>
      </c>
      <c r="G142" s="6">
        <v>1.9355800810098134</v>
      </c>
      <c r="H142" s="2">
        <f t="shared" si="24"/>
        <v>9.5734757543608322E-4</v>
      </c>
      <c r="I142" s="5">
        <f>G142/F142</f>
        <v>1935.7659319041193</v>
      </c>
      <c r="J142" s="2">
        <f>ABS(D142-I142)/I142</f>
        <v>8.6216399551850887E-4</v>
      </c>
      <c r="K142" s="1">
        <f>$AD$10*B142+$AD$11</f>
        <v>1923.2916455480263</v>
      </c>
      <c r="L142" s="2">
        <f>ABS(K142-D142)/D142</f>
        <v>7.2999790575119768E-3</v>
      </c>
      <c r="M142" s="21">
        <f>K142*F142</f>
        <v>1.9231069922971116</v>
      </c>
      <c r="N142" s="2">
        <f>ABS(M142-G142)/M142</f>
        <v>6.4859047170344698E-3</v>
      </c>
      <c r="O142" s="21">
        <f t="shared" si="25"/>
        <v>1.2473088712701808E-2</v>
      </c>
      <c r="P142" s="25">
        <f>$AD$18*B142+$AD$19</f>
        <v>1.1583333333333314</v>
      </c>
      <c r="Q142" s="25">
        <f>$AD$29*G142+$AD$30</f>
        <v>1.1140815522812773</v>
      </c>
      <c r="R142" s="25">
        <f t="shared" si="26"/>
        <v>4.4251781052054184E-2</v>
      </c>
      <c r="S142" s="26">
        <v>1.0614735151990498</v>
      </c>
      <c r="T142" s="26">
        <f t="shared" si="27"/>
        <v>9.6859818134281683E-2</v>
      </c>
      <c r="U142" s="27">
        <f t="shared" si="28"/>
        <v>8.3619986878516697E-2</v>
      </c>
      <c r="V142" s="28">
        <f t="shared" si="29"/>
        <v>32.737682182388596</v>
      </c>
      <c r="W142" s="27">
        <f t="shared" si="30"/>
        <v>3.428666128647205E-2</v>
      </c>
      <c r="X142" s="21">
        <v>1.0684942823315078</v>
      </c>
      <c r="Y142" s="21">
        <f t="shared" si="31"/>
        <v>32.821931387978097</v>
      </c>
      <c r="Z142" s="2">
        <f t="shared" si="32"/>
        <v>3.180143398294695E-2</v>
      </c>
    </row>
    <row r="143" spans="1:26">
      <c r="A143" s="1">
        <v>34</v>
      </c>
      <c r="B143" s="1">
        <f t="shared" si="22"/>
        <v>307.14999999999998</v>
      </c>
      <c r="C143" s="4">
        <f>ROUND(10000*EXP(($AB$4)+($AC$4/B143)+($AD$4/(B143^2))+($AE$4/(B143^3))),6)</f>
        <v>6811.4537300000002</v>
      </c>
      <c r="D143" s="4">
        <f>((C143+2*$AC$5)*$AC$6)/((C143+2*$AC$5)+$AC$6)</f>
        <v>1935.1638893178574</v>
      </c>
      <c r="E143" s="4">
        <f t="shared" si="23"/>
        <v>1.9351638893178575</v>
      </c>
      <c r="F143" s="24">
        <v>9.9990399102947171E-4</v>
      </c>
      <c r="G143" s="6">
        <v>1.9334938762887675</v>
      </c>
      <c r="H143" s="2">
        <f t="shared" si="24"/>
        <v>8.6298273666049366E-4</v>
      </c>
      <c r="I143" s="5">
        <f>G143/F143</f>
        <v>1933.6795268694739</v>
      </c>
      <c r="J143" s="2">
        <f>ABS(D143-I143)/I143</f>
        <v>7.6763622294054117E-4</v>
      </c>
      <c r="K143" s="1">
        <f>$AD$10*B143+$AD$11</f>
        <v>1920.9425336291515</v>
      </c>
      <c r="L143" s="2">
        <f>ABS(K143-D143)/D143</f>
        <v>7.3489153901682746E-3</v>
      </c>
      <c r="M143" s="21">
        <f>K143*F143</f>
        <v>1.9207581059140537</v>
      </c>
      <c r="N143" s="2">
        <f>ABS(M143-G143)/M143</f>
        <v>6.6305956671483205E-3</v>
      </c>
      <c r="O143" s="21">
        <f t="shared" si="25"/>
        <v>1.273577037471374E-2</v>
      </c>
      <c r="P143" s="25">
        <f>$AD$18*B143+$AD$19</f>
        <v>1.1666666666666679</v>
      </c>
      <c r="Q143" s="25">
        <f>$AD$29*G143+$AD$30</f>
        <v>1.1214829487334219</v>
      </c>
      <c r="R143" s="25">
        <f t="shared" si="26"/>
        <v>4.5183717933245937E-2</v>
      </c>
      <c r="S143" s="26">
        <v>1.0691674620116969</v>
      </c>
      <c r="T143" s="26">
        <f t="shared" si="27"/>
        <v>9.7499204654970972E-2</v>
      </c>
      <c r="U143" s="27">
        <f t="shared" si="28"/>
        <v>8.3570746847117891E-2</v>
      </c>
      <c r="V143" s="28">
        <f t="shared" si="29"/>
        <v>32.830009544140367</v>
      </c>
      <c r="W143" s="27">
        <f t="shared" si="30"/>
        <v>3.4411483995871558E-2</v>
      </c>
      <c r="X143" s="21">
        <v>1.0761698076267106</v>
      </c>
      <c r="Y143" s="21">
        <f t="shared" si="31"/>
        <v>32.914037691520534</v>
      </c>
      <c r="Z143" s="2">
        <f t="shared" si="32"/>
        <v>3.1940067896454892E-2</v>
      </c>
    </row>
    <row r="144" spans="1:26">
      <c r="A144" s="1">
        <v>34.1</v>
      </c>
      <c r="B144" s="1">
        <f t="shared" si="22"/>
        <v>307.25</v>
      </c>
      <c r="C144" s="4">
        <f>ROUND(10000*EXP(($AB$4)+($AC$4/B144)+($AD$4/(B144^2))+($AE$4/(B144^3))),6)</f>
        <v>6783.2020190000003</v>
      </c>
      <c r="D144" s="4">
        <f>((C144+2*$AC$5)*$AC$6)/((C144+2*$AC$5)+$AC$6)</f>
        <v>1932.8901368796633</v>
      </c>
      <c r="E144" s="4">
        <f t="shared" si="23"/>
        <v>1.9328901368796634</v>
      </c>
      <c r="F144" s="24">
        <v>9.9990399102947171E-4</v>
      </c>
      <c r="G144" s="6">
        <v>1.9311701188177972</v>
      </c>
      <c r="H144" s="2">
        <f t="shared" si="24"/>
        <v>8.8986850781020484E-4</v>
      </c>
      <c r="I144" s="5">
        <f>G144/F144</f>
        <v>1931.3555462755191</v>
      </c>
      <c r="J144" s="2">
        <f>ABS(D144-I144)/I144</f>
        <v>7.945665970739888E-4</v>
      </c>
      <c r="K144" s="1">
        <f>$AD$10*B144+$AD$11</f>
        <v>1918.5934217102767</v>
      </c>
      <c r="L144" s="2">
        <f>ABS(K144-D144)/D144</f>
        <v>7.396548255177212E-3</v>
      </c>
      <c r="M144" s="21">
        <f>K144*F144</f>
        <v>1.9184092195309961</v>
      </c>
      <c r="N144" s="2">
        <f>ABS(M144-G144)/M144</f>
        <v>6.6518129483973485E-3</v>
      </c>
      <c r="O144" s="21">
        <f t="shared" si="25"/>
        <v>1.2760899286801131E-2</v>
      </c>
      <c r="P144" s="25">
        <f>$AD$18*B144+$AD$19</f>
        <v>1.1750000000000007</v>
      </c>
      <c r="Q144" s="25">
        <f>$AD$29*G144+$AD$30</f>
        <v>1.1297271302021814</v>
      </c>
      <c r="R144" s="25">
        <f t="shared" si="26"/>
        <v>4.5272869797819304E-2</v>
      </c>
      <c r="S144" s="26">
        <v>1.0777375058092507</v>
      </c>
      <c r="T144" s="26">
        <f t="shared" si="27"/>
        <v>9.726249419075006E-2</v>
      </c>
      <c r="U144" s="27">
        <f t="shared" si="28"/>
        <v>8.2776590800638303E-2</v>
      </c>
      <c r="V144" s="28">
        <f t="shared" si="29"/>
        <v>32.932850069711009</v>
      </c>
      <c r="W144" s="27">
        <f t="shared" si="30"/>
        <v>3.4227270682961664E-2</v>
      </c>
      <c r="X144" s="21">
        <v>1.0847179867066346</v>
      </c>
      <c r="Y144" s="21">
        <f t="shared" si="31"/>
        <v>33.016615840479616</v>
      </c>
      <c r="Z144" s="2">
        <f t="shared" si="32"/>
        <v>3.177079646687346E-2</v>
      </c>
    </row>
    <row r="145" spans="1:26">
      <c r="A145" s="1">
        <v>34.200000000000003</v>
      </c>
      <c r="B145" s="1">
        <f t="shared" si="22"/>
        <v>307.34999999999997</v>
      </c>
      <c r="C145" s="4">
        <f>ROUND(10000*EXP(($AB$4)+($AC$4/B145)+($AD$4/(B145^2))+($AE$4/(B145^3))),6)</f>
        <v>6755.0834580000001</v>
      </c>
      <c r="D145" s="4">
        <f>((C145+2*$AC$5)*$AC$6)/((C145+2*$AC$5)+$AC$6)</f>
        <v>1930.6136370920397</v>
      </c>
      <c r="E145" s="4">
        <f t="shared" si="23"/>
        <v>1.9306136370920397</v>
      </c>
      <c r="F145" s="24">
        <v>9.9990399102947171E-4</v>
      </c>
      <c r="G145" s="6">
        <v>1.9288394598119418</v>
      </c>
      <c r="H145" s="2">
        <f t="shared" si="24"/>
        <v>9.189706557601071E-4</v>
      </c>
      <c r="I145" s="5">
        <f>G145/F145</f>
        <v>1929.0246634840066</v>
      </c>
      <c r="J145" s="2">
        <f>ABS(D145-I145)/I145</f>
        <v>8.2371865850755282E-4</v>
      </c>
      <c r="K145" s="1">
        <f>$AD$10*B145+$AD$11</f>
        <v>1916.2443097914038</v>
      </c>
      <c r="L145" s="2">
        <f>ABS(K145-D145)/D145</f>
        <v>7.4428808667691077E-3</v>
      </c>
      <c r="M145" s="21">
        <f>K145*F145</f>
        <v>1.91606033314794</v>
      </c>
      <c r="N145" s="2">
        <f>ABS(M145-G145)/M145</f>
        <v>6.6694803096344589E-3</v>
      </c>
      <c r="O145" s="21">
        <f t="shared" si="25"/>
        <v>1.2779126664001828E-2</v>
      </c>
      <c r="P145" s="25">
        <f>$AD$18*B145+$AD$19</f>
        <v>1.1833333333333336</v>
      </c>
      <c r="Q145" s="25">
        <f>$AD$29*G145+$AD$30</f>
        <v>1.1379957968019045</v>
      </c>
      <c r="R145" s="25">
        <f t="shared" si="26"/>
        <v>4.5337536531429024E-2</v>
      </c>
      <c r="S145" s="26">
        <v>1.0863330023687916</v>
      </c>
      <c r="T145" s="26">
        <f t="shared" si="27"/>
        <v>9.700033096454197E-2</v>
      </c>
      <c r="U145" s="27">
        <f t="shared" si="28"/>
        <v>8.1972110674260801E-2</v>
      </c>
      <c r="V145" s="28">
        <f t="shared" si="29"/>
        <v>33.035996028425501</v>
      </c>
      <c r="W145" s="27">
        <f t="shared" si="30"/>
        <v>3.4035203847207651E-2</v>
      </c>
      <c r="X145" s="21">
        <v>1.093291522031212</v>
      </c>
      <c r="Y145" s="21">
        <f t="shared" si="31"/>
        <v>33.119498264374549</v>
      </c>
      <c r="Z145" s="2">
        <f t="shared" si="32"/>
        <v>3.1593618000744263E-2</v>
      </c>
    </row>
    <row r="146" spans="1:26">
      <c r="A146" s="1">
        <v>34.299999999999997</v>
      </c>
      <c r="B146" s="1">
        <f t="shared" si="22"/>
        <v>307.45</v>
      </c>
      <c r="C146" s="4">
        <f>ROUND(10000*EXP(($AB$4)+($AC$4/B146)+($AD$4/(B146^2))+($AE$4/(B146^3))),6)</f>
        <v>6727.0973480000002</v>
      </c>
      <c r="D146" s="4">
        <f>((C146+2*$AC$5)*$AC$6)/((C146+2*$AC$5)+$AC$6)</f>
        <v>1928.334404583718</v>
      </c>
      <c r="E146" s="4">
        <f t="shared" si="23"/>
        <v>1.9283344045837181</v>
      </c>
      <c r="F146" s="24">
        <v>9.9990399102947171E-4</v>
      </c>
      <c r="G146" s="6">
        <v>1.926501917414849</v>
      </c>
      <c r="H146" s="2">
        <f t="shared" si="24"/>
        <v>9.5029532456258274E-4</v>
      </c>
      <c r="I146" s="5">
        <f>G146/F146</f>
        <v>1926.6868966403258</v>
      </c>
      <c r="J146" s="2">
        <f>ABS(D146-I146)/I146</f>
        <v>8.5509895056898463E-4</v>
      </c>
      <c r="K146" s="1">
        <f>$AD$10*B146+$AD$11</f>
        <v>1913.895197872529</v>
      </c>
      <c r="L146" s="2">
        <f>ABS(K146-D146)/D146</f>
        <v>7.4879163473236011E-3</v>
      </c>
      <c r="M146" s="21">
        <f>K146*F146</f>
        <v>1.9137114467648824</v>
      </c>
      <c r="N146" s="2">
        <f>ABS(M146-G146)/M146</f>
        <v>6.6835941602318609E-3</v>
      </c>
      <c r="O146" s="21">
        <f t="shared" si="25"/>
        <v>1.2790470649966634E-2</v>
      </c>
      <c r="P146" s="25">
        <f>$AD$18*B146+$AD$19</f>
        <v>1.1916666666666664</v>
      </c>
      <c r="Q146" s="25">
        <f>$AD$29*G146+$AD$30</f>
        <v>1.1462888841629129</v>
      </c>
      <c r="R146" s="25">
        <f t="shared" si="26"/>
        <v>4.5377782503753572E-2</v>
      </c>
      <c r="S146" s="26">
        <v>1.0949538853021057</v>
      </c>
      <c r="T146" s="26">
        <f t="shared" si="27"/>
        <v>9.671278136456074E-2</v>
      </c>
      <c r="U146" s="27">
        <f t="shared" si="28"/>
        <v>8.1157578767463573E-2</v>
      </c>
      <c r="V146" s="28">
        <f t="shared" si="29"/>
        <v>33.139446623625268</v>
      </c>
      <c r="W146" s="27">
        <f t="shared" si="30"/>
        <v>3.3835375404511051E-2</v>
      </c>
      <c r="X146" s="21">
        <v>1.1018903467887486</v>
      </c>
      <c r="Y146" s="21">
        <f t="shared" si="31"/>
        <v>33.22268416146499</v>
      </c>
      <c r="Z146" s="2">
        <f t="shared" si="32"/>
        <v>3.1408625030175143E-2</v>
      </c>
    </row>
    <row r="147" spans="1:26">
      <c r="A147" s="1">
        <v>34.4</v>
      </c>
      <c r="B147" s="1">
        <f t="shared" si="22"/>
        <v>307.54999999999995</v>
      </c>
      <c r="C147" s="4">
        <f>ROUND(10000*EXP(($AB$4)+($AC$4/B147)+($AD$4/(B147^2))+($AE$4/(B147^3))),6)</f>
        <v>6699.2429949999996</v>
      </c>
      <c r="D147" s="4">
        <f>((C147+2*$AC$5)*$AC$6)/((C147+2*$AC$5)+$AC$6)</f>
        <v>1926.0524541229333</v>
      </c>
      <c r="E147" s="4">
        <f t="shared" si="23"/>
        <v>1.9260524541229334</v>
      </c>
      <c r="F147" s="24">
        <v>9.9990399102947171E-4</v>
      </c>
      <c r="G147" s="6">
        <v>1.9241568275441348</v>
      </c>
      <c r="H147" s="2">
        <f t="shared" si="24"/>
        <v>9.8420298717244187E-4</v>
      </c>
      <c r="I147" s="5">
        <f>G147/F147</f>
        <v>1924.3415815983287</v>
      </c>
      <c r="J147" s="2">
        <f>ABS(D147-I147)/I147</f>
        <v>8.8906904105017881E-4</v>
      </c>
      <c r="K147" s="1">
        <f>$AD$10*B147+$AD$11</f>
        <v>1911.5460859536561</v>
      </c>
      <c r="L147" s="2">
        <f>ABS(K147-D147)/D147</f>
        <v>7.5316578934414491E-3</v>
      </c>
      <c r="M147" s="21">
        <f>K147*F147</f>
        <v>1.9113625603818263</v>
      </c>
      <c r="N147" s="2">
        <f>ABS(M147-G147)/M147</f>
        <v>6.6937939601331336E-3</v>
      </c>
      <c r="O147" s="21">
        <f t="shared" si="25"/>
        <v>1.279426716230847E-2</v>
      </c>
      <c r="P147" s="25">
        <f>$AD$18*B147+$AD$19</f>
        <v>1.1999999999999993</v>
      </c>
      <c r="Q147" s="25">
        <f>$AD$29*G147+$AD$30</f>
        <v>1.1546087483037457</v>
      </c>
      <c r="R147" s="25">
        <f t="shared" si="26"/>
        <v>4.5391251696253576E-2</v>
      </c>
      <c r="S147" s="26">
        <v>1.1036026031676902</v>
      </c>
      <c r="T147" s="26">
        <f t="shared" si="27"/>
        <v>9.6397396832309079E-2</v>
      </c>
      <c r="U147" s="27">
        <f t="shared" si="28"/>
        <v>8.0331164026924279E-2</v>
      </c>
      <c r="V147" s="28">
        <f t="shared" si="29"/>
        <v>33.243231238012278</v>
      </c>
      <c r="W147" s="27">
        <f t="shared" si="30"/>
        <v>3.3626998894991877E-2</v>
      </c>
      <c r="X147" s="21">
        <v>1.1105143936996251</v>
      </c>
      <c r="Y147" s="21">
        <f t="shared" si="31"/>
        <v>33.326172724395505</v>
      </c>
      <c r="Z147" s="2">
        <f t="shared" si="32"/>
        <v>3.1215909174549233E-2</v>
      </c>
    </row>
    <row r="148" spans="1:26">
      <c r="A148" s="1">
        <v>34.5</v>
      </c>
      <c r="B148" s="1">
        <f t="shared" si="22"/>
        <v>307.64999999999998</v>
      </c>
      <c r="C148" s="4">
        <f>ROUND(10000*EXP(($AB$4)+($AC$4/B148)+($AD$4/(B148^2))+($AE$4/(B148^3))),6)</f>
        <v>6671.5197099999996</v>
      </c>
      <c r="D148" s="4">
        <f>((C148+2*$AC$5)*$AC$6)/((C148+2*$AC$5)+$AC$6)</f>
        <v>1923.7678006214821</v>
      </c>
      <c r="E148" s="4">
        <f t="shared" si="23"/>
        <v>1.9237678006214822</v>
      </c>
      <c r="F148" s="24">
        <v>9.9990399102947171E-4</v>
      </c>
      <c r="G148" s="6">
        <v>1.9218055702346573</v>
      </c>
      <c r="H148" s="2">
        <f t="shared" si="24"/>
        <v>1.0199933620840635E-3</v>
      </c>
      <c r="I148" s="5">
        <f>G148/F148</f>
        <v>1921.9900985253823</v>
      </c>
      <c r="J148" s="2">
        <f>ABS(D148-I148)/I148</f>
        <v>9.2492781178410671E-4</v>
      </c>
      <c r="K148" s="1">
        <f>$AD$10*B148+$AD$11</f>
        <v>1909.1969740347813</v>
      </c>
      <c r="L148" s="2">
        <f>ABS(K148-D148)/D148</f>
        <v>7.5741087786133331E-3</v>
      </c>
      <c r="M148" s="21">
        <f>K148*F148</f>
        <v>1.9090136739987684</v>
      </c>
      <c r="N148" s="2">
        <f>ABS(M148-G148)/M148</f>
        <v>6.7007881662229972E-3</v>
      </c>
      <c r="O148" s="21">
        <f t="shared" si="25"/>
        <v>1.2791896235888833E-2</v>
      </c>
      <c r="P148" s="25">
        <f>$AD$18*B148+$AD$19</f>
        <v>1.2083333333333321</v>
      </c>
      <c r="Q148" s="25">
        <f>$AD$29*G148+$AD$30</f>
        <v>1.1629504931636276</v>
      </c>
      <c r="R148" s="25">
        <f t="shared" si="26"/>
        <v>4.5382840169704508E-2</v>
      </c>
      <c r="S148" s="26">
        <v>1.1122740668496365</v>
      </c>
      <c r="T148" s="26">
        <f t="shared" si="27"/>
        <v>9.6059266483695671E-2</v>
      </c>
      <c r="U148" s="27">
        <f t="shared" si="28"/>
        <v>7.9497323986506843E-2</v>
      </c>
      <c r="V148" s="28">
        <f t="shared" si="29"/>
        <v>33.347288802195642</v>
      </c>
      <c r="W148" s="27">
        <f t="shared" si="30"/>
        <v>3.3411918776937909E-2</v>
      </c>
      <c r="X148" s="21">
        <v>1.1191635951030445</v>
      </c>
      <c r="Y148" s="21">
        <f t="shared" si="31"/>
        <v>33.429963141236541</v>
      </c>
      <c r="Z148" s="2">
        <f t="shared" si="32"/>
        <v>3.1015561123578509E-2</v>
      </c>
    </row>
    <row r="149" spans="1:26">
      <c r="A149" s="1">
        <v>34.6</v>
      </c>
      <c r="B149" s="1">
        <f t="shared" si="22"/>
        <v>307.75</v>
      </c>
      <c r="C149" s="4">
        <f>ROUND(10000*EXP(($AB$4)+($AC$4/B149)+($AD$4/(B149^2))+($AE$4/(B149^3))),6)</f>
        <v>6643.9268069999998</v>
      </c>
      <c r="D149" s="4">
        <f>((C149+2*$AC$5)*$AC$6)/((C149+2*$AC$5)+$AC$6)</f>
        <v>1921.4804589725793</v>
      </c>
      <c r="E149" s="4">
        <f t="shared" si="23"/>
        <v>1.9214804589725794</v>
      </c>
      <c r="F149" s="24">
        <v>9.9990399102947171E-4</v>
      </c>
      <c r="G149" s="6">
        <v>1.9196762041049544</v>
      </c>
      <c r="H149" s="2">
        <f t="shared" si="24"/>
        <v>9.3899204605477039E-4</v>
      </c>
      <c r="I149" s="5">
        <f>G149/F149</f>
        <v>1919.8605279377996</v>
      </c>
      <c r="J149" s="2">
        <f>ABS(D149-I149)/I149</f>
        <v>8.4377537389121948E-4</v>
      </c>
      <c r="K149" s="1">
        <f>$AD$10*B149+$AD$11</f>
        <v>1906.8478621159074</v>
      </c>
      <c r="L149" s="2">
        <f>ABS(K149-D149)/D149</f>
        <v>7.6152722700578183E-3</v>
      </c>
      <c r="M149" s="21">
        <f>K149*F149</f>
        <v>1.9066647876157117</v>
      </c>
      <c r="N149" s="2">
        <f>ABS(M149-G149)/M149</f>
        <v>6.8241762127015304E-3</v>
      </c>
      <c r="O149" s="21">
        <f t="shared" si="25"/>
        <v>1.3011416489242755E-2</v>
      </c>
      <c r="P149" s="25">
        <f>$AD$18*B149+$AD$19</f>
        <v>1.2166666666666686</v>
      </c>
      <c r="Q149" s="25">
        <f>$AD$29*G149+$AD$30</f>
        <v>1.1705050168202504</v>
      </c>
      <c r="R149" s="25">
        <f t="shared" si="26"/>
        <v>4.6161649846418129E-2</v>
      </c>
      <c r="S149" s="26">
        <v>1.1201271930231995</v>
      </c>
      <c r="T149" s="26">
        <f t="shared" si="27"/>
        <v>9.6539473643469043E-2</v>
      </c>
      <c r="U149" s="27">
        <f t="shared" si="28"/>
        <v>7.9347512583673063E-2</v>
      </c>
      <c r="V149" s="28">
        <f t="shared" si="29"/>
        <v>33.441526316278399</v>
      </c>
      <c r="W149" s="27">
        <f t="shared" si="30"/>
        <v>3.3481898373456727E-2</v>
      </c>
      <c r="X149" s="21">
        <v>1.1269977732878522</v>
      </c>
      <c r="Y149" s="21">
        <f t="shared" si="31"/>
        <v>33.523973279454225</v>
      </c>
      <c r="Z149" s="2">
        <f t="shared" si="32"/>
        <v>3.1099038166062905E-2</v>
      </c>
    </row>
    <row r="150" spans="1:26">
      <c r="A150" s="1">
        <v>34.700000000000003</v>
      </c>
      <c r="B150" s="1">
        <f t="shared" si="22"/>
        <v>307.84999999999997</v>
      </c>
      <c r="C150" s="4">
        <f>ROUND(10000*EXP(($AB$4)+($AC$4/B150)+($AD$4/(B150^2))+($AE$4/(B150^3))),6)</f>
        <v>6616.4636030000001</v>
      </c>
      <c r="D150" s="4">
        <f>((C150+2*$AC$5)*$AC$6)/((C150+2*$AC$5)+$AC$6)</f>
        <v>1919.1904440501894</v>
      </c>
      <c r="E150" s="4">
        <f t="shared" si="23"/>
        <v>1.9191904440501895</v>
      </c>
      <c r="F150" s="24">
        <v>9.9990399102947171E-4</v>
      </c>
      <c r="G150" s="6">
        <v>1.9173110339868906</v>
      </c>
      <c r="H150" s="2">
        <f t="shared" si="24"/>
        <v>9.7927231199244512E-4</v>
      </c>
      <c r="I150" s="5">
        <f>G150/F150</f>
        <v>1917.4951307203842</v>
      </c>
      <c r="J150" s="2">
        <f>ABS(D150-I150)/I150</f>
        <v>8.8412914465567285E-4</v>
      </c>
      <c r="K150" s="1">
        <f>$AD$10*B150+$AD$11</f>
        <v>1904.4987501970345</v>
      </c>
      <c r="L150" s="2">
        <f>ABS(K150-D150)/D150</f>
        <v>7.655151628490859E-3</v>
      </c>
      <c r="M150" s="21">
        <f>K150*F150</f>
        <v>1.9043159012326556</v>
      </c>
      <c r="N150" s="2">
        <f>ABS(M150-G150)/M150</f>
        <v>6.8240425581823552E-3</v>
      </c>
      <c r="O150" s="21">
        <f t="shared" si="25"/>
        <v>1.2995132754235028E-2</v>
      </c>
      <c r="P150" s="25">
        <f>$AD$18*B150+$AD$19</f>
        <v>1.2249999999999979</v>
      </c>
      <c r="Q150" s="25">
        <f>$AD$29*G150+$AD$30</f>
        <v>1.1788961212712943</v>
      </c>
      <c r="R150" s="25">
        <f t="shared" si="26"/>
        <v>4.6103878728703584E-2</v>
      </c>
      <c r="S150" s="26">
        <v>1.1288499671782248</v>
      </c>
      <c r="T150" s="26">
        <f t="shared" si="27"/>
        <v>9.6150032821773035E-2</v>
      </c>
      <c r="U150" s="27">
        <f t="shared" si="28"/>
        <v>7.84898227116516E-2</v>
      </c>
      <c r="V150" s="28">
        <f t="shared" si="29"/>
        <v>33.5461996061387</v>
      </c>
      <c r="W150" s="27">
        <f t="shared" si="30"/>
        <v>3.3250731811564925E-2</v>
      </c>
      <c r="X150" s="21">
        <v>1.1356980994981132</v>
      </c>
      <c r="Y150" s="21">
        <f t="shared" si="31"/>
        <v>33.628377193977364</v>
      </c>
      <c r="Z150" s="2">
        <f t="shared" si="32"/>
        <v>3.0882501614485258E-2</v>
      </c>
    </row>
    <row r="151" spans="1:26">
      <c r="A151" s="1">
        <v>34.799999999999997</v>
      </c>
      <c r="B151" s="1">
        <f t="shared" si="22"/>
        <v>307.95</v>
      </c>
      <c r="C151" s="4">
        <f>ROUND(10000*EXP(($AB$4)+($AC$4/B151)+($AD$4/(B151^2))+($AE$4/(B151^3))),6)</f>
        <v>6589.129422</v>
      </c>
      <c r="D151" s="4">
        <f>((C151+2*$AC$5)*$AC$6)/((C151+2*$AC$5)+$AC$6)</f>
        <v>1916.8977710448678</v>
      </c>
      <c r="E151" s="4">
        <f t="shared" si="23"/>
        <v>1.9168977710448678</v>
      </c>
      <c r="F151" s="24">
        <v>9.9990399102947171E-4</v>
      </c>
      <c r="G151" s="6">
        <v>1.9149390724521234</v>
      </c>
      <c r="H151" s="2">
        <f t="shared" si="24"/>
        <v>1.0218064950207506E-3</v>
      </c>
      <c r="I151" s="5">
        <f>G151/F151</f>
        <v>1915.1229414341656</v>
      </c>
      <c r="J151" s="2">
        <f>ABS(D151-I151)/I151</f>
        <v>9.2674447801931821E-4</v>
      </c>
      <c r="K151" s="1">
        <f>$AD$10*B151+$AD$11</f>
        <v>1902.1496382781597</v>
      </c>
      <c r="L151" s="2">
        <f>ABS(K151-D151)/D151</f>
        <v>7.6937502820868305E-3</v>
      </c>
      <c r="M151" s="21">
        <f>K151*F151</f>
        <v>1.901967014849598</v>
      </c>
      <c r="N151" s="2">
        <f>ABS(M151-G151)/M151</f>
        <v>6.8203378403758454E-3</v>
      </c>
      <c r="O151" s="21">
        <f t="shared" si="25"/>
        <v>1.29720576025254E-2</v>
      </c>
      <c r="P151" s="25">
        <f>$AD$18*B151+$AD$19</f>
        <v>1.2333333333333343</v>
      </c>
      <c r="Q151" s="25">
        <f>$AD$29*G151+$AD$30</f>
        <v>1.1873113201781633</v>
      </c>
      <c r="R151" s="25">
        <f t="shared" si="26"/>
        <v>4.602201315517096E-2</v>
      </c>
      <c r="S151" s="26">
        <v>1.1375977880606483</v>
      </c>
      <c r="T151" s="26">
        <f t="shared" si="27"/>
        <v>9.5735545272686018E-2</v>
      </c>
      <c r="U151" s="27">
        <f t="shared" si="28"/>
        <v>7.7623415085961572E-2</v>
      </c>
      <c r="V151" s="28">
        <f t="shared" si="29"/>
        <v>33.651173456727783</v>
      </c>
      <c r="W151" s="27">
        <f t="shared" si="30"/>
        <v>3.3012256990580878E-2</v>
      </c>
      <c r="X151" s="21">
        <v>1.1444233745526953</v>
      </c>
      <c r="Y151" s="21">
        <f t="shared" si="31"/>
        <v>33.733080494632347</v>
      </c>
      <c r="Z151" s="2">
        <f t="shared" si="32"/>
        <v>3.0658606476081908E-2</v>
      </c>
    </row>
    <row r="152" spans="1:26">
      <c r="A152" s="1">
        <v>34.9</v>
      </c>
      <c r="B152" s="1">
        <f t="shared" si="22"/>
        <v>308.04999999999995</v>
      </c>
      <c r="C152" s="4">
        <f>ROUND(10000*EXP(($AB$4)+($AC$4/B152)+($AD$4/(B152^2))+($AE$4/(B152^3))),6)</f>
        <v>6561.9235900000003</v>
      </c>
      <c r="D152" s="4">
        <f>((C152+2*$AC$5)*$AC$6)/((C152+2*$AC$5)+$AC$6)</f>
        <v>1914.6024550499451</v>
      </c>
      <c r="E152" s="4">
        <f t="shared" si="23"/>
        <v>1.9146024550499452</v>
      </c>
      <c r="F152" s="24">
        <v>9.9990399102947171E-4</v>
      </c>
      <c r="G152" s="6">
        <v>1.912787534804067</v>
      </c>
      <c r="H152" s="2">
        <f t="shared" si="24"/>
        <v>9.4793581878636207E-4</v>
      </c>
      <c r="I152" s="5">
        <f>G152/F152</f>
        <v>1912.9711971993604</v>
      </c>
      <c r="J152" s="2">
        <f>ABS(D152-I152)/I152</f>
        <v>8.5273518648523955E-4</v>
      </c>
      <c r="K152" s="1">
        <f>$AD$10*B152+$AD$11</f>
        <v>1899.8005263592868</v>
      </c>
      <c r="L152" s="2">
        <f>ABS(K152-D152)/D152</f>
        <v>7.7310716131261756E-3</v>
      </c>
      <c r="M152" s="21">
        <f>K152*F152</f>
        <v>1.8996181284665419</v>
      </c>
      <c r="N152" s="2">
        <f>ABS(M152-G152)/M152</f>
        <v>6.9326598541971764E-3</v>
      </c>
      <c r="O152" s="21">
        <f t="shared" si="25"/>
        <v>1.3169406337525169E-2</v>
      </c>
      <c r="P152" s="25">
        <f>$AD$18*B152+$AD$19</f>
        <v>1.2416666666666636</v>
      </c>
      <c r="Q152" s="25">
        <f>$AD$29*G152+$AD$30</f>
        <v>1.1949445035155097</v>
      </c>
      <c r="R152" s="25">
        <f t="shared" si="26"/>
        <v>4.672216315115385E-2</v>
      </c>
      <c r="S152" s="26">
        <v>1.1455326830386978</v>
      </c>
      <c r="T152" s="26">
        <f t="shared" si="27"/>
        <v>9.6133983627965769E-2</v>
      </c>
      <c r="U152" s="27">
        <f t="shared" si="28"/>
        <v>7.7423342519167257E-2</v>
      </c>
      <c r="V152" s="28">
        <f t="shared" si="29"/>
        <v>33.746392196464377</v>
      </c>
      <c r="W152" s="27">
        <f t="shared" si="30"/>
        <v>3.3054664857754192E-2</v>
      </c>
      <c r="X152" s="21">
        <v>1.1523364911054492</v>
      </c>
      <c r="Y152" s="21">
        <f t="shared" si="31"/>
        <v>33.828037893265389</v>
      </c>
      <c r="Z152" s="2">
        <f t="shared" si="32"/>
        <v>3.0715246611306868E-2</v>
      </c>
    </row>
    <row r="153" spans="1:26">
      <c r="A153" s="1">
        <v>35</v>
      </c>
      <c r="B153" s="1">
        <f t="shared" si="22"/>
        <v>308.14999999999998</v>
      </c>
      <c r="C153" s="4">
        <f>ROUND(10000*EXP(($AB$4)+($AC$4/B153)+($AD$4/(B153^2))+($AE$4/(B153^3))),6)</f>
        <v>6534.8454339999998</v>
      </c>
      <c r="D153" s="4">
        <f>((C153+2*$AC$5)*$AC$6)/((C153+2*$AC$5)+$AC$6)</f>
        <v>1912.3045109734246</v>
      </c>
      <c r="E153" s="4">
        <f t="shared" si="23"/>
        <v>1.9123045109734247</v>
      </c>
      <c r="F153" s="24">
        <v>9.9990399102947171E-4</v>
      </c>
      <c r="G153" s="6">
        <v>1.9104017703972169</v>
      </c>
      <c r="H153" s="2">
        <f t="shared" si="24"/>
        <v>9.9499873858437202E-4</v>
      </c>
      <c r="I153" s="5">
        <f>G153/F153</f>
        <v>1910.5852037157322</v>
      </c>
      <c r="J153" s="2">
        <f>ABS(D153-I153)/I153</f>
        <v>8.9988515264783947E-4</v>
      </c>
      <c r="K153" s="1">
        <f>$AD$10*B153+$AD$11</f>
        <v>1897.451414440412</v>
      </c>
      <c r="L153" s="2">
        <f>ABS(K153-D153)/D153</f>
        <v>7.767118912171524E-3</v>
      </c>
      <c r="M153" s="21">
        <f>K153*F153</f>
        <v>1.8972692420834842</v>
      </c>
      <c r="N153" s="2">
        <f>ABS(M153-G153)/M153</f>
        <v>6.9218053096729753E-3</v>
      </c>
      <c r="O153" s="21">
        <f t="shared" si="25"/>
        <v>1.3132528313732683E-2</v>
      </c>
      <c r="P153" s="25">
        <f>$AD$18*B153+$AD$19</f>
        <v>1.25</v>
      </c>
      <c r="Q153" s="25">
        <f>$AD$29*G153+$AD$30</f>
        <v>1.203408671982956</v>
      </c>
      <c r="R153" s="25">
        <f t="shared" si="26"/>
        <v>4.659132801704402E-2</v>
      </c>
      <c r="S153" s="26">
        <v>1.1543314093585046</v>
      </c>
      <c r="T153" s="26">
        <f t="shared" si="27"/>
        <v>9.5668590641495355E-2</v>
      </c>
      <c r="U153" s="27">
        <f t="shared" si="28"/>
        <v>7.6534872513196281E-2</v>
      </c>
      <c r="V153" s="28">
        <f t="shared" si="29"/>
        <v>33.851976912302057</v>
      </c>
      <c r="W153" s="27">
        <f t="shared" si="30"/>
        <v>3.280065964851267E-2</v>
      </c>
      <c r="X153" s="21">
        <v>1.1611124797924759</v>
      </c>
      <c r="Y153" s="21">
        <f t="shared" si="31"/>
        <v>33.933349757509717</v>
      </c>
      <c r="Z153" s="2">
        <f t="shared" si="32"/>
        <v>3.0475721214008086E-2</v>
      </c>
    </row>
    <row r="154" spans="1:26">
      <c r="A154" s="1">
        <v>35.1</v>
      </c>
      <c r="B154" s="1">
        <f t="shared" si="22"/>
        <v>308.25</v>
      </c>
      <c r="C154" s="4">
        <f>ROUND(10000*EXP(($AB$4)+($AC$4/B154)+($AD$4/(B154^2))+($AE$4/(B154^3))),6)</f>
        <v>6507.8942909999996</v>
      </c>
      <c r="D154" s="4">
        <f>((C154+2*$AC$5)*$AC$6)/((C154+2*$AC$5)+$AC$6)</f>
        <v>1910.0039543029911</v>
      </c>
      <c r="E154" s="4">
        <f t="shared" si="23"/>
        <v>1.9100039543029912</v>
      </c>
      <c r="F154" s="24">
        <v>9.9990399102947171E-4</v>
      </c>
      <c r="G154" s="6">
        <v>1.9082359084988854</v>
      </c>
      <c r="H154" s="2">
        <f t="shared" si="24"/>
        <v>9.2567651502639843E-4</v>
      </c>
      <c r="I154" s="5">
        <f>G154/F154</f>
        <v>1908.4191338552632</v>
      </c>
      <c r="J154" s="2">
        <f>ABS(D154-I154)/I154</f>
        <v>8.3043625984107405E-4</v>
      </c>
      <c r="K154" s="1">
        <f>$AD$10*B154+$AD$11</f>
        <v>1895.1023025215372</v>
      </c>
      <c r="L154" s="2">
        <f>ABS(K154-D154)/D154</f>
        <v>7.801895775075441E-3</v>
      </c>
      <c r="M154" s="21">
        <f>K154*F154</f>
        <v>1.8949203557004264</v>
      </c>
      <c r="N154" s="2">
        <f>ABS(M154-G154)/M154</f>
        <v>7.0269722726879974E-3</v>
      </c>
      <c r="O154" s="21">
        <f t="shared" si="25"/>
        <v>1.3315552798458974E-2</v>
      </c>
      <c r="P154" s="25">
        <f>$AD$18*B154+$AD$19</f>
        <v>1.2583333333333364</v>
      </c>
      <c r="Q154" s="25">
        <f>$AD$29*G154+$AD$30</f>
        <v>1.2110926746162685</v>
      </c>
      <c r="R154" s="25">
        <f t="shared" si="26"/>
        <v>4.7240658717067951E-2</v>
      </c>
      <c r="S154" s="26">
        <v>1.1623191325090596</v>
      </c>
      <c r="T154" s="26">
        <f t="shared" si="27"/>
        <v>9.6014200824276807E-2</v>
      </c>
      <c r="U154" s="27">
        <f t="shared" si="28"/>
        <v>7.6302676151742965E-2</v>
      </c>
      <c r="V154" s="28">
        <f t="shared" si="29"/>
        <v>33.947829590108711</v>
      </c>
      <c r="W154" s="27">
        <f t="shared" si="30"/>
        <v>3.282536780317067E-2</v>
      </c>
      <c r="X154" s="21">
        <v>1.1690782242113369</v>
      </c>
      <c r="Y154" s="21">
        <f t="shared" si="31"/>
        <v>34.028938690536044</v>
      </c>
      <c r="Z154" s="2">
        <f t="shared" si="32"/>
        <v>3.0514567221195353E-2</v>
      </c>
    </row>
    <row r="155" spans="1:26">
      <c r="A155" s="1">
        <v>35.200000000000003</v>
      </c>
      <c r="B155" s="1">
        <f t="shared" si="22"/>
        <v>308.34999999999997</v>
      </c>
      <c r="C155" s="4">
        <f>ROUND(10000*EXP(($AB$4)+($AC$4/B155)+($AD$4/(B155^2))+($AE$4/(B155^3))),6)</f>
        <v>6481.0694960000001</v>
      </c>
      <c r="D155" s="4">
        <f>((C155+2*$AC$5)*$AC$6)/((C155+2*$AC$5)+$AC$6)</f>
        <v>1907.7008000896858</v>
      </c>
      <c r="E155" s="4">
        <f t="shared" si="23"/>
        <v>1.9077008000896858</v>
      </c>
      <c r="F155" s="24">
        <v>9.9990399102947171E-4</v>
      </c>
      <c r="G155" s="6">
        <v>1.9060627726192925</v>
      </c>
      <c r="H155" s="2">
        <f t="shared" si="24"/>
        <v>8.5863960968948273E-4</v>
      </c>
      <c r="I155" s="5">
        <f>G155/F155</f>
        <v>1906.2457893150986</v>
      </c>
      <c r="J155" s="2">
        <f>ABS(D155-I155)/I155</f>
        <v>7.6328602677726255E-4</v>
      </c>
      <c r="K155" s="1">
        <f>$AD$10*B155+$AD$11</f>
        <v>1892.7531906026643</v>
      </c>
      <c r="L155" s="2">
        <f>ABS(K155-D155)/D155</f>
        <v>7.8354055763455062E-3</v>
      </c>
      <c r="M155" s="21">
        <f>K155*F155</f>
        <v>1.8925714693173703</v>
      </c>
      <c r="N155" s="2">
        <f>ABS(M155-G155)/M155</f>
        <v>7.1285568448246385E-3</v>
      </c>
      <c r="O155" s="21">
        <f t="shared" si="25"/>
        <v>1.3491303301922164E-2</v>
      </c>
      <c r="P155" s="25">
        <f>$AD$18*B155+$AD$19</f>
        <v>1.2666666666666657</v>
      </c>
      <c r="Q155" s="25">
        <f>$AD$29*G155+$AD$30</f>
        <v>1.2188024837385409</v>
      </c>
      <c r="R155" s="25">
        <f t="shared" si="26"/>
        <v>4.7864182928124777E-2</v>
      </c>
      <c r="S155" s="26">
        <v>1.1703336822674342</v>
      </c>
      <c r="T155" s="26">
        <f t="shared" si="27"/>
        <v>9.6332984399231547E-2</v>
      </c>
      <c r="U155" s="27">
        <f t="shared" si="28"/>
        <v>7.6052356104656535E-2</v>
      </c>
      <c r="V155" s="28">
        <f t="shared" si="29"/>
        <v>34.044004187209211</v>
      </c>
      <c r="W155" s="27">
        <f t="shared" si="30"/>
        <v>3.2840790136102041E-2</v>
      </c>
      <c r="X155" s="21">
        <v>1.177070844519533</v>
      </c>
      <c r="Y155" s="21">
        <f t="shared" si="31"/>
        <v>34.1248501342344</v>
      </c>
      <c r="Z155" s="2">
        <f t="shared" si="32"/>
        <v>3.0544030277431897E-2</v>
      </c>
    </row>
    <row r="156" spans="1:26">
      <c r="A156" s="1">
        <v>35.299999999999997</v>
      </c>
      <c r="B156" s="1">
        <f t="shared" si="22"/>
        <v>308.45</v>
      </c>
      <c r="C156" s="4">
        <f>ROUND(10000*EXP(($AB$4)+($AC$4/B156)+($AD$4/(B156^2))+($AE$4/(B156^3))),6)</f>
        <v>6454.3703919999998</v>
      </c>
      <c r="D156" s="4">
        <f>((C156+2*$AC$5)*$AC$6)/((C156+2*$AC$5)+$AC$6)</f>
        <v>1905.3950638011254</v>
      </c>
      <c r="E156" s="4">
        <f t="shared" si="23"/>
        <v>1.9053950638011254</v>
      </c>
      <c r="F156" s="24">
        <v>9.9990399102947171E-4</v>
      </c>
      <c r="G156" s="6">
        <v>1.9036563031220157</v>
      </c>
      <c r="H156" s="2">
        <f t="shared" si="24"/>
        <v>9.1254601848344088E-4</v>
      </c>
      <c r="I156" s="5">
        <f>G156/F156</f>
        <v>1903.8390887529783</v>
      </c>
      <c r="J156" s="2">
        <f>ABS(D156-I156)/I156</f>
        <v>8.1728285617153537E-4</v>
      </c>
      <c r="K156" s="1">
        <f>$AD$10*B156+$AD$11</f>
        <v>1890.4040786837904</v>
      </c>
      <c r="L156" s="2">
        <f>ABS(K156-D156)/D156</f>
        <v>7.8676519122648642E-3</v>
      </c>
      <c r="M156" s="21">
        <f>K156*F156</f>
        <v>1.8902225829343136</v>
      </c>
      <c r="N156" s="2">
        <f>ABS(M156-G156)/M156</f>
        <v>7.1069514823212752E-3</v>
      </c>
      <c r="O156" s="21">
        <f t="shared" si="25"/>
        <v>1.3433720187702169E-2</v>
      </c>
      <c r="P156" s="25">
        <f>$AD$18*B156+$AD$19</f>
        <v>1.2750000000000021</v>
      </c>
      <c r="Q156" s="25">
        <f>$AD$29*G156+$AD$30</f>
        <v>1.2273401093222898</v>
      </c>
      <c r="R156" s="25">
        <f t="shared" si="26"/>
        <v>4.7659890677712369E-2</v>
      </c>
      <c r="S156" s="26">
        <v>1.1792087690892703</v>
      </c>
      <c r="T156" s="26">
        <f t="shared" si="27"/>
        <v>9.5791230910731828E-2</v>
      </c>
      <c r="U156" s="27">
        <f t="shared" si="28"/>
        <v>7.513037718488759E-2</v>
      </c>
      <c r="V156" s="28">
        <f t="shared" si="29"/>
        <v>34.150505229071243</v>
      </c>
      <c r="W156" s="27">
        <f t="shared" si="30"/>
        <v>3.2563591244440637E-2</v>
      </c>
      <c r="X156" s="21">
        <v>1.1859227458336492</v>
      </c>
      <c r="Y156" s="21">
        <f t="shared" si="31"/>
        <v>34.231072950003792</v>
      </c>
      <c r="Z156" s="2">
        <f t="shared" si="32"/>
        <v>3.0281219546634701E-2</v>
      </c>
    </row>
    <row r="157" spans="1:26">
      <c r="A157" s="1">
        <v>35.4</v>
      </c>
      <c r="B157" s="1">
        <f t="shared" si="22"/>
        <v>308.54999999999995</v>
      </c>
      <c r="C157" s="4">
        <f>ROUND(10000*EXP(($AB$4)+($AC$4/B157)+($AD$4/(B157^2))+($AE$4/(B157^3))),6)</f>
        <v>6427.7963220000001</v>
      </c>
      <c r="D157" s="4">
        <f>((C157+2*$AC$5)*$AC$6)/((C157+2*$AC$5)+$AC$6)</f>
        <v>1903.0867606367767</v>
      </c>
      <c r="E157" s="4">
        <f t="shared" si="23"/>
        <v>1.9030867606367767</v>
      </c>
      <c r="F157" s="24">
        <v>9.9990399102947171E-4</v>
      </c>
      <c r="G157" s="6">
        <v>1.901243154590978</v>
      </c>
      <c r="H157" s="2">
        <f t="shared" si="24"/>
        <v>9.6874513760046414E-4</v>
      </c>
      <c r="I157" s="5">
        <f>G157/F157</f>
        <v>1901.4257085157888</v>
      </c>
      <c r="J157" s="2">
        <f>ABS(D157-I157)/I157</f>
        <v>8.7358244581879651E-4</v>
      </c>
      <c r="K157" s="1">
        <f>$AD$10*B157+$AD$11</f>
        <v>1888.0549667649166</v>
      </c>
      <c r="L157" s="2">
        <f>ABS(K157-D157)/D157</f>
        <v>7.8986382453895467E-3</v>
      </c>
      <c r="M157" s="21">
        <f>K157*F157</f>
        <v>1.8878736965512566</v>
      </c>
      <c r="N157" s="2">
        <f>ABS(M157-G157)/M157</f>
        <v>7.0817544966830159E-3</v>
      </c>
      <c r="O157" s="21">
        <f t="shared" si="25"/>
        <v>1.3369458039721449E-2</v>
      </c>
      <c r="P157" s="25">
        <f>$AD$18*B157+$AD$19</f>
        <v>1.2833333333333314</v>
      </c>
      <c r="Q157" s="25">
        <f>$AD$29*G157+$AD$30</f>
        <v>1.2359014306518512</v>
      </c>
      <c r="R157" s="25">
        <f t="shared" si="26"/>
        <v>4.7431902681480231E-2</v>
      </c>
      <c r="S157" s="26">
        <v>1.1881084879597983</v>
      </c>
      <c r="T157" s="26">
        <f t="shared" si="27"/>
        <v>9.5224845373533151E-2</v>
      </c>
      <c r="U157" s="27">
        <f t="shared" si="28"/>
        <v>7.4201178213142829E-2</v>
      </c>
      <c r="V157" s="28">
        <f t="shared" si="29"/>
        <v>34.257301855517575</v>
      </c>
      <c r="W157" s="27">
        <f t="shared" si="30"/>
        <v>3.2279608601198405E-2</v>
      </c>
      <c r="X157" s="21">
        <v>1.1947993237208343</v>
      </c>
      <c r="Y157" s="21">
        <f t="shared" si="31"/>
        <v>34.33759188465001</v>
      </c>
      <c r="Z157" s="2">
        <f t="shared" si="32"/>
        <v>3.0011528682203071E-2</v>
      </c>
    </row>
    <row r="158" spans="1:26">
      <c r="A158" s="1">
        <v>35.5</v>
      </c>
      <c r="B158" s="1">
        <f t="shared" si="22"/>
        <v>308.64999999999998</v>
      </c>
      <c r="C158" s="4">
        <f>ROUND(10000*EXP(($AB$4)+($AC$4/B158)+($AD$4/(B158^2))+($AE$4/(B158^3))),6)</f>
        <v>6401.3466369999996</v>
      </c>
      <c r="D158" s="4">
        <f>((C158+2*$AC$5)*$AC$6)/((C158+2*$AC$5)+$AC$6)</f>
        <v>1900.77590622105</v>
      </c>
      <c r="E158" s="4">
        <f t="shared" si="23"/>
        <v>1.9007759062210501</v>
      </c>
      <c r="F158" s="24">
        <v>9.9990399102947171E-4</v>
      </c>
      <c r="G158" s="6">
        <v>1.8990488686673894</v>
      </c>
      <c r="H158" s="2">
        <f t="shared" si="24"/>
        <v>9.0859608858058331E-4</v>
      </c>
      <c r="I158" s="5">
        <f>G158/F158</f>
        <v>1899.2312119008393</v>
      </c>
      <c r="J158" s="2">
        <f>ABS(D158-I158)/I158</f>
        <v>8.1332610296812444E-4</v>
      </c>
      <c r="K158" s="1">
        <f>$AD$10*B158+$AD$11</f>
        <v>1885.7058548460427</v>
      </c>
      <c r="L158" s="2">
        <f>ABS(K158-D158)/D158</f>
        <v>7.9283682656564342E-3</v>
      </c>
      <c r="M158" s="21">
        <f>K158*F158</f>
        <v>1.8855248101681998</v>
      </c>
      <c r="N158" s="2">
        <f>ABS(M158-G158)/M158</f>
        <v>7.1725699000392143E-3</v>
      </c>
      <c r="O158" s="21">
        <f t="shared" si="25"/>
        <v>1.3524058499189584E-2</v>
      </c>
      <c r="P158" s="25">
        <f>$AD$18*B158+$AD$19</f>
        <v>1.2916666666666679</v>
      </c>
      <c r="Q158" s="25">
        <f>$AD$29*G158+$AD$30</f>
        <v>1.2436862754880273</v>
      </c>
      <c r="R158" s="25">
        <f t="shared" si="26"/>
        <v>4.7980391178640502E-2</v>
      </c>
      <c r="S158" s="26">
        <v>1.1962010395456497</v>
      </c>
      <c r="T158" s="26">
        <f t="shared" si="27"/>
        <v>9.5465627121018137E-2</v>
      </c>
      <c r="U158" s="27">
        <f t="shared" si="28"/>
        <v>7.3908872609820431E-2</v>
      </c>
      <c r="V158" s="28">
        <f t="shared" si="29"/>
        <v>34.3544124745478</v>
      </c>
      <c r="W158" s="27">
        <f t="shared" si="30"/>
        <v>3.2270071139498591E-2</v>
      </c>
      <c r="X158" s="21">
        <v>1.2028694927067178</v>
      </c>
      <c r="Y158" s="21">
        <f t="shared" si="31"/>
        <v>34.434433912480621</v>
      </c>
      <c r="Z158" s="2">
        <f t="shared" si="32"/>
        <v>3.0015946127306448E-2</v>
      </c>
    </row>
    <row r="159" spans="1:26">
      <c r="A159" s="1">
        <v>35.6</v>
      </c>
      <c r="B159" s="1">
        <f t="shared" si="22"/>
        <v>308.75</v>
      </c>
      <c r="C159" s="4">
        <f>ROUND(10000*EXP(($AB$4)+($AC$4/B159)+($AD$4/(B159^2))+($AE$4/(B159^3))),6)</f>
        <v>6375.0206870000002</v>
      </c>
      <c r="D159" s="4">
        <f>((C159+2*$AC$5)*$AC$6)/((C159+2*$AC$5)+$AC$6)</f>
        <v>1898.4625158225326</v>
      </c>
      <c r="E159" s="4">
        <f t="shared" si="23"/>
        <v>1.8984625158225326</v>
      </c>
      <c r="F159" s="24">
        <v>9.9990399102947171E-4</v>
      </c>
      <c r="G159" s="6">
        <v>1.8966221458248349</v>
      </c>
      <c r="H159" s="2">
        <f t="shared" si="24"/>
        <v>9.6940022905866638E-4</v>
      </c>
      <c r="I159" s="5">
        <f>G159/F159</f>
        <v>1896.8042560487518</v>
      </c>
      <c r="J159" s="2">
        <f>ABS(D159-I159)/I159</f>
        <v>8.7423874577084184E-4</v>
      </c>
      <c r="K159" s="1">
        <f>$AD$10*B159+$AD$11</f>
        <v>1883.3567429271679</v>
      </c>
      <c r="L159" s="2">
        <f>ABS(K159-D159)/D159</f>
        <v>7.9568454838940626E-3</v>
      </c>
      <c r="M159" s="21">
        <f>K159*F159</f>
        <v>1.883175923785142</v>
      </c>
      <c r="N159" s="2">
        <f>ABS(M159-G159)/M159</f>
        <v>7.1401837023629287E-3</v>
      </c>
      <c r="O159" s="21">
        <f t="shared" si="25"/>
        <v>1.3446222039692923E-2</v>
      </c>
      <c r="P159" s="25">
        <f>$AD$18*B159+$AD$19</f>
        <v>1.3000000000000007</v>
      </c>
      <c r="Q159" s="25">
        <f>$AD$29*G159+$AD$30</f>
        <v>1.2522957554954433</v>
      </c>
      <c r="R159" s="25">
        <f t="shared" si="26"/>
        <v>4.7704244504557458E-2</v>
      </c>
      <c r="S159" s="26">
        <v>1.2051508206967712</v>
      </c>
      <c r="T159" s="26">
        <f t="shared" si="27"/>
        <v>9.4849179303229558E-2</v>
      </c>
      <c r="U159" s="27">
        <f t="shared" si="28"/>
        <v>7.2960907156330385E-2</v>
      </c>
      <c r="V159" s="28">
        <f t="shared" si="29"/>
        <v>34.461809848361256</v>
      </c>
      <c r="W159" s="27">
        <f t="shared" si="30"/>
        <v>3.197163347299848E-2</v>
      </c>
      <c r="X159" s="21">
        <v>1.2117959388248591</v>
      </c>
      <c r="Y159" s="21">
        <f t="shared" si="31"/>
        <v>34.541551265898313</v>
      </c>
      <c r="Z159" s="2">
        <f t="shared" si="32"/>
        <v>2.9731706014092363E-2</v>
      </c>
    </row>
    <row r="160" spans="1:26">
      <c r="A160" s="1">
        <v>35.700000000000003</v>
      </c>
      <c r="B160" s="1">
        <f t="shared" si="22"/>
        <v>308.84999999999997</v>
      </c>
      <c r="C160" s="4">
        <f>ROUND(10000*EXP(($AB$4)+($AC$4/B160)+($AD$4/(B160^2))+($AE$4/(B160^3))),6)</f>
        <v>6348.81783</v>
      </c>
      <c r="D160" s="4">
        <f>((C160+2*$AC$5)*$AC$6)/((C160+2*$AC$5)+$AC$6)</f>
        <v>1896.146605141367</v>
      </c>
      <c r="E160" s="4">
        <f t="shared" si="23"/>
        <v>1.8961466051413671</v>
      </c>
      <c r="F160" s="24">
        <v>9.9990399102947171E-4</v>
      </c>
      <c r="G160" s="6">
        <v>1.8944137621093358</v>
      </c>
      <c r="H160" s="2">
        <f t="shared" si="24"/>
        <v>9.1387608285814449E-4</v>
      </c>
      <c r="I160" s="5">
        <f>G160/F160</f>
        <v>1894.5956602882475</v>
      </c>
      <c r="J160" s="2">
        <f>ABS(D160-I160)/I160</f>
        <v>8.1861522520512567E-4</v>
      </c>
      <c r="K160" s="1">
        <f>$AD$10*B160+$AD$11</f>
        <v>1881.007631008295</v>
      </c>
      <c r="L160" s="2">
        <f>ABS(K160-D160)/D160</f>
        <v>7.9840736428411947E-3</v>
      </c>
      <c r="M160" s="21">
        <f>K160*F160</f>
        <v>1.8808270374020861</v>
      </c>
      <c r="N160" s="2">
        <f>ABS(M160-G160)/M160</f>
        <v>7.2238033785480141E-3</v>
      </c>
      <c r="O160" s="21">
        <f t="shared" si="25"/>
        <v>1.3586724707249642E-2</v>
      </c>
      <c r="P160" s="25">
        <f>$AD$18*B160+$AD$19</f>
        <v>1.3083333333333336</v>
      </c>
      <c r="Q160" s="25">
        <f>$AD$29*G160+$AD$30</f>
        <v>1.2601306162030133</v>
      </c>
      <c r="R160" s="25">
        <f t="shared" si="26"/>
        <v>4.8202717130320316E-2</v>
      </c>
      <c r="S160" s="26">
        <v>1.2132953647843527</v>
      </c>
      <c r="T160" s="26">
        <f t="shared" si="27"/>
        <v>9.5037968548980833E-2</v>
      </c>
      <c r="U160" s="27">
        <f t="shared" si="28"/>
        <v>7.2640485515144571E-2</v>
      </c>
      <c r="V160" s="28">
        <f t="shared" si="29"/>
        <v>34.559544377412237</v>
      </c>
      <c r="W160" s="27">
        <f t="shared" si="30"/>
        <v>3.1945535646716122E-2</v>
      </c>
      <c r="X160" s="21">
        <v>1.2199178973539102</v>
      </c>
      <c r="Y160" s="21">
        <f t="shared" si="31"/>
        <v>34.639014768246923</v>
      </c>
      <c r="Z160" s="2">
        <f t="shared" si="32"/>
        <v>2.9719474278797741E-2</v>
      </c>
    </row>
    <row r="161" spans="1:26">
      <c r="A161" s="1">
        <v>35.799999999999997</v>
      </c>
      <c r="B161" s="1">
        <f t="shared" si="22"/>
        <v>308.95</v>
      </c>
      <c r="C161" s="4">
        <f>ROUND(10000*EXP(($AB$4)+($AC$4/B161)+($AD$4/(B161^2))+($AE$4/(B161^3))),6)</f>
        <v>6322.7374259999997</v>
      </c>
      <c r="D161" s="4">
        <f>((C161+2*$AC$5)*$AC$6)/((C161+2*$AC$5)+$AC$6)</f>
        <v>1893.8281897869188</v>
      </c>
      <c r="E161" s="4">
        <f t="shared" si="23"/>
        <v>1.8938281897869187</v>
      </c>
      <c r="F161" s="24">
        <v>9.9990399102947171E-4</v>
      </c>
      <c r="G161" s="6">
        <v>1.891973541520938</v>
      </c>
      <c r="H161" s="2">
        <f t="shared" si="24"/>
        <v>9.7931178550540493E-4</v>
      </c>
      <c r="I161" s="5">
        <f>G161/F161</f>
        <v>1892.1552053942876</v>
      </c>
      <c r="J161" s="2">
        <f>ABS(D161-I161)/I161</f>
        <v>8.8416869179743743E-4</v>
      </c>
      <c r="K161" s="1">
        <f>$AD$10*B161+$AD$11</f>
        <v>1878.6585190894202</v>
      </c>
      <c r="L161" s="2">
        <f>ABS(K161-D161)/D161</f>
        <v>8.0100564450914236E-3</v>
      </c>
      <c r="M161" s="21">
        <f>K161*F161</f>
        <v>1.8784781510190283</v>
      </c>
      <c r="N161" s="2">
        <f>ABS(M161-G161)/M161</f>
        <v>7.18421478290222E-3</v>
      </c>
      <c r="O161" s="21">
        <f t="shared" si="25"/>
        <v>1.3495390501909732E-2</v>
      </c>
      <c r="P161" s="25">
        <f>$AD$18*B161+$AD$19</f>
        <v>1.3166666666666664</v>
      </c>
      <c r="Q161" s="25">
        <f>$AD$29*G161+$AD$30</f>
        <v>1.2687879832500801</v>
      </c>
      <c r="R161" s="25">
        <f t="shared" si="26"/>
        <v>4.7878683416586298E-2</v>
      </c>
      <c r="S161" s="26">
        <v>1.2222949258076434</v>
      </c>
      <c r="T161" s="26">
        <f t="shared" si="27"/>
        <v>9.4371740859023001E-2</v>
      </c>
      <c r="U161" s="27">
        <f t="shared" si="28"/>
        <v>7.1674739892928871E-2</v>
      </c>
      <c r="V161" s="28">
        <f t="shared" si="29"/>
        <v>34.667539109691717</v>
      </c>
      <c r="W161" s="27">
        <f t="shared" si="30"/>
        <v>3.163298576280113E-2</v>
      </c>
      <c r="X161" s="21">
        <v>1.2288939224347317</v>
      </c>
      <c r="Y161" s="21">
        <f t="shared" si="31"/>
        <v>34.746727069216782</v>
      </c>
      <c r="Z161" s="2">
        <f t="shared" si="32"/>
        <v>2.9421031586123345E-2</v>
      </c>
    </row>
    <row r="162" spans="1:26">
      <c r="A162" s="1">
        <v>35.9</v>
      </c>
      <c r="B162" s="1">
        <f t="shared" si="22"/>
        <v>309.04999999999995</v>
      </c>
      <c r="C162" s="4">
        <f>ROUND(10000*EXP(($AB$4)+($AC$4/B162)+($AD$4/(B162^2))+($AE$4/(B162^3))),6)</f>
        <v>6296.7788369999998</v>
      </c>
      <c r="D162" s="4">
        <f>((C162+2*$AC$5)*$AC$6)/((C162+2*$AC$5)+$AC$6)</f>
        <v>1891.5072852751171</v>
      </c>
      <c r="E162" s="4">
        <f t="shared" si="23"/>
        <v>1.8915072852751171</v>
      </c>
      <c r="F162" s="24">
        <v>9.9990399102947171E-4</v>
      </c>
      <c r="G162" s="6">
        <v>1.8897511375577274</v>
      </c>
      <c r="H162" s="2">
        <f t="shared" si="24"/>
        <v>9.2843825189619354E-4</v>
      </c>
      <c r="I162" s="5">
        <f>G162/F162</f>
        <v>1889.9325880398731</v>
      </c>
      <c r="J162" s="2">
        <f>ABS(D162-I162)/I162</f>
        <v>8.3320285877348983E-4</v>
      </c>
      <c r="K162" s="1">
        <f>$AD$10*B162+$AD$11</f>
        <v>1876.3094071705473</v>
      </c>
      <c r="L162" s="2">
        <f>ABS(K162-D162)/D162</f>
        <v>8.0347975516040747E-3</v>
      </c>
      <c r="M162" s="21">
        <f>K162*F162</f>
        <v>1.8761292646359722</v>
      </c>
      <c r="N162" s="2">
        <f>ABS(M162-G162)/M162</f>
        <v>7.2606260019073242E-3</v>
      </c>
      <c r="O162" s="21">
        <f t="shared" si="25"/>
        <v>1.3621872921755207E-2</v>
      </c>
      <c r="P162" s="25">
        <f>$AD$18*B162+$AD$19</f>
        <v>1.3249999999999993</v>
      </c>
      <c r="Q162" s="25">
        <f>$AD$29*G162+$AD$30</f>
        <v>1.2766725847192468</v>
      </c>
      <c r="R162" s="25">
        <f t="shared" si="26"/>
        <v>4.8327415280752462E-2</v>
      </c>
      <c r="S162" s="26">
        <v>1.2304911767304914</v>
      </c>
      <c r="T162" s="26">
        <f t="shared" si="27"/>
        <v>9.4508823269507936E-2</v>
      </c>
      <c r="U162" s="27">
        <f t="shared" si="28"/>
        <v>7.1327413788307911E-2</v>
      </c>
      <c r="V162" s="28">
        <f t="shared" si="29"/>
        <v>34.7658941207659</v>
      </c>
      <c r="W162" s="27">
        <f t="shared" si="30"/>
        <v>3.1590693014877408E-2</v>
      </c>
      <c r="X162" s="21">
        <v>1.2370673836998776</v>
      </c>
      <c r="Y162" s="21">
        <f t="shared" si="31"/>
        <v>34.844808604398537</v>
      </c>
      <c r="Z162" s="2">
        <f t="shared" si="32"/>
        <v>2.9392517983327621E-2</v>
      </c>
    </row>
    <row r="163" spans="1:26">
      <c r="A163" s="1">
        <v>36</v>
      </c>
      <c r="B163" s="1">
        <f t="shared" si="22"/>
        <v>309.14999999999998</v>
      </c>
      <c r="C163" s="4">
        <f>ROUND(10000*EXP(($AB$4)+($AC$4/B163)+($AD$4/(B163^2))+($AE$4/(B163^3))),6)</f>
        <v>6270.9414310000002</v>
      </c>
      <c r="D163" s="4">
        <f>((C163+2*$AC$5)*$AC$6)/((C163+2*$AC$5)+$AC$6)</f>
        <v>1889.1839073865278</v>
      </c>
      <c r="E163" s="4">
        <f t="shared" si="23"/>
        <v>1.889183907386528</v>
      </c>
      <c r="F163" s="24">
        <v>9.9990399102947171E-4</v>
      </c>
      <c r="G163" s="6">
        <v>1.8872974983762081</v>
      </c>
      <c r="H163" s="2">
        <f t="shared" si="24"/>
        <v>9.9853116625872747E-4</v>
      </c>
      <c r="I163" s="5">
        <f>G163/F163</f>
        <v>1887.4787132643626</v>
      </c>
      <c r="J163" s="2">
        <f>ABS(D163-I163)/I163</f>
        <v>9.0342429304337028E-4</v>
      </c>
      <c r="K163" s="1">
        <f>$AD$10*B163+$AD$11</f>
        <v>1873.9602952516725</v>
      </c>
      <c r="L163" s="2">
        <f>ABS(K163-D163)/D163</f>
        <v>8.058300769624634E-3</v>
      </c>
      <c r="M163" s="21">
        <f>K163*F163</f>
        <v>1.8737803782529145</v>
      </c>
      <c r="N163" s="2">
        <f>ABS(M163-G163)/M163</f>
        <v>7.2138230713551929E-3</v>
      </c>
      <c r="O163" s="21">
        <f t="shared" si="25"/>
        <v>1.3517120123293536E-2</v>
      </c>
      <c r="P163" s="25">
        <f>$AD$18*B163+$AD$19</f>
        <v>1.3333333333333321</v>
      </c>
      <c r="Q163" s="25">
        <f>$AD$29*G163+$AD$30</f>
        <v>1.2853775579894808</v>
      </c>
      <c r="R163" s="25">
        <f t="shared" si="26"/>
        <v>4.7955775343851315E-2</v>
      </c>
      <c r="S163" s="26">
        <v>1.2395402257768022</v>
      </c>
      <c r="T163" s="26">
        <f t="shared" si="27"/>
        <v>9.379310755652992E-2</v>
      </c>
      <c r="U163" s="27">
        <f t="shared" si="28"/>
        <v>7.0344830667397509E-2</v>
      </c>
      <c r="V163" s="28">
        <f t="shared" si="29"/>
        <v>34.874482709321626</v>
      </c>
      <c r="W163" s="27">
        <f t="shared" si="30"/>
        <v>3.1264369185510392E-2</v>
      </c>
      <c r="X163" s="21">
        <v>1.2460926948151463</v>
      </c>
      <c r="Y163" s="21">
        <f t="shared" si="31"/>
        <v>34.953112337781754</v>
      </c>
      <c r="Z163" s="2">
        <f t="shared" si="32"/>
        <v>2.9080212839395731E-2</v>
      </c>
    </row>
    <row r="164" spans="1:26">
      <c r="A164" s="1">
        <v>36.1</v>
      </c>
      <c r="B164" s="1">
        <f t="shared" si="22"/>
        <v>309.25</v>
      </c>
      <c r="C164" s="4">
        <f>ROUND(10000*EXP(($AB$4)+($AC$4/B164)+($AD$4/(B164^2))+($AE$4/(B164^3))),6)</f>
        <v>6245.2245780000003</v>
      </c>
      <c r="D164" s="4">
        <f>((C164+2*$AC$5)*$AC$6)/((C164+2*$AC$5)+$AC$6)</f>
        <v>1886.8580718112603</v>
      </c>
      <c r="E164" s="4">
        <f t="shared" si="23"/>
        <v>1.8868580718112604</v>
      </c>
      <c r="F164" s="24">
        <v>9.9990399102947171E-4</v>
      </c>
      <c r="G164" s="6">
        <v>1.8850611526709085</v>
      </c>
      <c r="H164" s="2">
        <f t="shared" si="24"/>
        <v>9.5233402405674064E-4</v>
      </c>
      <c r="I164" s="5">
        <f>G164/F164</f>
        <v>1885.2421528291982</v>
      </c>
      <c r="J164" s="2">
        <f>ABS(D164-I164)/I164</f>
        <v>8.5714133838832827E-4</v>
      </c>
      <c r="K164" s="1">
        <f>$AD$10*B164+$AD$11</f>
        <v>1871.6111833327986</v>
      </c>
      <c r="L164" s="2">
        <f>ABS(K164-D164)/D164</f>
        <v>8.0805698670412592E-3</v>
      </c>
      <c r="M164" s="21">
        <f>K164*F164</f>
        <v>1.8714314918698576</v>
      </c>
      <c r="N164" s="2">
        <f>ABS(M164-G164)/M164</f>
        <v>7.2830134900811585E-3</v>
      </c>
      <c r="O164" s="21">
        <f t="shared" si="25"/>
        <v>1.362966080105088E-2</v>
      </c>
      <c r="P164" s="25">
        <f>$AD$18*B164+$AD$19</f>
        <v>1.3416666666666686</v>
      </c>
      <c r="Q164" s="25">
        <f>$AD$29*G164+$AD$30</f>
        <v>1.2933116216995248</v>
      </c>
      <c r="R164" s="25">
        <f t="shared" si="26"/>
        <v>4.8355044967143712E-2</v>
      </c>
      <c r="S164" s="26">
        <v>1.2477878941473437</v>
      </c>
      <c r="T164" s="26">
        <f t="shared" si="27"/>
        <v>9.387877251932486E-2</v>
      </c>
      <c r="U164" s="27">
        <f t="shared" si="28"/>
        <v>6.9971755915024636E-2</v>
      </c>
      <c r="V164" s="28">
        <f t="shared" si="29"/>
        <v>34.973454729768129</v>
      </c>
      <c r="W164" s="27">
        <f t="shared" si="30"/>
        <v>3.1206240172628047E-2</v>
      </c>
      <c r="X164" s="21">
        <v>1.2543173683184827</v>
      </c>
      <c r="Y164" s="21">
        <f t="shared" si="31"/>
        <v>35.051808419821796</v>
      </c>
      <c r="Z164" s="2">
        <f t="shared" si="32"/>
        <v>2.903577784427161E-2</v>
      </c>
    </row>
    <row r="165" spans="1:26">
      <c r="A165" s="1">
        <v>36.200000000000003</v>
      </c>
      <c r="B165" s="1">
        <f t="shared" si="22"/>
        <v>309.34999999999997</v>
      </c>
      <c r="C165" s="4">
        <f>ROUND(10000*EXP(($AB$4)+($AC$4/B165)+($AD$4/(B165^2))+($AE$4/(B165^3))),6)</f>
        <v>6219.6276529999996</v>
      </c>
      <c r="D165" s="4">
        <f>((C165+2*$AC$5)*$AC$6)/((C165+2*$AC$5)+$AC$6)</f>
        <v>1884.5297944200631</v>
      </c>
      <c r="E165" s="4">
        <f t="shared" si="23"/>
        <v>1.8845297944200632</v>
      </c>
      <c r="F165" s="24">
        <v>9.9990399102947171E-4</v>
      </c>
      <c r="G165" s="6">
        <v>1.8825941750273452</v>
      </c>
      <c r="H165" s="2">
        <f t="shared" si="24"/>
        <v>1.0271099976499353E-3</v>
      </c>
      <c r="I165" s="5">
        <f>G165/F165</f>
        <v>1882.7749383109087</v>
      </c>
      <c r="J165" s="2">
        <f>ABS(D165-I165)/I165</f>
        <v>9.3205835357502715E-4</v>
      </c>
      <c r="K165" s="1">
        <f>$AD$10*B165+$AD$11</f>
        <v>1869.2620714139248</v>
      </c>
      <c r="L165" s="2">
        <f>ABS(K165-D165)/D165</f>
        <v>8.1016087149934184E-3</v>
      </c>
      <c r="M165" s="21">
        <f>K165*F165</f>
        <v>1.8690826054868008</v>
      </c>
      <c r="N165" s="2">
        <f>ABS(M165-G165)/M165</f>
        <v>7.2289846906072172E-3</v>
      </c>
      <c r="O165" s="21">
        <f t="shared" si="25"/>
        <v>1.3511569540544333E-2</v>
      </c>
      <c r="P165" s="25">
        <f>$AD$18*B165+$AD$19</f>
        <v>1.3499999999999979</v>
      </c>
      <c r="Q165" s="25">
        <f>$AD$29*G165+$AD$30</f>
        <v>1.3020639169054515</v>
      </c>
      <c r="R165" s="25">
        <f t="shared" si="26"/>
        <v>4.7936083094546333E-2</v>
      </c>
      <c r="S165" s="26">
        <v>1.2568861355883552</v>
      </c>
      <c r="T165" s="26">
        <f t="shared" si="27"/>
        <v>9.3113864411642711E-2</v>
      </c>
      <c r="U165" s="27">
        <f t="shared" si="28"/>
        <v>6.8973232897513226E-2</v>
      </c>
      <c r="V165" s="28">
        <f t="shared" si="29"/>
        <v>35.082633627060261</v>
      </c>
      <c r="W165" s="27">
        <f t="shared" si="30"/>
        <v>3.0866474390600602E-2</v>
      </c>
      <c r="X165" s="21">
        <v>1.2633916690139544</v>
      </c>
      <c r="Y165" s="21">
        <f t="shared" si="31"/>
        <v>35.160700028167454</v>
      </c>
      <c r="Z165" s="2">
        <f t="shared" si="32"/>
        <v>2.8709943973274817E-2</v>
      </c>
    </row>
    <row r="166" spans="1:26">
      <c r="A166" s="1">
        <v>36.299999999999997</v>
      </c>
      <c r="B166" s="1">
        <f t="shared" si="22"/>
        <v>309.45</v>
      </c>
      <c r="C166" s="4">
        <f>ROUND(10000*EXP(($AB$4)+($AC$4/B166)+($AD$4/(B166^2))+($AE$4/(B166^3))),6)</f>
        <v>6194.1500340000002</v>
      </c>
      <c r="D166" s="4">
        <f>((C166+2*$AC$5)*$AC$6)/((C166+2*$AC$5)+$AC$6)</f>
        <v>1882.1990910861082</v>
      </c>
      <c r="E166" s="4">
        <f t="shared" si="23"/>
        <v>1.8821990910861082</v>
      </c>
      <c r="F166" s="24">
        <v>9.9990399102947171E-4</v>
      </c>
      <c r="G166" s="6">
        <v>1.880343967089352</v>
      </c>
      <c r="H166" s="2">
        <f t="shared" si="24"/>
        <v>9.8561518042475068E-4</v>
      </c>
      <c r="I166" s="5">
        <f>G166/F166</f>
        <v>1880.5245143120244</v>
      </c>
      <c r="J166" s="2">
        <f>ABS(D166-I166)/I166</f>
        <v>8.9048388433076093E-4</v>
      </c>
      <c r="K166" s="1">
        <f>$AD$10*B166+$AD$11</f>
        <v>1866.9129594950509</v>
      </c>
      <c r="L166" s="2">
        <f>ABS(K166-D166)/D166</f>
        <v>8.1214211947347788E-3</v>
      </c>
      <c r="M166" s="21">
        <f>K166*F166</f>
        <v>1.8667337191037439</v>
      </c>
      <c r="N166" s="2">
        <f>ABS(M166-G166)/M166</f>
        <v>7.2909423804390925E-3</v>
      </c>
      <c r="O166" s="21">
        <f t="shared" si="25"/>
        <v>1.361024798560817E-2</v>
      </c>
      <c r="P166" s="25">
        <f>$AD$18*B166+$AD$19</f>
        <v>1.3583333333333343</v>
      </c>
      <c r="Q166" s="25">
        <f>$AD$29*G166+$AD$30</f>
        <v>1.3100471607744906</v>
      </c>
      <c r="R166" s="25">
        <f t="shared" si="26"/>
        <v>4.828617255884371E-2</v>
      </c>
      <c r="S166" s="26">
        <v>1.2651849277185714</v>
      </c>
      <c r="T166" s="26">
        <f t="shared" si="27"/>
        <v>9.3148405614762897E-2</v>
      </c>
      <c r="U166" s="27">
        <f t="shared" si="28"/>
        <v>6.8575513336021715E-2</v>
      </c>
      <c r="V166" s="28">
        <f t="shared" si="29"/>
        <v>35.182219132622855</v>
      </c>
      <c r="W166" s="27">
        <f t="shared" si="30"/>
        <v>3.0792861360251857E-2</v>
      </c>
      <c r="X166" s="21">
        <v>1.2716672606091119</v>
      </c>
      <c r="Y166" s="21">
        <f t="shared" si="31"/>
        <v>35.26000712730935</v>
      </c>
      <c r="Z166" s="2">
        <f t="shared" si="32"/>
        <v>2.8649941396436548E-2</v>
      </c>
    </row>
    <row r="167" spans="1:26">
      <c r="A167" s="1">
        <v>36.4</v>
      </c>
      <c r="B167" s="1">
        <f t="shared" si="22"/>
        <v>309.54999999999995</v>
      </c>
      <c r="C167" s="4">
        <f>ROUND(10000*EXP(($AB$4)+($AC$4/B167)+($AD$4/(B167^2))+($AE$4/(B167^3))),6)</f>
        <v>6168.7911020000001</v>
      </c>
      <c r="D167" s="4">
        <f>((C167+2*$AC$5)*$AC$6)/((C167+2*$AC$5)+$AC$6)</f>
        <v>1879.8659776851175</v>
      </c>
      <c r="E167" s="4">
        <f t="shared" si="23"/>
        <v>1.8798659776851177</v>
      </c>
      <c r="F167" s="24">
        <v>9.9990399102947171E-4</v>
      </c>
      <c r="G167" s="6">
        <v>1.8778637321254652</v>
      </c>
      <c r="H167" s="2">
        <f t="shared" si="24"/>
        <v>1.0651001632137791E-3</v>
      </c>
      <c r="I167" s="5">
        <f>G167/F167</f>
        <v>1878.0440412004677</v>
      </c>
      <c r="J167" s="2">
        <f>ABS(D167-I167)/I167</f>
        <v>9.7012447241927573E-4</v>
      </c>
      <c r="K167" s="1">
        <f>$AD$10*B167+$AD$11</f>
        <v>1864.5638475761771</v>
      </c>
      <c r="L167" s="2">
        <f>ABS(K167-D167)/D167</f>
        <v>8.1400111979172129E-3</v>
      </c>
      <c r="M167" s="21">
        <f>K167*F167</f>
        <v>1.8643848327206871</v>
      </c>
      <c r="N167" s="2">
        <f>ABS(M167-G167)/M167</f>
        <v>7.2296766033589756E-3</v>
      </c>
      <c r="O167" s="21">
        <f t="shared" si="25"/>
        <v>1.3478899404778089E-2</v>
      </c>
      <c r="P167" s="25">
        <f>$AD$18*B167+$AD$19</f>
        <v>1.3666666666666636</v>
      </c>
      <c r="Q167" s="25">
        <f>$AD$29*G167+$AD$30</f>
        <v>1.3188464900430938</v>
      </c>
      <c r="R167" s="25">
        <f t="shared" si="26"/>
        <v>4.7820176623569743E-2</v>
      </c>
      <c r="S167" s="26">
        <v>1.2743320623493659</v>
      </c>
      <c r="T167" s="26">
        <f t="shared" si="27"/>
        <v>9.2334604317297675E-2</v>
      </c>
      <c r="U167" s="27">
        <f t="shared" si="28"/>
        <v>6.7561905598022845E-2</v>
      </c>
      <c r="V167" s="28">
        <f t="shared" si="29"/>
        <v>35.291984748192391</v>
      </c>
      <c r="W167" s="27">
        <f t="shared" si="30"/>
        <v>3.0439979445263946E-2</v>
      </c>
      <c r="X167" s="21">
        <v>1.2807902506516557</v>
      </c>
      <c r="Y167" s="21">
        <f t="shared" si="31"/>
        <v>35.369483007819873</v>
      </c>
      <c r="Z167" s="2">
        <f t="shared" si="32"/>
        <v>2.831090637857487E-2</v>
      </c>
    </row>
    <row r="168" spans="1:26">
      <c r="A168" s="1">
        <v>36.5</v>
      </c>
      <c r="B168" s="1">
        <f t="shared" si="22"/>
        <v>309.64999999999998</v>
      </c>
      <c r="C168" s="4">
        <f>ROUND(10000*EXP(($AB$4)+($AC$4/B168)+($AD$4/(B168^2))+($AE$4/(B168^3))),6)</f>
        <v>6143.5502409999999</v>
      </c>
      <c r="D168" s="4">
        <f>((C168+2*$AC$5)*$AC$6)/((C168+2*$AC$5)+$AC$6)</f>
        <v>1877.530470095521</v>
      </c>
      <c r="E168" s="4">
        <f t="shared" si="23"/>
        <v>1.8775304700955211</v>
      </c>
      <c r="F168" s="24">
        <v>9.9990399102947171E-4</v>
      </c>
      <c r="G168" s="6">
        <v>1.8755997424183053</v>
      </c>
      <c r="H168" s="2">
        <f t="shared" si="24"/>
        <v>1.0283336052157794E-3</v>
      </c>
      <c r="I168" s="5">
        <f>G168/F168</f>
        <v>1875.7798341091159</v>
      </c>
      <c r="J168" s="2">
        <f>ABS(D168-I168)/I168</f>
        <v>9.332843623604338E-4</v>
      </c>
      <c r="K168" s="1">
        <f>$AD$10*B168+$AD$11</f>
        <v>1862.2147356573032</v>
      </c>
      <c r="L168" s="2">
        <f>ABS(K168-D168)/D168</f>
        <v>8.1573826268921002E-3</v>
      </c>
      <c r="M168" s="21">
        <f>K168*F168</f>
        <v>1.8620359463376301</v>
      </c>
      <c r="N168" s="2">
        <f>ABS(M168-G168)/M168</f>
        <v>7.2843900287495955E-3</v>
      </c>
      <c r="O168" s="21">
        <f t="shared" si="25"/>
        <v>1.356379608067515E-2</v>
      </c>
      <c r="P168" s="25">
        <f>$AD$18*B168+$AD$19</f>
        <v>1.375</v>
      </c>
      <c r="Q168" s="25">
        <f>$AD$29*G168+$AD$30</f>
        <v>1.326878628604196</v>
      </c>
      <c r="R168" s="25">
        <f t="shared" si="26"/>
        <v>4.8121371395803969E-2</v>
      </c>
      <c r="S168" s="26">
        <v>1.2826816819883746</v>
      </c>
      <c r="T168" s="26">
        <f t="shared" si="27"/>
        <v>9.2318318011625378E-2</v>
      </c>
      <c r="U168" s="27">
        <f t="shared" si="28"/>
        <v>6.7140594917545732E-2</v>
      </c>
      <c r="V168" s="28">
        <f t="shared" si="29"/>
        <v>35.392180183860496</v>
      </c>
      <c r="W168" s="27">
        <f t="shared" si="30"/>
        <v>3.0351227839438458E-2</v>
      </c>
      <c r="X168" s="21">
        <v>1.2891164628449463</v>
      </c>
      <c r="Y168" s="21">
        <f t="shared" si="31"/>
        <v>35.469397554139363</v>
      </c>
      <c r="Z168" s="2">
        <f t="shared" si="32"/>
        <v>2.823568344823664E-2</v>
      </c>
    </row>
    <row r="169" spans="1:26">
      <c r="A169" s="1">
        <v>36.6</v>
      </c>
      <c r="B169" s="1">
        <f t="shared" si="22"/>
        <v>309.75</v>
      </c>
      <c r="C169" s="4">
        <f>ROUND(10000*EXP(($AB$4)+($AC$4/B169)+($AD$4/(B169^2))+($AE$4/(B169^3))),6)</f>
        <v>6118.4268410000004</v>
      </c>
      <c r="D169" s="4">
        <f>((C169+2*$AC$5)*$AC$6)/((C169+2*$AC$5)+$AC$6)</f>
        <v>1875.1925844786206</v>
      </c>
      <c r="E169" s="4">
        <f t="shared" si="23"/>
        <v>1.8751925844786206</v>
      </c>
      <c r="F169" s="24">
        <v>9.9990399102947171E-4</v>
      </c>
      <c r="G169" s="6">
        <v>1.8733294977410728</v>
      </c>
      <c r="H169" s="2">
        <f t="shared" si="24"/>
        <v>9.9354421138870522E-4</v>
      </c>
      <c r="I169" s="5">
        <f>G169/F169</f>
        <v>1873.5093714471006</v>
      </c>
      <c r="J169" s="2">
        <f>ABS(D169-I169)/I169</f>
        <v>8.9842786866863175E-4</v>
      </c>
      <c r="K169" s="1">
        <f>$AD$10*B169+$AD$11</f>
        <v>1859.8656237384284</v>
      </c>
      <c r="L169" s="2">
        <f>ABS(K169-D169)/D169</f>
        <v>8.1735395431150604E-3</v>
      </c>
      <c r="M169" s="21">
        <f>K169*F169</f>
        <v>1.8596870599545723</v>
      </c>
      <c r="N169" s="2">
        <f>ABS(M169-G169)/M169</f>
        <v>7.3358782132052856E-3</v>
      </c>
      <c r="O169" s="21">
        <f t="shared" si="25"/>
        <v>1.3642437786500539E-2</v>
      </c>
      <c r="P169" s="25">
        <f>$AD$18*B169+$AD$19</f>
        <v>1.3833333333333364</v>
      </c>
      <c r="Q169" s="25">
        <f>$AD$29*G169+$AD$30</f>
        <v>1.3349329584262213</v>
      </c>
      <c r="R169" s="25">
        <f t="shared" si="26"/>
        <v>4.8400374907115129E-2</v>
      </c>
      <c r="S169" s="26">
        <v>1.2910543700907642</v>
      </c>
      <c r="T169" s="26">
        <f t="shared" si="27"/>
        <v>9.2278963242572232E-2</v>
      </c>
      <c r="U169" s="27">
        <f t="shared" si="28"/>
        <v>6.6707684271738815E-2</v>
      </c>
      <c r="V169" s="28">
        <f t="shared" si="29"/>
        <v>35.49265244108917</v>
      </c>
      <c r="W169" s="27">
        <f t="shared" si="30"/>
        <v>3.025539778444894E-2</v>
      </c>
      <c r="X169" s="21">
        <v>1.2974683944769771</v>
      </c>
      <c r="Y169" s="21">
        <f t="shared" si="31"/>
        <v>35.569620733723724</v>
      </c>
      <c r="Z169" s="2">
        <f t="shared" si="32"/>
        <v>2.8152438969297196E-2</v>
      </c>
    </row>
    <row r="170" spans="1:26">
      <c r="A170" s="1">
        <v>36.700000000000003</v>
      </c>
      <c r="B170" s="1">
        <f t="shared" si="22"/>
        <v>309.84999999999997</v>
      </c>
      <c r="C170" s="4">
        <f>ROUND(10000*EXP(($AB$4)+($AC$4/B170)+($AD$4/(B170^2))+($AE$4/(B170^3))),6)</f>
        <v>6093.4202930000001</v>
      </c>
      <c r="D170" s="4">
        <f>((C170+2*$AC$5)*$AC$6)/((C170+2*$AC$5)+$AC$6)</f>
        <v>1872.8523368175202</v>
      </c>
      <c r="E170" s="4">
        <f t="shared" si="23"/>
        <v>1.8728523368175203</v>
      </c>
      <c r="F170" s="24">
        <v>9.9990399102947171E-4</v>
      </c>
      <c r="G170" s="6">
        <v>1.8708286441775925</v>
      </c>
      <c r="H170" s="2">
        <f t="shared" si="24"/>
        <v>1.0805404142894368E-3</v>
      </c>
      <c r="I170" s="5">
        <f>G170/F170</f>
        <v>1871.0082777561897</v>
      </c>
      <c r="J170" s="2">
        <f>ABS(D170-I170)/I170</f>
        <v>9.8559642052568463E-4</v>
      </c>
      <c r="K170" s="1">
        <f>$AD$10*B170+$AD$11</f>
        <v>1857.5165118195555</v>
      </c>
      <c r="L170" s="2">
        <f>ABS(K170-D170)/D170</f>
        <v>8.1884859241088681E-3</v>
      </c>
      <c r="M170" s="21">
        <f>K170*F170</f>
        <v>1.8573381735715164</v>
      </c>
      <c r="N170" s="2">
        <f>ABS(M170-G170)/M170</f>
        <v>7.2633356693116297E-3</v>
      </c>
      <c r="O170" s="21">
        <f t="shared" si="25"/>
        <v>1.349047060607611E-2</v>
      </c>
      <c r="P170" s="25">
        <f>$AD$18*B170+$AD$19</f>
        <v>1.3916666666666657</v>
      </c>
      <c r="Q170" s="25">
        <f>$AD$29*G170+$AD$30</f>
        <v>1.3438054379606346</v>
      </c>
      <c r="R170" s="25">
        <f t="shared" si="26"/>
        <v>4.7861228706031156E-2</v>
      </c>
      <c r="S170" s="26">
        <v>1.3002775462831251</v>
      </c>
      <c r="T170" s="26">
        <f t="shared" si="27"/>
        <v>9.1389120383540634E-2</v>
      </c>
      <c r="U170" s="27">
        <f t="shared" si="28"/>
        <v>6.5668829018113078E-2</v>
      </c>
      <c r="V170" s="28">
        <f t="shared" si="29"/>
        <v>35.603330555397505</v>
      </c>
      <c r="W170" s="27">
        <f t="shared" si="30"/>
        <v>2.98820012153269E-2</v>
      </c>
      <c r="X170" s="21">
        <v>1.3066643697019833</v>
      </c>
      <c r="Y170" s="21">
        <f t="shared" si="31"/>
        <v>35.679972436423803</v>
      </c>
      <c r="Z170" s="2">
        <f t="shared" si="32"/>
        <v>2.7793666582457757E-2</v>
      </c>
    </row>
    <row r="171" spans="1:26">
      <c r="A171" s="1">
        <v>36.799999999999997</v>
      </c>
      <c r="B171" s="1">
        <f t="shared" si="22"/>
        <v>309.95</v>
      </c>
      <c r="C171" s="4">
        <f>ROUND(10000*EXP(($AB$4)+($AC$4/B171)+($AD$4/(B171^2))+($AE$4/(B171^3))),6)</f>
        <v>6068.5299919999998</v>
      </c>
      <c r="D171" s="4">
        <f>((C171+2*$AC$5)*$AC$6)/((C171+2*$AC$5)+$AC$6)</f>
        <v>1870.5097431952872</v>
      </c>
      <c r="E171" s="4">
        <f t="shared" si="23"/>
        <v>1.8705097431952873</v>
      </c>
      <c r="F171" s="24">
        <v>9.9990399102947171E-4</v>
      </c>
      <c r="G171" s="6">
        <v>1.8685439928978398</v>
      </c>
      <c r="H171" s="2">
        <f t="shared" si="24"/>
        <v>1.0509168982405395E-3</v>
      </c>
      <c r="I171" s="5">
        <f>G171/F171</f>
        <v>1868.7234071083583</v>
      </c>
      <c r="J171" s="2">
        <f>ABS(D171-I171)/I171</f>
        <v>9.5591251232470908E-4</v>
      </c>
      <c r="K171" s="1">
        <f>$AD$10*B171+$AD$11</f>
        <v>1855.1673999006807</v>
      </c>
      <c r="L171" s="2">
        <f>ABS(K171-D171)/D171</f>
        <v>8.2022258105953726E-3</v>
      </c>
      <c r="M171" s="21">
        <f>K171*F171</f>
        <v>1.8549892871884586</v>
      </c>
      <c r="N171" s="2">
        <f>ABS(M171-G171)/M171</f>
        <v>7.3071611803891372E-3</v>
      </c>
      <c r="O171" s="21">
        <f t="shared" si="25"/>
        <v>1.3554705709381221E-2</v>
      </c>
      <c r="P171" s="25">
        <f>$AD$18*B171+$AD$19</f>
        <v>1.4000000000000021</v>
      </c>
      <c r="Q171" s="25">
        <f>$AD$29*G171+$AD$30</f>
        <v>1.3519108792463168</v>
      </c>
      <c r="R171" s="25">
        <f t="shared" si="26"/>
        <v>4.8089120753685322E-2</v>
      </c>
      <c r="S171" s="26">
        <v>1.3087033661645269</v>
      </c>
      <c r="T171" s="26">
        <f t="shared" si="27"/>
        <v>9.129663383547526E-2</v>
      </c>
      <c r="U171" s="27">
        <f t="shared" si="28"/>
        <v>6.5211881311053654E-2</v>
      </c>
      <c r="V171" s="28">
        <f t="shared" si="29"/>
        <v>35.704440393974323</v>
      </c>
      <c r="W171" s="27">
        <f t="shared" si="30"/>
        <v>2.9770641468088964E-2</v>
      </c>
      <c r="X171" s="21">
        <v>1.3150664694267538</v>
      </c>
      <c r="Y171" s="21">
        <f t="shared" si="31"/>
        <v>35.780797633121047</v>
      </c>
      <c r="Z171" s="2">
        <f t="shared" si="32"/>
        <v>2.7695716491275824E-2</v>
      </c>
    </row>
    <row r="172" spans="1:26">
      <c r="A172" s="1">
        <v>36.9</v>
      </c>
      <c r="B172" s="1">
        <f t="shared" si="22"/>
        <v>310.04999999999995</v>
      </c>
      <c r="C172" s="4">
        <f>ROUND(10000*EXP(($AB$4)+($AC$4/B172)+($AD$4/(B172^2))+($AE$4/(B172^3))),6)</f>
        <v>6043.7553369999996</v>
      </c>
      <c r="D172" s="4">
        <f>((C172+2*$AC$5)*$AC$6)/((C172+2*$AC$5)+$AC$6)</f>
        <v>1868.1648197979584</v>
      </c>
      <c r="E172" s="4">
        <f t="shared" si="23"/>
        <v>1.8681648197979586</v>
      </c>
      <c r="F172" s="24">
        <v>9.9990399102947171E-4</v>
      </c>
      <c r="G172" s="6">
        <v>1.8662531565809262</v>
      </c>
      <c r="H172" s="2">
        <f t="shared" si="24"/>
        <v>1.0232840254636342E-3</v>
      </c>
      <c r="I172" s="5">
        <f>G172/F172</f>
        <v>1866.4323508294899</v>
      </c>
      <c r="J172" s="2">
        <f>ABS(D172-I172)/I172</f>
        <v>9.2822489264000646E-4</v>
      </c>
      <c r="K172" s="1">
        <f>$AD$10*B172+$AD$11</f>
        <v>1852.8182879818078</v>
      </c>
      <c r="L172" s="2">
        <f>ABS(K172-D172)/D172</f>
        <v>8.2147633086305499E-3</v>
      </c>
      <c r="M172" s="21">
        <f>K172*F172</f>
        <v>1.8526404008054027</v>
      </c>
      <c r="N172" s="2">
        <f>ABS(M172-G172)/M172</f>
        <v>7.3477593221034964E-3</v>
      </c>
      <c r="O172" s="21">
        <f t="shared" si="25"/>
        <v>1.3612755775523455E-2</v>
      </c>
      <c r="P172" s="25">
        <f>$AD$18*B172+$AD$19</f>
        <v>1.4083333333333314</v>
      </c>
      <c r="Q172" s="25">
        <f>$AD$29*G172+$AD$30</f>
        <v>1.3600382636863007</v>
      </c>
      <c r="R172" s="25">
        <f t="shared" si="26"/>
        <v>4.8295069647030786E-2</v>
      </c>
      <c r="S172" s="26">
        <v>1.3171519961515736</v>
      </c>
      <c r="T172" s="26">
        <f t="shared" si="27"/>
        <v>9.1181337181757804E-2</v>
      </c>
      <c r="U172" s="27">
        <f t="shared" si="28"/>
        <v>6.4744144744443496E-2</v>
      </c>
      <c r="V172" s="28">
        <f t="shared" si="29"/>
        <v>35.805823953818887</v>
      </c>
      <c r="W172" s="27">
        <f t="shared" si="30"/>
        <v>2.9652467376181883E-2</v>
      </c>
      <c r="X172" s="21">
        <v>1.3234940619596736</v>
      </c>
      <c r="Y172" s="21">
        <f t="shared" si="31"/>
        <v>35.881928743516085</v>
      </c>
      <c r="Z172" s="2">
        <f t="shared" si="32"/>
        <v>2.7590006950783581E-2</v>
      </c>
    </row>
    <row r="173" spans="1:26">
      <c r="A173" s="1">
        <v>37</v>
      </c>
      <c r="B173" s="1">
        <f t="shared" si="22"/>
        <v>310.14999999999998</v>
      </c>
      <c r="C173" s="4">
        <f>ROUND(10000*EXP(($AB$4)+($AC$4/B173)+($AD$4/(B173^2))+($AE$4/(B173^3))),6)</f>
        <v>6019.0957310000003</v>
      </c>
      <c r="D173" s="4">
        <f>((C173+2*$AC$5)*$AC$6)/((C173+2*$AC$5)+$AC$6)</f>
        <v>1865.8175829176073</v>
      </c>
      <c r="E173" s="4">
        <f t="shared" si="23"/>
        <v>1.8658175829176074</v>
      </c>
      <c r="F173" s="24">
        <v>9.9990399102947171E-4</v>
      </c>
      <c r="G173" s="6">
        <v>1.8637326080961385</v>
      </c>
      <c r="H173" s="2">
        <f t="shared" si="24"/>
        <v>1.1174590916913473E-3</v>
      </c>
      <c r="I173" s="5">
        <f>G173/F173</f>
        <v>1863.9115603262012</v>
      </c>
      <c r="J173" s="2">
        <f>ABS(D173-I173)/I173</f>
        <v>1.0225928268144484E-3</v>
      </c>
      <c r="K173" s="1">
        <f>$AD$10*B173+$AD$11</f>
        <v>1850.469176062933</v>
      </c>
      <c r="L173" s="2">
        <f>ABS(K173-D173)/D173</f>
        <v>8.2261025918052271E-3</v>
      </c>
      <c r="M173" s="21">
        <f>K173*F173</f>
        <v>1.8502915144223449</v>
      </c>
      <c r="N173" s="2">
        <f>ABS(M173-G173)/M173</f>
        <v>7.2643113633853061E-3</v>
      </c>
      <c r="O173" s="21">
        <f t="shared" si="25"/>
        <v>1.3441093673793647E-2</v>
      </c>
      <c r="P173" s="25">
        <f>$AD$18*B173+$AD$19</f>
        <v>1.4166666666666679</v>
      </c>
      <c r="Q173" s="25">
        <f>$AD$29*G173+$AD$30</f>
        <v>1.3689806164787024</v>
      </c>
      <c r="R173" s="25">
        <f t="shared" si="26"/>
        <v>4.7686050187965456E-2</v>
      </c>
      <c r="S173" s="26">
        <v>1.3264478074974717</v>
      </c>
      <c r="T173" s="26">
        <f t="shared" si="27"/>
        <v>9.0218859169196142E-2</v>
      </c>
      <c r="U173" s="27">
        <f t="shared" si="28"/>
        <v>6.3683900590020756E-2</v>
      </c>
      <c r="V173" s="28">
        <f t="shared" si="29"/>
        <v>35.917373689969665</v>
      </c>
      <c r="W173" s="27">
        <f t="shared" si="30"/>
        <v>2.9260170541360406E-2</v>
      </c>
      <c r="X173" s="21">
        <v>1.3327623305581238</v>
      </c>
      <c r="Y173" s="21">
        <f t="shared" si="31"/>
        <v>35.993147966697492</v>
      </c>
      <c r="Z173" s="2">
        <f t="shared" si="32"/>
        <v>2.7212217116283993E-2</v>
      </c>
    </row>
    <row r="174" spans="1:26">
      <c r="A174" s="1">
        <v>37.1</v>
      </c>
      <c r="B174" s="1">
        <f t="shared" si="22"/>
        <v>310.25</v>
      </c>
      <c r="C174" s="4">
        <f>ROUND(10000*EXP(($AB$4)+($AC$4/B174)+($AD$4/(B174^2))+($AE$4/(B174^3))),6)</f>
        <v>5994.5505780000003</v>
      </c>
      <c r="D174" s="4">
        <f>((C174+2*$AC$5)*$AC$6)/((C174+2*$AC$5)+$AC$6)</f>
        <v>1863.4680486675122</v>
      </c>
      <c r="E174" s="4">
        <f t="shared" si="23"/>
        <v>1.8634680486675124</v>
      </c>
      <c r="F174" s="24">
        <v>9.9990399102947171E-4</v>
      </c>
      <c r="G174" s="6">
        <v>1.8614274810059435</v>
      </c>
      <c r="H174" s="2">
        <f t="shared" si="24"/>
        <v>1.0950376439392282E-3</v>
      </c>
      <c r="I174" s="5">
        <f>G174/F174</f>
        <v>1861.6062119018773</v>
      </c>
      <c r="J174" s="2">
        <f>ABS(D174-I174)/I174</f>
        <v>1.000123846671552E-3</v>
      </c>
      <c r="K174" s="1">
        <f>$AD$10*B174+$AD$11</f>
        <v>1848.1200641440591</v>
      </c>
      <c r="L174" s="2">
        <f>ABS(K174-D174)/D174</f>
        <v>8.2362477502245218E-3</v>
      </c>
      <c r="M174" s="21">
        <f>K174*F174</f>
        <v>1.8479426280392881</v>
      </c>
      <c r="N174" s="2">
        <f>ABS(M174-G174)/M174</f>
        <v>7.29722490408867E-3</v>
      </c>
      <c r="O174" s="21">
        <f t="shared" si="25"/>
        <v>1.3484852966655358E-2</v>
      </c>
      <c r="P174" s="25">
        <f>$AD$18*B174+$AD$19</f>
        <v>1.4250000000000007</v>
      </c>
      <c r="Q174" s="25">
        <f>$AD$29*G174+$AD$30</f>
        <v>1.3771587014456266</v>
      </c>
      <c r="R174" s="25">
        <f t="shared" si="26"/>
        <v>4.7841298554374134E-2</v>
      </c>
      <c r="S174" s="26">
        <v>1.3349491421322173</v>
      </c>
      <c r="T174" s="26">
        <f t="shared" si="27"/>
        <v>9.005085786778344E-2</v>
      </c>
      <c r="U174" s="27">
        <f t="shared" si="28"/>
        <v>6.3193584468619932E-2</v>
      </c>
      <c r="V174" s="28">
        <f t="shared" si="29"/>
        <v>36.019389705586612</v>
      </c>
      <c r="W174" s="27">
        <f t="shared" si="30"/>
        <v>2.9126962113568456E-2</v>
      </c>
      <c r="X174" s="21">
        <v>1.3412396305742418</v>
      </c>
      <c r="Y174" s="21">
        <f t="shared" si="31"/>
        <v>36.094875566890906</v>
      </c>
      <c r="Z174" s="2">
        <f t="shared" si="32"/>
        <v>2.7092302779220905E-2</v>
      </c>
    </row>
    <row r="175" spans="1:26">
      <c r="A175" s="1">
        <v>37.200000000000003</v>
      </c>
      <c r="B175" s="1">
        <f t="shared" si="22"/>
        <v>310.34999999999997</v>
      </c>
      <c r="C175" s="4">
        <f>ROUND(10000*EXP(($AB$4)+($AC$4/B175)+($AD$4/(B175^2))+($AE$4/(B175^3))),6)</f>
        <v>5970.1192879999999</v>
      </c>
      <c r="D175" s="4">
        <f>((C175+2*$AC$5)*$AC$6)/((C175+2*$AC$5)+$AC$6)</f>
        <v>1861.1162334599244</v>
      </c>
      <c r="E175" s="4">
        <f t="shared" si="23"/>
        <v>1.8611162334599245</v>
      </c>
      <c r="F175" s="24">
        <v>9.9990399102947171E-4</v>
      </c>
      <c r="G175" s="6">
        <v>1.8593369543747253</v>
      </c>
      <c r="H175" s="2">
        <f t="shared" si="24"/>
        <v>9.5602792195915868E-4</v>
      </c>
      <c r="I175" s="5">
        <f>G175/F175</f>
        <v>1859.5154845420777</v>
      </c>
      <c r="J175" s="2">
        <f>ABS(D175-I175)/I175</f>
        <v>8.6084194036214611E-4</v>
      </c>
      <c r="K175" s="1">
        <f>$AD$10*B175+$AD$11</f>
        <v>1845.7709522251853</v>
      </c>
      <c r="L175" s="2">
        <f>ABS(K175-D175)/D175</f>
        <v>8.2452030447401591E-3</v>
      </c>
      <c r="M175" s="21">
        <f>K175*F175</f>
        <v>1.8455937416562311</v>
      </c>
      <c r="N175" s="2">
        <f>ABS(M175-G175)/M175</f>
        <v>7.4464994155003413E-3</v>
      </c>
      <c r="O175" s="21">
        <f t="shared" si="25"/>
        <v>1.3743212718494213E-2</v>
      </c>
      <c r="P175" s="25">
        <f>$AD$18*B175+$AD$19</f>
        <v>1.4333333333333336</v>
      </c>
      <c r="Q175" s="25">
        <f>$AD$29*G175+$AD$30</f>
        <v>1.3845754310864526</v>
      </c>
      <c r="R175" s="25">
        <f t="shared" si="26"/>
        <v>4.8757902246880924E-2</v>
      </c>
      <c r="S175" s="26">
        <v>1.3426590282729396</v>
      </c>
      <c r="T175" s="26">
        <f t="shared" si="27"/>
        <v>9.0674305060393978E-2</v>
      </c>
      <c r="U175" s="27">
        <f t="shared" si="28"/>
        <v>6.3261143065391143E-2</v>
      </c>
      <c r="V175" s="28">
        <f t="shared" si="29"/>
        <v>36.111908339275274</v>
      </c>
      <c r="W175" s="27">
        <f t="shared" si="30"/>
        <v>2.9249775825933563E-2</v>
      </c>
      <c r="X175" s="21">
        <v>1.3497421924039836</v>
      </c>
      <c r="Y175" s="21">
        <f t="shared" si="31"/>
        <v>36.196906308847808</v>
      </c>
      <c r="Z175" s="2">
        <f t="shared" si="32"/>
        <v>2.6964884170757923E-2</v>
      </c>
    </row>
    <row r="176" spans="1:26">
      <c r="A176" s="1">
        <v>37.299999999999997</v>
      </c>
      <c r="B176" s="1">
        <f t="shared" si="22"/>
        <v>310.45</v>
      </c>
      <c r="C176" s="4">
        <f>ROUND(10000*EXP(($AB$4)+($AC$4/B176)+($AD$4/(B176^2))+($AE$4/(B176^3))),6)</f>
        <v>5945.801273</v>
      </c>
      <c r="D176" s="4">
        <f>((C176+2*$AC$5)*$AC$6)/((C176+2*$AC$5)+$AC$6)</f>
        <v>1858.7621536264139</v>
      </c>
      <c r="E176" s="4">
        <f t="shared" si="23"/>
        <v>1.8587621536264141</v>
      </c>
      <c r="F176" s="24">
        <v>9.9990399102947171E-4</v>
      </c>
      <c r="G176" s="6">
        <v>1.8570178108753361</v>
      </c>
      <c r="H176" s="2">
        <f t="shared" si="24"/>
        <v>9.384432256029897E-4</v>
      </c>
      <c r="I176" s="5">
        <f>G176/F176</f>
        <v>1857.1961183627293</v>
      </c>
      <c r="J176" s="2">
        <f>ABS(D176-I176)/I176</f>
        <v>8.4322557440256443E-4</v>
      </c>
      <c r="K176" s="1">
        <f>$AD$10*B176+$AD$11</f>
        <v>1843.4218403063114</v>
      </c>
      <c r="L176" s="2">
        <f>ABS(K176-D176)/D176</f>
        <v>8.2529727056115283E-3</v>
      </c>
      <c r="M176" s="21">
        <f>K176*F176</f>
        <v>1.8432448552731742</v>
      </c>
      <c r="N176" s="2">
        <f>ABS(M176-G176)/M176</f>
        <v>7.4721248035821974E-3</v>
      </c>
      <c r="O176" s="21">
        <f t="shared" si="25"/>
        <v>1.3772955602161963E-2</v>
      </c>
      <c r="P176" s="25">
        <f>$AD$18*B176+$AD$19</f>
        <v>1.4416666666666664</v>
      </c>
      <c r="Q176" s="25">
        <f>$AD$29*G176+$AD$30</f>
        <v>1.3928032431967567</v>
      </c>
      <c r="R176" s="25">
        <f t="shared" si="26"/>
        <v>4.8863423469909684E-2</v>
      </c>
      <c r="S176" s="26">
        <v>1.3512120554228013</v>
      </c>
      <c r="T176" s="26">
        <f t="shared" si="27"/>
        <v>9.0454611243865113E-2</v>
      </c>
      <c r="U176" s="27">
        <f t="shared" si="28"/>
        <v>6.2743082943721482E-2</v>
      </c>
      <c r="V176" s="28">
        <f t="shared" si="29"/>
        <v>36.214544665073618</v>
      </c>
      <c r="W176" s="27">
        <f t="shared" si="30"/>
        <v>2.910067922054637E-2</v>
      </c>
      <c r="X176" s="21">
        <v>1.3574578294722663</v>
      </c>
      <c r="Y176" s="21">
        <f t="shared" si="31"/>
        <v>36.289493953667197</v>
      </c>
      <c r="Z176" s="2">
        <f t="shared" si="32"/>
        <v>2.7091314915088479E-2</v>
      </c>
    </row>
    <row r="177" spans="1:26">
      <c r="A177" s="1">
        <v>37.4</v>
      </c>
      <c r="B177" s="1">
        <f t="shared" si="22"/>
        <v>310.54999999999995</v>
      </c>
      <c r="C177" s="4">
        <f>ROUND(10000*EXP(($AB$4)+($AC$4/B177)+($AD$4/(B177^2))+($AE$4/(B177^3))),6)</f>
        <v>5921.5959480000001</v>
      </c>
      <c r="D177" s="4">
        <f>((C177+2*$AC$5)*$AC$6)/((C177+2*$AC$5)+$AC$6)</f>
        <v>1856.4058255133777</v>
      </c>
      <c r="E177" s="4">
        <f t="shared" si="23"/>
        <v>1.8564058255133777</v>
      </c>
      <c r="F177" s="24">
        <v>9.9990399102947171E-4</v>
      </c>
      <c r="G177" s="6">
        <v>1.8544709189815713</v>
      </c>
      <c r="H177" s="2">
        <f t="shared" si="24"/>
        <v>1.0422863929934632E-3</v>
      </c>
      <c r="I177" s="5">
        <f>G177/F177</f>
        <v>1854.6489819210169</v>
      </c>
      <c r="J177" s="2">
        <f>ABS(D177-I177)/I177</f>
        <v>9.4726474361802205E-4</v>
      </c>
      <c r="K177" s="1">
        <f>$AD$10*B177+$AD$11</f>
        <v>1841.0727283874385</v>
      </c>
      <c r="L177" s="2">
        <f>ABS(K177-D177)/D177</f>
        <v>8.2595609834929286E-3</v>
      </c>
      <c r="M177" s="21">
        <f>K177*F177</f>
        <v>1.8408959688901183</v>
      </c>
      <c r="N177" s="2">
        <f>ABS(M177-G177)/M177</f>
        <v>7.3740995259158615E-3</v>
      </c>
      <c r="O177" s="21">
        <f t="shared" si="25"/>
        <v>1.3574950091453042E-2</v>
      </c>
      <c r="P177" s="25">
        <f>$AD$18*B177+$AD$19</f>
        <v>1.4499999999999993</v>
      </c>
      <c r="Q177" s="25">
        <f>$AD$29*G177+$AD$30</f>
        <v>1.4018390566221317</v>
      </c>
      <c r="R177" s="25">
        <f t="shared" si="26"/>
        <v>4.8160943377867582E-2</v>
      </c>
      <c r="S177" s="26">
        <v>1.3606050217837087</v>
      </c>
      <c r="T177" s="26">
        <f t="shared" si="27"/>
        <v>8.939497821629061E-2</v>
      </c>
      <c r="U177" s="27">
        <f t="shared" si="28"/>
        <v>6.1651709114683206E-2</v>
      </c>
      <c r="V177" s="28">
        <f t="shared" si="29"/>
        <v>36.327260261404504</v>
      </c>
      <c r="W177" s="27">
        <f t="shared" si="30"/>
        <v>2.8682880711109478E-2</v>
      </c>
      <c r="X177" s="21">
        <v>1.3668227922278935</v>
      </c>
      <c r="Y177" s="21">
        <f t="shared" si="31"/>
        <v>36.401873506734724</v>
      </c>
      <c r="Z177" s="2">
        <f t="shared" si="32"/>
        <v>2.6687874151477942E-2</v>
      </c>
    </row>
    <row r="178" spans="1:26">
      <c r="A178" s="1">
        <v>37.5</v>
      </c>
      <c r="B178" s="1">
        <f t="shared" si="22"/>
        <v>310.64999999999998</v>
      </c>
      <c r="C178" s="4">
        <f>ROUND(10000*EXP(($AB$4)+($AC$4/B178)+($AD$4/(B178^2))+($AE$4/(B178^3))),6)</f>
        <v>5897.5027330000003</v>
      </c>
      <c r="D178" s="4">
        <f>((C178+2*$AC$5)*$AC$6)/((C178+2*$AC$5)+$AC$6)</f>
        <v>1854.0472656790046</v>
      </c>
      <c r="E178" s="4">
        <f t="shared" si="23"/>
        <v>1.8540472656790046</v>
      </c>
      <c r="F178" s="24">
        <v>9.9990399102947171E-4</v>
      </c>
      <c r="G178" s="6">
        <v>1.8521384041942182</v>
      </c>
      <c r="H178" s="2">
        <f t="shared" si="24"/>
        <v>1.0295646287568285E-3</v>
      </c>
      <c r="I178" s="5">
        <f>G178/F178</f>
        <v>1852.3162431698177</v>
      </c>
      <c r="J178" s="2">
        <f>ABS(D178-I178)/I178</f>
        <v>9.3451780470523934E-4</v>
      </c>
      <c r="K178" s="1">
        <f>$AD$10*B178+$AD$11</f>
        <v>1838.7236164685637</v>
      </c>
      <c r="L178" s="2">
        <f>ABS(K178-D178)/D178</f>
        <v>8.2649722550783566E-3</v>
      </c>
      <c r="M178" s="21">
        <f>K178*F178</f>
        <v>1.8385470825070604</v>
      </c>
      <c r="N178" s="2">
        <f>ABS(M178-G178)/M178</f>
        <v>7.3924251472659878E-3</v>
      </c>
      <c r="O178" s="21">
        <f t="shared" si="25"/>
        <v>1.3591321687157709E-2</v>
      </c>
      <c r="P178" s="25">
        <f>$AD$18*B178+$AD$19</f>
        <v>1.4583333333333321</v>
      </c>
      <c r="Q178" s="25">
        <f>$AD$29*G178+$AD$30</f>
        <v>1.4101143071272864</v>
      </c>
      <c r="R178" s="25">
        <f t="shared" si="26"/>
        <v>4.821902620604579E-2</v>
      </c>
      <c r="S178" s="26">
        <v>1.3692073627246102</v>
      </c>
      <c r="T178" s="26">
        <f t="shared" si="27"/>
        <v>8.9125970608721961E-2</v>
      </c>
      <c r="U178" s="27">
        <f t="shared" si="28"/>
        <v>6.111495127455225E-2</v>
      </c>
      <c r="V178" s="28">
        <f t="shared" si="29"/>
        <v>36.43048835269532</v>
      </c>
      <c r="W178" s="27">
        <f t="shared" si="30"/>
        <v>2.8520310594791452E-2</v>
      </c>
      <c r="X178" s="21">
        <v>1.3754006737039388</v>
      </c>
      <c r="Y178" s="21">
        <f t="shared" si="31"/>
        <v>36.504808084447269</v>
      </c>
      <c r="Z178" s="2">
        <f t="shared" si="32"/>
        <v>2.653845108140615E-2</v>
      </c>
    </row>
    <row r="179" spans="1:26">
      <c r="A179" s="1">
        <v>37.6</v>
      </c>
      <c r="B179" s="1">
        <f t="shared" si="22"/>
        <v>310.75</v>
      </c>
      <c r="C179" s="4">
        <f>ROUND(10000*EXP(($AB$4)+($AC$4/B179)+($AD$4/(B179^2))+($AE$4/(B179^3))),6)</f>
        <v>5873.5210489999999</v>
      </c>
      <c r="D179" s="4">
        <f>((C179+2*$AC$5)*$AC$6)/((C179+2*$AC$5)+$AC$6)</f>
        <v>1851.6864905045747</v>
      </c>
      <c r="E179" s="4">
        <f t="shared" si="23"/>
        <v>1.8516864905045747</v>
      </c>
      <c r="F179" s="24">
        <v>9.9990399102947171E-4</v>
      </c>
      <c r="G179" s="6">
        <v>1.8497990975188174</v>
      </c>
      <c r="H179" s="2">
        <f t="shared" si="24"/>
        <v>1.0192832293348627E-3</v>
      </c>
      <c r="I179" s="5">
        <f>G179/F179</f>
        <v>1849.9767118784262</v>
      </c>
      <c r="J179" s="2">
        <f>ABS(D179-I179)/I179</f>
        <v>9.2421629697841913E-4</v>
      </c>
      <c r="K179" s="1">
        <f>$AD$10*B179+$AD$11</f>
        <v>1836.3745045496889</v>
      </c>
      <c r="L179" s="2">
        <f>ABS(K179-D179)/D179</f>
        <v>8.2692108158727122E-3</v>
      </c>
      <c r="M179" s="21">
        <f>K179*F179</f>
        <v>1.8361981961240028</v>
      </c>
      <c r="N179" s="2">
        <f>ABS(M179-G179)/M179</f>
        <v>7.4070987671834764E-3</v>
      </c>
      <c r="O179" s="21">
        <f t="shared" si="25"/>
        <v>1.3600901394814624E-2</v>
      </c>
      <c r="P179" s="25">
        <f>$AD$18*B179+$AD$19</f>
        <v>1.4666666666666686</v>
      </c>
      <c r="Q179" s="25">
        <f>$AD$29*G179+$AD$30</f>
        <v>1.4184136537604921</v>
      </c>
      <c r="R179" s="25">
        <f t="shared" si="26"/>
        <v>4.8253012906176451E-2</v>
      </c>
      <c r="S179" s="26">
        <v>1.3778347521015333</v>
      </c>
      <c r="T179" s="26">
        <f t="shared" si="27"/>
        <v>8.8831914565135284E-2</v>
      </c>
      <c r="U179" s="27">
        <f t="shared" si="28"/>
        <v>6.0567214476228523E-2</v>
      </c>
      <c r="V179" s="28">
        <f t="shared" si="29"/>
        <v>36.534017025218404</v>
      </c>
      <c r="W179" s="27">
        <f t="shared" si="30"/>
        <v>2.8350611031425468E-2</v>
      </c>
      <c r="X179" s="21">
        <v>1.3840035046067634</v>
      </c>
      <c r="Y179" s="21">
        <f t="shared" si="31"/>
        <v>36.608042055281167</v>
      </c>
      <c r="Z179" s="2">
        <f t="shared" si="32"/>
        <v>2.6381860231883884E-2</v>
      </c>
    </row>
    <row r="180" spans="1:26">
      <c r="A180" s="1">
        <v>37.700000000000003</v>
      </c>
      <c r="B180" s="1">
        <f t="shared" si="22"/>
        <v>310.84999999999997</v>
      </c>
      <c r="C180" s="4">
        <f>ROUND(10000*EXP(($AB$4)+($AC$4/B180)+($AD$4/(B180^2))+($AE$4/(B180^3))),6)</f>
        <v>5849.6503220000004</v>
      </c>
      <c r="D180" s="4">
        <f>((C180+2*$AC$5)*$AC$6)/((C180+2*$AC$5)+$AC$6)</f>
        <v>1849.3235165867713</v>
      </c>
      <c r="E180" s="4">
        <f t="shared" si="23"/>
        <v>1.8493235165867714</v>
      </c>
      <c r="F180" s="24">
        <v>9.9990399102947171E-4</v>
      </c>
      <c r="G180" s="6">
        <v>1.8474537952211452</v>
      </c>
      <c r="H180" s="2">
        <f t="shared" si="24"/>
        <v>1.0110298976120297E-3</v>
      </c>
      <c r="I180" s="5">
        <f>G180/F180</f>
        <v>1847.6311843890744</v>
      </c>
      <c r="J180" s="2">
        <f>ABS(D180-I180)/I180</f>
        <v>9.1594697686189861E-4</v>
      </c>
      <c r="K180" s="1">
        <f>$AD$10*B180+$AD$11</f>
        <v>1834.025392630816</v>
      </c>
      <c r="L180" s="2">
        <f>ABS(K180-D180)/D180</f>
        <v>8.2722810902175446E-3</v>
      </c>
      <c r="M180" s="21">
        <f>K180*F180</f>
        <v>1.8338493097409467</v>
      </c>
      <c r="N180" s="2">
        <f>ABS(M180-G180)/M180</f>
        <v>7.4185405572501665E-3</v>
      </c>
      <c r="O180" s="21">
        <f t="shared" si="25"/>
        <v>1.3604485480198436E-2</v>
      </c>
      <c r="P180" s="25">
        <f>$AD$18*B180+$AD$19</f>
        <v>1.4749999999999979</v>
      </c>
      <c r="Q180" s="25">
        <f>$AD$29*G180+$AD$30</f>
        <v>1.4267342715455458</v>
      </c>
      <c r="R180" s="25">
        <f t="shared" si="26"/>
        <v>4.8265728454452095E-2</v>
      </c>
      <c r="S180" s="26">
        <v>1.3864842534392932</v>
      </c>
      <c r="T180" s="26">
        <f t="shared" si="27"/>
        <v>8.8515746560704711E-2</v>
      </c>
      <c r="U180" s="27">
        <f t="shared" si="28"/>
        <v>6.0010675634376162E-2</v>
      </c>
      <c r="V180" s="28">
        <f t="shared" si="29"/>
        <v>36.637811041271519</v>
      </c>
      <c r="W180" s="27">
        <f t="shared" si="30"/>
        <v>2.8174773441073844E-2</v>
      </c>
      <c r="X180" s="21">
        <v>1.3926312060421753</v>
      </c>
      <c r="Y180" s="21">
        <f t="shared" si="31"/>
        <v>36.711574472506108</v>
      </c>
      <c r="Z180" s="2">
        <f t="shared" si="32"/>
        <v>2.6218183753153716E-2</v>
      </c>
    </row>
    <row r="181" spans="1:26">
      <c r="A181" s="1">
        <v>37.799999999999997</v>
      </c>
      <c r="B181" s="1">
        <f t="shared" si="22"/>
        <v>310.95</v>
      </c>
      <c r="C181" s="4">
        <f>ROUND(10000*EXP(($AB$4)+($AC$4/B181)+($AD$4/(B181^2))+($AE$4/(B181^3))),6)</f>
        <v>5825.8899810000003</v>
      </c>
      <c r="D181" s="4">
        <f>((C181+2*$AC$5)*$AC$6)/((C181+2*$AC$5)+$AC$6)</f>
        <v>1846.9583605443329</v>
      </c>
      <c r="E181" s="4">
        <f t="shared" si="23"/>
        <v>1.8469583605443329</v>
      </c>
      <c r="F181" s="24">
        <v>9.9990399102947171E-4</v>
      </c>
      <c r="G181" s="6">
        <v>1.8451009679425714</v>
      </c>
      <c r="H181" s="2">
        <f t="shared" si="24"/>
        <v>1.0056494187633633E-3</v>
      </c>
      <c r="I181" s="5">
        <f>G181/F181</f>
        <v>1845.2781311962858</v>
      </c>
      <c r="J181" s="2">
        <f>ABS(D181-I181)/I181</f>
        <v>9.1055614849659152E-4</v>
      </c>
      <c r="K181" s="1">
        <f>$AD$10*B181+$AD$11</f>
        <v>1831.6762807119412</v>
      </c>
      <c r="L181" s="2">
        <f>ABS(K181-D181)/D181</f>
        <v>8.2741875284550338E-3</v>
      </c>
      <c r="M181" s="21">
        <f>K181*F181</f>
        <v>1.8315004233578889</v>
      </c>
      <c r="N181" s="2">
        <f>ABS(M181-G181)/M181</f>
        <v>7.4259030526169136E-3</v>
      </c>
      <c r="O181" s="21">
        <f t="shared" si="25"/>
        <v>1.3600544584682517E-2</v>
      </c>
      <c r="P181" s="25">
        <f>$AD$18*B181+$AD$19</f>
        <v>1.4833333333333343</v>
      </c>
      <c r="Q181" s="25">
        <f>$AD$29*G181+$AD$30</f>
        <v>1.4350815863111919</v>
      </c>
      <c r="R181" s="25">
        <f t="shared" si="26"/>
        <v>4.8251747022142411E-2</v>
      </c>
      <c r="S181" s="26">
        <v>1.3951615071763532</v>
      </c>
      <c r="T181" s="26">
        <f t="shared" si="27"/>
        <v>8.8171826156981048E-2</v>
      </c>
      <c r="U181" s="27">
        <f t="shared" si="28"/>
        <v>5.9441680555268085E-2</v>
      </c>
      <c r="V181" s="28">
        <f t="shared" si="29"/>
        <v>36.741938086116242</v>
      </c>
      <c r="W181" s="27">
        <f t="shared" si="30"/>
        <v>2.7991055922850658E-2</v>
      </c>
      <c r="X181" s="21">
        <v>1.402090540641761</v>
      </c>
      <c r="Y181" s="21">
        <f t="shared" si="31"/>
        <v>36.825086487701135</v>
      </c>
      <c r="Z181" s="2">
        <f t="shared" si="32"/>
        <v>2.5791362759229153E-2</v>
      </c>
    </row>
    <row r="182" spans="1:26">
      <c r="A182" s="1">
        <v>37.9</v>
      </c>
      <c r="B182" s="1">
        <f t="shared" si="22"/>
        <v>311.04999999999995</v>
      </c>
      <c r="C182" s="4">
        <f>ROUND(10000*EXP(($AB$4)+($AC$4/B182)+($AD$4/(B182^2))+($AE$4/(B182^3))),6)</f>
        <v>5802.2394569999997</v>
      </c>
      <c r="D182" s="4">
        <f>((C182+2*$AC$5)*$AC$6)/((C182+2*$AC$5)+$AC$6)</f>
        <v>1844.591038918516</v>
      </c>
      <c r="E182" s="4">
        <f t="shared" si="23"/>
        <v>1.8445910389185161</v>
      </c>
      <c r="F182" s="24">
        <v>9.9990399102947171E-4</v>
      </c>
      <c r="G182" s="6">
        <v>1.8427414112941733</v>
      </c>
      <c r="H182" s="2">
        <f t="shared" si="24"/>
        <v>1.0027304618302525E-3</v>
      </c>
      <c r="I182" s="5">
        <f>G182/F182</f>
        <v>1842.9183479875314</v>
      </c>
      <c r="J182" s="2">
        <f>ABS(D182-I182)/I182</f>
        <v>9.0763160115647681E-4</v>
      </c>
      <c r="K182" s="1">
        <f>$AD$10*B182+$AD$11</f>
        <v>1829.3271687930683</v>
      </c>
      <c r="L182" s="2">
        <f>ABS(K182-D182)/D182</f>
        <v>8.2749345537301029E-3</v>
      </c>
      <c r="M182" s="21">
        <f>K182*F182</f>
        <v>1.829151536974833</v>
      </c>
      <c r="N182" s="2">
        <f>ABS(M182-G182)/M182</f>
        <v>7.4296054999445976E-3</v>
      </c>
      <c r="O182" s="21">
        <f t="shared" si="25"/>
        <v>1.3589874319340334E-2</v>
      </c>
      <c r="P182" s="25">
        <f>$AD$18*B182+$AD$19</f>
        <v>1.4916666666666636</v>
      </c>
      <c r="Q182" s="25">
        <f>$AD$29*G182+$AD$30</f>
        <v>1.4434527754039541</v>
      </c>
      <c r="R182" s="25">
        <f t="shared" si="26"/>
        <v>4.8213891262709474E-2</v>
      </c>
      <c r="S182" s="26">
        <v>1.4038635785460083</v>
      </c>
      <c r="T182" s="26">
        <f t="shared" si="27"/>
        <v>8.7803088120655293E-2</v>
      </c>
      <c r="U182" s="27">
        <f t="shared" si="28"/>
        <v>5.8862405444014845E-2</v>
      </c>
      <c r="V182" s="28">
        <f t="shared" si="29"/>
        <v>36.846362942552098</v>
      </c>
      <c r="W182" s="27">
        <f t="shared" si="30"/>
        <v>2.7800450064588412E-2</v>
      </c>
      <c r="X182" s="21">
        <v>1.4107666865717223</v>
      </c>
      <c r="Y182" s="21">
        <f t="shared" si="31"/>
        <v>36.929200238860666</v>
      </c>
      <c r="Z182" s="2">
        <f t="shared" si="32"/>
        <v>2.5614769423201383E-2</v>
      </c>
    </row>
    <row r="183" spans="1:26">
      <c r="A183" s="1">
        <v>38</v>
      </c>
      <c r="B183" s="1">
        <f t="shared" si="22"/>
        <v>311.14999999999998</v>
      </c>
      <c r="C183" s="4">
        <f>ROUND(10000*EXP(($AB$4)+($AC$4/B183)+($AD$4/(B183^2))+($AE$4/(B183^3))),6)</f>
        <v>5778.6981859999996</v>
      </c>
      <c r="D183" s="4">
        <f>((C183+2*$AC$5)*$AC$6)/((C183+2*$AC$5)+$AC$6)</f>
        <v>1842.2215684739931</v>
      </c>
      <c r="E183" s="4">
        <f t="shared" si="23"/>
        <v>1.8422215684739931</v>
      </c>
      <c r="F183" s="24">
        <v>9.9990399102947171E-4</v>
      </c>
      <c r="G183" s="6">
        <v>1.8403751471084049</v>
      </c>
      <c r="H183" s="2">
        <f t="shared" si="24"/>
        <v>1.0022797459252955E-3</v>
      </c>
      <c r="I183" s="5">
        <f>G183/F183</f>
        <v>1840.5518565973607</v>
      </c>
      <c r="J183" s="2">
        <f>ABS(D183-I183)/I183</f>
        <v>9.0718002356054094E-4</v>
      </c>
      <c r="K183" s="1">
        <f>$AD$10*B183+$AD$11</f>
        <v>1826.9780568741935</v>
      </c>
      <c r="L183" s="2">
        <f>ABS(K183-D183)/D183</f>
        <v>8.274526723963279E-3</v>
      </c>
      <c r="M183" s="21">
        <f>K183*F183</f>
        <v>1.8268026505917752</v>
      </c>
      <c r="N183" s="2">
        <f>ABS(M183-G183)/M183</f>
        <v>7.4296457322486631E-3</v>
      </c>
      <c r="O183" s="21">
        <f t="shared" si="25"/>
        <v>1.3572496516629728E-2</v>
      </c>
      <c r="P183" s="25">
        <f>$AD$18*B183+$AD$19</f>
        <v>1.5</v>
      </c>
      <c r="Q183" s="25">
        <f>$AD$29*G183+$AD$30</f>
        <v>1.4518477613670777</v>
      </c>
      <c r="R183" s="25">
        <f t="shared" si="26"/>
        <v>4.8152238632922284E-2</v>
      </c>
      <c r="S183" s="26">
        <v>1.4125903877659569</v>
      </c>
      <c r="T183" s="26">
        <f t="shared" si="27"/>
        <v>8.7409612234043088E-2</v>
      </c>
      <c r="U183" s="27">
        <f t="shared" si="28"/>
        <v>5.8273074822695392E-2</v>
      </c>
      <c r="V183" s="28">
        <f t="shared" si="29"/>
        <v>36.951084653191486</v>
      </c>
      <c r="W183" s="27">
        <f t="shared" si="30"/>
        <v>2.7603035442329303E-2</v>
      </c>
      <c r="X183" s="21">
        <v>1.4194674614693832</v>
      </c>
      <c r="Y183" s="21">
        <f t="shared" si="31"/>
        <v>37.0336095376326</v>
      </c>
      <c r="Z183" s="2">
        <f t="shared" si="32"/>
        <v>2.5431327957036842E-2</v>
      </c>
    </row>
    <row r="184" spans="1:26">
      <c r="A184" s="1">
        <v>38.1</v>
      </c>
      <c r="B184" s="1">
        <f t="shared" si="22"/>
        <v>311.25</v>
      </c>
      <c r="C184" s="4">
        <f>ROUND(10000*EXP(($AB$4)+($AC$4/B184)+($AD$4/(B184^2))+($AE$4/(B184^3))),6)</f>
        <v>5755.2656049999996</v>
      </c>
      <c r="D184" s="4">
        <f>((C184+2*$AC$5)*$AC$6)/((C184+2*$AC$5)+$AC$6)</f>
        <v>1839.8499657993902</v>
      </c>
      <c r="E184" s="4">
        <f t="shared" si="23"/>
        <v>1.8398499657993903</v>
      </c>
      <c r="F184" s="24">
        <v>9.9990399102947171E-4</v>
      </c>
      <c r="G184" s="6">
        <v>1.8380021972038101</v>
      </c>
      <c r="H184" s="2">
        <f t="shared" si="24"/>
        <v>1.0043039540875785E-3</v>
      </c>
      <c r="I184" s="5">
        <f>G184/F184</f>
        <v>1838.1786788464133</v>
      </c>
      <c r="J184" s="2">
        <f>ABS(D184-I184)/I184</f>
        <v>9.0920810485399647E-4</v>
      </c>
      <c r="K184" s="1">
        <f>$AD$10*B184+$AD$11</f>
        <v>1824.6289449553196</v>
      </c>
      <c r="L184" s="2">
        <f>ABS(K184-D184)/D184</f>
        <v>8.272968517548265E-3</v>
      </c>
      <c r="M184" s="21">
        <f>K184*F184</f>
        <v>1.8244537642087184</v>
      </c>
      <c r="N184" s="2">
        <f>ABS(M184-G184)/M184</f>
        <v>7.4260215637570563E-3</v>
      </c>
      <c r="O184" s="21">
        <f t="shared" si="25"/>
        <v>1.3548432995091675E-2</v>
      </c>
      <c r="P184" s="25">
        <f>$AD$18*B184+$AD$19</f>
        <v>1.5083333333333364</v>
      </c>
      <c r="Q184" s="25">
        <f>$AD$29*G184+$AD$30</f>
        <v>1.4602664667931595</v>
      </c>
      <c r="R184" s="25">
        <f t="shared" si="26"/>
        <v>4.8066866540176889E-2</v>
      </c>
      <c r="S184" s="26">
        <v>1.4213418538960856</v>
      </c>
      <c r="T184" s="26">
        <f t="shared" si="27"/>
        <v>8.6991479437250829E-2</v>
      </c>
      <c r="U184" s="27">
        <f t="shared" si="28"/>
        <v>5.7673909019171701E-2</v>
      </c>
      <c r="V184" s="28">
        <f t="shared" si="29"/>
        <v>37.056102246753028</v>
      </c>
      <c r="W184" s="27">
        <f t="shared" si="30"/>
        <v>2.7398891161337886E-2</v>
      </c>
      <c r="X184" s="21">
        <v>1.4289964576890311</v>
      </c>
      <c r="Y184" s="21">
        <f t="shared" si="31"/>
        <v>37.147957492268375</v>
      </c>
      <c r="Z184" s="2">
        <f t="shared" si="32"/>
        <v>2.498799232891407E-2</v>
      </c>
    </row>
    <row r="185" spans="1:26">
      <c r="A185" s="1">
        <v>38.200000000000003</v>
      </c>
      <c r="B185" s="1">
        <f t="shared" si="22"/>
        <v>311.34999999999997</v>
      </c>
      <c r="C185" s="4">
        <f>ROUND(10000*EXP(($AB$4)+($AC$4/B185)+($AD$4/(B185^2))+($AE$4/(B185^3))),6)</f>
        <v>5731.9411570000002</v>
      </c>
      <c r="D185" s="4">
        <f>((C185+2*$AC$5)*$AC$6)/((C185+2*$AC$5)+$AC$6)</f>
        <v>1837.4762478129257</v>
      </c>
      <c r="E185" s="4">
        <f t="shared" si="23"/>
        <v>1.8374762478129258</v>
      </c>
      <c r="F185" s="24">
        <v>9.9990399102947171E-4</v>
      </c>
      <c r="G185" s="6">
        <v>1.8354039395700315</v>
      </c>
      <c r="H185" s="2">
        <f t="shared" si="24"/>
        <v>1.1278013772210548E-3</v>
      </c>
      <c r="I185" s="5">
        <f>G185/F185</f>
        <v>1835.5801717326417</v>
      </c>
      <c r="J185" s="2">
        <f>ABS(D185-I185)/I185</f>
        <v>1.0329573774455745E-3</v>
      </c>
      <c r="K185" s="1">
        <f>$AD$10*B185+$AD$11</f>
        <v>1822.2798330364467</v>
      </c>
      <c r="L185" s="2">
        <f>ABS(K185-D185)/D185</f>
        <v>8.2702646059053791E-3</v>
      </c>
      <c r="M185" s="21">
        <f>K185*F185</f>
        <v>1.8221048778256623</v>
      </c>
      <c r="N185" s="2">
        <f>ABS(M185-G185)/M185</f>
        <v>7.2987356031004313E-3</v>
      </c>
      <c r="O185" s="21">
        <f t="shared" si="25"/>
        <v>1.3299061744369123E-2</v>
      </c>
      <c r="P185" s="25">
        <f>$AD$18*B185+$AD$19</f>
        <v>1.5166666666666657</v>
      </c>
      <c r="Q185" s="25">
        <f>$AD$29*G185+$AD$30</f>
        <v>1.4694845145899098</v>
      </c>
      <c r="R185" s="25">
        <f t="shared" si="26"/>
        <v>4.7182152076755912E-2</v>
      </c>
      <c r="S185" s="26">
        <v>1.4309242572921665</v>
      </c>
      <c r="T185" s="26">
        <f t="shared" si="27"/>
        <v>8.5742409374499173E-2</v>
      </c>
      <c r="U185" s="27">
        <f t="shared" si="28"/>
        <v>5.6533456730439052E-2</v>
      </c>
      <c r="V185" s="28">
        <f t="shared" si="29"/>
        <v>37.171091087505999</v>
      </c>
      <c r="W185" s="27">
        <f t="shared" si="30"/>
        <v>2.6934788285183333E-2</v>
      </c>
      <c r="X185" s="21">
        <v>1.4377451884434658</v>
      </c>
      <c r="Y185" s="21">
        <f t="shared" si="31"/>
        <v>37.252942261321593</v>
      </c>
      <c r="Z185" s="2">
        <f t="shared" si="32"/>
        <v>2.4792087399958376E-2</v>
      </c>
    </row>
    <row r="186" spans="1:26">
      <c r="A186" s="1">
        <v>38.299999999999997</v>
      </c>
      <c r="B186" s="1">
        <f t="shared" si="22"/>
        <v>311.45</v>
      </c>
      <c r="C186" s="4">
        <f>ROUND(10000*EXP(($AB$4)+($AC$4/B186)+($AD$4/(B186^2))+($AE$4/(B186^3))),6)</f>
        <v>5708.7242859999997</v>
      </c>
      <c r="D186" s="4">
        <f>((C186+2*$AC$5)*$AC$6)/((C186+2*$AC$5)+$AC$6)</f>
        <v>1835.1004312587854</v>
      </c>
      <c r="E186" s="4">
        <f t="shared" si="23"/>
        <v>1.8351004312587855</v>
      </c>
      <c r="F186" s="24">
        <v>9.9990399102947171E-4</v>
      </c>
      <c r="G186" s="6">
        <v>1.8330179692880431</v>
      </c>
      <c r="H186" s="2">
        <f t="shared" si="24"/>
        <v>1.1347945514426168E-3</v>
      </c>
      <c r="I186" s="5">
        <f>G186/F186</f>
        <v>1833.1939723541075</v>
      </c>
      <c r="J186" s="2">
        <f>ABS(D186-I186)/I186</f>
        <v>1.0399657283564796E-3</v>
      </c>
      <c r="K186" s="1">
        <f>$AD$10*B186+$AD$11</f>
        <v>1819.9307211175719</v>
      </c>
      <c r="L186" s="2">
        <f>ABS(K186-D186)/D186</f>
        <v>8.2664195827188876E-3</v>
      </c>
      <c r="M186" s="21">
        <f>K186*F186</f>
        <v>1.8197559914426047</v>
      </c>
      <c r="N186" s="2">
        <f>ABS(M186-G186)/M186</f>
        <v>7.2877780910203154E-3</v>
      </c>
      <c r="O186" s="21">
        <f t="shared" si="25"/>
        <v>1.3261977845438366E-2</v>
      </c>
      <c r="P186" s="25">
        <f>$AD$18*B186+$AD$19</f>
        <v>1.5250000000000021</v>
      </c>
      <c r="Q186" s="25">
        <f>$AD$29*G186+$AD$30</f>
        <v>1.4779494134571598</v>
      </c>
      <c r="R186" s="25">
        <f t="shared" si="26"/>
        <v>4.7050586542842332E-2</v>
      </c>
      <c r="S186" s="26">
        <v>1.4397237425993534</v>
      </c>
      <c r="T186" s="26">
        <f t="shared" si="27"/>
        <v>8.5276257400648703E-2</v>
      </c>
      <c r="U186" s="27">
        <f t="shared" si="28"/>
        <v>5.5918857311900709E-2</v>
      </c>
      <c r="V186" s="28">
        <f t="shared" si="29"/>
        <v>37.276684911192241</v>
      </c>
      <c r="W186" s="27">
        <f t="shared" si="30"/>
        <v>2.6718409629445328E-2</v>
      </c>
      <c r="X186" s="21">
        <v>1.4465183035740214</v>
      </c>
      <c r="Y186" s="21">
        <f t="shared" si="31"/>
        <v>37.358219642888258</v>
      </c>
      <c r="Z186" s="2">
        <f t="shared" si="32"/>
        <v>2.4589565459836527E-2</v>
      </c>
    </row>
    <row r="187" spans="1:26">
      <c r="A187" s="1">
        <v>38.4</v>
      </c>
      <c r="B187" s="1">
        <f t="shared" si="22"/>
        <v>311.54999999999995</v>
      </c>
      <c r="C187" s="4">
        <f>ROUND(10000*EXP(($AB$4)+($AC$4/B187)+($AD$4/(B187^2))+($AE$4/(B187^3))),6)</f>
        <v>5685.6144400000003</v>
      </c>
      <c r="D187" s="4">
        <f>((C187+2*$AC$5)*$AC$6)/((C187+2*$AC$5)+$AC$6)</f>
        <v>1832.7225330121134</v>
      </c>
      <c r="E187" s="4">
        <f t="shared" si="23"/>
        <v>1.8327225330121135</v>
      </c>
      <c r="F187" s="24">
        <v>9.9990399102947171E-4</v>
      </c>
      <c r="G187" s="6">
        <v>1.83062537988839</v>
      </c>
      <c r="H187" s="2">
        <f t="shared" si="24"/>
        <v>1.1442829375141604E-3</v>
      </c>
      <c r="I187" s="5">
        <f>G187/F187</f>
        <v>1830.8011532223529</v>
      </c>
      <c r="J187" s="2">
        <f>ABS(D187-I187)/I187</f>
        <v>1.0494748631650922E-3</v>
      </c>
      <c r="K187" s="1">
        <f>$AD$10*B187+$AD$11</f>
        <v>1817.581609198699</v>
      </c>
      <c r="L187" s="2">
        <f>ABS(K187-D187)/D187</f>
        <v>8.2614381286239148E-3</v>
      </c>
      <c r="M187" s="21">
        <f>K187*F187</f>
        <v>1.8174071050595486</v>
      </c>
      <c r="N187" s="2">
        <f>ABS(M187-G187)/M187</f>
        <v>7.2731501885529978E-3</v>
      </c>
      <c r="O187" s="21">
        <f t="shared" si="25"/>
        <v>1.3218274828841414E-2</v>
      </c>
      <c r="P187" s="25">
        <f>$AD$18*B187+$AD$19</f>
        <v>1.5333333333333314</v>
      </c>
      <c r="Q187" s="25">
        <f>$AD$29*G187+$AD$30</f>
        <v>1.4864377955010619</v>
      </c>
      <c r="R187" s="25">
        <f t="shared" si="26"/>
        <v>4.6895537832269518E-2</v>
      </c>
      <c r="S187" s="26">
        <v>1.4485476395626815</v>
      </c>
      <c r="T187" s="26">
        <f t="shared" si="27"/>
        <v>8.4785693770649928E-2</v>
      </c>
      <c r="U187" s="27">
        <f t="shared" si="28"/>
        <v>5.5295017676510891E-2</v>
      </c>
      <c r="V187" s="28">
        <f t="shared" si="29"/>
        <v>37.382571674752178</v>
      </c>
      <c r="W187" s="27">
        <f t="shared" si="30"/>
        <v>2.6495529303328658E-2</v>
      </c>
      <c r="X187" s="21">
        <v>1.4553157207160867</v>
      </c>
      <c r="Y187" s="21">
        <f t="shared" si="31"/>
        <v>37.463788648593045</v>
      </c>
      <c r="Z187" s="2">
        <f t="shared" si="32"/>
        <v>2.4380503942889414E-2</v>
      </c>
    </row>
    <row r="188" spans="1:26">
      <c r="A188" s="1">
        <v>38.5</v>
      </c>
      <c r="B188" s="1">
        <f t="shared" si="22"/>
        <v>311.64999999999998</v>
      </c>
      <c r="C188" s="4">
        <f>ROUND(10000*EXP(($AB$4)+($AC$4/B188)+($AD$4/(B188^2))+($AE$4/(B188^3))),6)</f>
        <v>5662.6110680000002</v>
      </c>
      <c r="D188" s="4">
        <f>((C188+2*$AC$5)*$AC$6)/((C188+2*$AC$5)+$AC$6)</f>
        <v>1830.3425697717221</v>
      </c>
      <c r="E188" s="4">
        <f t="shared" si="23"/>
        <v>1.8303425697717222</v>
      </c>
      <c r="F188" s="24">
        <v>9.9990399102947171E-4</v>
      </c>
      <c r="G188" s="6">
        <v>1.8282261937060893</v>
      </c>
      <c r="H188" s="2">
        <f t="shared" si="24"/>
        <v>1.1562732029429962E-3</v>
      </c>
      <c r="I188" s="5">
        <f>G188/F188</f>
        <v>1828.4017366745395</v>
      </c>
      <c r="J188" s="2">
        <f>ABS(D188-I188)/I188</f>
        <v>1.0614916067146845E-3</v>
      </c>
      <c r="K188" s="1">
        <f>$AD$10*B188+$AD$11</f>
        <v>1815.2324972798242</v>
      </c>
      <c r="L188" s="2">
        <f>ABS(K188-D188)/D188</f>
        <v>8.255324845437206E-3</v>
      </c>
      <c r="M188" s="21">
        <f>K188*F188</f>
        <v>1.815058218676491</v>
      </c>
      <c r="N188" s="2">
        <f>ABS(M188-G188)/M188</f>
        <v>7.254849951424799E-3</v>
      </c>
      <c r="O188" s="21">
        <f t="shared" si="25"/>
        <v>1.3167975029598322E-2</v>
      </c>
      <c r="P188" s="25">
        <f>$AD$18*B188+$AD$19</f>
        <v>1.5416666666666679</v>
      </c>
      <c r="Q188" s="25">
        <f>$AD$29*G188+$AD$30</f>
        <v>1.4949495814818805</v>
      </c>
      <c r="R188" s="25">
        <f t="shared" si="26"/>
        <v>4.6717085184787344E-2</v>
      </c>
      <c r="S188" s="26">
        <v>1.4573958654169261</v>
      </c>
      <c r="T188" s="26">
        <f t="shared" si="27"/>
        <v>8.4270801249741734E-2</v>
      </c>
      <c r="U188" s="27">
        <f t="shared" si="28"/>
        <v>5.4662141351183788E-2</v>
      </c>
      <c r="V188" s="28">
        <f t="shared" si="29"/>
        <v>37.488750385003115</v>
      </c>
      <c r="W188" s="27">
        <f t="shared" si="30"/>
        <v>2.6266223766152851E-2</v>
      </c>
      <c r="X188" s="21">
        <v>1.4641373573873331</v>
      </c>
      <c r="Y188" s="21">
        <f t="shared" si="31"/>
        <v>37.569648288648004</v>
      </c>
      <c r="Z188" s="2">
        <f t="shared" si="32"/>
        <v>2.4164979515636256E-2</v>
      </c>
    </row>
    <row r="189" spans="1:26">
      <c r="A189" s="1">
        <v>38.6</v>
      </c>
      <c r="B189" s="1">
        <f t="shared" si="22"/>
        <v>311.75</v>
      </c>
      <c r="C189" s="4">
        <f>ROUND(10000*EXP(($AB$4)+($AC$4/B189)+($AD$4/(B189^2))+($AE$4/(B189^3))),6)</f>
        <v>5639.7136270000001</v>
      </c>
      <c r="D189" s="4">
        <f>((C189+2*$AC$5)*$AC$6)/((C189+2*$AC$5)+$AC$6)</f>
        <v>1827.9605587857775</v>
      </c>
      <c r="E189" s="4">
        <f t="shared" si="23"/>
        <v>1.8279605587857775</v>
      </c>
      <c r="F189" s="24">
        <v>9.9990399102947171E-4</v>
      </c>
      <c r="G189" s="6">
        <v>1.8258204331879435</v>
      </c>
      <c r="H189" s="2">
        <f t="shared" si="24"/>
        <v>1.1707723055335065E-3</v>
      </c>
      <c r="I189" s="5">
        <f>G189/F189</f>
        <v>1825.9957451596254</v>
      </c>
      <c r="J189" s="2">
        <f>ABS(D189-I189)/I189</f>
        <v>1.0760231130661124E-3</v>
      </c>
      <c r="K189" s="1">
        <f>$AD$10*B189+$AD$11</f>
        <v>1812.8833853609494</v>
      </c>
      <c r="L189" s="2">
        <f>ABS(K189-D189)/D189</f>
        <v>8.2480846495085591E-3</v>
      </c>
      <c r="M189" s="21">
        <f>K189*F189</f>
        <v>1.8127093322934331</v>
      </c>
      <c r="N189" s="2">
        <f>ABS(M189-G189)/M189</f>
        <v>7.2328754869498465E-3</v>
      </c>
      <c r="O189" s="21">
        <f t="shared" si="25"/>
        <v>1.3111100894510397E-2</v>
      </c>
      <c r="P189" s="25">
        <f>$AD$18*B189+$AD$19</f>
        <v>1.5500000000000007</v>
      </c>
      <c r="Q189" s="25">
        <f>$AD$29*G189+$AD$30</f>
        <v>1.503484691763286</v>
      </c>
      <c r="R189" s="25">
        <f t="shared" si="26"/>
        <v>4.6515308236714681E-2</v>
      </c>
      <c r="S189" s="26">
        <v>1.4662683371944329</v>
      </c>
      <c r="T189" s="26">
        <f t="shared" si="27"/>
        <v>8.3731662805567764E-2</v>
      </c>
      <c r="U189" s="27">
        <f t="shared" si="28"/>
        <v>5.4020427616495309E-2</v>
      </c>
      <c r="V189" s="28">
        <f t="shared" si="29"/>
        <v>37.595220046333196</v>
      </c>
      <c r="W189" s="27">
        <f t="shared" si="30"/>
        <v>2.6030568747844693E-2</v>
      </c>
      <c r="X189" s="21">
        <v>1.4729831302266043</v>
      </c>
      <c r="Y189" s="21">
        <f t="shared" si="31"/>
        <v>37.675797562719254</v>
      </c>
      <c r="Z189" s="2">
        <f t="shared" si="32"/>
        <v>2.3943068323335433E-2</v>
      </c>
    </row>
    <row r="190" spans="1:26">
      <c r="A190" s="1">
        <v>38.700000000000003</v>
      </c>
      <c r="B190" s="1">
        <f t="shared" si="22"/>
        <v>311.84999999999997</v>
      </c>
      <c r="C190" s="4">
        <f>ROUND(10000*EXP(($AB$4)+($AC$4/B190)+($AD$4/(B190^2))+($AE$4/(B190^3))),6)</f>
        <v>5616.9215709999999</v>
      </c>
      <c r="D190" s="4">
        <f>((C190+2*$AC$5)*$AC$6)/((C190+2*$AC$5)+$AC$6)</f>
        <v>1825.5765167135216</v>
      </c>
      <c r="E190" s="4">
        <f t="shared" si="23"/>
        <v>1.8255765167135216</v>
      </c>
      <c r="F190" s="24">
        <v>9.9990399102947171E-4</v>
      </c>
      <c r="G190" s="6">
        <v>1.8236253358971499</v>
      </c>
      <c r="H190" s="2">
        <f t="shared" si="24"/>
        <v>1.0688025390928483E-3</v>
      </c>
      <c r="I190" s="5">
        <f>G190/F190</f>
        <v>1823.800437099565</v>
      </c>
      <c r="J190" s="2">
        <f>ABS(D190-I190)/I190</f>
        <v>9.7383440524951138E-4</v>
      </c>
      <c r="K190" s="1">
        <f>$AD$10*B190+$AD$11</f>
        <v>1810.5342734420765</v>
      </c>
      <c r="L190" s="2">
        <f>ABS(K190-D190)/D190</f>
        <v>8.2397221555658637E-3</v>
      </c>
      <c r="M190" s="21">
        <f>K190*F190</f>
        <v>1.810360445910377</v>
      </c>
      <c r="N190" s="2">
        <f>ABS(M190-G190)/M190</f>
        <v>7.3272093503470043E-3</v>
      </c>
      <c r="O190" s="21">
        <f t="shared" si="25"/>
        <v>1.3264889986772888E-2</v>
      </c>
      <c r="P190" s="25">
        <f>$AD$18*B190+$AD$19</f>
        <v>1.5583333333333336</v>
      </c>
      <c r="Q190" s="25">
        <f>$AD$29*G190+$AD$30</f>
        <v>1.5112724151522192</v>
      </c>
      <c r="R190" s="25">
        <f t="shared" si="26"/>
        <v>4.7060918181114353E-2</v>
      </c>
      <c r="S190" s="26">
        <v>1.4743638805672385</v>
      </c>
      <c r="T190" s="26">
        <f t="shared" si="27"/>
        <v>8.3969452766095021E-2</v>
      </c>
      <c r="U190" s="27">
        <f t="shared" si="28"/>
        <v>5.3884140812467382E-2</v>
      </c>
      <c r="V190" s="28">
        <f t="shared" si="29"/>
        <v>37.692366566806861</v>
      </c>
      <c r="W190" s="27">
        <f t="shared" si="30"/>
        <v>2.6037039617393849E-2</v>
      </c>
      <c r="X190" s="21">
        <v>1.4810556511997301</v>
      </c>
      <c r="Y190" s="21">
        <f t="shared" si="31"/>
        <v>37.772667814396769</v>
      </c>
      <c r="Z190" s="2">
        <f t="shared" si="32"/>
        <v>2.3962071979411727E-2</v>
      </c>
    </row>
    <row r="191" spans="1:26">
      <c r="A191" s="1">
        <v>38.799999999999997</v>
      </c>
      <c r="B191" s="1">
        <f t="shared" si="22"/>
        <v>311.95</v>
      </c>
      <c r="C191" s="4">
        <f>ROUND(10000*EXP(($AB$4)+($AC$4/B191)+($AD$4/(B191^2))+($AE$4/(B191^3))),6)</f>
        <v>5594.2343620000001</v>
      </c>
      <c r="D191" s="4">
        <f>((C191+2*$AC$5)*$AC$6)/((C191+2*$AC$5)+$AC$6)</f>
        <v>1823.1904607694532</v>
      </c>
      <c r="E191" s="4">
        <f t="shared" si="23"/>
        <v>1.8231904607694533</v>
      </c>
      <c r="F191" s="24">
        <v>9.9990399102947171E-4</v>
      </c>
      <c r="G191" s="6">
        <v>1.8212062108360847</v>
      </c>
      <c r="H191" s="2">
        <f t="shared" si="24"/>
        <v>1.0883393567840561E-3</v>
      </c>
      <c r="I191" s="5">
        <f>G191/F191</f>
        <v>1821.381079758492</v>
      </c>
      <c r="J191" s="2">
        <f>ABS(D191-I191)/I191</f>
        <v>9.9341155514867728E-4</v>
      </c>
      <c r="K191" s="1">
        <f>$AD$10*B191+$AD$11</f>
        <v>1808.1851615232017</v>
      </c>
      <c r="L191" s="2">
        <f>ABS(K191-D191)/D191</f>
        <v>8.2302422972961031E-3</v>
      </c>
      <c r="M191" s="21">
        <f>K191*F191</f>
        <v>1.8080115595273194</v>
      </c>
      <c r="N191" s="2">
        <f>ABS(M191-G191)/M191</f>
        <v>7.2978799495147361E-3</v>
      </c>
      <c r="O191" s="21">
        <f t="shared" si="25"/>
        <v>1.3194651308765293E-2</v>
      </c>
      <c r="P191" s="25">
        <f>$AD$18*B191+$AD$19</f>
        <v>1.5666666666666664</v>
      </c>
      <c r="Q191" s="25">
        <f>$AD$29*G191+$AD$30</f>
        <v>1.5198549398985381</v>
      </c>
      <c r="R191" s="25">
        <f t="shared" si="26"/>
        <v>4.6811726768128281E-2</v>
      </c>
      <c r="S191" s="26">
        <v>1.4832856416362215</v>
      </c>
      <c r="T191" s="26">
        <f t="shared" si="27"/>
        <v>8.3381025030444977E-2</v>
      </c>
      <c r="U191" s="27">
        <f t="shared" si="28"/>
        <v>5.32219308704968E-2</v>
      </c>
      <c r="V191" s="28">
        <f t="shared" si="29"/>
        <v>37.799427699634656</v>
      </c>
      <c r="W191" s="27">
        <f t="shared" si="30"/>
        <v>2.5787945885704679E-2</v>
      </c>
      <c r="X191" s="21">
        <v>1.4899505105613242</v>
      </c>
      <c r="Y191" s="21">
        <f t="shared" si="31"/>
        <v>37.879406126735894</v>
      </c>
      <c r="Z191" s="2">
        <f t="shared" si="32"/>
        <v>2.3726646218146987E-2</v>
      </c>
    </row>
    <row r="192" spans="1:26">
      <c r="A192" s="1">
        <v>38.9</v>
      </c>
      <c r="B192" s="1">
        <f t="shared" si="22"/>
        <v>312.04999999999995</v>
      </c>
      <c r="C192" s="4">
        <f>ROUND(10000*EXP(($AB$4)+($AC$4/B192)+($AD$4/(B192^2))+($AE$4/(B192^3))),6)</f>
        <v>5571.6514630000001</v>
      </c>
      <c r="D192" s="4">
        <f>((C192+2*$AC$5)*$AC$6)/((C192+2*$AC$5)+$AC$6)</f>
        <v>1820.802407996729</v>
      </c>
      <c r="E192" s="4">
        <f t="shared" si="23"/>
        <v>1.8208024079967291</v>
      </c>
      <c r="F192" s="24">
        <v>9.9990399102947171E-4</v>
      </c>
      <c r="G192" s="6">
        <v>1.818780576831829</v>
      </c>
      <c r="H192" s="2">
        <f t="shared" si="24"/>
        <v>1.1104066844488155E-3</v>
      </c>
      <c r="I192" s="5">
        <f>G192/F192</f>
        <v>1818.9552128492517</v>
      </c>
      <c r="J192" s="2">
        <f>ABS(D192-I192)/I192</f>
        <v>1.0155253600685765E-3</v>
      </c>
      <c r="K192" s="1">
        <f>$AD$10*B192+$AD$11</f>
        <v>1805.8360496043288</v>
      </c>
      <c r="L192" s="2">
        <f>ABS(K192-D192)/D192</f>
        <v>8.2196499338258455E-3</v>
      </c>
      <c r="M192" s="21">
        <f>K192*F192</f>
        <v>1.8056626731442633</v>
      </c>
      <c r="N192" s="2">
        <f>ABS(M192-G192)/M192</f>
        <v>7.2648695034067739E-3</v>
      </c>
      <c r="O192" s="21">
        <f t="shared" si="25"/>
        <v>1.3117903687565713E-2</v>
      </c>
      <c r="P192" s="25">
        <f>$AD$18*B192+$AD$19</f>
        <v>1.5749999999999993</v>
      </c>
      <c r="Q192" s="25">
        <f>$AD$29*G192+$AD$30</f>
        <v>1.5284605569466567</v>
      </c>
      <c r="R192" s="25">
        <f t="shared" si="26"/>
        <v>4.6539443053342566E-2</v>
      </c>
      <c r="S192" s="26">
        <v>1.4922314070523843</v>
      </c>
      <c r="T192" s="26">
        <f t="shared" si="27"/>
        <v>8.2768592947614961E-2</v>
      </c>
      <c r="U192" s="27">
        <f t="shared" si="28"/>
        <v>5.2551487585787302E-2</v>
      </c>
      <c r="V192" s="28">
        <f t="shared" si="29"/>
        <v>37.906776884628613</v>
      </c>
      <c r="W192" s="27">
        <f t="shared" si="30"/>
        <v>2.553272790157804E-2</v>
      </c>
      <c r="X192" s="21">
        <v>1.498869255596974</v>
      </c>
      <c r="Y192" s="21">
        <f t="shared" si="31"/>
        <v>37.986431067163693</v>
      </c>
      <c r="Z192" s="2">
        <f t="shared" si="32"/>
        <v>2.3485062540779068E-2</v>
      </c>
    </row>
    <row r="193" spans="1:26">
      <c r="A193" s="1">
        <v>39</v>
      </c>
      <c r="B193" s="1">
        <f t="shared" si="22"/>
        <v>312.14999999999998</v>
      </c>
      <c r="C193" s="4">
        <f>ROUND(10000*EXP(($AB$4)+($AC$4/B193)+($AD$4/(B193^2))+($AE$4/(B193^3))),6)</f>
        <v>5549.1723389999997</v>
      </c>
      <c r="D193" s="4">
        <f>((C193+2*$AC$5)*$AC$6)/((C193+2*$AC$5)+$AC$6)</f>
        <v>1818.4123753694084</v>
      </c>
      <c r="E193" s="4">
        <f t="shared" si="23"/>
        <v>1.8184123753694086</v>
      </c>
      <c r="F193" s="24">
        <v>9.9990399102947171E-4</v>
      </c>
      <c r="G193" s="6">
        <v>1.8163484591594932</v>
      </c>
      <c r="H193" s="2">
        <f t="shared" si="24"/>
        <v>1.1350099888624741E-3</v>
      </c>
      <c r="I193" s="5">
        <f>G193/F193</f>
        <v>1816.5228616493812</v>
      </c>
      <c r="J193" s="2">
        <f>ABS(D193-I193)/I193</f>
        <v>1.0401816348799468E-3</v>
      </c>
      <c r="K193" s="1">
        <f>$AD$10*B193+$AD$11</f>
        <v>1803.4869376854549</v>
      </c>
      <c r="L193" s="2">
        <f>ABS(K193-D193)/D193</f>
        <v>8.2079499051591343E-3</v>
      </c>
      <c r="M193" s="21">
        <f>K193*F193</f>
        <v>1.8033137867612066</v>
      </c>
      <c r="N193" s="2">
        <f>ABS(M193-G193)/M193</f>
        <v>7.2281776438348922E-3</v>
      </c>
      <c r="O193" s="21">
        <f t="shared" si="25"/>
        <v>1.3034672398286595E-2</v>
      </c>
      <c r="P193" s="25">
        <f>$AD$18*B193+$AD$19</f>
        <v>1.5833333333333321</v>
      </c>
      <c r="Q193" s="25">
        <f>$AD$29*G193+$AD$30</f>
        <v>1.5370891766260337</v>
      </c>
      <c r="R193" s="25">
        <f t="shared" si="26"/>
        <v>4.6244156707298423E-2</v>
      </c>
      <c r="S193" s="26">
        <v>1.5012010845231865</v>
      </c>
      <c r="T193" s="26">
        <f t="shared" si="27"/>
        <v>8.2132248810145692E-2</v>
      </c>
      <c r="U193" s="27">
        <f t="shared" si="28"/>
        <v>5.1872999248513109E-2</v>
      </c>
      <c r="V193" s="28">
        <f t="shared" si="29"/>
        <v>38.014413014278233</v>
      </c>
      <c r="W193" s="27">
        <f t="shared" si="30"/>
        <v>2.5271461172352998E-2</v>
      </c>
      <c r="X193" s="21">
        <v>1.5078118017304409</v>
      </c>
      <c r="Y193" s="21">
        <f t="shared" si="31"/>
        <v>38.093741620765293</v>
      </c>
      <c r="Z193" s="2">
        <f t="shared" si="32"/>
        <v>2.3237394339351462E-2</v>
      </c>
    </row>
    <row r="194" spans="1:26">
      <c r="A194" s="1">
        <v>39.1</v>
      </c>
      <c r="B194" s="1">
        <f t="shared" si="22"/>
        <v>312.25</v>
      </c>
      <c r="C194" s="4">
        <f>ROUND(10000*EXP(($AB$4)+($AC$4/B194)+($AD$4/(B194^2))+($AE$4/(B194^3))),6)</f>
        <v>5526.7964599999996</v>
      </c>
      <c r="D194" s="4">
        <f>((C194+2*$AC$5)*$AC$6)/((C194+2*$AC$5)+$AC$6)</f>
        <v>1816.020380112546</v>
      </c>
      <c r="E194" s="4">
        <f t="shared" si="23"/>
        <v>1.8160203801125461</v>
      </c>
      <c r="F194" s="24">
        <v>9.9990399102947171E-4</v>
      </c>
      <c r="G194" s="6">
        <v>1.8139098808342788</v>
      </c>
      <c r="H194" s="2">
        <f t="shared" si="24"/>
        <v>1.162156163763115E-3</v>
      </c>
      <c r="I194" s="5">
        <f>G194/F194</f>
        <v>1814.084049176292</v>
      </c>
      <c r="J194" s="2">
        <f>ABS(D194-I194)/I194</f>
        <v>1.0673876643881501E-3</v>
      </c>
      <c r="K194" s="1">
        <f>$AD$10*B194+$AD$11</f>
        <v>1801.1378257665801</v>
      </c>
      <c r="L194" s="2">
        <f>ABS(K194-D194)/D194</f>
        <v>8.1951472070173406E-3</v>
      </c>
      <c r="M194" s="21">
        <f>K194*F194</f>
        <v>1.8009649003781487</v>
      </c>
      <c r="N194" s="2">
        <f>ABS(M194-G194)/M194</f>
        <v>7.187802745856996E-3</v>
      </c>
      <c r="O194" s="21">
        <f t="shared" si="25"/>
        <v>1.2944980456130128E-2</v>
      </c>
      <c r="P194" s="25">
        <f>$AD$18*B194+$AD$19</f>
        <v>1.5916666666666686</v>
      </c>
      <c r="Q194" s="25">
        <f>$AD$29*G194+$AD$30</f>
        <v>1.5457407172837838</v>
      </c>
      <c r="R194" s="25">
        <f t="shared" si="26"/>
        <v>4.5925949382884745E-2</v>
      </c>
      <c r="S194" s="26">
        <v>1.510194588851075</v>
      </c>
      <c r="T194" s="26">
        <f t="shared" si="27"/>
        <v>8.1472077815593513E-2</v>
      </c>
      <c r="U194" s="27">
        <f t="shared" si="28"/>
        <v>5.1186645748016804E-2</v>
      </c>
      <c r="V194" s="28">
        <f t="shared" si="29"/>
        <v>38.122335066212905</v>
      </c>
      <c r="W194" s="27">
        <f t="shared" si="30"/>
        <v>2.5004218255424461E-2</v>
      </c>
      <c r="X194" s="21">
        <v>1.5167780639390052</v>
      </c>
      <c r="Y194" s="21">
        <f t="shared" si="31"/>
        <v>38.20133676726806</v>
      </c>
      <c r="Z194" s="2">
        <f t="shared" si="32"/>
        <v>2.2983714392121258E-2</v>
      </c>
    </row>
    <row r="195" spans="1:26">
      <c r="A195" s="1">
        <v>39.200000000000003</v>
      </c>
      <c r="B195" s="1">
        <f t="shared" si="22"/>
        <v>312.34999999999997</v>
      </c>
      <c r="C195" s="4">
        <f>ROUND(10000*EXP(($AB$4)+($AC$4/B195)+($AD$4/(B195^2))+($AE$4/(B195^3))),6)</f>
        <v>5504.5232980000001</v>
      </c>
      <c r="D195" s="4">
        <f>((C195+2*$AC$5)*$AC$6)/((C195+2*$AC$5)+$AC$6)</f>
        <v>1813.6264393861286</v>
      </c>
      <c r="E195" s="4">
        <f t="shared" si="23"/>
        <v>1.8136264393861286</v>
      </c>
      <c r="F195" s="24">
        <v>9.9990399102947171E-4</v>
      </c>
      <c r="G195" s="6">
        <v>1.8116806471451499</v>
      </c>
      <c r="H195" s="2">
        <f t="shared" si="24"/>
        <v>1.0728737730782585E-3</v>
      </c>
      <c r="I195" s="5">
        <f>G195/F195</f>
        <v>1811.8546014401811</v>
      </c>
      <c r="J195" s="2">
        <f>ABS(D195-I195)/I195</f>
        <v>9.7791398081231717E-4</v>
      </c>
      <c r="K195" s="1">
        <f>$AD$10*B195+$AD$11</f>
        <v>1798.7887138477072</v>
      </c>
      <c r="L195" s="2">
        <f>ABS(K195-D195)/D195</f>
        <v>8.1812468191871102E-3</v>
      </c>
      <c r="M195" s="21">
        <f>K195*F195</f>
        <v>1.7986160139950929</v>
      </c>
      <c r="N195" s="2">
        <f>ABS(M195-G195)/M195</f>
        <v>7.2637144606745724E-3</v>
      </c>
      <c r="O195" s="21">
        <f t="shared" si="25"/>
        <v>1.3064633150057015E-2</v>
      </c>
      <c r="P195" s="25">
        <f>$AD$18*B195+$AD$19</f>
        <v>1.5999999999999979</v>
      </c>
      <c r="Q195" s="25">
        <f>$AD$29*G195+$AD$30</f>
        <v>1.5536495491214612</v>
      </c>
      <c r="R195" s="25">
        <f t="shared" si="26"/>
        <v>4.635045087853662E-2</v>
      </c>
      <c r="S195" s="26">
        <v>1.5184160280388577</v>
      </c>
      <c r="T195" s="26">
        <f t="shared" si="27"/>
        <v>8.15839719611402E-2</v>
      </c>
      <c r="U195" s="27">
        <f t="shared" si="28"/>
        <v>5.0989982475712695E-2</v>
      </c>
      <c r="V195" s="28">
        <f t="shared" si="29"/>
        <v>38.220992336466296</v>
      </c>
      <c r="W195" s="27">
        <f t="shared" si="30"/>
        <v>2.4974685294227226E-2</v>
      </c>
      <c r="X195" s="21">
        <v>1.5257679568176776</v>
      </c>
      <c r="Y195" s="21">
        <f t="shared" si="31"/>
        <v>38.309215481812139</v>
      </c>
      <c r="Z195" s="2">
        <f t="shared" si="32"/>
        <v>2.2724094851731227E-2</v>
      </c>
    </row>
    <row r="196" spans="1:26">
      <c r="A196" s="1">
        <v>39.299999999999997</v>
      </c>
      <c r="B196" s="1">
        <f t="shared" ref="B196:B259" si="33">A196+273.15</f>
        <v>312.45</v>
      </c>
      <c r="C196" s="4">
        <f>ROUND(10000*EXP(($AB$4)+($AC$4/B196)+($AD$4/(B196^2))+($AE$4/(B196^3))),6)</f>
        <v>5482.3523269999996</v>
      </c>
      <c r="D196" s="4">
        <f>((C196+2*$AC$5)*$AC$6)/((C196+2*$AC$5)+$AC$6)</f>
        <v>1811.2305702836943</v>
      </c>
      <c r="E196" s="4">
        <f t="shared" ref="E196:E259" si="34">D196*0.001</f>
        <v>1.8112305702836944</v>
      </c>
      <c r="F196" s="24">
        <v>9.9990399102947171E-4</v>
      </c>
      <c r="G196" s="6">
        <v>1.8092272834049292</v>
      </c>
      <c r="H196" s="2">
        <f t="shared" ref="H196:H259" si="35">ABS(E196-G196)/E196</f>
        <v>1.1060363664529959E-3</v>
      </c>
      <c r="I196" s="5">
        <f>G196/F196</f>
        <v>1809.4010021324168</v>
      </c>
      <c r="J196" s="2">
        <f>ABS(D196-I196)/I196</f>
        <v>1.0111457599069056E-3</v>
      </c>
      <c r="K196" s="1">
        <f>$AD$10*B196+$AD$11</f>
        <v>1796.4396019288324</v>
      </c>
      <c r="L196" s="2">
        <f>ABS(K196-D196)/D196</f>
        <v>8.1662537048196853E-3</v>
      </c>
      <c r="M196" s="21">
        <f>K196*F196</f>
        <v>1.796267127612035</v>
      </c>
      <c r="N196" s="2">
        <f>ABS(M196-G196)/M196</f>
        <v>7.2150492505663726E-3</v>
      </c>
      <c r="O196" s="21">
        <f t="shared" ref="O196:O259" si="36">N196*M196</f>
        <v>1.2960155792894223E-2</v>
      </c>
      <c r="P196" s="25">
        <f>$AD$18*B196+$AD$19</f>
        <v>1.6083333333333343</v>
      </c>
      <c r="Q196" s="25">
        <f>$AD$29*G196+$AD$30</f>
        <v>1.5623535451864248</v>
      </c>
      <c r="R196" s="25">
        <f t="shared" ref="R196:R259" si="37">ABS(P196-Q196)</f>
        <v>4.5979788146909506E-2</v>
      </c>
      <c r="S196" s="26">
        <v>1.5274640608980814</v>
      </c>
      <c r="T196" s="26">
        <f t="shared" ref="T196:T259" si="38">ABS(P196-S196)</f>
        <v>8.0869272435252881E-2</v>
      </c>
      <c r="U196" s="27">
        <f t="shared" ref="U196:U259" si="39">IF(P196=0,ABS(P196-S196),ABS(P196-S196)/P196)</f>
        <v>5.0281412913110571E-2</v>
      </c>
      <c r="V196" s="28">
        <f t="shared" ref="V196:V259" si="40">(S196-$AD$21)/($AD$20)</f>
        <v>38.329568730776977</v>
      </c>
      <c r="W196" s="27">
        <f t="shared" ref="W196:W259" si="41">ABS(A196-V196)/A196</f>
        <v>2.4692907613817313E-2</v>
      </c>
      <c r="X196" s="21">
        <v>1.5339904894221954</v>
      </c>
      <c r="Y196" s="21">
        <f t="shared" ref="Y196:Y259" si="42">(X196+5/3)/(1/12)</f>
        <v>38.407885873066348</v>
      </c>
      <c r="Z196" s="2">
        <f t="shared" ref="Z196:Z259" si="43">ABS(A196-Y196)/A196</f>
        <v>2.2700105011034321E-2</v>
      </c>
    </row>
    <row r="197" spans="1:26">
      <c r="A197" s="1">
        <v>39.4</v>
      </c>
      <c r="B197" s="1">
        <f t="shared" si="33"/>
        <v>312.54999999999995</v>
      </c>
      <c r="C197" s="4">
        <f>ROUND(10000*EXP(($AB$4)+($AC$4/B197)+($AD$4/(B197^2))+($AE$4/(B197^3))),6)</f>
        <v>5460.2830260000001</v>
      </c>
      <c r="D197" s="4">
        <f>((C197+2*$AC$5)*$AC$6)/((C197+2*$AC$5)+$AC$6)</f>
        <v>1808.8327901577911</v>
      </c>
      <c r="E197" s="4">
        <f t="shared" si="34"/>
        <v>1.8088327901577912</v>
      </c>
      <c r="F197" s="24">
        <v>9.9990399102947171E-4</v>
      </c>
      <c r="G197" s="6">
        <v>1.8069843761105937</v>
      </c>
      <c r="H197" s="2">
        <f t="shared" si="35"/>
        <v>1.0218822089333335E-3</v>
      </c>
      <c r="I197" s="5">
        <f>G197/F197</f>
        <v>1807.1578794781844</v>
      </c>
      <c r="J197" s="2">
        <f>ABS(D197-I197)/I197</f>
        <v>9.2682033962096988E-4</v>
      </c>
      <c r="K197" s="1">
        <f>$AD$10*B197+$AD$11</f>
        <v>1794.0904900099595</v>
      </c>
      <c r="L197" s="2">
        <f>ABS(K197-D197)/D197</f>
        <v>8.1501729889281987E-3</v>
      </c>
      <c r="M197" s="21">
        <f>K197*F197</f>
        <v>1.7939182412289789</v>
      </c>
      <c r="N197" s="2">
        <f>ABS(M197-G197)/M197</f>
        <v>7.283573231667141E-3</v>
      </c>
      <c r="O197" s="21">
        <f t="shared" si="36"/>
        <v>1.3066134881614788E-2</v>
      </c>
      <c r="P197" s="25">
        <f>$AD$18*B197+$AD$19</f>
        <v>1.6166666666666636</v>
      </c>
      <c r="Q197" s="25">
        <f>$AD$29*G197+$AD$30</f>
        <v>1.5703108879741743</v>
      </c>
      <c r="R197" s="25">
        <f t="shared" si="37"/>
        <v>4.6355778692489302E-2</v>
      </c>
      <c r="S197" s="26">
        <v>1.5357359286257348</v>
      </c>
      <c r="T197" s="26">
        <f t="shared" si="38"/>
        <v>8.0930738040928762E-2</v>
      </c>
      <c r="U197" s="27">
        <f t="shared" si="39"/>
        <v>5.0060250334595206E-2</v>
      </c>
      <c r="V197" s="28">
        <f t="shared" si="40"/>
        <v>38.428831143508816</v>
      </c>
      <c r="W197" s="27">
        <f t="shared" si="41"/>
        <v>2.464895574850717E-2</v>
      </c>
      <c r="X197" s="21">
        <v>1.5422386208871723</v>
      </c>
      <c r="Y197" s="21">
        <f t="shared" si="42"/>
        <v>38.506863450646073</v>
      </c>
      <c r="Z197" s="2">
        <f t="shared" si="43"/>
        <v>2.2668440338932134E-2</v>
      </c>
    </row>
    <row r="198" spans="1:26">
      <c r="A198" s="1">
        <v>39.5</v>
      </c>
      <c r="B198" s="1">
        <f t="shared" si="33"/>
        <v>312.64999999999998</v>
      </c>
      <c r="C198" s="4">
        <f>ROUND(10000*EXP(($AB$4)+($AC$4/B198)+($AD$4/(B198^2))+($AE$4/(B198^3))),6)</f>
        <v>5438.3148760000004</v>
      </c>
      <c r="D198" s="4">
        <f>((C198+2*$AC$5)*$AC$6)/((C198+2*$AC$5)+$AC$6)</f>
        <v>1806.4331162988567</v>
      </c>
      <c r="E198" s="4">
        <f t="shared" si="34"/>
        <v>1.8064331162988567</v>
      </c>
      <c r="F198" s="24">
        <v>9.9990399102947171E-4</v>
      </c>
      <c r="G198" s="6">
        <v>1.8045196088227575</v>
      </c>
      <c r="H198" s="2">
        <f t="shared" si="35"/>
        <v>1.059273913235006E-3</v>
      </c>
      <c r="I198" s="5">
        <f>G198/F198</f>
        <v>1804.6928755278566</v>
      </c>
      <c r="J198" s="2">
        <f>ABS(D198-I198)/I198</f>
        <v>9.6428638612047063E-4</v>
      </c>
      <c r="K198" s="1">
        <f>$AD$10*B198+$AD$11</f>
        <v>1791.7413780910847</v>
      </c>
      <c r="L198" s="2">
        <f>ABS(K198-D198)/D198</f>
        <v>8.1330097833200929E-3</v>
      </c>
      <c r="M198" s="21">
        <f>K198*F198</f>
        <v>1.7915693548459213</v>
      </c>
      <c r="N198" s="2">
        <f>ABS(M198-G198)/M198</f>
        <v>7.2284413337433953E-3</v>
      </c>
      <c r="O198" s="21">
        <f t="shared" si="36"/>
        <v>1.2950253976836246E-2</v>
      </c>
      <c r="P198" s="25">
        <f>$AD$18*B198+$AD$19</f>
        <v>1.625</v>
      </c>
      <c r="Q198" s="25">
        <f>$AD$29*G198+$AD$30</f>
        <v>1.5790553413231283</v>
      </c>
      <c r="R198" s="25">
        <f t="shared" si="37"/>
        <v>4.5944658676871697E-2</v>
      </c>
      <c r="S198" s="26">
        <v>1.5448260179681392</v>
      </c>
      <c r="T198" s="26">
        <f t="shared" si="38"/>
        <v>8.0173982031860769E-2</v>
      </c>
      <c r="U198" s="27">
        <f t="shared" si="39"/>
        <v>4.9337835096529704E-2</v>
      </c>
      <c r="V198" s="28">
        <f t="shared" si="40"/>
        <v>38.537912215617666</v>
      </c>
      <c r="W198" s="27">
        <f t="shared" si="41"/>
        <v>2.4356652769173003E-2</v>
      </c>
      <c r="X198" s="21">
        <v>1.551301105292815</v>
      </c>
      <c r="Y198" s="21">
        <f t="shared" si="42"/>
        <v>38.615613263513787</v>
      </c>
      <c r="Z198" s="2">
        <f t="shared" si="43"/>
        <v>2.2389537632562365E-2</v>
      </c>
    </row>
    <row r="199" spans="1:26">
      <c r="A199" s="1">
        <v>39.6</v>
      </c>
      <c r="B199" s="1">
        <f t="shared" si="33"/>
        <v>312.75</v>
      </c>
      <c r="C199" s="4">
        <f>ROUND(10000*EXP(($AB$4)+($AC$4/B199)+($AD$4/(B199^2))+($AE$4/(B199^3))),6)</f>
        <v>5416.4473600000001</v>
      </c>
      <c r="D199" s="4">
        <f>((C199+2*$AC$5)*$AC$6)/((C199+2*$AC$5)+$AC$6)</f>
        <v>1804.0315659339556</v>
      </c>
      <c r="E199" s="4">
        <f t="shared" si="34"/>
        <v>1.8040315659339556</v>
      </c>
      <c r="F199" s="24">
        <v>9.9990399102947171E-4</v>
      </c>
      <c r="G199" s="6">
        <v>1.8020484945841169</v>
      </c>
      <c r="H199" s="2">
        <f t="shared" si="35"/>
        <v>1.099244263396315E-3</v>
      </c>
      <c r="I199" s="5">
        <f>G199/F199</f>
        <v>1802.2215240173016</v>
      </c>
      <c r="J199" s="2">
        <f>ABS(D199-I199)/I199</f>
        <v>1.0043393070898624E-3</v>
      </c>
      <c r="K199" s="1">
        <f>$AD$10*B199+$AD$11</f>
        <v>1789.3922661722108</v>
      </c>
      <c r="L199" s="2">
        <f>ABS(K199-D199)/D199</f>
        <v>8.1147691859626021E-3</v>
      </c>
      <c r="M199" s="21">
        <f>K199*F199</f>
        <v>1.7892204684628643</v>
      </c>
      <c r="N199" s="2">
        <f>ABS(M199-G199)/M199</f>
        <v>7.1696173542398775E-3</v>
      </c>
      <c r="O199" s="21">
        <f t="shared" si="36"/>
        <v>1.2828026121252556E-2</v>
      </c>
      <c r="P199" s="25">
        <f>$AD$18*B199+$AD$19</f>
        <v>1.6333333333333364</v>
      </c>
      <c r="Q199" s="25">
        <f>$AD$29*G199+$AD$30</f>
        <v>1.5878223122604531</v>
      </c>
      <c r="R199" s="25">
        <f t="shared" si="37"/>
        <v>4.5511021072883295E-2</v>
      </c>
      <c r="S199" s="26">
        <v>1.5539395152460369</v>
      </c>
      <c r="T199" s="26">
        <f t="shared" si="38"/>
        <v>7.9393818087299506E-2</v>
      </c>
      <c r="U199" s="27">
        <f t="shared" si="39"/>
        <v>4.8608460053448585E-2</v>
      </c>
      <c r="V199" s="28">
        <f t="shared" si="40"/>
        <v>38.647274182952444</v>
      </c>
      <c r="W199" s="27">
        <f t="shared" si="41"/>
        <v>2.4058732753726202E-2</v>
      </c>
      <c r="X199" s="21">
        <v>1.5603867231799717</v>
      </c>
      <c r="Y199" s="21">
        <f t="shared" si="42"/>
        <v>38.724640678159659</v>
      </c>
      <c r="Z199" s="2">
        <f t="shared" si="43"/>
        <v>2.2105033379806623E-2</v>
      </c>
    </row>
    <row r="200" spans="1:26">
      <c r="A200" s="1">
        <v>39.700000000000003</v>
      </c>
      <c r="B200" s="1">
        <f t="shared" si="33"/>
        <v>312.84999999999997</v>
      </c>
      <c r="C200" s="4">
        <f>ROUND(10000*EXP(($AB$4)+($AC$4/B200)+($AD$4/(B200^2))+($AE$4/(B200^3))),6)</f>
        <v>5394.6799659999997</v>
      </c>
      <c r="D200" s="4">
        <f>((C200+2*$AC$5)*$AC$6)/((C200+2*$AC$5)+$AC$6)</f>
        <v>1801.6281565576655</v>
      </c>
      <c r="E200" s="4">
        <f t="shared" si="34"/>
        <v>1.8016281565576655</v>
      </c>
      <c r="F200" s="24">
        <v>9.9990399102947171E-4</v>
      </c>
      <c r="G200" s="6">
        <v>1.7995710594802823</v>
      </c>
      <c r="H200" s="2">
        <f t="shared" si="35"/>
        <v>1.1417989166608456E-3</v>
      </c>
      <c r="I200" s="5">
        <f>G200/F200</f>
        <v>1799.7438510346346</v>
      </c>
      <c r="J200" s="2">
        <f>ABS(D200-I200)/I200</f>
        <v>1.0469853929200212E-3</v>
      </c>
      <c r="K200" s="1">
        <f>$AD$10*B200+$AD$11</f>
        <v>1787.043154253337</v>
      </c>
      <c r="L200" s="2">
        <f>ABS(K200-D200)/D200</f>
        <v>8.0954564632225914E-3</v>
      </c>
      <c r="M200" s="21">
        <f>K200*F200</f>
        <v>1.7868715820798076</v>
      </c>
      <c r="N200" s="2">
        <f>ABS(M200-G200)/M200</f>
        <v>7.1071013316431619E-3</v>
      </c>
      <c r="O200" s="21">
        <f t="shared" si="36"/>
        <v>1.2699477400474724E-2</v>
      </c>
      <c r="P200" s="25">
        <f>$AD$18*B200+$AD$19</f>
        <v>1.6416666666666657</v>
      </c>
      <c r="Q200" s="25">
        <f>$AD$29*G200+$AD$30</f>
        <v>1.596611708240129</v>
      </c>
      <c r="R200" s="25">
        <f t="shared" si="37"/>
        <v>4.5054958426536729E-2</v>
      </c>
      <c r="S200" s="26">
        <v>1.5630763240840708</v>
      </c>
      <c r="T200" s="26">
        <f t="shared" si="38"/>
        <v>7.8590342582594896E-2</v>
      </c>
      <c r="U200" s="27">
        <f t="shared" si="39"/>
        <v>4.7872289898027373E-2</v>
      </c>
      <c r="V200" s="28">
        <f t="shared" si="40"/>
        <v>38.756915889008852</v>
      </c>
      <c r="W200" s="27">
        <f t="shared" si="41"/>
        <v>2.3755267279374083E-2</v>
      </c>
      <c r="X200" s="21">
        <v>1.5694956165091778</v>
      </c>
      <c r="Y200" s="21">
        <f t="shared" si="42"/>
        <v>38.833947398110141</v>
      </c>
      <c r="Z200" s="2">
        <f t="shared" si="43"/>
        <v>2.181492699974464E-2</v>
      </c>
    </row>
    <row r="201" spans="1:26">
      <c r="A201" s="1">
        <v>39.799999999999997</v>
      </c>
      <c r="B201" s="1">
        <f t="shared" si="33"/>
        <v>312.95</v>
      </c>
      <c r="C201" s="4">
        <f>ROUND(10000*EXP(($AB$4)+($AC$4/B201)+($AD$4/(B201^2))+($AE$4/(B201^3))),6)</f>
        <v>5373.0121820000004</v>
      </c>
      <c r="D201" s="4">
        <f>((C201+2*$AC$5)*$AC$6)/((C201+2*$AC$5)+$AC$6)</f>
        <v>1799.2229053832409</v>
      </c>
      <c r="E201" s="4">
        <f t="shared" si="34"/>
        <v>1.7992229053832409</v>
      </c>
      <c r="F201" s="24">
        <v>9.9990399102947171E-4</v>
      </c>
      <c r="G201" s="6">
        <v>1.7973005447272317</v>
      </c>
      <c r="H201" s="2">
        <f t="shared" si="35"/>
        <v>1.0684394080675563E-3</v>
      </c>
      <c r="I201" s="5">
        <f>G201/F201</f>
        <v>1797.473118270869</v>
      </c>
      <c r="J201" s="2">
        <f>ABS(D201-I201)/I201</f>
        <v>9.7347053181811314E-4</v>
      </c>
      <c r="K201" s="1">
        <f>$AD$10*B201+$AD$11</f>
        <v>1784.6940423344631</v>
      </c>
      <c r="L201" s="2">
        <f>ABS(K201-D201)/D201</f>
        <v>8.0750767485827969E-3</v>
      </c>
      <c r="M201" s="21">
        <f>K201*F201</f>
        <v>1.7845226956967506</v>
      </c>
      <c r="N201" s="2">
        <f>ABS(M201-G201)/M201</f>
        <v>7.1603735056404395E-3</v>
      </c>
      <c r="O201" s="21">
        <f t="shared" si="36"/>
        <v>1.277784903048107E-2</v>
      </c>
      <c r="P201" s="25">
        <f>$AD$18*B201+$AD$19</f>
        <v>1.6500000000000021</v>
      </c>
      <c r="Q201" s="25">
        <f>$AD$29*G201+$AD$30</f>
        <v>1.6046669962318783</v>
      </c>
      <c r="R201" s="25">
        <f t="shared" si="37"/>
        <v>4.5333003768123881E-2</v>
      </c>
      <c r="S201" s="26">
        <v>1.5714500083336373</v>
      </c>
      <c r="T201" s="26">
        <f t="shared" si="38"/>
        <v>7.8549991666364782E-2</v>
      </c>
      <c r="U201" s="27">
        <f t="shared" si="39"/>
        <v>4.7606055555372534E-2</v>
      </c>
      <c r="V201" s="28">
        <f t="shared" si="40"/>
        <v>38.857400100003652</v>
      </c>
      <c r="W201" s="27">
        <f t="shared" si="41"/>
        <v>2.3683414572772499E-2</v>
      </c>
      <c r="X201" s="21">
        <v>1.5778420732474803</v>
      </c>
      <c r="Y201" s="21">
        <f t="shared" si="42"/>
        <v>38.934104878969769</v>
      </c>
      <c r="Z201" s="2">
        <f t="shared" si="43"/>
        <v>2.175615881985497E-2</v>
      </c>
    </row>
    <row r="202" spans="1:26">
      <c r="A202" s="1">
        <v>39.9</v>
      </c>
      <c r="B202" s="1">
        <f t="shared" si="33"/>
        <v>313.04999999999995</v>
      </c>
      <c r="C202" s="4">
        <f>ROUND(10000*EXP(($AB$4)+($AC$4/B202)+($AD$4/(B202^2))+($AE$4/(B202^3))),6)</f>
        <v>5351.4435009999997</v>
      </c>
      <c r="D202" s="4">
        <f>((C202+2*$AC$5)*$AC$6)/((C202+2*$AC$5)+$AC$6)</f>
        <v>1796.8158298950098</v>
      </c>
      <c r="E202" s="4">
        <f t="shared" si="34"/>
        <v>1.7968158298950099</v>
      </c>
      <c r="F202" s="24">
        <v>9.9990399102947171E-4</v>
      </c>
      <c r="G202" s="6">
        <v>1.7948102505397647</v>
      </c>
      <c r="H202" s="2">
        <f t="shared" si="35"/>
        <v>1.1161852661117388E-3</v>
      </c>
      <c r="I202" s="5">
        <f>G202/F202</f>
        <v>1794.9825849698639</v>
      </c>
      <c r="J202" s="2">
        <f>ABS(D202-I202)/I202</f>
        <v>1.0213162737602102E-3</v>
      </c>
      <c r="K202" s="1">
        <f>$AD$10*B202+$AD$11</f>
        <v>1782.3449304155893</v>
      </c>
      <c r="L202" s="2">
        <f>ABS(K202-D202)/D202</f>
        <v>8.0536353468491258E-3</v>
      </c>
      <c r="M202" s="21">
        <f>K202*F202</f>
        <v>1.7821738093136938</v>
      </c>
      <c r="N202" s="2">
        <f>ABS(M202-G202)/M202</f>
        <v>7.090465116271186E-3</v>
      </c>
      <c r="O202" s="21">
        <f t="shared" si="36"/>
        <v>1.2636441226070882E-2</v>
      </c>
      <c r="P202" s="25">
        <f>$AD$18*B202+$AD$19</f>
        <v>1.6583333333333314</v>
      </c>
      <c r="Q202" s="25">
        <f>$AD$29*G202+$AD$30</f>
        <v>1.6135020134178593</v>
      </c>
      <c r="R202" s="25">
        <f t="shared" si="37"/>
        <v>4.4831319915472179E-2</v>
      </c>
      <c r="S202" s="26">
        <v>1.5806342412985102</v>
      </c>
      <c r="T202" s="26">
        <f t="shared" si="38"/>
        <v>7.7699092034821282E-2</v>
      </c>
      <c r="U202" s="27">
        <f t="shared" si="39"/>
        <v>4.6853723840093287E-2</v>
      </c>
      <c r="V202" s="28">
        <f t="shared" si="40"/>
        <v>38.967610895582126</v>
      </c>
      <c r="W202" s="27">
        <f t="shared" si="41"/>
        <v>2.3368147980397803E-2</v>
      </c>
      <c r="X202" s="21">
        <v>1.586998173695003</v>
      </c>
      <c r="Y202" s="21">
        <f t="shared" si="42"/>
        <v>39.04397808434004</v>
      </c>
      <c r="Z202" s="2">
        <f t="shared" si="43"/>
        <v>2.1454183349873653E-2</v>
      </c>
    </row>
    <row r="203" spans="1:26">
      <c r="A203" s="1">
        <v>40</v>
      </c>
      <c r="B203" s="1">
        <f t="shared" si="33"/>
        <v>313.14999999999998</v>
      </c>
      <c r="C203" s="4">
        <f>ROUND(10000*EXP(($AB$4)+($AC$4/B203)+($AD$4/(B203^2))+($AE$4/(B203^3))),6)</f>
        <v>5329.9734189999999</v>
      </c>
      <c r="D203" s="4">
        <f>((C203+2*$AC$5)*$AC$6)/((C203+2*$AC$5)+$AC$6)</f>
        <v>1794.4069476311895</v>
      </c>
      <c r="E203" s="4">
        <f t="shared" si="34"/>
        <v>1.7944069476311895</v>
      </c>
      <c r="F203" s="24">
        <v>9.9990399102947171E-4</v>
      </c>
      <c r="G203" s="6">
        <v>1.7923137043037416</v>
      </c>
      <c r="H203" s="2">
        <f t="shared" si="35"/>
        <v>1.1665376854515504E-3</v>
      </c>
      <c r="I203" s="5">
        <f>G203/F203</f>
        <v>1792.4857990199921</v>
      </c>
      <c r="J203" s="2">
        <f>ABS(D203-I203)/I203</f>
        <v>1.07177898550033E-3</v>
      </c>
      <c r="K203" s="1">
        <f>$AD$10*B203+$AD$11</f>
        <v>1779.9958184967154</v>
      </c>
      <c r="L203" s="2">
        <f>ABS(K203-D203)/D203</f>
        <v>8.0311376154101159E-3</v>
      </c>
      <c r="M203" s="21">
        <f>K203*F203</f>
        <v>1.7798249229306369</v>
      </c>
      <c r="N203" s="2">
        <f>ABS(M203-G203)/M203</f>
        <v>7.0168594743245036E-3</v>
      </c>
      <c r="O203" s="21">
        <f t="shared" si="36"/>
        <v>1.2488781373104718E-2</v>
      </c>
      <c r="P203" s="25">
        <f>$AD$18*B203+$AD$19</f>
        <v>1.6666666666666679</v>
      </c>
      <c r="Q203" s="25">
        <f>$AD$29*G203+$AD$30</f>
        <v>1.6223592114998642</v>
      </c>
      <c r="R203" s="25">
        <f t="shared" si="37"/>
        <v>4.4307455166803678E-2</v>
      </c>
      <c r="S203" s="26">
        <v>1.5898415321424182</v>
      </c>
      <c r="T203" s="26">
        <f t="shared" si="38"/>
        <v>7.6825134524249661E-2</v>
      </c>
      <c r="U203" s="27">
        <f t="shared" si="39"/>
        <v>4.6095080714549763E-2</v>
      </c>
      <c r="V203" s="28">
        <f t="shared" si="40"/>
        <v>39.078098385709019</v>
      </c>
      <c r="W203" s="27">
        <f t="shared" si="41"/>
        <v>2.3047540357274521E-2</v>
      </c>
      <c r="X203" s="21">
        <v>1.5961772096224736</v>
      </c>
      <c r="Y203" s="21">
        <f t="shared" si="42"/>
        <v>39.154126515469684</v>
      </c>
      <c r="Z203" s="2">
        <f t="shared" si="43"/>
        <v>2.1146837113257887E-2</v>
      </c>
    </row>
    <row r="204" spans="1:26">
      <c r="A204" s="1">
        <v>40.1</v>
      </c>
      <c r="B204" s="1">
        <f t="shared" si="33"/>
        <v>313.25</v>
      </c>
      <c r="C204" s="4">
        <f>ROUND(10000*EXP(($AB$4)+($AC$4/B204)+($AD$4/(B204^2))+($AE$4/(B204^3))),6)</f>
        <v>5308.6014329999998</v>
      </c>
      <c r="D204" s="4">
        <f>((C204+2*$AC$5)*$AC$6)/((C204+2*$AC$5)+$AC$6)</f>
        <v>1791.9962759596115</v>
      </c>
      <c r="E204" s="4">
        <f t="shared" si="34"/>
        <v>1.7919962759596115</v>
      </c>
      <c r="F204" s="24">
        <v>9.9990399102947171E-4</v>
      </c>
      <c r="G204" s="6">
        <v>1.7900232750734881</v>
      </c>
      <c r="H204" s="2">
        <f t="shared" si="35"/>
        <v>1.1010072468297179E-3</v>
      </c>
      <c r="I204" s="5">
        <f>G204/F204</f>
        <v>1790.1951498668716</v>
      </c>
      <c r="J204" s="2">
        <f>ABS(D204-I204)/I204</f>
        <v>1.0061060063054127E-3</v>
      </c>
      <c r="K204" s="1">
        <f>$AD$10*B204+$AD$11</f>
        <v>1777.6467065778406</v>
      </c>
      <c r="L204" s="2">
        <f>ABS(K204-D204)/D204</f>
        <v>8.0075888405999399E-3</v>
      </c>
      <c r="M204" s="21">
        <f>K204*F204</f>
        <v>1.777476036547579</v>
      </c>
      <c r="N204" s="2">
        <f>ABS(M204-G204)/M204</f>
        <v>7.0590197943145375E-3</v>
      </c>
      <c r="O204" s="21">
        <f t="shared" si="36"/>
        <v>1.254723852590911E-2</v>
      </c>
      <c r="P204" s="25">
        <f>$AD$18*B204+$AD$19</f>
        <v>1.6750000000000007</v>
      </c>
      <c r="Q204" s="25">
        <f>$AD$29*G204+$AD$30</f>
        <v>1.6304851516857282</v>
      </c>
      <c r="R204" s="25">
        <f t="shared" si="37"/>
        <v>4.4514848314272548E-2</v>
      </c>
      <c r="S204" s="26">
        <v>1.5982886610235261</v>
      </c>
      <c r="T204" s="26">
        <f t="shared" si="38"/>
        <v>7.6711338976474641E-2</v>
      </c>
      <c r="U204" s="27">
        <f t="shared" si="39"/>
        <v>4.57978143143132E-2</v>
      </c>
      <c r="V204" s="28">
        <f t="shared" si="40"/>
        <v>39.179463932282317</v>
      </c>
      <c r="W204" s="27">
        <f t="shared" si="41"/>
        <v>2.2956011663782645E-2</v>
      </c>
      <c r="X204" s="21">
        <v>1.6045967666914711</v>
      </c>
      <c r="Y204" s="21">
        <f t="shared" si="42"/>
        <v>39.255161200297657</v>
      </c>
      <c r="Z204" s="2">
        <f t="shared" si="43"/>
        <v>2.1068299244447496E-2</v>
      </c>
    </row>
    <row r="205" spans="1:26">
      <c r="A205" s="1">
        <v>40.200000000000003</v>
      </c>
      <c r="B205" s="1">
        <f t="shared" si="33"/>
        <v>313.34999999999997</v>
      </c>
      <c r="C205" s="4">
        <f>ROUND(10000*EXP(($AB$4)+($AC$4/B205)+($AD$4/(B205^2))+($AE$4/(B205^3))),6)</f>
        <v>5287.3270439999997</v>
      </c>
      <c r="D205" s="4">
        <f>((C205+2*$AC$5)*$AC$6)/((C205+2*$AC$5)+$AC$6)</f>
        <v>1789.583832414776</v>
      </c>
      <c r="E205" s="4">
        <f t="shared" si="34"/>
        <v>1.7895838324147761</v>
      </c>
      <c r="F205" s="24">
        <v>9.9990399102947171E-4</v>
      </c>
      <c r="G205" s="6">
        <v>1.7875140127922933</v>
      </c>
      <c r="H205" s="2">
        <f t="shared" si="35"/>
        <v>1.1565927144580642E-3</v>
      </c>
      <c r="I205" s="5">
        <f>G205/F205</f>
        <v>1787.6856466508564</v>
      </c>
      <c r="J205" s="2">
        <f>ABS(D205-I205)/I205</f>
        <v>1.0618118277538268E-3</v>
      </c>
      <c r="K205" s="1">
        <f>$AD$10*B205+$AD$11</f>
        <v>1775.2975946589677</v>
      </c>
      <c r="L205" s="2">
        <f>ABS(K205-D205)/D205</f>
        <v>7.982994424201504E-3</v>
      </c>
      <c r="M205" s="21">
        <f>K205*F205</f>
        <v>1.7751271501645232</v>
      </c>
      <c r="N205" s="2">
        <f>ABS(M205-G205)/M205</f>
        <v>6.9780142941434182E-3</v>
      </c>
      <c r="O205" s="21">
        <f t="shared" si="36"/>
        <v>1.2386862627770112E-2</v>
      </c>
      <c r="P205" s="25">
        <f>$AD$18*B205+$AD$19</f>
        <v>1.6833333333333336</v>
      </c>
      <c r="Q205" s="25">
        <f>$AD$29*G205+$AD$30</f>
        <v>1.6393874635049759</v>
      </c>
      <c r="R205" s="25">
        <f t="shared" si="37"/>
        <v>4.3945869828357687E-2</v>
      </c>
      <c r="S205" s="26">
        <v>1.6075428485634882</v>
      </c>
      <c r="T205" s="26">
        <f t="shared" si="38"/>
        <v>7.5790484769845401E-2</v>
      </c>
      <c r="U205" s="27">
        <f t="shared" si="39"/>
        <v>4.5024050358323991E-2</v>
      </c>
      <c r="V205" s="28">
        <f t="shared" si="40"/>
        <v>39.290514182761854</v>
      </c>
      <c r="W205" s="27">
        <f t="shared" si="41"/>
        <v>2.2624025304431573E-2</v>
      </c>
      <c r="X205" s="21">
        <v>1.6138224811052206</v>
      </c>
      <c r="Y205" s="21">
        <f t="shared" si="42"/>
        <v>39.365869773262652</v>
      </c>
      <c r="Z205" s="2">
        <f t="shared" si="43"/>
        <v>2.0749508127794792E-2</v>
      </c>
    </row>
    <row r="206" spans="1:26">
      <c r="A206" s="1">
        <v>40.299999999999997</v>
      </c>
      <c r="B206" s="1">
        <f t="shared" si="33"/>
        <v>313.45</v>
      </c>
      <c r="C206" s="4">
        <f>ROUND(10000*EXP(($AB$4)+($AC$4/B206)+($AD$4/(B206^2))+($AE$4/(B206^3))),6)</f>
        <v>5266.1497570000001</v>
      </c>
      <c r="D206" s="4">
        <f>((C206+2*$AC$5)*$AC$6)/((C206+2*$AC$5)+$AC$6)</f>
        <v>1787.1696347028571</v>
      </c>
      <c r="E206" s="4">
        <f t="shared" si="34"/>
        <v>1.7871696347028572</v>
      </c>
      <c r="F206" s="24">
        <v>9.9990399102947171E-4</v>
      </c>
      <c r="G206" s="6">
        <v>1.784998570593944</v>
      </c>
      <c r="H206" s="2">
        <f t="shared" si="35"/>
        <v>1.2148058397792681E-3</v>
      </c>
      <c r="I206" s="5">
        <f>G206/F206</f>
        <v>1785.1699629243024</v>
      </c>
      <c r="J206" s="2">
        <f>ABS(D206-I206)/I206</f>
        <v>1.1201576432975069E-3</v>
      </c>
      <c r="K206" s="1">
        <f>$AD$10*B206+$AD$11</f>
        <v>1772.9484827400929</v>
      </c>
      <c r="L206" s="2">
        <f>ABS(K206-D206)/D206</f>
        <v>7.9573598871764059E-3</v>
      </c>
      <c r="M206" s="21">
        <f>K206*F206</f>
        <v>1.7727782637814653</v>
      </c>
      <c r="N206" s="2">
        <f>ABS(M206-G206)/M206</f>
        <v>6.8933081266530473E-3</v>
      </c>
      <c r="O206" s="21">
        <f t="shared" si="36"/>
        <v>1.2220306812478654E-2</v>
      </c>
      <c r="P206" s="25">
        <f>$AD$18*B206+$AD$19</f>
        <v>1.6916666666666664</v>
      </c>
      <c r="Q206" s="25">
        <f>$AD$29*G206+$AD$30</f>
        <v>1.6483117003138661</v>
      </c>
      <c r="R206" s="25">
        <f t="shared" si="37"/>
        <v>4.3354966352800339E-2</v>
      </c>
      <c r="S206" s="26">
        <v>1.6168198278776635</v>
      </c>
      <c r="T206" s="26">
        <f t="shared" si="38"/>
        <v>7.484683878900289E-2</v>
      </c>
      <c r="U206" s="27">
        <f t="shared" si="39"/>
        <v>4.4244436722563292E-2</v>
      </c>
      <c r="V206" s="28">
        <f t="shared" si="40"/>
        <v>39.401837934531962</v>
      </c>
      <c r="W206" s="27">
        <f t="shared" si="41"/>
        <v>2.2286899887544308E-2</v>
      </c>
      <c r="X206" s="21">
        <v>1.6230708637804672</v>
      </c>
      <c r="Y206" s="21">
        <f t="shared" si="42"/>
        <v>39.476850365365607</v>
      </c>
      <c r="Z206" s="2">
        <f t="shared" si="43"/>
        <v>2.0425549246510927E-2</v>
      </c>
    </row>
    <row r="207" spans="1:26">
      <c r="A207" s="1">
        <v>40.4</v>
      </c>
      <c r="B207" s="1">
        <f t="shared" si="33"/>
        <v>313.54999999999995</v>
      </c>
      <c r="C207" s="4">
        <f>ROUND(10000*EXP(($AB$4)+($AC$4/B207)+($AD$4/(B207^2))+($AE$4/(B207^3))),6)</f>
        <v>5245.0690770000001</v>
      </c>
      <c r="D207" s="4">
        <f>((C207+2*$AC$5)*$AC$6)/((C207+2*$AC$5)+$AC$6)</f>
        <v>1784.7537002471622</v>
      </c>
      <c r="E207" s="4">
        <f t="shared" si="34"/>
        <v>1.7847537002471623</v>
      </c>
      <c r="F207" s="24">
        <v>9.9990399102947171E-4</v>
      </c>
      <c r="G207" s="6">
        <v>1.782688441291544</v>
      </c>
      <c r="H207" s="2">
        <f t="shared" si="35"/>
        <v>1.1571674877784298E-3</v>
      </c>
      <c r="I207" s="5">
        <f>G207/F207</f>
        <v>1782.8596118074702</v>
      </c>
      <c r="J207" s="2">
        <f>ABS(D207-I207)/I207</f>
        <v>1.0623878779618585E-3</v>
      </c>
      <c r="K207" s="1">
        <f>$AD$10*B207+$AD$11</f>
        <v>1770.59937082122</v>
      </c>
      <c r="L207" s="2">
        <f>ABS(K207-D207)/D207</f>
        <v>7.9306906179727119E-3</v>
      </c>
      <c r="M207" s="21">
        <f>K207*F207</f>
        <v>1.7704293773984094</v>
      </c>
      <c r="N207" s="2">
        <f>ABS(M207-G207)/M207</f>
        <v>6.9243450485152319E-3</v>
      </c>
      <c r="O207" s="21">
        <f t="shared" si="36"/>
        <v>1.2259063893134581E-2</v>
      </c>
      <c r="P207" s="25">
        <f>$AD$18*B207+$AD$19</f>
        <v>1.6999999999999993</v>
      </c>
      <c r="Q207" s="25">
        <f>$AD$29*G207+$AD$30</f>
        <v>1.6565075320317648</v>
      </c>
      <c r="R207" s="25">
        <f t="shared" si="37"/>
        <v>4.3492467968234472E-2</v>
      </c>
      <c r="S207" s="26">
        <v>1.6253396108369824</v>
      </c>
      <c r="T207" s="26">
        <f t="shared" si="38"/>
        <v>7.4660389163016871E-2</v>
      </c>
      <c r="U207" s="27">
        <f t="shared" si="39"/>
        <v>4.3917875978245237E-2</v>
      </c>
      <c r="V207" s="28">
        <f t="shared" si="40"/>
        <v>39.50407533004379</v>
      </c>
      <c r="W207" s="27">
        <f t="shared" si="41"/>
        <v>2.2176353216737839E-2</v>
      </c>
      <c r="X207" s="21">
        <v>1.631562728412314</v>
      </c>
      <c r="Y207" s="21">
        <f t="shared" si="42"/>
        <v>39.57875274094777</v>
      </c>
      <c r="Z207" s="2">
        <f t="shared" si="43"/>
        <v>2.0327902451787828E-2</v>
      </c>
    </row>
    <row r="208" spans="1:26">
      <c r="A208" s="1">
        <v>40.5</v>
      </c>
      <c r="B208" s="1">
        <f t="shared" si="33"/>
        <v>313.64999999999998</v>
      </c>
      <c r="C208" s="4">
        <f>ROUND(10000*EXP(($AB$4)+($AC$4/B208)+($AD$4/(B208^2))+($AE$4/(B208^3))),6)</f>
        <v>5224.0845129999998</v>
      </c>
      <c r="D208" s="4">
        <f>((C208+2*$AC$5)*$AC$6)/((C208+2*$AC$5)+$AC$6)</f>
        <v>1782.3360466432139</v>
      </c>
      <c r="E208" s="4">
        <f t="shared" si="34"/>
        <v>1.7823360466432139</v>
      </c>
      <c r="F208" s="24">
        <v>9.9990399102947171E-4</v>
      </c>
      <c r="G208" s="6">
        <v>1.7801604279472458</v>
      </c>
      <c r="H208" s="2">
        <f t="shared" si="35"/>
        <v>1.2206557231816814E-3</v>
      </c>
      <c r="I208" s="5">
        <f>G208/F208</f>
        <v>1780.3313557279084</v>
      </c>
      <c r="J208" s="2">
        <f>ABS(D208-I208)/I208</f>
        <v>1.1260212369206997E-3</v>
      </c>
      <c r="K208" s="1">
        <f>$AD$10*B208+$AD$11</f>
        <v>1768.2502589023452</v>
      </c>
      <c r="L208" s="2">
        <f>ABS(K208-D208)/D208</f>
        <v>7.9029921250806413E-3</v>
      </c>
      <c r="M208" s="21">
        <f>K208*F208</f>
        <v>1.7680804910153516</v>
      </c>
      <c r="N208" s="2">
        <f>ABS(M208-G208)/M208</f>
        <v>6.83223246525226E-3</v>
      </c>
      <c r="O208" s="21">
        <f t="shared" si="36"/>
        <v>1.2079936931894242E-2</v>
      </c>
      <c r="P208" s="25">
        <f>$AD$18*B208+$AD$19</f>
        <v>1.7083333333333321</v>
      </c>
      <c r="Q208" s="25">
        <f>$AD$29*G208+$AD$30</f>
        <v>1.6654763685072584</v>
      </c>
      <c r="R208" s="25">
        <f t="shared" si="37"/>
        <v>4.2856964826073707E-2</v>
      </c>
      <c r="S208" s="26">
        <v>1.6346629528716743</v>
      </c>
      <c r="T208" s="26">
        <f t="shared" si="38"/>
        <v>7.3670380461657858E-2</v>
      </c>
      <c r="U208" s="27">
        <f t="shared" si="39"/>
        <v>4.3124125148287555E-2</v>
      </c>
      <c r="V208" s="28">
        <f t="shared" si="40"/>
        <v>39.615955434460091</v>
      </c>
      <c r="W208" s="27">
        <f t="shared" si="41"/>
        <v>2.1828260877528628E-2</v>
      </c>
      <c r="X208" s="21">
        <v>1.6408572540876665</v>
      </c>
      <c r="Y208" s="21">
        <f t="shared" si="42"/>
        <v>39.690287049051996</v>
      </c>
      <c r="Z208" s="2">
        <f t="shared" si="43"/>
        <v>1.999291236908652E-2</v>
      </c>
    </row>
    <row r="209" spans="1:26">
      <c r="A209" s="1">
        <v>40.6</v>
      </c>
      <c r="B209" s="1">
        <f t="shared" si="33"/>
        <v>313.75</v>
      </c>
      <c r="C209" s="4">
        <f>ROUND(10000*EXP(($AB$4)+($AC$4/B209)+($AD$4/(B209^2))+($AE$4/(B209^3))),6)</f>
        <v>5203.1955779999998</v>
      </c>
      <c r="D209" s="4">
        <f>((C209+2*$AC$5)*$AC$6)/((C209+2*$AC$5)+$AC$6)</f>
        <v>1779.9166916639249</v>
      </c>
      <c r="E209" s="4">
        <f t="shared" si="34"/>
        <v>1.7799166916639249</v>
      </c>
      <c r="F209" s="24">
        <v>9.9990399102947171E-4</v>
      </c>
      <c r="G209" s="6">
        <v>1.7778371880728927</v>
      </c>
      <c r="H209" s="2">
        <f t="shared" si="35"/>
        <v>1.1683151243939184E-3</v>
      </c>
      <c r="I209" s="5">
        <f>G209/F209</f>
        <v>1778.0078927802697</v>
      </c>
      <c r="J209" s="2">
        <f>ABS(D209-I209)/I209</f>
        <v>1.0735604107304727E-3</v>
      </c>
      <c r="K209" s="1">
        <f>$AD$10*B209+$AD$11</f>
        <v>1765.9011469834713</v>
      </c>
      <c r="L209" s="2">
        <f>ABS(K209-D209)/D209</f>
        <v>7.8742700408923998E-3</v>
      </c>
      <c r="M209" s="21">
        <f>K209*F209</f>
        <v>1.7657316046322948</v>
      </c>
      <c r="N209" s="2">
        <f>ABS(M209-G209)/M209</f>
        <v>6.855845706583927E-3</v>
      </c>
      <c r="O209" s="21">
        <f t="shared" si="36"/>
        <v>1.2105583440597867E-2</v>
      </c>
      <c r="P209" s="25">
        <f>$AD$18*B209+$AD$19</f>
        <v>1.7166666666666686</v>
      </c>
      <c r="Q209" s="25">
        <f>$AD$29*G209+$AD$30</f>
        <v>1.673718713656827</v>
      </c>
      <c r="R209" s="25">
        <f t="shared" si="37"/>
        <v>4.2947953009841555E-2</v>
      </c>
      <c r="S209" s="26">
        <v>1.6432310875738467</v>
      </c>
      <c r="T209" s="26">
        <f t="shared" si="38"/>
        <v>7.3435579092821834E-2</v>
      </c>
      <c r="U209" s="27">
        <f t="shared" si="39"/>
        <v>4.2778007238536947E-2</v>
      </c>
      <c r="V209" s="28">
        <f t="shared" si="40"/>
        <v>39.718773050886156</v>
      </c>
      <c r="W209" s="27">
        <f t="shared" si="41"/>
        <v>2.1705097268813919E-2</v>
      </c>
      <c r="X209" s="21">
        <v>1.6493972384986209</v>
      </c>
      <c r="Y209" s="21">
        <f t="shared" si="42"/>
        <v>39.792766861983452</v>
      </c>
      <c r="Z209" s="2">
        <f t="shared" si="43"/>
        <v>1.9882589606318949E-2</v>
      </c>
    </row>
    <row r="210" spans="1:26">
      <c r="A210" s="1">
        <v>40.700000000000003</v>
      </c>
      <c r="B210" s="1">
        <f t="shared" si="33"/>
        <v>313.84999999999997</v>
      </c>
      <c r="C210" s="4">
        <f>ROUND(10000*EXP(($AB$4)+($AC$4/B210)+($AD$4/(B210^2))+($AE$4/(B210^3))),6)</f>
        <v>5182.4017860000004</v>
      </c>
      <c r="D210" s="4">
        <f>((C210+2*$AC$5)*$AC$6)/((C210+2*$AC$5)+$AC$6)</f>
        <v>1777.4956529146543</v>
      </c>
      <c r="E210" s="4">
        <f t="shared" si="34"/>
        <v>1.7774956529146544</v>
      </c>
      <c r="F210" s="24">
        <v>9.9990399102947171E-4</v>
      </c>
      <c r="G210" s="6">
        <v>1.7752966984074576</v>
      </c>
      <c r="H210" s="2">
        <f t="shared" si="35"/>
        <v>1.2371082334806372E-3</v>
      </c>
      <c r="I210" s="5">
        <f>G210/F210</f>
        <v>1775.4671591816175</v>
      </c>
      <c r="J210" s="2">
        <f>ABS(D210-I210)/I210</f>
        <v>1.1425126747891252E-3</v>
      </c>
      <c r="K210" s="1">
        <f>$AD$10*B210+$AD$11</f>
        <v>1763.5520350645975</v>
      </c>
      <c r="L210" s="2">
        <f>ABS(K210-D210)/D210</f>
        <v>7.8445299301816915E-3</v>
      </c>
      <c r="M210" s="21">
        <f>K210*F210</f>
        <v>1.7633827182492379</v>
      </c>
      <c r="N210" s="2">
        <f>ABS(M210-G210)/M210</f>
        <v>6.756321265328308E-3</v>
      </c>
      <c r="O210" s="21">
        <f t="shared" si="36"/>
        <v>1.1913980158219761E-2</v>
      </c>
      <c r="P210" s="25">
        <f>$AD$18*B210+$AD$19</f>
        <v>1.7249999999999979</v>
      </c>
      <c r="Q210" s="25">
        <f>$AD$29*G210+$AD$30</f>
        <v>1.6827318133813041</v>
      </c>
      <c r="R210" s="25">
        <f t="shared" si="37"/>
        <v>4.2268186618693804E-2</v>
      </c>
      <c r="S210" s="26">
        <v>1.6526004423011966</v>
      </c>
      <c r="T210" s="26">
        <f t="shared" si="38"/>
        <v>7.2399557698801242E-2</v>
      </c>
      <c r="U210" s="27">
        <f t="shared" si="39"/>
        <v>4.1970758086261641E-2</v>
      </c>
      <c r="V210" s="28">
        <f t="shared" si="40"/>
        <v>39.831205307614361</v>
      </c>
      <c r="W210" s="27">
        <f t="shared" si="41"/>
        <v>2.1346306938222148E-2</v>
      </c>
      <c r="X210" s="21">
        <v>1.6587375468186403</v>
      </c>
      <c r="Y210" s="21">
        <f t="shared" si="42"/>
        <v>39.904850561823686</v>
      </c>
      <c r="Z210" s="2">
        <f t="shared" si="43"/>
        <v>1.9536841232833339E-2</v>
      </c>
    </row>
    <row r="211" spans="1:26">
      <c r="A211" s="1">
        <v>40.799999999999997</v>
      </c>
      <c r="B211" s="1">
        <f t="shared" si="33"/>
        <v>313.95</v>
      </c>
      <c r="C211" s="4">
        <f>ROUND(10000*EXP(($AB$4)+($AC$4/B211)+($AD$4/(B211^2))+($AE$4/(B211^3))),6)</f>
        <v>5161.702655</v>
      </c>
      <c r="D211" s="4">
        <f>((C211+2*$AC$5)*$AC$6)/((C211+2*$AC$5)+$AC$6)</f>
        <v>1775.0729481813978</v>
      </c>
      <c r="E211" s="4">
        <f t="shared" si="34"/>
        <v>1.7750729481813978</v>
      </c>
      <c r="F211" s="24">
        <v>9.9990399102947171E-4</v>
      </c>
      <c r="G211" s="6">
        <v>1.7729604449743999</v>
      </c>
      <c r="H211" s="2">
        <f t="shared" si="35"/>
        <v>1.1900937418725631E-3</v>
      </c>
      <c r="I211" s="5">
        <f>G211/F211</f>
        <v>1773.1306814257357</v>
      </c>
      <c r="J211" s="2">
        <f>ABS(D211-I211)/I211</f>
        <v>1.0953883862075914E-3</v>
      </c>
      <c r="K211" s="1">
        <f>$AD$10*B211+$AD$11</f>
        <v>1761.2029231457236</v>
      </c>
      <c r="L211" s="2">
        <f>ABS(K211-D211)/D211</f>
        <v>7.8137774844038617E-3</v>
      </c>
      <c r="M211" s="21">
        <f>K211*F211</f>
        <v>1.7610338318661809</v>
      </c>
      <c r="N211" s="2">
        <f>ABS(M211-G211)/M211</f>
        <v>6.7725065199799378E-3</v>
      </c>
      <c r="O211" s="21">
        <f t="shared" si="36"/>
        <v>1.1926613108218964E-2</v>
      </c>
      <c r="P211" s="25">
        <f>$AD$18*B211+$AD$19</f>
        <v>1.7333333333333343</v>
      </c>
      <c r="Q211" s="25">
        <f>$AD$29*G211+$AD$30</f>
        <v>1.6910203277808282</v>
      </c>
      <c r="R211" s="25">
        <f t="shared" si="37"/>
        <v>4.2313005552506056E-2</v>
      </c>
      <c r="S211" s="26">
        <v>1.6612165712178681</v>
      </c>
      <c r="T211" s="26">
        <f t="shared" si="38"/>
        <v>7.2116762115466138E-2</v>
      </c>
      <c r="U211" s="27">
        <f t="shared" si="39"/>
        <v>4.160582429738429E-2</v>
      </c>
      <c r="V211" s="28">
        <f t="shared" si="40"/>
        <v>39.934598854614421</v>
      </c>
      <c r="W211" s="27">
        <f t="shared" si="41"/>
        <v>2.1210812386901371E-2</v>
      </c>
      <c r="X211" s="21">
        <v>1.6673252917292736</v>
      </c>
      <c r="Y211" s="21">
        <f t="shared" si="42"/>
        <v>40.00790350075129</v>
      </c>
      <c r="Z211" s="2">
        <f t="shared" si="43"/>
        <v>1.9414129883546745E-2</v>
      </c>
    </row>
    <row r="212" spans="1:26">
      <c r="A212" s="1">
        <v>40.9</v>
      </c>
      <c r="B212" s="1">
        <f t="shared" si="33"/>
        <v>314.04999999999995</v>
      </c>
      <c r="C212" s="4">
        <f>ROUND(10000*EXP(($AB$4)+($AC$4/B212)+($AD$4/(B212^2))+($AE$4/(B212^3))),6)</f>
        <v>5141.0977039999998</v>
      </c>
      <c r="D212" s="4">
        <f>((C212+2*$AC$5)*$AC$6)/((C212+2*$AC$5)+$AC$6)</f>
        <v>1772.6485950822625</v>
      </c>
      <c r="E212" s="4">
        <f t="shared" si="34"/>
        <v>1.7726485950822626</v>
      </c>
      <c r="F212" s="24">
        <v>9.9990399102947171E-4</v>
      </c>
      <c r="G212" s="6">
        <v>1.7704075771910754</v>
      </c>
      <c r="H212" s="2">
        <f t="shared" si="35"/>
        <v>1.2642200475628605E-3</v>
      </c>
      <c r="I212" s="5">
        <f>G212/F212</f>
        <v>1770.5775685206695</v>
      </c>
      <c r="J212" s="2">
        <f>ABS(D212-I212)/I212</f>
        <v>1.1696898223574591E-3</v>
      </c>
      <c r="K212" s="1">
        <f>$AD$10*B212+$AD$11</f>
        <v>1758.8538112268507</v>
      </c>
      <c r="L212" s="2">
        <f>ABS(K212-D212)/D212</f>
        <v>7.7820183276492601E-3</v>
      </c>
      <c r="M212" s="21">
        <f>K212*F212</f>
        <v>1.758684945483125</v>
      </c>
      <c r="N212" s="2">
        <f>ABS(M212-G212)/M212</f>
        <v>6.6655666428816233E-3</v>
      </c>
      <c r="O212" s="21">
        <f t="shared" si="36"/>
        <v>1.1722631707950404E-2</v>
      </c>
      <c r="P212" s="25">
        <f>$AD$18*B212+$AD$19</f>
        <v>1.7416666666666636</v>
      </c>
      <c r="Q212" s="25">
        <f>$AD$29*G212+$AD$30</f>
        <v>1.7000773423507214</v>
      </c>
      <c r="R212" s="25">
        <f t="shared" si="37"/>
        <v>4.15893243159422E-2</v>
      </c>
      <c r="S212" s="26">
        <v>1.6706315764183348</v>
      </c>
      <c r="T212" s="26">
        <f t="shared" si="38"/>
        <v>7.1035090248328769E-2</v>
      </c>
      <c r="U212" s="27">
        <f t="shared" si="39"/>
        <v>4.0785697750236688E-2</v>
      </c>
      <c r="V212" s="28">
        <f t="shared" si="40"/>
        <v>40.047578917020019</v>
      </c>
      <c r="W212" s="27">
        <f t="shared" si="41"/>
        <v>2.0841591270904153E-2</v>
      </c>
      <c r="X212" s="21">
        <v>1.6767110196200159</v>
      </c>
      <c r="Y212" s="21">
        <f t="shared" si="42"/>
        <v>40.120532235440194</v>
      </c>
      <c r="Z212" s="2">
        <f t="shared" si="43"/>
        <v>1.9057891554029444E-2</v>
      </c>
    </row>
    <row r="213" spans="1:26">
      <c r="A213" s="1">
        <v>41</v>
      </c>
      <c r="B213" s="1">
        <f t="shared" si="33"/>
        <v>314.14999999999998</v>
      </c>
      <c r="C213" s="4">
        <f>ROUND(10000*EXP(($AB$4)+($AC$4/B213)+($AD$4/(B213^2))+($AE$4/(B213^3))),6)</f>
        <v>5120.586456</v>
      </c>
      <c r="D213" s="4">
        <f>((C213+2*$AC$5)*$AC$6)/((C213+2*$AC$5)+$AC$6)</f>
        <v>1770.2226114194129</v>
      </c>
      <c r="E213" s="4">
        <f t="shared" si="34"/>
        <v>1.7702226114194131</v>
      </c>
      <c r="F213" s="24">
        <v>9.9990399102947171E-4</v>
      </c>
      <c r="G213" s="6">
        <v>1.7680584081872859</v>
      </c>
      <c r="H213" s="2">
        <f t="shared" si="35"/>
        <v>1.2225599301275813E-3</v>
      </c>
      <c r="I213" s="5">
        <f>G213/F213</f>
        <v>1768.2281739539262</v>
      </c>
      <c r="J213" s="2">
        <f>ABS(D213-I213)/I213</f>
        <v>1.127929921525328E-3</v>
      </c>
      <c r="K213" s="1">
        <f>$AD$10*B213+$AD$11</f>
        <v>1756.5046993079759</v>
      </c>
      <c r="L213" s="2">
        <f>ABS(K213-D213)/D213</f>
        <v>7.7492582135970161E-3</v>
      </c>
      <c r="M213" s="21">
        <f>K213*F213</f>
        <v>1.7563360591000672</v>
      </c>
      <c r="N213" s="2">
        <f>ABS(M213-G213)/M213</f>
        <v>6.674320114582819E-3</v>
      </c>
      <c r="O213" s="21">
        <f t="shared" si="36"/>
        <v>1.1722349087218698E-2</v>
      </c>
      <c r="P213" s="25">
        <f>$AD$18*B213+$AD$19</f>
        <v>1.75</v>
      </c>
      <c r="Q213" s="25">
        <f>$AD$29*G213+$AD$30</f>
        <v>1.708411678360382</v>
      </c>
      <c r="R213" s="25">
        <f t="shared" si="37"/>
        <v>4.1588321639618009E-2</v>
      </c>
      <c r="S213" s="26">
        <v>1.6792953383434837</v>
      </c>
      <c r="T213" s="26">
        <f t="shared" si="38"/>
        <v>7.0704661656516343E-2</v>
      </c>
      <c r="U213" s="27">
        <f t="shared" si="39"/>
        <v>4.0402663803723628E-2</v>
      </c>
      <c r="V213" s="28">
        <f t="shared" si="40"/>
        <v>40.151544060121807</v>
      </c>
      <c r="W213" s="27">
        <f t="shared" si="41"/>
        <v>2.0694047314102258E-2</v>
      </c>
      <c r="X213" s="21">
        <v>1.6853461631797444</v>
      </c>
      <c r="Y213" s="21">
        <f t="shared" si="42"/>
        <v>40.22415395815694</v>
      </c>
      <c r="Z213" s="2">
        <f t="shared" si="43"/>
        <v>1.8923074191294149E-2</v>
      </c>
    </row>
    <row r="214" spans="1:26">
      <c r="A214" s="1">
        <v>41.1</v>
      </c>
      <c r="B214" s="1">
        <f t="shared" si="33"/>
        <v>314.25</v>
      </c>
      <c r="C214" s="4">
        <f>ROUND(10000*EXP(($AB$4)+($AC$4/B214)+($AD$4/(B214^2))+($AE$4/(B214^3))),6)</f>
        <v>5100.1684370000003</v>
      </c>
      <c r="D214" s="4">
        <f>((C214+2*$AC$5)*$AC$6)/((C214+2*$AC$5)+$AC$6)</f>
        <v>1767.7950150653514</v>
      </c>
      <c r="E214" s="4">
        <f t="shared" si="34"/>
        <v>1.7677950150653514</v>
      </c>
      <c r="F214" s="24">
        <v>9.9990399102947171E-4</v>
      </c>
      <c r="G214" s="6">
        <v>1.7654932612917196</v>
      </c>
      <c r="H214" s="2">
        <f t="shared" si="35"/>
        <v>1.3020478924400361E-3</v>
      </c>
      <c r="I214" s="5">
        <f>G214/F214</f>
        <v>1765.6627807576003</v>
      </c>
      <c r="J214" s="2">
        <f>ABS(D214-I214)/I214</f>
        <v>1.20761128964627E-3</v>
      </c>
      <c r="K214" s="1">
        <f>$AD$10*B214+$AD$11</f>
        <v>1754.1555873891011</v>
      </c>
      <c r="L214" s="2">
        <f>ABS(K214-D214)/D214</f>
        <v>7.715502962738068E-3</v>
      </c>
      <c r="M214" s="21">
        <f>K214*F214</f>
        <v>1.7539871727170095</v>
      </c>
      <c r="N214" s="2">
        <f>ABS(M214-G214)/M214</f>
        <v>6.5599616426422029E-3</v>
      </c>
      <c r="O214" s="21">
        <f t="shared" si="36"/>
        <v>1.1506088574710027E-2</v>
      </c>
      <c r="P214" s="25">
        <f>$AD$18*B214+$AD$19</f>
        <v>1.7583333333333364</v>
      </c>
      <c r="Q214" s="25">
        <f>$AD$29*G214+$AD$30</f>
        <v>1.7175122565253842</v>
      </c>
      <c r="R214" s="25">
        <f t="shared" si="37"/>
        <v>4.0821076807952217E-2</v>
      </c>
      <c r="S214" s="26">
        <v>1.6887556291908639</v>
      </c>
      <c r="T214" s="26">
        <f t="shared" si="38"/>
        <v>6.9577704142472552E-2</v>
      </c>
      <c r="U214" s="27">
        <f t="shared" si="39"/>
        <v>3.957025828007911E-2</v>
      </c>
      <c r="V214" s="28">
        <f t="shared" si="40"/>
        <v>40.265067550290368</v>
      </c>
      <c r="W214" s="27">
        <f t="shared" si="41"/>
        <v>2.0314658143786697E-2</v>
      </c>
      <c r="X214" s="21">
        <v>1.6947769447108629</v>
      </c>
      <c r="Y214" s="21">
        <f t="shared" si="42"/>
        <v>40.337323336530353</v>
      </c>
      <c r="Z214" s="2">
        <f t="shared" si="43"/>
        <v>1.8556609816779757E-2</v>
      </c>
    </row>
    <row r="215" spans="1:26">
      <c r="A215" s="1">
        <v>41.2</v>
      </c>
      <c r="B215" s="1">
        <f t="shared" si="33"/>
        <v>314.34999999999997</v>
      </c>
      <c r="C215" s="4">
        <f>ROUND(10000*EXP(($AB$4)+($AC$4/B215)+($AD$4/(B215^2))+($AE$4/(B215^3))),6)</f>
        <v>5079.8431739999996</v>
      </c>
      <c r="D215" s="4">
        <f>((C215+2*$AC$5)*$AC$6)/((C215+2*$AC$5)+$AC$6)</f>
        <v>1765.3658237257271</v>
      </c>
      <c r="E215" s="4">
        <f t="shared" si="34"/>
        <v>1.765365823725727</v>
      </c>
      <c r="F215" s="24">
        <v>9.9990399102947171E-4</v>
      </c>
      <c r="G215" s="6">
        <v>1.7633403939863899</v>
      </c>
      <c r="H215" s="2">
        <f t="shared" si="35"/>
        <v>1.1473144614653236E-3</v>
      </c>
      <c r="I215" s="5">
        <f>G215/F215</f>
        <v>1763.5097067378504</v>
      </c>
      <c r="J215" s="2">
        <f>ABS(D215-I215)/I215</f>
        <v>1.0525130543852566E-3</v>
      </c>
      <c r="K215" s="1">
        <f>$AD$10*B215+$AD$11</f>
        <v>1751.8064754702282</v>
      </c>
      <c r="L215" s="2">
        <f>ABS(K215-D215)/D215</f>
        <v>7.6807583296715698E-3</v>
      </c>
      <c r="M215" s="21">
        <f>K215*F215</f>
        <v>1.7516382863339535</v>
      </c>
      <c r="N215" s="2">
        <f>ABS(M215-G215)/M215</f>
        <v>6.6806644635109148E-3</v>
      </c>
      <c r="O215" s="21">
        <f t="shared" si="36"/>
        <v>1.17021076524364E-2</v>
      </c>
      <c r="P215" s="25">
        <f>$AD$18*B215+$AD$19</f>
        <v>1.7666666666666657</v>
      </c>
      <c r="Q215" s="25">
        <f>$AD$29*G215+$AD$30</f>
        <v>1.725150157194892</v>
      </c>
      <c r="R215" s="25">
        <f t="shared" si="37"/>
        <v>4.1516509471773766E-2</v>
      </c>
      <c r="S215" s="26">
        <v>1.6966954281208351</v>
      </c>
      <c r="T215" s="26">
        <f t="shared" si="38"/>
        <v>6.997123854583065E-2</v>
      </c>
      <c r="U215" s="27">
        <f t="shared" si="39"/>
        <v>3.9606361441036235E-2</v>
      </c>
      <c r="V215" s="28">
        <f t="shared" si="40"/>
        <v>40.360345137450025</v>
      </c>
      <c r="W215" s="27">
        <f t="shared" si="41"/>
        <v>2.0379972391989746E-2</v>
      </c>
      <c r="X215" s="21">
        <v>1.702688671507258</v>
      </c>
      <c r="Y215" s="21">
        <f t="shared" si="42"/>
        <v>40.4322640580871</v>
      </c>
      <c r="Z215" s="2">
        <f t="shared" si="43"/>
        <v>1.8634367522157847E-2</v>
      </c>
    </row>
    <row r="216" spans="1:26">
      <c r="A216" s="1">
        <v>41.3</v>
      </c>
      <c r="B216" s="1">
        <f t="shared" si="33"/>
        <v>314.45</v>
      </c>
      <c r="C216" s="4">
        <f>ROUND(10000*EXP(($AB$4)+($AC$4/B216)+($AD$4/(B216^2))+($AE$4/(B216^3))),6)</f>
        <v>5059.6101989999997</v>
      </c>
      <c r="D216" s="4">
        <f>((C216+2*$AC$5)*$AC$6)/((C216+2*$AC$5)+$AC$6)</f>
        <v>1762.9350554174212</v>
      </c>
      <c r="E216" s="4">
        <f t="shared" si="34"/>
        <v>1.7629350554174212</v>
      </c>
      <c r="F216" s="24">
        <v>9.9990399102947171E-4</v>
      </c>
      <c r="G216" s="6">
        <v>1.7609715980880618</v>
      </c>
      <c r="H216" s="2">
        <f t="shared" si="35"/>
        <v>1.113743426523747E-3</v>
      </c>
      <c r="I216" s="5">
        <f>G216/F216</f>
        <v>1761.1406833920298</v>
      </c>
      <c r="J216" s="2">
        <f>ABS(D216-I216)/I216</f>
        <v>1.0188692148859482E-3</v>
      </c>
      <c r="K216" s="1">
        <f>$AD$10*B216+$AD$11</f>
        <v>1749.4573635513534</v>
      </c>
      <c r="L216" s="2">
        <f>ABS(K216-D216)/D216</f>
        <v>7.6450302719044553E-3</v>
      </c>
      <c r="M216" s="21">
        <f>K216*F216</f>
        <v>1.7492893999508956</v>
      </c>
      <c r="N216" s="2">
        <f>ABS(M216-G216)/M216</f>
        <v>6.6782535454077132E-3</v>
      </c>
      <c r="O216" s="21">
        <f t="shared" si="36"/>
        <v>1.16821981371662E-2</v>
      </c>
      <c r="P216" s="25">
        <f>$AD$18*B216+$AD$19</f>
        <v>1.7750000000000021</v>
      </c>
      <c r="Q216" s="25">
        <f>$AD$29*G216+$AD$30</f>
        <v>1.7335541251184958</v>
      </c>
      <c r="R216" s="25">
        <f t="shared" si="37"/>
        <v>4.1445874881506306E-2</v>
      </c>
      <c r="S216" s="26">
        <v>1.705431573994548</v>
      </c>
      <c r="T216" s="26">
        <f t="shared" si="38"/>
        <v>6.9568426005454098E-2</v>
      </c>
      <c r="U216" s="27">
        <f t="shared" si="39"/>
        <v>3.9193479439692404E-2</v>
      </c>
      <c r="V216" s="28">
        <f t="shared" si="40"/>
        <v>40.465178887934577</v>
      </c>
      <c r="W216" s="27">
        <f t="shared" si="41"/>
        <v>2.0213586248557382E-2</v>
      </c>
      <c r="X216" s="21">
        <v>1.71139585427484</v>
      </c>
      <c r="Y216" s="21">
        <f t="shared" si="42"/>
        <v>40.536750251298081</v>
      </c>
      <c r="Z216" s="2">
        <f t="shared" si="43"/>
        <v>1.8480623455252216E-2</v>
      </c>
    </row>
    <row r="217" spans="1:26">
      <c r="A217" s="1">
        <v>41.4</v>
      </c>
      <c r="B217" s="1">
        <f t="shared" si="33"/>
        <v>314.54999999999995</v>
      </c>
      <c r="C217" s="4">
        <f>ROUND(10000*EXP(($AB$4)+($AC$4/B217)+($AD$4/(B217^2))+($AE$4/(B217^3))),6)</f>
        <v>5039.4690440000004</v>
      </c>
      <c r="D217" s="4">
        <f>((C217+2*$AC$5)*$AC$6)/((C217+2*$AC$5)+$AC$6)</f>
        <v>1760.5027278719563</v>
      </c>
      <c r="E217" s="4">
        <f t="shared" si="34"/>
        <v>1.7605027278719563</v>
      </c>
      <c r="F217" s="24">
        <v>9.9990399102947171E-4</v>
      </c>
      <c r="G217" s="6">
        <v>1.7583877788563207</v>
      </c>
      <c r="H217" s="2">
        <f t="shared" si="35"/>
        <v>1.2013324274663686E-3</v>
      </c>
      <c r="I217" s="5">
        <f>G217/F217</f>
        <v>1758.5566160666449</v>
      </c>
      <c r="J217" s="2">
        <f>ABS(D217-I217)/I217</f>
        <v>1.1066529149708207E-3</v>
      </c>
      <c r="K217" s="1">
        <f>$AD$10*B217+$AD$11</f>
        <v>1747.1082516324805</v>
      </c>
      <c r="L217" s="2">
        <f>ABS(K217-D217)/D217</f>
        <v>7.6083246151323232E-3</v>
      </c>
      <c r="M217" s="21">
        <f>K217*F217</f>
        <v>1.7469405135678397</v>
      </c>
      <c r="N217" s="2">
        <f>ABS(M217-G217)/M217</f>
        <v>6.5527504798098607E-3</v>
      </c>
      <c r="O217" s="21">
        <f t="shared" si="36"/>
        <v>1.1447265288480946E-2</v>
      </c>
      <c r="P217" s="25">
        <f>$AD$18*B217+$AD$19</f>
        <v>1.7833333333333314</v>
      </c>
      <c r="Q217" s="25">
        <f>$AD$29*G217+$AD$30</f>
        <v>1.7427209486338811</v>
      </c>
      <c r="R217" s="25">
        <f t="shared" si="37"/>
        <v>4.0612384699450388E-2</v>
      </c>
      <c r="S217" s="26">
        <v>1.7149607285013158</v>
      </c>
      <c r="T217" s="26">
        <f t="shared" si="38"/>
        <v>6.8372604832015682E-2</v>
      </c>
      <c r="U217" s="27">
        <f t="shared" si="39"/>
        <v>3.8339778410476123E-2</v>
      </c>
      <c r="V217" s="28">
        <f t="shared" si="40"/>
        <v>40.579528742015789</v>
      </c>
      <c r="W217" s="27">
        <f t="shared" si="41"/>
        <v>1.9818146328121004E-2</v>
      </c>
      <c r="X217" s="21">
        <v>1.7208951477748329</v>
      </c>
      <c r="Y217" s="21">
        <f t="shared" si="42"/>
        <v>40.650741773298002</v>
      </c>
      <c r="Z217" s="2">
        <f t="shared" si="43"/>
        <v>1.8098024799565144E-2</v>
      </c>
    </row>
    <row r="218" spans="1:26">
      <c r="A218" s="1">
        <v>41.5</v>
      </c>
      <c r="B218" s="1">
        <f t="shared" si="33"/>
        <v>314.64999999999998</v>
      </c>
      <c r="C218" s="4">
        <f>ROUND(10000*EXP(($AB$4)+($AC$4/B218)+($AD$4/(B218^2))+($AE$4/(B218^3))),6)</f>
        <v>5019.419245</v>
      </c>
      <c r="D218" s="4">
        <f>((C218+2*$AC$5)*$AC$6)/((C218+2*$AC$5)+$AC$6)</f>
        <v>1758.0688590155321</v>
      </c>
      <c r="E218" s="4">
        <f t="shared" si="34"/>
        <v>1.7580688590155322</v>
      </c>
      <c r="F218" s="24">
        <v>9.9990399102947171E-4</v>
      </c>
      <c r="G218" s="6">
        <v>1.7560063122404084</v>
      </c>
      <c r="H218" s="2">
        <f t="shared" si="35"/>
        <v>1.1731888455602467E-3</v>
      </c>
      <c r="I218" s="5">
        <f>G218/F218</f>
        <v>1756.1749207866208</v>
      </c>
      <c r="J218" s="2">
        <f>ABS(D218-I218)/I218</f>
        <v>1.0784450947876028E-3</v>
      </c>
      <c r="K218" s="1">
        <f>$AD$10*B218+$AD$11</f>
        <v>1744.7591397136057</v>
      </c>
      <c r="L218" s="2">
        <f>ABS(K218-D218)/D218</f>
        <v>7.5706473234384382E-3</v>
      </c>
      <c r="M218" s="21">
        <f>K218*F218</f>
        <v>1.7445916271847819</v>
      </c>
      <c r="N218" s="2">
        <f>ABS(M218-G218)/M218</f>
        <v>6.5428979927217509E-3</v>
      </c>
      <c r="O218" s="21">
        <f t="shared" si="36"/>
        <v>1.1414685055626483E-2</v>
      </c>
      <c r="P218" s="25">
        <f>$AD$18*B218+$AD$19</f>
        <v>1.7916666666666679</v>
      </c>
      <c r="Q218" s="25">
        <f>$AD$29*G218+$AD$30</f>
        <v>1.7511698694823963</v>
      </c>
      <c r="R218" s="25">
        <f t="shared" si="37"/>
        <v>4.0496797184271571E-2</v>
      </c>
      <c r="S218" s="26">
        <v>1.7237436044407404</v>
      </c>
      <c r="T218" s="26">
        <f t="shared" si="38"/>
        <v>6.7923062225927477E-2</v>
      </c>
      <c r="U218" s="27">
        <f t="shared" si="39"/>
        <v>3.791054635865717E-2</v>
      </c>
      <c r="V218" s="28">
        <f t="shared" si="40"/>
        <v>40.684923253288886</v>
      </c>
      <c r="W218" s="27">
        <f t="shared" si="41"/>
        <v>1.964040353520756E-2</v>
      </c>
      <c r="X218" s="21">
        <v>1.7296488132767387</v>
      </c>
      <c r="Y218" s="21">
        <f t="shared" si="42"/>
        <v>40.755785759320865</v>
      </c>
      <c r="Z218" s="2">
        <f t="shared" si="43"/>
        <v>1.7932873269376742E-2</v>
      </c>
    </row>
    <row r="219" spans="1:26">
      <c r="A219" s="1">
        <v>41.6</v>
      </c>
      <c r="B219" s="1">
        <f t="shared" si="33"/>
        <v>314.75</v>
      </c>
      <c r="C219" s="4">
        <f>ROUND(10000*EXP(($AB$4)+($AC$4/B219)+($AD$4/(B219^2))+($AE$4/(B219^3))),6)</f>
        <v>4999.460341</v>
      </c>
      <c r="D219" s="4">
        <f>((C219+2*$AC$5)*$AC$6)/((C219+2*$AC$5)+$AC$6)</f>
        <v>1755.6334668524726</v>
      </c>
      <c r="E219" s="4">
        <f t="shared" si="34"/>
        <v>1.7556334668524727</v>
      </c>
      <c r="F219" s="24">
        <v>9.9990399102947171E-4</v>
      </c>
      <c r="G219" s="6">
        <v>1.7536192941852122</v>
      </c>
      <c r="H219" s="2">
        <f t="shared" si="35"/>
        <v>1.1472626292955614E-3</v>
      </c>
      <c r="I219" s="5">
        <f>G219/F219</f>
        <v>1753.7876735342734</v>
      </c>
      <c r="J219" s="2">
        <f>ABS(D219-I219)/I219</f>
        <v>1.0524611080653221E-3</v>
      </c>
      <c r="K219" s="1">
        <f>$AD$10*B219+$AD$11</f>
        <v>1742.4100277947318</v>
      </c>
      <c r="L219" s="2">
        <f>ABS(K219-D219)/D219</f>
        <v>7.5320044345292209E-3</v>
      </c>
      <c r="M219" s="21">
        <f>K219*F219</f>
        <v>1.7422427408017251</v>
      </c>
      <c r="N219" s="2">
        <f>ABS(M219-G219)/M219</f>
        <v>6.5298325641190251E-3</v>
      </c>
      <c r="O219" s="21">
        <f t="shared" si="36"/>
        <v>1.1376553383487087E-2</v>
      </c>
      <c r="P219" s="25">
        <f>$AD$18*B219+$AD$19</f>
        <v>1.8000000000000007</v>
      </c>
      <c r="Q219" s="25">
        <f>$AD$29*G219+$AD$30</f>
        <v>1.7596384856190124</v>
      </c>
      <c r="R219" s="25">
        <f t="shared" si="37"/>
        <v>4.0361514380988339E-2</v>
      </c>
      <c r="S219" s="26">
        <v>1.7325469539837093</v>
      </c>
      <c r="T219" s="26">
        <f t="shared" si="38"/>
        <v>6.7453046016291429E-2</v>
      </c>
      <c r="U219" s="27">
        <f t="shared" si="39"/>
        <v>3.7473914453495225E-2</v>
      </c>
      <c r="V219" s="28">
        <f t="shared" si="40"/>
        <v>40.790563447804516</v>
      </c>
      <c r="W219" s="27">
        <f t="shared" si="41"/>
        <v>1.9457609427776097E-2</v>
      </c>
      <c r="X219" s="21">
        <v>1.7384261237993424</v>
      </c>
      <c r="Y219" s="21">
        <f t="shared" si="42"/>
        <v>40.861113485592107</v>
      </c>
      <c r="Z219" s="2">
        <f t="shared" si="43"/>
        <v>1.7761695057882089E-2</v>
      </c>
    </row>
    <row r="220" spans="1:26">
      <c r="A220" s="1">
        <v>41.7</v>
      </c>
      <c r="B220" s="1">
        <f t="shared" si="33"/>
        <v>314.84999999999997</v>
      </c>
      <c r="C220" s="4">
        <f>ROUND(10000*EXP(($AB$4)+($AC$4/B220)+($AD$4/(B220^2))+($AE$4/(B220^3))),6)</f>
        <v>4979.591872</v>
      </c>
      <c r="D220" s="4">
        <f>((C220+2*$AC$5)*$AC$6)/((C220+2*$AC$5)+$AC$6)</f>
        <v>1753.1965692220006</v>
      </c>
      <c r="E220" s="4">
        <f t="shared" si="34"/>
        <v>1.7531965692220006</v>
      </c>
      <c r="F220" s="24">
        <v>9.9990399102947171E-4</v>
      </c>
      <c r="G220" s="6">
        <v>1.7510164333703786</v>
      </c>
      <c r="H220" s="2">
        <f t="shared" si="35"/>
        <v>1.243520487032142E-3</v>
      </c>
      <c r="I220" s="5">
        <f>G220/F220</f>
        <v>1751.1845627974578</v>
      </c>
      <c r="J220" s="2">
        <f>ABS(D220-I220)/I220</f>
        <v>1.1489402472396291E-3</v>
      </c>
      <c r="K220" s="1">
        <f>$AD$10*B220+$AD$11</f>
        <v>1740.0609158758589</v>
      </c>
      <c r="L220" s="2">
        <f>ABS(K220-D220)/D220</f>
        <v>7.4924019227180921E-3</v>
      </c>
      <c r="M220" s="21">
        <f>K220*F220</f>
        <v>1.7398938544186691</v>
      </c>
      <c r="N220" s="2">
        <f>ABS(M220-G220)/M220</f>
        <v>6.3926767276419856E-3</v>
      </c>
      <c r="O220" s="21">
        <f t="shared" si="36"/>
        <v>1.1122578951709539E-2</v>
      </c>
      <c r="P220" s="25">
        <f>$AD$18*B220+$AD$19</f>
        <v>1.8083333333333336</v>
      </c>
      <c r="Q220" s="25">
        <f>$AD$29*G220+$AD$30</f>
        <v>1.7688728644918008</v>
      </c>
      <c r="R220" s="25">
        <f t="shared" si="37"/>
        <v>3.9460468841532759E-2</v>
      </c>
      <c r="S220" s="26">
        <v>1.7421463340352605</v>
      </c>
      <c r="T220" s="26">
        <f t="shared" si="38"/>
        <v>6.6186999298073035E-2</v>
      </c>
      <c r="U220" s="27">
        <f t="shared" si="39"/>
        <v>3.6601105602621031E-2</v>
      </c>
      <c r="V220" s="28">
        <f t="shared" si="40"/>
        <v>40.905756008423126</v>
      </c>
      <c r="W220" s="27">
        <f t="shared" si="41"/>
        <v>1.9046618503042619E-2</v>
      </c>
      <c r="X220" s="21">
        <v>1.7479920107391114</v>
      </c>
      <c r="Y220" s="21">
        <f t="shared" si="42"/>
        <v>40.975904128869338</v>
      </c>
      <c r="Z220" s="2">
        <f t="shared" si="43"/>
        <v>1.7364409379632243E-2</v>
      </c>
    </row>
    <row r="221" spans="1:26">
      <c r="A221" s="1">
        <v>41.8</v>
      </c>
      <c r="B221" s="1">
        <f t="shared" si="33"/>
        <v>314.95</v>
      </c>
      <c r="C221" s="4">
        <f>ROUND(10000*EXP(($AB$4)+($AC$4/B221)+($AD$4/(B221^2))+($AE$4/(B221^3))),6)</f>
        <v>4959.8133820000003</v>
      </c>
      <c r="D221" s="4">
        <f>((C221+2*$AC$5)*$AC$6)/((C221+2*$AC$5)+$AC$6)</f>
        <v>1750.7581841654703</v>
      </c>
      <c r="E221" s="4">
        <f t="shared" si="34"/>
        <v>1.7507581841654702</v>
      </c>
      <c r="F221" s="24">
        <v>9.9990399102947171E-4</v>
      </c>
      <c r="G221" s="6">
        <v>1.7486160061661897</v>
      </c>
      <c r="H221" s="2">
        <f t="shared" si="35"/>
        <v>1.2235716038086787E-3</v>
      </c>
      <c r="I221" s="5">
        <f>G221/F221</f>
        <v>1748.7839051085957</v>
      </c>
      <c r="J221" s="2">
        <f>ABS(D221-I221)/I221</f>
        <v>1.1289439770730248E-3</v>
      </c>
      <c r="K221" s="1">
        <f>$AD$10*B221+$AD$11</f>
        <v>1737.7118039569841</v>
      </c>
      <c r="L221" s="2">
        <f>ABS(K221-D221)/D221</f>
        <v>7.4518459068092175E-3</v>
      </c>
      <c r="M221" s="21">
        <f>K221*F221</f>
        <v>1.7375449680356114</v>
      </c>
      <c r="N221" s="2">
        <f>ABS(M221-G221)/M221</f>
        <v>6.3716556027293564E-3</v>
      </c>
      <c r="O221" s="21">
        <f t="shared" si="36"/>
        <v>1.1071038130578303E-2</v>
      </c>
      <c r="P221" s="25">
        <f>$AD$18*B221+$AD$19</f>
        <v>1.8166666666666664</v>
      </c>
      <c r="Q221" s="25">
        <f>$AD$29*G221+$AD$30</f>
        <v>1.777389053345888</v>
      </c>
      <c r="R221" s="25">
        <f t="shared" si="37"/>
        <v>3.9277613320778393E-2</v>
      </c>
      <c r="S221" s="26">
        <v>1.750999136517557</v>
      </c>
      <c r="T221" s="26">
        <f t="shared" si="38"/>
        <v>6.5667530149109421E-2</v>
      </c>
      <c r="U221" s="27">
        <f t="shared" si="39"/>
        <v>3.6147264302262068E-2</v>
      </c>
      <c r="V221" s="28">
        <f t="shared" si="40"/>
        <v>41.011989638210686</v>
      </c>
      <c r="W221" s="27">
        <f t="shared" si="41"/>
        <v>1.8851922530844768E-2</v>
      </c>
      <c r="X221" s="21">
        <v>1.7568152453390915</v>
      </c>
      <c r="Y221" s="21">
        <f t="shared" si="42"/>
        <v>41.081782944069104</v>
      </c>
      <c r="Z221" s="2">
        <f t="shared" si="43"/>
        <v>1.7182226218442415E-2</v>
      </c>
    </row>
    <row r="222" spans="1:26">
      <c r="A222" s="1">
        <v>41.9</v>
      </c>
      <c r="B222" s="1">
        <f t="shared" si="33"/>
        <v>315.04999999999995</v>
      </c>
      <c r="C222" s="4">
        <f>ROUND(10000*EXP(($AB$4)+($AC$4/B222)+($AD$4/(B222^2))+($AE$4/(B222^3))),6)</f>
        <v>4940.124417</v>
      </c>
      <c r="D222" s="4">
        <f>((C222+2*$AC$5)*$AC$6)/((C222+2*$AC$5)+$AC$6)</f>
        <v>1748.3183296838611</v>
      </c>
      <c r="E222" s="4">
        <f t="shared" si="34"/>
        <v>1.7483183296838611</v>
      </c>
      <c r="F222" s="24">
        <v>9.9990399102947171E-4</v>
      </c>
      <c r="G222" s="6">
        <v>1.7462092140883456</v>
      </c>
      <c r="H222" s="2">
        <f t="shared" si="35"/>
        <v>1.2063681766105491E-3</v>
      </c>
      <c r="I222" s="5">
        <f>G222/F222</f>
        <v>1746.3768819349345</v>
      </c>
      <c r="J222" s="2">
        <f>ABS(D222-I222)/I222</f>
        <v>1.1117003259774336E-3</v>
      </c>
      <c r="K222" s="1">
        <f>$AD$10*B222+$AD$11</f>
        <v>1735.3626920381112</v>
      </c>
      <c r="L222" s="2">
        <f>ABS(K222-D222)/D222</f>
        <v>7.4103425135928196E-3</v>
      </c>
      <c r="M222" s="21">
        <f>K222*F222</f>
        <v>1.7351960816525553</v>
      </c>
      <c r="N222" s="2">
        <f>ABS(M222-G222)/M222</f>
        <v>6.3469094658752659E-3</v>
      </c>
      <c r="O222" s="21">
        <f t="shared" si="36"/>
        <v>1.1013132435790274E-2</v>
      </c>
      <c r="P222" s="25">
        <f>$AD$18*B222+$AD$19</f>
        <v>1.8249999999999993</v>
      </c>
      <c r="Q222" s="25">
        <f>$AD$29*G222+$AD$30</f>
        <v>1.7859278233746867</v>
      </c>
      <c r="R222" s="25">
        <f t="shared" si="37"/>
        <v>3.9072176625312594E-2</v>
      </c>
      <c r="S222" s="26">
        <v>1.7598754132805536</v>
      </c>
      <c r="T222" s="26">
        <f t="shared" si="38"/>
        <v>6.5124586719445654E-2</v>
      </c>
      <c r="U222" s="27">
        <f t="shared" si="39"/>
        <v>3.5684705051751059E-2</v>
      </c>
      <c r="V222" s="28">
        <f t="shared" si="40"/>
        <v>41.118504959366639</v>
      </c>
      <c r="W222" s="27">
        <f t="shared" si="41"/>
        <v>1.8651432950676835E-2</v>
      </c>
      <c r="X222" s="21">
        <v>1.7664246959866734</v>
      </c>
      <c r="Y222" s="21">
        <f t="shared" si="42"/>
        <v>41.197096351840088</v>
      </c>
      <c r="Z222" s="2">
        <f t="shared" si="43"/>
        <v>1.6775743392837963E-2</v>
      </c>
    </row>
    <row r="223" spans="1:26">
      <c r="A223" s="1">
        <v>42</v>
      </c>
      <c r="B223" s="1">
        <f t="shared" si="33"/>
        <v>315.14999999999998</v>
      </c>
      <c r="C223" s="4">
        <f>ROUND(10000*EXP(($AB$4)+($AC$4/B223)+($AD$4/(B223^2))+($AE$4/(B223^3))),6)</f>
        <v>4920.5245249999998</v>
      </c>
      <c r="D223" s="4">
        <f>((C223+2*$AC$5)*$AC$6)/((C223+2*$AC$5)+$AC$6)</f>
        <v>1745.8770237374508</v>
      </c>
      <c r="E223" s="4">
        <f t="shared" si="34"/>
        <v>1.7458770237374508</v>
      </c>
      <c r="F223" s="24">
        <v>9.9990399102947171E-4</v>
      </c>
      <c r="G223" s="6">
        <v>1.7437969801235194</v>
      </c>
      <c r="H223" s="2">
        <f t="shared" si="35"/>
        <v>1.1914032807869971E-3</v>
      </c>
      <c r="I223" s="5">
        <f>G223/F223</f>
        <v>1743.9644163517712</v>
      </c>
      <c r="J223" s="2">
        <f>ABS(D223-I223)/I223</f>
        <v>1.0967009233368631E-3</v>
      </c>
      <c r="K223" s="1">
        <f>$AD$10*B223+$AD$11</f>
        <v>1733.0135801192364</v>
      </c>
      <c r="L223" s="2">
        <f>ABS(K223-D223)/D223</f>
        <v>7.3678978778684403E-3</v>
      </c>
      <c r="M223" s="21">
        <f>K223*F223</f>
        <v>1.7328471952694977</v>
      </c>
      <c r="N223" s="2">
        <f>ABS(M223-G223)/M223</f>
        <v>6.3189558109413707E-3</v>
      </c>
      <c r="O223" s="21">
        <f t="shared" si="36"/>
        <v>1.0949784854021649E-2</v>
      </c>
      <c r="P223" s="25">
        <f>$AD$18*B223+$AD$19</f>
        <v>1.8333333333333321</v>
      </c>
      <c r="Q223" s="25">
        <f>$AD$29*G223+$AD$30</f>
        <v>1.7944859000240667</v>
      </c>
      <c r="R223" s="25">
        <f t="shared" si="37"/>
        <v>3.8847433309265433E-2</v>
      </c>
      <c r="S223" s="26">
        <v>1.7687717594080081</v>
      </c>
      <c r="T223" s="26">
        <f t="shared" si="38"/>
        <v>6.4561573925324023E-2</v>
      </c>
      <c r="U223" s="27">
        <f t="shared" si="39"/>
        <v>3.5215403959267672E-2</v>
      </c>
      <c r="V223" s="28">
        <f t="shared" si="40"/>
        <v>41.225261112896099</v>
      </c>
      <c r="W223" s="27">
        <f t="shared" si="41"/>
        <v>1.8446163978664304E-2</v>
      </c>
      <c r="X223" s="21">
        <v>1.7752934784543284</v>
      </c>
      <c r="Y223" s="21">
        <f t="shared" si="42"/>
        <v>41.303521741451945</v>
      </c>
      <c r="Z223" s="2">
        <f t="shared" si="43"/>
        <v>1.6582815679715594E-2</v>
      </c>
    </row>
    <row r="224" spans="1:26">
      <c r="A224" s="1">
        <v>42.1</v>
      </c>
      <c r="B224" s="1">
        <f t="shared" si="33"/>
        <v>315.25</v>
      </c>
      <c r="C224" s="4">
        <f>ROUND(10000*EXP(($AB$4)+($AC$4/B224)+($AD$4/(B224^2))+($AE$4/(B224^3))),6)</f>
        <v>4901.013258</v>
      </c>
      <c r="D224" s="4">
        <f>((C224+2*$AC$5)*$AC$6)/((C224+2*$AC$5)+$AC$6)</f>
        <v>1743.4342844965563</v>
      </c>
      <c r="E224" s="4">
        <f t="shared" si="34"/>
        <v>1.7434342844965562</v>
      </c>
      <c r="F224" s="24">
        <v>9.9990399102947171E-4</v>
      </c>
      <c r="G224" s="6">
        <v>1.7413775312041548</v>
      </c>
      <c r="H224" s="2">
        <f t="shared" si="35"/>
        <v>1.1797136896360408E-3</v>
      </c>
      <c r="I224" s="5">
        <f>G224/F224</f>
        <v>1741.5447351213029</v>
      </c>
      <c r="J224" s="2">
        <f>ABS(D224-I224)/I224</f>
        <v>1.0849846904000416E-3</v>
      </c>
      <c r="K224" s="1">
        <f>$AD$10*B224+$AD$11</f>
        <v>1730.6644682003616</v>
      </c>
      <c r="L224" s="2">
        <f>ABS(K224-D224)/D224</f>
        <v>7.324518285403662E-3</v>
      </c>
      <c r="M224" s="21">
        <f>K224*F224</f>
        <v>1.7304983088864399</v>
      </c>
      <c r="N224" s="2">
        <f>ABS(M224-G224)/M224</f>
        <v>6.2867569773677901E-3</v>
      </c>
      <c r="O224" s="21">
        <f t="shared" si="36"/>
        <v>1.0879222317714987E-2</v>
      </c>
      <c r="P224" s="25">
        <f>$AD$18*B224+$AD$19</f>
        <v>1.8416666666666686</v>
      </c>
      <c r="Q224" s="25">
        <f>$AD$29*G224+$AD$30</f>
        <v>1.803069573748548</v>
      </c>
      <c r="R224" s="25">
        <f t="shared" si="37"/>
        <v>3.8597092918120524E-2</v>
      </c>
      <c r="S224" s="26">
        <v>1.7776947145737274</v>
      </c>
      <c r="T224" s="26">
        <f t="shared" si="38"/>
        <v>6.3971952092941153E-2</v>
      </c>
      <c r="U224" s="27">
        <f t="shared" si="39"/>
        <v>3.4735901588927288E-2</v>
      </c>
      <c r="V224" s="28">
        <f t="shared" si="40"/>
        <v>41.332336574884728</v>
      </c>
      <c r="W224" s="27">
        <f t="shared" si="41"/>
        <v>1.8234285632191767E-2</v>
      </c>
      <c r="X224" s="21">
        <v>1.7841854374325505</v>
      </c>
      <c r="Y224" s="21">
        <f t="shared" si="42"/>
        <v>41.41022524919061</v>
      </c>
      <c r="Z224" s="2">
        <f t="shared" si="43"/>
        <v>1.638419835651761E-2</v>
      </c>
    </row>
    <row r="225" spans="1:26">
      <c r="A225" s="1">
        <v>42.2</v>
      </c>
      <c r="B225" s="1">
        <f t="shared" si="33"/>
        <v>315.34999999999997</v>
      </c>
      <c r="C225" s="4">
        <f>ROUND(10000*EXP(($AB$4)+($AC$4/B225)+($AD$4/(B225^2))+($AE$4/(B225^3))),6)</f>
        <v>4881.5901690000001</v>
      </c>
      <c r="D225" s="4">
        <f>((C225+2*$AC$5)*$AC$6)/((C225+2*$AC$5)+$AC$6)</f>
        <v>1740.9901299692126</v>
      </c>
      <c r="E225" s="4">
        <f t="shared" si="34"/>
        <v>1.7409901299692125</v>
      </c>
      <c r="F225" s="24">
        <v>9.9990399102947171E-4</v>
      </c>
      <c r="G225" s="6">
        <v>1.738744712619253</v>
      </c>
      <c r="H225" s="2">
        <f t="shared" si="35"/>
        <v>1.2897358298057905E-3</v>
      </c>
      <c r="I225" s="5">
        <f>G225/F225</f>
        <v>1738.9116637379282</v>
      </c>
      <c r="J225" s="2">
        <f>ABS(D225-I225)/I225</f>
        <v>1.195268439810571E-3</v>
      </c>
      <c r="K225" s="1">
        <f>$AD$10*B225+$AD$11</f>
        <v>1728.3153562814887</v>
      </c>
      <c r="L225" s="2">
        <f>ABS(K225-D225)/D225</f>
        <v>7.280209961872711E-3</v>
      </c>
      <c r="M225" s="21">
        <f>K225*F225</f>
        <v>1.7281494225033838</v>
      </c>
      <c r="N225" s="2">
        <f>ABS(M225-G225)/M225</f>
        <v>6.1310034756838234E-3</v>
      </c>
      <c r="O225" s="21">
        <f t="shared" si="36"/>
        <v>1.0595290115869238E-2</v>
      </c>
      <c r="P225" s="25">
        <f>$AD$18*B225+$AD$19</f>
        <v>1.8499999999999979</v>
      </c>
      <c r="Q225" s="25">
        <f>$AD$29*G225+$AD$30</f>
        <v>1.8124102362141494</v>
      </c>
      <c r="R225" s="25">
        <f t="shared" si="37"/>
        <v>3.758976378584844E-2</v>
      </c>
      <c r="S225" s="26">
        <v>1.7874045790498323</v>
      </c>
      <c r="T225" s="26">
        <f t="shared" si="38"/>
        <v>6.259542095016557E-2</v>
      </c>
      <c r="U225" s="27">
        <f t="shared" si="39"/>
        <v>3.3835362675765215E-2</v>
      </c>
      <c r="V225" s="28">
        <f t="shared" si="40"/>
        <v>41.448854948597983</v>
      </c>
      <c r="W225" s="27">
        <f t="shared" si="41"/>
        <v>1.7799645767820373E-2</v>
      </c>
      <c r="X225" s="21">
        <v>1.793860064300151</v>
      </c>
      <c r="Y225" s="21">
        <f t="shared" si="42"/>
        <v>41.52632077160181</v>
      </c>
      <c r="Z225" s="2">
        <f t="shared" si="43"/>
        <v>1.5963962758251012E-2</v>
      </c>
    </row>
    <row r="226" spans="1:26">
      <c r="A226" s="1">
        <v>42.3</v>
      </c>
      <c r="B226" s="1">
        <f t="shared" si="33"/>
        <v>315.45</v>
      </c>
      <c r="C226" s="4">
        <f>ROUND(10000*EXP(($AB$4)+($AC$4/B226)+($AD$4/(B226^2))+($AE$4/(B226^3))),6)</f>
        <v>4862.2548139999999</v>
      </c>
      <c r="D226" s="4">
        <f>((C226+2*$AC$5)*$AC$6)/((C226+2*$AC$5)+$AC$6)</f>
        <v>1738.5445782513634</v>
      </c>
      <c r="E226" s="4">
        <f t="shared" si="34"/>
        <v>1.7385445782513635</v>
      </c>
      <c r="F226" s="24">
        <v>9.9990399102947171E-4</v>
      </c>
      <c r="G226" s="6">
        <v>1.7363129993453283</v>
      </c>
      <c r="H226" s="2">
        <f t="shared" si="35"/>
        <v>1.2835902708228143E-3</v>
      </c>
      <c r="I226" s="5">
        <f>G226/F226</f>
        <v>1736.4797169752983</v>
      </c>
      <c r="J226" s="2">
        <f>ABS(D226-I226)/I226</f>
        <v>1.1891076272758465E-3</v>
      </c>
      <c r="K226" s="1">
        <f>$AD$10*B226+$AD$11</f>
        <v>1725.9662443626139</v>
      </c>
      <c r="L226" s="2">
        <f>ABS(K226-D226)/D226</f>
        <v>7.2349792154313705E-3</v>
      </c>
      <c r="M226" s="21">
        <f>K226*F226</f>
        <v>1.7258005361203261</v>
      </c>
      <c r="N226" s="2">
        <f>ABS(M226-G226)/M226</f>
        <v>6.0913547104549408E-3</v>
      </c>
      <c r="O226" s="21">
        <f t="shared" si="36"/>
        <v>1.0512463225002211E-2</v>
      </c>
      <c r="P226" s="25">
        <f>$AD$18*B226+$AD$19</f>
        <v>1.8583333333333343</v>
      </c>
      <c r="Q226" s="25">
        <f>$AD$29*G226+$AD$30</f>
        <v>1.8210374211767242</v>
      </c>
      <c r="R226" s="25">
        <f t="shared" si="37"/>
        <v>3.72959121566101E-2</v>
      </c>
      <c r="S226" s="26">
        <v>1.7963727649566357</v>
      </c>
      <c r="T226" s="26">
        <f t="shared" si="38"/>
        <v>6.196056837669861E-2</v>
      </c>
      <c r="U226" s="27">
        <f t="shared" si="39"/>
        <v>3.3342009888806409E-2</v>
      </c>
      <c r="V226" s="28">
        <f t="shared" si="40"/>
        <v>41.556473179479632</v>
      </c>
      <c r="W226" s="27">
        <f t="shared" si="41"/>
        <v>1.7577466206155214E-2</v>
      </c>
      <c r="X226" s="21">
        <v>1.8027970025403914</v>
      </c>
      <c r="Y226" s="21">
        <f t="shared" si="42"/>
        <v>41.633564030484699</v>
      </c>
      <c r="Z226" s="2">
        <f t="shared" si="43"/>
        <v>1.57549874589905E-2</v>
      </c>
    </row>
    <row r="227" spans="1:26">
      <c r="A227" s="1">
        <v>42.4</v>
      </c>
      <c r="B227" s="1">
        <f t="shared" si="33"/>
        <v>315.54999999999995</v>
      </c>
      <c r="C227" s="4">
        <f>ROUND(10000*EXP(($AB$4)+($AC$4/B227)+($AD$4/(B227^2))+($AE$4/(B227^3))),6)</f>
        <v>4843.0067509999999</v>
      </c>
      <c r="D227" s="4">
        <f>((C227+2*$AC$5)*$AC$6)/((C227+2*$AC$5)+$AC$6)</f>
        <v>1736.0976474024571</v>
      </c>
      <c r="E227" s="4">
        <f t="shared" si="34"/>
        <v>1.7360976474024572</v>
      </c>
      <c r="F227" s="24">
        <v>9.9990399102947171E-4</v>
      </c>
      <c r="G227" s="6">
        <v>1.7338750461099801</v>
      </c>
      <c r="H227" s="2">
        <f t="shared" si="35"/>
        <v>1.2802282727601968E-3</v>
      </c>
      <c r="I227" s="5">
        <f>G227/F227</f>
        <v>1734.0415296520953</v>
      </c>
      <c r="J227" s="2">
        <f>ABS(D227-I227)/I227</f>
        <v>1.1857373166687579E-3</v>
      </c>
      <c r="K227" s="1">
        <f>$AD$10*B227+$AD$11</f>
        <v>1723.617132443741</v>
      </c>
      <c r="L227" s="2">
        <f>ABS(K227-D227)/D227</f>
        <v>7.1888323663069787E-3</v>
      </c>
      <c r="M227" s="21">
        <f>K227*F227</f>
        <v>1.7234516497372701</v>
      </c>
      <c r="N227" s="2">
        <f>ABS(M227-G227)/M227</f>
        <v>6.0479772521028043E-3</v>
      </c>
      <c r="O227" s="21">
        <f t="shared" si="36"/>
        <v>1.0423396372710059E-2</v>
      </c>
      <c r="P227" s="25">
        <f>$AD$18*B227+$AD$19</f>
        <v>1.8666666666666636</v>
      </c>
      <c r="Q227" s="25">
        <f>$AD$29*G227+$AD$30</f>
        <v>1.8296867441528288</v>
      </c>
      <c r="R227" s="25">
        <f t="shared" si="37"/>
        <v>3.6979922513834751E-2</v>
      </c>
      <c r="S227" s="26">
        <v>1.8053639640873773</v>
      </c>
      <c r="T227" s="26">
        <f t="shared" si="38"/>
        <v>6.1302702579286272E-2</v>
      </c>
      <c r="U227" s="27">
        <f t="shared" si="39"/>
        <v>3.28407335246177E-2</v>
      </c>
      <c r="V227" s="28">
        <f t="shared" si="40"/>
        <v>41.66436756904853</v>
      </c>
      <c r="W227" s="27">
        <f t="shared" si="41"/>
        <v>1.7349821484704459E-2</v>
      </c>
      <c r="X227" s="21">
        <v>1.8117568321179296</v>
      </c>
      <c r="Y227" s="21">
        <f t="shared" si="42"/>
        <v>41.741081985415157</v>
      </c>
      <c r="Z227" s="2">
        <f t="shared" si="43"/>
        <v>1.5540519211906644E-2</v>
      </c>
    </row>
    <row r="228" spans="1:26">
      <c r="A228" s="1">
        <v>42.5</v>
      </c>
      <c r="B228" s="1">
        <f t="shared" si="33"/>
        <v>315.64999999999998</v>
      </c>
      <c r="C228" s="4">
        <f>ROUND(10000*EXP(($AB$4)+($AC$4/B228)+($AD$4/(B228^2))+($AE$4/(B228^3))),6)</f>
        <v>4823.845542</v>
      </c>
      <c r="D228" s="4">
        <f>((C228+2*$AC$5)*$AC$6)/((C228+2*$AC$5)+$AC$6)</f>
        <v>1733.649355701509</v>
      </c>
      <c r="E228" s="4">
        <f t="shared" si="34"/>
        <v>1.7336493557015089</v>
      </c>
      <c r="F228" s="24">
        <v>9.9990399102947171E-4</v>
      </c>
      <c r="G228" s="6">
        <v>1.7314308787265205</v>
      </c>
      <c r="H228" s="2">
        <f t="shared" si="35"/>
        <v>1.2796572546186868E-3</v>
      </c>
      <c r="I228" s="5">
        <f>G228/F228</f>
        <v>1731.5971275841096</v>
      </c>
      <c r="J228" s="2">
        <f>ABS(D228-I228)/I228</f>
        <v>1.185164888938478E-3</v>
      </c>
      <c r="K228" s="1">
        <f>$AD$10*B228+$AD$11</f>
        <v>1721.2680205248671</v>
      </c>
      <c r="L228" s="2">
        <f>ABS(K228-D228)/D228</f>
        <v>7.1417758936794052E-3</v>
      </c>
      <c r="M228" s="21">
        <f>K228*F228</f>
        <v>1.7211027633542133</v>
      </c>
      <c r="N228" s="2">
        <f>ABS(M228-G228)/M228</f>
        <v>6.0008708324765896E-3</v>
      </c>
      <c r="O228" s="21">
        <f t="shared" si="36"/>
        <v>1.0328115372307156E-2</v>
      </c>
      <c r="P228" s="25">
        <f>$AD$18*B228+$AD$19</f>
        <v>1.875</v>
      </c>
      <c r="Q228" s="25">
        <f>$AD$29*G228+$AD$30</f>
        <v>1.8383581135624993</v>
      </c>
      <c r="R228" s="25">
        <f t="shared" si="37"/>
        <v>3.6641886437500659E-2</v>
      </c>
      <c r="S228" s="26">
        <v>1.8143780811379944</v>
      </c>
      <c r="T228" s="26">
        <f t="shared" si="38"/>
        <v>6.062191886200563E-2</v>
      </c>
      <c r="U228" s="27">
        <f t="shared" si="39"/>
        <v>3.2331690059736337E-2</v>
      </c>
      <c r="V228" s="28">
        <f t="shared" si="40"/>
        <v>41.772536973655932</v>
      </c>
      <c r="W228" s="27">
        <f t="shared" si="41"/>
        <v>1.7116777090448669E-2</v>
      </c>
      <c r="X228" s="21">
        <v>1.8207394576722586</v>
      </c>
      <c r="Y228" s="21">
        <f t="shared" si="42"/>
        <v>41.848873492067106</v>
      </c>
      <c r="Z228" s="2">
        <f t="shared" si="43"/>
        <v>1.5320623716068085E-2</v>
      </c>
    </row>
    <row r="229" spans="1:26">
      <c r="A229" s="1">
        <v>42.6</v>
      </c>
      <c r="B229" s="1">
        <f t="shared" si="33"/>
        <v>315.75</v>
      </c>
      <c r="C229" s="4">
        <f>ROUND(10000*EXP(($AB$4)+($AC$4/B229)+($AD$4/(B229^2))+($AE$4/(B229^3))),6)</f>
        <v>4804.7707490000003</v>
      </c>
      <c r="D229" s="4">
        <f>((C229+2*$AC$5)*$AC$6)/((C229+2*$AC$5)+$AC$6)</f>
        <v>1731.1997211385078</v>
      </c>
      <c r="E229" s="4">
        <f t="shared" si="34"/>
        <v>1.731199721138508</v>
      </c>
      <c r="F229" s="24">
        <v>9.9990399102947171E-4</v>
      </c>
      <c r="G229" s="6">
        <v>1.7289814407458381</v>
      </c>
      <c r="H229" s="2">
        <f t="shared" si="35"/>
        <v>1.2813544073418464E-3</v>
      </c>
      <c r="I229" s="5">
        <f>G229/F229</f>
        <v>1729.147454412828</v>
      </c>
      <c r="J229" s="2">
        <f>ABS(D229-I229)/I229</f>
        <v>1.1868662330921473E-3</v>
      </c>
      <c r="K229" s="1">
        <f>$AD$10*B229+$AD$11</f>
        <v>1718.9189086059923</v>
      </c>
      <c r="L229" s="2">
        <f>ABS(K229-D229)/D229</f>
        <v>7.093816145279366E-3</v>
      </c>
      <c r="M229" s="21">
        <f>K229*F229</f>
        <v>1.7187538769711554</v>
      </c>
      <c r="N229" s="2">
        <f>ABS(M229-G229)/M229</f>
        <v>5.9505691371623554E-3</v>
      </c>
      <c r="O229" s="21">
        <f t="shared" si="36"/>
        <v>1.0227563774682702E-2</v>
      </c>
      <c r="P229" s="25">
        <f>$AD$18*B229+$AD$19</f>
        <v>1.8833333333333364</v>
      </c>
      <c r="Q229" s="25">
        <f>$AD$29*G229+$AD$30</f>
        <v>1.8470481818942792</v>
      </c>
      <c r="R229" s="25">
        <f t="shared" si="37"/>
        <v>3.6285151439057195E-2</v>
      </c>
      <c r="S229" s="26">
        <v>1.8234116359564023</v>
      </c>
      <c r="T229" s="26">
        <f t="shared" si="38"/>
        <v>5.9921697376934091E-2</v>
      </c>
      <c r="U229" s="27">
        <f t="shared" si="39"/>
        <v>3.1816830465628672E-2</v>
      </c>
      <c r="V229" s="28">
        <f t="shared" si="40"/>
        <v>41.880939631476828</v>
      </c>
      <c r="W229" s="27">
        <f t="shared" si="41"/>
        <v>1.6879351373783418E-2</v>
      </c>
      <c r="X229" s="21">
        <v>1.8297447833023359</v>
      </c>
      <c r="Y229" s="21">
        <f t="shared" si="42"/>
        <v>41.956937399628032</v>
      </c>
      <c r="Z229" s="2">
        <f t="shared" si="43"/>
        <v>1.5095366205914777E-2</v>
      </c>
    </row>
    <row r="230" spans="1:26">
      <c r="A230" s="1">
        <v>42.7</v>
      </c>
      <c r="B230" s="1">
        <f t="shared" si="33"/>
        <v>315.84999999999997</v>
      </c>
      <c r="C230" s="4">
        <f>ROUND(10000*EXP(($AB$4)+($AC$4/B230)+($AD$4/(B230^2))+($AE$4/(B230^3))),6)</f>
        <v>4785.7819380000001</v>
      </c>
      <c r="D230" s="4">
        <f>((C230+2*$AC$5)*$AC$6)/((C230+2*$AC$5)+$AC$6)</f>
        <v>1728.7487619254625</v>
      </c>
      <c r="E230" s="4">
        <f t="shared" si="34"/>
        <v>1.7287487619254627</v>
      </c>
      <c r="F230" s="24">
        <v>9.9990399102947171E-4</v>
      </c>
      <c r="G230" s="6">
        <v>1.7265249257891182</v>
      </c>
      <c r="H230" s="2">
        <f t="shared" si="35"/>
        <v>1.286384803461889E-3</v>
      </c>
      <c r="I230" s="5">
        <f>G230/F230</f>
        <v>1726.6907035859901</v>
      </c>
      <c r="J230" s="2">
        <f>ABS(D230-I230)/I230</f>
        <v>1.1919090866697826E-3</v>
      </c>
      <c r="K230" s="1">
        <f>$AD$10*B230+$AD$11</f>
        <v>1716.5697966871194</v>
      </c>
      <c r="L230" s="2">
        <f>ABS(K230-D230)/D230</f>
        <v>7.0449596300959007E-3</v>
      </c>
      <c r="M230" s="21">
        <f>K230*F230</f>
        <v>1.7164049905880996</v>
      </c>
      <c r="N230" s="2">
        <f>ABS(M230-G230)/M230</f>
        <v>5.8960066281042306E-3</v>
      </c>
      <c r="O230" s="21">
        <f t="shared" si="36"/>
        <v>1.0119935201018615E-2</v>
      </c>
      <c r="P230" s="25">
        <f>$AD$18*B230+$AD$19</f>
        <v>1.8916666666666657</v>
      </c>
      <c r="Q230" s="25">
        <f>$AD$29*G230+$AD$30</f>
        <v>1.8557633577837258</v>
      </c>
      <c r="R230" s="25">
        <f t="shared" si="37"/>
        <v>3.5903308882939911E-2</v>
      </c>
      <c r="S230" s="26">
        <v>1.8324712908294165</v>
      </c>
      <c r="T230" s="26">
        <f t="shared" si="38"/>
        <v>5.9195375837249209E-2</v>
      </c>
      <c r="U230" s="27">
        <f t="shared" si="39"/>
        <v>3.1292709693700037E-2</v>
      </c>
      <c r="V230" s="28">
        <f t="shared" si="40"/>
        <v>41.989655489953002</v>
      </c>
      <c r="W230" s="27">
        <f t="shared" si="41"/>
        <v>1.6635702811405178E-2</v>
      </c>
      <c r="X230" s="21">
        <v>1.8387727129508382</v>
      </c>
      <c r="Y230" s="21">
        <f t="shared" si="42"/>
        <v>42.065272555410061</v>
      </c>
      <c r="Z230" s="2">
        <f t="shared" si="43"/>
        <v>1.4864811348710575E-2</v>
      </c>
    </row>
    <row r="231" spans="1:26">
      <c r="A231" s="1">
        <v>42.8</v>
      </c>
      <c r="B231" s="1">
        <f t="shared" si="33"/>
        <v>315.95</v>
      </c>
      <c r="C231" s="4">
        <f>ROUND(10000*EXP(($AB$4)+($AC$4/B231)+($AD$4/(B231^2))+($AE$4/(B231^3))),6)</f>
        <v>4766.878678</v>
      </c>
      <c r="D231" s="4">
        <f>((C231+2*$AC$5)*$AC$6)/((C231+2*$AC$5)+$AC$6)</f>
        <v>1726.2964963728507</v>
      </c>
      <c r="E231" s="4">
        <f t="shared" si="34"/>
        <v>1.7262964963728507</v>
      </c>
      <c r="F231" s="24">
        <v>9.9990399102947171E-4</v>
      </c>
      <c r="G231" s="6">
        <v>1.7240622746757461</v>
      </c>
      <c r="H231" s="2">
        <f t="shared" si="35"/>
        <v>1.2942282520985709E-3</v>
      </c>
      <c r="I231" s="5">
        <f>G231/F231</f>
        <v>1724.2278160133178</v>
      </c>
      <c r="J231" s="2">
        <f>ABS(D231-I231)/I231</f>
        <v>1.199772060467045E-3</v>
      </c>
      <c r="K231" s="1">
        <f>$AD$10*B231+$AD$11</f>
        <v>1714.2206847682446</v>
      </c>
      <c r="L231" s="2">
        <f>ABS(K231-D231)/D231</f>
        <v>6.9952129486323868E-3</v>
      </c>
      <c r="M231" s="21">
        <f>K231*F231</f>
        <v>1.7140561042050417</v>
      </c>
      <c r="N231" s="2">
        <f>ABS(M231-G231)/M231</f>
        <v>5.8377146734908889E-3</v>
      </c>
      <c r="O231" s="21">
        <f t="shared" si="36"/>
        <v>1.0006170470704401E-2</v>
      </c>
      <c r="P231" s="25">
        <f>$AD$18*B231+$AD$19</f>
        <v>1.9000000000000021</v>
      </c>
      <c r="Q231" s="25">
        <f>$AD$29*G231+$AD$30</f>
        <v>1.864500303410157</v>
      </c>
      <c r="R231" s="25">
        <f t="shared" si="37"/>
        <v>3.5499696589845087E-2</v>
      </c>
      <c r="S231" s="26">
        <v>1.8415535758565498</v>
      </c>
      <c r="T231" s="26">
        <f t="shared" si="38"/>
        <v>5.8446424143452358E-2</v>
      </c>
      <c r="U231" s="27">
        <f t="shared" si="39"/>
        <v>3.0761275864974891E-2</v>
      </c>
      <c r="V231" s="28">
        <f t="shared" si="40"/>
        <v>42.098642910278599</v>
      </c>
      <c r="W231" s="27">
        <f t="shared" si="41"/>
        <v>1.6386847890686871E-2</v>
      </c>
      <c r="X231" s="21">
        <v>1.8478231500329148</v>
      </c>
      <c r="Y231" s="21">
        <f t="shared" si="42"/>
        <v>42.173877800394983</v>
      </c>
      <c r="Z231" s="2">
        <f t="shared" si="43"/>
        <v>1.4629023355257335E-2</v>
      </c>
    </row>
    <row r="232" spans="1:26">
      <c r="A232" s="1">
        <v>42.9</v>
      </c>
      <c r="B232" s="1">
        <f t="shared" si="33"/>
        <v>316.04999999999995</v>
      </c>
      <c r="C232" s="4">
        <f>ROUND(10000*EXP(($AB$4)+($AC$4/B232)+($AD$4/(B232^2))+($AE$4/(B232^3))),6)</f>
        <v>4748.0605390000001</v>
      </c>
      <c r="D232" s="4">
        <f>((C232+2*$AC$5)*$AC$6)/((C232+2*$AC$5)+$AC$6)</f>
        <v>1723.8429426315072</v>
      </c>
      <c r="E232" s="4">
        <f t="shared" si="34"/>
        <v>1.7238429426315072</v>
      </c>
      <c r="F232" s="24">
        <v>9.9990399102947171E-4</v>
      </c>
      <c r="G232" s="6">
        <v>1.7215935137007718</v>
      </c>
      <c r="H232" s="2">
        <f t="shared" si="35"/>
        <v>1.3048920380771389E-3</v>
      </c>
      <c r="I232" s="5">
        <f>G232/F232</f>
        <v>1721.7588179923853</v>
      </c>
      <c r="J232" s="2">
        <f>ABS(D232-I232)/I232</f>
        <v>1.2104625905456682E-3</v>
      </c>
      <c r="K232" s="1">
        <f>$AD$10*B232+$AD$11</f>
        <v>1711.8715728493717</v>
      </c>
      <c r="L232" s="2">
        <f>ABS(K232-D232)/D232</f>
        <v>6.9445826450180003E-3</v>
      </c>
      <c r="M232" s="21">
        <f>K232*F232</f>
        <v>1.7117072178219856</v>
      </c>
      <c r="N232" s="2">
        <f>ABS(M232-G232)/M232</f>
        <v>5.775693282035547E-3</v>
      </c>
      <c r="O232" s="21">
        <f t="shared" si="36"/>
        <v>9.8862958787861999E-3</v>
      </c>
      <c r="P232" s="25">
        <f>$AD$18*B232+$AD$19</f>
        <v>1.9083333333333314</v>
      </c>
      <c r="Q232" s="25">
        <f>$AD$29*G232+$AD$30</f>
        <v>1.8732589254845085</v>
      </c>
      <c r="R232" s="25">
        <f t="shared" si="37"/>
        <v>3.5074407848822986E-2</v>
      </c>
      <c r="S232" s="26">
        <v>1.8506583946036617</v>
      </c>
      <c r="T232" s="26">
        <f t="shared" si="38"/>
        <v>5.7674938729669778E-2</v>
      </c>
      <c r="U232" s="27">
        <f t="shared" si="39"/>
        <v>3.0222675316857555E-2</v>
      </c>
      <c r="V232" s="28">
        <f t="shared" si="40"/>
        <v>42.207900735243939</v>
      </c>
      <c r="W232" s="27">
        <f t="shared" si="41"/>
        <v>1.6132849994313744E-2</v>
      </c>
      <c r="X232" s="21">
        <v>1.8568959975095343</v>
      </c>
      <c r="Y232" s="21">
        <f t="shared" si="42"/>
        <v>42.282751970114418</v>
      </c>
      <c r="Z232" s="2">
        <f t="shared" si="43"/>
        <v>1.438806596469884E-2</v>
      </c>
    </row>
    <row r="233" spans="1:26">
      <c r="A233" s="1">
        <v>43</v>
      </c>
      <c r="B233" s="1">
        <f t="shared" si="33"/>
        <v>316.14999999999998</v>
      </c>
      <c r="C233" s="4">
        <f>ROUND(10000*EXP(($AB$4)+($AC$4/B233)+($AD$4/(B233^2))+($AE$4/(B233^3))),6)</f>
        <v>4729.3270929999999</v>
      </c>
      <c r="D233" s="4">
        <f>((C233+2*$AC$5)*$AC$6)/((C233+2*$AC$5)+$AC$6)</f>
        <v>1721.3881188207881</v>
      </c>
      <c r="E233" s="4">
        <f t="shared" si="34"/>
        <v>1.7213881188207882</v>
      </c>
      <c r="F233" s="24">
        <v>9.9990399102947171E-4</v>
      </c>
      <c r="G233" s="6">
        <v>1.7193233951435869</v>
      </c>
      <c r="H233" s="2">
        <f t="shared" si="35"/>
        <v>1.1994527292402541E-3</v>
      </c>
      <c r="I233" s="5">
        <f>G233/F233</f>
        <v>1719.4884814625273</v>
      </c>
      <c r="J233" s="2">
        <f>ABS(D233-I233)/I233</f>
        <v>1.1047688767563634E-3</v>
      </c>
      <c r="K233" s="1">
        <f>$AD$10*B233+$AD$11</f>
        <v>1709.5224609304969</v>
      </c>
      <c r="L233" s="2">
        <f>ABS(K233-D233)/D233</f>
        <v>6.8930752806750104E-3</v>
      </c>
      <c r="M233" s="21">
        <f>K233*F233</f>
        <v>1.709358331438928</v>
      </c>
      <c r="N233" s="2">
        <f>ABS(M233-G233)/M233</f>
        <v>5.8297102025824804E-3</v>
      </c>
      <c r="O233" s="21">
        <f t="shared" si="36"/>
        <v>9.965063704658883E-3</v>
      </c>
      <c r="P233" s="25">
        <f>$AD$18*B233+$AD$19</f>
        <v>1.9166666666666679</v>
      </c>
      <c r="Q233" s="25">
        <f>$AD$29*G233+$AD$30</f>
        <v>1.8813128078602865</v>
      </c>
      <c r="R233" s="25">
        <f t="shared" si="37"/>
        <v>3.5353858806381311E-2</v>
      </c>
      <c r="S233" s="26">
        <v>1.8590306174648259</v>
      </c>
      <c r="T233" s="26">
        <f t="shared" si="38"/>
        <v>5.7636049201841955E-2</v>
      </c>
      <c r="U233" s="27">
        <f t="shared" si="39"/>
        <v>3.0070982192265349E-2</v>
      </c>
      <c r="V233" s="28">
        <f t="shared" si="40"/>
        <v>42.308367409577912</v>
      </c>
      <c r="W233" s="27">
        <f t="shared" si="41"/>
        <v>1.608447884702531E-2</v>
      </c>
      <c r="X233" s="21">
        <v>1.8652403086920988</v>
      </c>
      <c r="Y233" s="21">
        <f t="shared" si="42"/>
        <v>42.382883704305186</v>
      </c>
      <c r="Z233" s="2">
        <f t="shared" si="43"/>
        <v>1.4351541760344505E-2</v>
      </c>
    </row>
    <row r="234" spans="1:26">
      <c r="A234" s="1">
        <v>43.1</v>
      </c>
      <c r="B234" s="1">
        <f t="shared" si="33"/>
        <v>316.25</v>
      </c>
      <c r="C234" s="4">
        <f>ROUND(10000*EXP(($AB$4)+($AC$4/B234)+($AD$4/(B234^2))+($AE$4/(B234^3))),6)</f>
        <v>4710.6779159999996</v>
      </c>
      <c r="D234" s="4">
        <f>((C234+2*$AC$5)*$AC$6)/((C234+2*$AC$5)+$AC$6)</f>
        <v>1718.9320432927241</v>
      </c>
      <c r="E234" s="4">
        <f t="shared" si="34"/>
        <v>1.7189320432927242</v>
      </c>
      <c r="F234" s="24">
        <v>9.9990399102947171E-4</v>
      </c>
      <c r="G234" s="6">
        <v>1.716841267107428</v>
      </c>
      <c r="H234" s="2">
        <f t="shared" si="35"/>
        <v>1.2163227705565185E-3</v>
      </c>
      <c r="I234" s="5">
        <f>G234/F234</f>
        <v>1717.0061150969293</v>
      </c>
      <c r="J234" s="2">
        <f>ABS(D234-I234)/I234</f>
        <v>1.1216781226699617E-3</v>
      </c>
      <c r="K234" s="1">
        <f>$AD$10*B234+$AD$11</f>
        <v>1707.1733490116221</v>
      </c>
      <c r="L234" s="2">
        <f>ABS(K234-D234)/D234</f>
        <v>6.8406975871933961E-3</v>
      </c>
      <c r="M234" s="21">
        <f>K234*F234</f>
        <v>1.7070094450558702</v>
      </c>
      <c r="N234" s="2">
        <f>ABS(M234-G234)/M234</f>
        <v>5.7596764212608474E-3</v>
      </c>
      <c r="O234" s="21">
        <f t="shared" si="36"/>
        <v>9.8318220515578592E-3</v>
      </c>
      <c r="P234" s="25">
        <f>$AD$18*B234+$AD$19</f>
        <v>1.9250000000000007</v>
      </c>
      <c r="Q234" s="25">
        <f>$AD$29*G234+$AD$30</f>
        <v>1.8901188533338029</v>
      </c>
      <c r="R234" s="25">
        <f t="shared" si="37"/>
        <v>3.4881146666197793E-2</v>
      </c>
      <c r="S234" s="26">
        <v>1.8681847338439577</v>
      </c>
      <c r="T234" s="26">
        <f t="shared" si="38"/>
        <v>5.6815266156043043E-2</v>
      </c>
      <c r="U234" s="27">
        <f t="shared" si="39"/>
        <v>2.9514423977165208E-2</v>
      </c>
      <c r="V234" s="28">
        <f t="shared" si="40"/>
        <v>42.418216806127496</v>
      </c>
      <c r="W234" s="27">
        <f t="shared" si="41"/>
        <v>1.581863558868921E-2</v>
      </c>
      <c r="X234" s="21">
        <v>1.8743587799022945</v>
      </c>
      <c r="Y234" s="21">
        <f t="shared" si="42"/>
        <v>42.492305358827537</v>
      </c>
      <c r="Z234" s="2">
        <f t="shared" si="43"/>
        <v>1.409964364669292E-2</v>
      </c>
    </row>
    <row r="235" spans="1:26">
      <c r="A235" s="1">
        <v>43.2</v>
      </c>
      <c r="B235" s="1">
        <f t="shared" si="33"/>
        <v>316.34999999999997</v>
      </c>
      <c r="C235" s="4">
        <f>ROUND(10000*EXP(($AB$4)+($AC$4/B235)+($AD$4/(B235^2))+($AE$4/(B235^3))),6)</f>
        <v>4692.1125849999999</v>
      </c>
      <c r="D235" s="4">
        <f>((C235+2*$AC$5)*$AC$6)/((C235+2*$AC$5)+$AC$6)</f>
        <v>1716.4747342406968</v>
      </c>
      <c r="E235" s="4">
        <f t="shared" si="34"/>
        <v>1.7164747342406967</v>
      </c>
      <c r="F235" s="24">
        <v>9.9990399102947171E-4</v>
      </c>
      <c r="G235" s="6">
        <v>1.7143540371752444</v>
      </c>
      <c r="H235" s="2">
        <f t="shared" si="35"/>
        <v>1.2354956488133141E-3</v>
      </c>
      <c r="I235" s="5">
        <f>G235/F235</f>
        <v>1714.5186463454315</v>
      </c>
      <c r="J235" s="2">
        <f>ABS(D235-I235)/I235</f>
        <v>1.1408962506384581E-3</v>
      </c>
      <c r="K235" s="1">
        <f>$AD$10*B235+$AD$11</f>
        <v>1704.8242370927492</v>
      </c>
      <c r="L235" s="2">
        <f>ABS(K235-D235)/D235</f>
        <v>6.7874562412952311E-3</v>
      </c>
      <c r="M235" s="21">
        <f>K235*F235</f>
        <v>1.7046605586728143</v>
      </c>
      <c r="N235" s="2">
        <f>ABS(M235-G235)/M235</f>
        <v>5.6864567277705187E-3</v>
      </c>
      <c r="O235" s="21">
        <f t="shared" si="36"/>
        <v>9.6934785024300751E-3</v>
      </c>
      <c r="P235" s="25">
        <f>$AD$18*B235+$AD$19</f>
        <v>1.9333333333333336</v>
      </c>
      <c r="Q235" s="25">
        <f>$AD$29*G235+$AD$30</f>
        <v>1.8989429992146079</v>
      </c>
      <c r="R235" s="25">
        <f t="shared" si="37"/>
        <v>3.4390334118725718E-2</v>
      </c>
      <c r="S235" s="26">
        <v>1.8773576658638984</v>
      </c>
      <c r="T235" s="26">
        <f t="shared" si="38"/>
        <v>5.5975667469435164E-2</v>
      </c>
      <c r="U235" s="27">
        <f t="shared" si="39"/>
        <v>2.8952931449707842E-2</v>
      </c>
      <c r="V235" s="28">
        <f t="shared" si="40"/>
        <v>42.528291990366782</v>
      </c>
      <c r="W235" s="27">
        <f t="shared" si="41"/>
        <v>1.5548796519287525E-2</v>
      </c>
      <c r="X235" s="21">
        <v>1.8834993699233527</v>
      </c>
      <c r="Y235" s="21">
        <f t="shared" si="42"/>
        <v>42.601992439080234</v>
      </c>
      <c r="Z235" s="2">
        <f t="shared" si="43"/>
        <v>1.3842767613883526E-2</v>
      </c>
    </row>
    <row r="236" spans="1:26">
      <c r="A236" s="1">
        <v>43.3</v>
      </c>
      <c r="B236" s="1">
        <f t="shared" si="33"/>
        <v>316.45</v>
      </c>
      <c r="C236" s="4">
        <f>ROUND(10000*EXP(($AB$4)+($AC$4/B236)+($AD$4/(B236^2))+($AE$4/(B236^3))),6)</f>
        <v>4673.6306809999996</v>
      </c>
      <c r="D236" s="4">
        <f>((C236+2*$AC$5)*$AC$6)/((C236+2*$AC$5)+$AC$6)</f>
        <v>1714.0162100963882</v>
      </c>
      <c r="E236" s="4">
        <f t="shared" si="34"/>
        <v>1.7140162100963883</v>
      </c>
      <c r="F236" s="24">
        <v>9.9990399102947171E-4</v>
      </c>
      <c r="G236" s="6">
        <v>1.711860802828522</v>
      </c>
      <c r="H236" s="2">
        <f t="shared" si="35"/>
        <v>1.2575186017319039E-3</v>
      </c>
      <c r="I236" s="5">
        <f>G236/F236</f>
        <v>1712.0251726028621</v>
      </c>
      <c r="J236" s="2">
        <f>ABS(D236-I236)/I236</f>
        <v>1.1629720902404188E-3</v>
      </c>
      <c r="K236" s="1">
        <f>$AD$10*B236+$AD$11</f>
        <v>1702.4751251738753</v>
      </c>
      <c r="L236" s="2">
        <f>ABS(K236-D236)/D236</f>
        <v>6.7333580945911362E-3</v>
      </c>
      <c r="M236" s="21">
        <f>K236*F236</f>
        <v>1.7023116722897573</v>
      </c>
      <c r="N236" s="2">
        <f>ABS(M236-G236)/M236</f>
        <v>5.6095077618308897E-3</v>
      </c>
      <c r="O236" s="21">
        <f t="shared" si="36"/>
        <v>9.5491305387647163E-3</v>
      </c>
      <c r="P236" s="25">
        <f>$AD$18*B236+$AD$19</f>
        <v>1.9416666666666664</v>
      </c>
      <c r="Q236" s="25">
        <f>$AD$29*G236+$AD$30</f>
        <v>1.9077884474402955</v>
      </c>
      <c r="R236" s="25">
        <f t="shared" si="37"/>
        <v>3.3878219226370909E-2</v>
      </c>
      <c r="S236" s="26">
        <v>1.8865527419895338</v>
      </c>
      <c r="T236" s="26">
        <f t="shared" si="38"/>
        <v>5.5113924677132609E-2</v>
      </c>
      <c r="U236" s="27">
        <f t="shared" si="39"/>
        <v>2.8384853910969586E-2</v>
      </c>
      <c r="V236" s="28">
        <f t="shared" si="40"/>
        <v>42.638632903874409</v>
      </c>
      <c r="W236" s="27">
        <f t="shared" si="41"/>
        <v>1.5274066885117501E-2</v>
      </c>
      <c r="X236" s="21">
        <v>1.8926619805773628</v>
      </c>
      <c r="Y236" s="21">
        <f t="shared" si="42"/>
        <v>42.711943766928357</v>
      </c>
      <c r="Z236" s="2">
        <f t="shared" si="43"/>
        <v>1.3580975359622174E-2</v>
      </c>
    </row>
    <row r="237" spans="1:26">
      <c r="A237" s="1">
        <v>43.4</v>
      </c>
      <c r="B237" s="1">
        <f t="shared" si="33"/>
        <v>316.54999999999995</v>
      </c>
      <c r="C237" s="4">
        <f>ROUND(10000*EXP(($AB$4)+($AC$4/B237)+($AD$4/(B237^2))+($AE$4/(B237^3))),6)</f>
        <v>4655.2317849999999</v>
      </c>
      <c r="D237" s="4">
        <f>((C237+2*$AC$5)*$AC$6)/((C237+2*$AC$5)+$AC$6)</f>
        <v>1711.5564890005689</v>
      </c>
      <c r="E237" s="4">
        <f t="shared" si="34"/>
        <v>1.711556489000569</v>
      </c>
      <c r="F237" s="24">
        <v>9.9990399102947171E-4</v>
      </c>
      <c r="G237" s="6">
        <v>1.7093606505481673</v>
      </c>
      <c r="H237" s="2">
        <f t="shared" si="35"/>
        <v>1.2829482792495476E-3</v>
      </c>
      <c r="I237" s="5">
        <f>G237/F237</f>
        <v>1709.5247802624128</v>
      </c>
      <c r="J237" s="2">
        <f>ABS(D237-I237)/I237</f>
        <v>1.1884640466248428E-3</v>
      </c>
      <c r="K237" s="1">
        <f>$AD$10*B237+$AD$11</f>
        <v>1700.1260132550015</v>
      </c>
      <c r="L237" s="2">
        <f>ABS(K237-D237)/D237</f>
        <v>6.678409867875352E-3</v>
      </c>
      <c r="M237" s="21">
        <f>K237*F237</f>
        <v>1.6999627859067006</v>
      </c>
      <c r="N237" s="2">
        <f>ABS(M237-G237)/M237</f>
        <v>5.5282766889830793E-3</v>
      </c>
      <c r="O237" s="21">
        <f t="shared" si="36"/>
        <v>9.3978646414667466E-3</v>
      </c>
      <c r="P237" s="25">
        <f>$AD$18*B237+$AD$19</f>
        <v>1.9499999999999993</v>
      </c>
      <c r="Q237" s="25">
        <f>$AD$29*G237+$AD$30</f>
        <v>1.9166584389761034</v>
      </c>
      <c r="R237" s="25">
        <f t="shared" si="37"/>
        <v>3.3341561023895849E-2</v>
      </c>
      <c r="S237" s="26">
        <v>1.8957733321255248</v>
      </c>
      <c r="T237" s="26">
        <f t="shared" si="38"/>
        <v>5.4226667874474499E-2</v>
      </c>
      <c r="U237" s="27">
        <f t="shared" si="39"/>
        <v>2.7808547627935651E-2</v>
      </c>
      <c r="V237" s="28">
        <f t="shared" si="40"/>
        <v>42.749279985506298</v>
      </c>
      <c r="W237" s="27">
        <f t="shared" si="41"/>
        <v>1.4993548721053001E-2</v>
      </c>
      <c r="X237" s="21">
        <v>1.9018465132050912</v>
      </c>
      <c r="Y237" s="21">
        <f t="shared" si="42"/>
        <v>42.822158158461093</v>
      </c>
      <c r="Z237" s="2">
        <f t="shared" si="43"/>
        <v>1.331432814605773E-2</v>
      </c>
    </row>
    <row r="238" spans="1:26">
      <c r="A238" s="1">
        <v>43.5</v>
      </c>
      <c r="B238" s="1">
        <f t="shared" si="33"/>
        <v>316.64999999999998</v>
      </c>
      <c r="C238" s="4">
        <f>ROUND(10000*EXP(($AB$4)+($AC$4/B238)+($AD$4/(B238^2))+($AE$4/(B238^3))),6)</f>
        <v>4636.9154820000003</v>
      </c>
      <c r="D238" s="4">
        <f>((C238+2*$AC$5)*$AC$6)/((C238+2*$AC$5)+$AC$6)</f>
        <v>1709.0955893354653</v>
      </c>
      <c r="E238" s="4">
        <f t="shared" si="34"/>
        <v>1.7090955893354653</v>
      </c>
      <c r="F238" s="24">
        <v>9.9990399102947171E-4</v>
      </c>
      <c r="G238" s="6">
        <v>1.7068554845559736</v>
      </c>
      <c r="H238" s="2">
        <f t="shared" si="35"/>
        <v>1.3106960157581195E-3</v>
      </c>
      <c r="I238" s="5">
        <f>G238/F238</f>
        <v>1707.019373728717</v>
      </c>
      <c r="J238" s="2">
        <f>ABS(D238-I238)/I238</f>
        <v>1.2162812201791965E-3</v>
      </c>
      <c r="K238" s="1">
        <f>$AD$10*B238+$AD$11</f>
        <v>1697.7769013361276</v>
      </c>
      <c r="L238" s="2">
        <f>ABS(K238-D238)/D238</f>
        <v>6.6226184597075032E-3</v>
      </c>
      <c r="M238" s="21">
        <f>K238*F238</f>
        <v>1.6976138995236436</v>
      </c>
      <c r="N238" s="2">
        <f>ABS(M238-G238)/M238</f>
        <v>5.4438674394237637E-3</v>
      </c>
      <c r="O238" s="21">
        <f t="shared" si="36"/>
        <v>9.2415850323299686E-3</v>
      </c>
      <c r="P238" s="25">
        <f>$AD$18*B238+$AD$19</f>
        <v>1.9583333333333321</v>
      </c>
      <c r="Q238" s="25">
        <f>$AD$29*G238+$AD$30</f>
        <v>1.9255462180610632</v>
      </c>
      <c r="R238" s="25">
        <f t="shared" si="37"/>
        <v>3.2787115272268963E-2</v>
      </c>
      <c r="S238" s="26">
        <v>1.9050124124028454</v>
      </c>
      <c r="T238" s="26">
        <f t="shared" si="38"/>
        <v>5.3320920930486793E-2</v>
      </c>
      <c r="U238" s="27">
        <f t="shared" si="39"/>
        <v>2.7227704304929441E-2</v>
      </c>
      <c r="V238" s="28">
        <f t="shared" si="40"/>
        <v>42.860148948834144</v>
      </c>
      <c r="W238" s="27">
        <f t="shared" si="41"/>
        <v>1.4709219567031166E-2</v>
      </c>
      <c r="X238" s="21">
        <v>1.9110528697545444</v>
      </c>
      <c r="Y238" s="21">
        <f t="shared" si="42"/>
        <v>42.932634437054539</v>
      </c>
      <c r="Z238" s="2">
        <f t="shared" si="43"/>
        <v>1.3042886504493367E-2</v>
      </c>
    </row>
    <row r="239" spans="1:26">
      <c r="A239" s="1">
        <v>43.6</v>
      </c>
      <c r="B239" s="1">
        <f t="shared" si="33"/>
        <v>316.75</v>
      </c>
      <c r="C239" s="4">
        <f>ROUND(10000*EXP(($AB$4)+($AC$4/B239)+($AD$4/(B239^2))+($AE$4/(B239^3))),6)</f>
        <v>4618.6813579999998</v>
      </c>
      <c r="D239" s="4">
        <f>((C239+2*$AC$5)*$AC$6)/((C239+2*$AC$5)+$AC$6)</f>
        <v>1706.6335293256645</v>
      </c>
      <c r="E239" s="4">
        <f t="shared" si="34"/>
        <v>1.7066335293256645</v>
      </c>
      <c r="F239" s="24">
        <v>9.9990399102947171E-4</v>
      </c>
      <c r="G239" s="6">
        <v>1.7045473522860068</v>
      </c>
      <c r="H239" s="2">
        <f t="shared" si="35"/>
        <v>1.2223930936607907E-3</v>
      </c>
      <c r="I239" s="5">
        <f>G239/F239</f>
        <v>1704.7110198360695</v>
      </c>
      <c r="J239" s="2">
        <f>ABS(D239-I239)/I239</f>
        <v>1.1277626924591365E-3</v>
      </c>
      <c r="K239" s="1">
        <f>$AD$10*B239+$AD$11</f>
        <v>1695.4277894172528</v>
      </c>
      <c r="L239" s="2">
        <f>ABS(K239-D239)/D239</f>
        <v>6.5659907155576598E-3</v>
      </c>
      <c r="M239" s="21">
        <f>K239*F239</f>
        <v>1.6952650131405858</v>
      </c>
      <c r="N239" s="2">
        <f>ABS(M239-G239)/M239</f>
        <v>5.4754501942000039E-3</v>
      </c>
      <c r="O239" s="21">
        <f t="shared" si="36"/>
        <v>9.2823391454210924E-3</v>
      </c>
      <c r="P239" s="25">
        <f>$AD$18*B239+$AD$19</f>
        <v>1.9666666666666686</v>
      </c>
      <c r="Q239" s="25">
        <f>$AD$29*G239+$AD$30</f>
        <v>1.9337349647462156</v>
      </c>
      <c r="R239" s="25">
        <f t="shared" si="37"/>
        <v>3.2931701920452916E-2</v>
      </c>
      <c r="S239" s="26">
        <v>1.9135248304133285</v>
      </c>
      <c r="T239" s="26">
        <f t="shared" si="38"/>
        <v>5.3141836253340013E-2</v>
      </c>
      <c r="U239" s="27">
        <f t="shared" si="39"/>
        <v>2.7021272671189811E-2</v>
      </c>
      <c r="V239" s="28">
        <f t="shared" si="40"/>
        <v>42.962297964959944</v>
      </c>
      <c r="W239" s="27">
        <f t="shared" si="41"/>
        <v>1.4626193464221492E-2</v>
      </c>
      <c r="X239" s="21">
        <v>1.9195366740402477</v>
      </c>
      <c r="Y239" s="21">
        <f t="shared" si="42"/>
        <v>43.034440088482974</v>
      </c>
      <c r="Z239" s="2">
        <f t="shared" si="43"/>
        <v>1.2971557603601549E-2</v>
      </c>
    </row>
    <row r="240" spans="1:26">
      <c r="A240" s="1">
        <v>43.7</v>
      </c>
      <c r="B240" s="1">
        <f t="shared" si="33"/>
        <v>316.84999999999997</v>
      </c>
      <c r="C240" s="4">
        <f>ROUND(10000*EXP(($AB$4)+($AC$4/B240)+($AD$4/(B240^2))+($AE$4/(B240^3))),6)</f>
        <v>4600.5290029999996</v>
      </c>
      <c r="D240" s="4">
        <f>((C240+2*$AC$5)*$AC$6)/((C240+2*$AC$5)+$AC$6)</f>
        <v>1704.1703274432064</v>
      </c>
      <c r="E240" s="4">
        <f t="shared" si="34"/>
        <v>1.7041703274432063</v>
      </c>
      <c r="F240" s="24">
        <v>9.9990399102947171E-4</v>
      </c>
      <c r="G240" s="6">
        <v>1.7020300695366775</v>
      </c>
      <c r="H240" s="2">
        <f t="shared" si="35"/>
        <v>1.255894362237778E-3</v>
      </c>
      <c r="I240" s="5">
        <f>G240/F240</f>
        <v>1702.193495381809</v>
      </c>
      <c r="J240" s="2">
        <f>ABS(D240-I240)/I240</f>
        <v>1.1613439169874784E-3</v>
      </c>
      <c r="K240" s="1">
        <f>$AD$10*B240+$AD$11</f>
        <v>1693.0786774983799</v>
      </c>
      <c r="L240" s="2">
        <f>ABS(K240-D240)/D240</f>
        <v>6.5085336636904502E-3</v>
      </c>
      <c r="M240" s="21">
        <f>K240*F240</f>
        <v>1.6929161267575299</v>
      </c>
      <c r="N240" s="2">
        <f>ABS(M240-G240)/M240</f>
        <v>5.3835760880863309E-3</v>
      </c>
      <c r="O240" s="21">
        <f t="shared" si="36"/>
        <v>9.1139427791475658E-3</v>
      </c>
      <c r="P240" s="25">
        <f>$AD$18*B240+$AD$19</f>
        <v>1.9749999999999979</v>
      </c>
      <c r="Q240" s="25">
        <f>$AD$29*G240+$AD$30</f>
        <v>1.9426657314260032</v>
      </c>
      <c r="R240" s="25">
        <f t="shared" si="37"/>
        <v>3.2334268573994684E-2</v>
      </c>
      <c r="S240" s="26">
        <v>1.9228085976387781</v>
      </c>
      <c r="T240" s="26">
        <f t="shared" si="38"/>
        <v>5.2191402361219774E-2</v>
      </c>
      <c r="U240" s="27">
        <f t="shared" si="39"/>
        <v>2.642602651201004E-2</v>
      </c>
      <c r="V240" s="28">
        <f t="shared" si="40"/>
        <v>43.073703171665336</v>
      </c>
      <c r="W240" s="27">
        <f t="shared" si="41"/>
        <v>1.4331735202166284E-2</v>
      </c>
      <c r="X240" s="21">
        <v>1.9287874768985735</v>
      </c>
      <c r="Y240" s="21">
        <f t="shared" si="42"/>
        <v>43.145449722782885</v>
      </c>
      <c r="Z240" s="2">
        <f t="shared" si="43"/>
        <v>1.268993769375555E-2</v>
      </c>
    </row>
    <row r="241" spans="1:26">
      <c r="A241" s="1">
        <v>43.8</v>
      </c>
      <c r="B241" s="1">
        <f t="shared" si="33"/>
        <v>316.95</v>
      </c>
      <c r="C241" s="4">
        <f>ROUND(10000*EXP(($AB$4)+($AC$4/B241)+($AD$4/(B241^2))+($AE$4/(B241^3))),6)</f>
        <v>4582.4580079999996</v>
      </c>
      <c r="D241" s="4">
        <f>((C241+2*$AC$5)*$AC$6)/((C241+2*$AC$5)+$AC$6)</f>
        <v>1701.7060020045785</v>
      </c>
      <c r="E241" s="4">
        <f t="shared" si="34"/>
        <v>1.7017060020045787</v>
      </c>
      <c r="F241" s="24">
        <v>9.9990399102947171E-4</v>
      </c>
      <c r="G241" s="6">
        <v>1.6995069197650681</v>
      </c>
      <c r="H241" s="2">
        <f t="shared" si="35"/>
        <v>1.2922809444875425E-3</v>
      </c>
      <c r="I241" s="5">
        <f>G241/F241</f>
        <v>1699.6701033419276</v>
      </c>
      <c r="J241" s="2">
        <f>ABS(D241-I241)/I241</f>
        <v>1.19781989378283E-3</v>
      </c>
      <c r="K241" s="1">
        <f>$AD$10*B241+$AD$11</f>
        <v>1690.7295655795051</v>
      </c>
      <c r="L241" s="2">
        <f>ABS(K241-D241)/D241</f>
        <v>6.4502542813760864E-3</v>
      </c>
      <c r="M241" s="21">
        <f>K241*F241</f>
        <v>1.690567240374472</v>
      </c>
      <c r="N241" s="2">
        <f>ABS(M241-G241)/M241</f>
        <v>5.287976234897249E-3</v>
      </c>
      <c r="O241" s="21">
        <f t="shared" si="36"/>
        <v>8.9396793905960337E-3</v>
      </c>
      <c r="P241" s="25">
        <f>$AD$18*B241+$AD$19</f>
        <v>1.9833333333333343</v>
      </c>
      <c r="Q241" s="25">
        <f>$AD$29*G241+$AD$30</f>
        <v>1.9516173130130952</v>
      </c>
      <c r="R241" s="25">
        <f t="shared" si="37"/>
        <v>3.1716020320239124E-2</v>
      </c>
      <c r="S241" s="26">
        <v>1.9321140025048948</v>
      </c>
      <c r="T241" s="26">
        <f t="shared" si="38"/>
        <v>5.1219330828439436E-2</v>
      </c>
      <c r="U241" s="27">
        <f t="shared" si="39"/>
        <v>2.5824872686608106E-2</v>
      </c>
      <c r="V241" s="28">
        <f t="shared" si="40"/>
        <v>43.18536803005874</v>
      </c>
      <c r="W241" s="27">
        <f t="shared" si="41"/>
        <v>1.4032693377654277E-2</v>
      </c>
      <c r="X241" s="21">
        <v>1.9380598058728626</v>
      </c>
      <c r="Y241" s="21">
        <f t="shared" si="42"/>
        <v>43.256717670474359</v>
      </c>
      <c r="Z241" s="2">
        <f t="shared" si="43"/>
        <v>1.2403706153553389E-2</v>
      </c>
    </row>
    <row r="242" spans="1:26">
      <c r="A242" s="1">
        <v>43.9</v>
      </c>
      <c r="B242" s="1">
        <f t="shared" si="33"/>
        <v>317.04999999999995</v>
      </c>
      <c r="C242" s="4">
        <f>ROUND(10000*EXP(($AB$4)+($AC$4/B242)+($AD$4/(B242^2))+($AE$4/(B242^3))),6)</f>
        <v>4564.4679660000002</v>
      </c>
      <c r="D242" s="4">
        <f>((C242+2*$AC$5)*$AC$6)/((C242+2*$AC$5)+$AC$6)</f>
        <v>1699.2405713051633</v>
      </c>
      <c r="E242" s="4">
        <f t="shared" si="34"/>
        <v>1.6992405713051633</v>
      </c>
      <c r="F242" s="24">
        <v>9.9990399102947171E-4</v>
      </c>
      <c r="G242" s="6">
        <v>1.696977922839078</v>
      </c>
      <c r="H242" s="2">
        <f t="shared" si="35"/>
        <v>1.3315645261149519E-3</v>
      </c>
      <c r="I242" s="5">
        <f>G242/F242</f>
        <v>1697.1408635862324</v>
      </c>
      <c r="J242" s="2">
        <f>ABS(D242-I242)/I242</f>
        <v>1.2372029711746856E-3</v>
      </c>
      <c r="K242" s="1">
        <f>$AD$10*B242+$AD$11</f>
        <v>1688.3804536606322</v>
      </c>
      <c r="L242" s="2">
        <f>ABS(K242-D242)/D242</f>
        <v>6.3911595732378231E-3</v>
      </c>
      <c r="M242" s="21">
        <f>K242*F242</f>
        <v>1.6882183539914162</v>
      </c>
      <c r="N242" s="2">
        <f>ABS(M242-G242)/M242</f>
        <v>5.1886468518434099E-3</v>
      </c>
      <c r="O242" s="21">
        <f t="shared" si="36"/>
        <v>8.759568847661825E-3</v>
      </c>
      <c r="P242" s="25">
        <f>$AD$18*B242+$AD$19</f>
        <v>1.9916666666666636</v>
      </c>
      <c r="Q242" s="25">
        <f>$AD$29*G242+$AD$30</f>
        <v>1.9605896390205473</v>
      </c>
      <c r="R242" s="25">
        <f t="shared" si="37"/>
        <v>3.1077027646116306E-2</v>
      </c>
      <c r="S242" s="26">
        <v>1.9414409719775683</v>
      </c>
      <c r="T242" s="26">
        <f t="shared" si="38"/>
        <v>5.0225694689095324E-2</v>
      </c>
      <c r="U242" s="27">
        <f t="shared" si="39"/>
        <v>2.5217922019629489E-2</v>
      </c>
      <c r="V242" s="28">
        <f t="shared" si="40"/>
        <v>43.297291663730817</v>
      </c>
      <c r="W242" s="27">
        <f t="shared" si="41"/>
        <v>1.3729119277202306E-2</v>
      </c>
      <c r="X242" s="21">
        <v>1.9473535608844574</v>
      </c>
      <c r="Y242" s="21">
        <f t="shared" si="42"/>
        <v>43.368242730613495</v>
      </c>
      <c r="Z242" s="2">
        <f t="shared" si="43"/>
        <v>1.2112921853906678E-2</v>
      </c>
    </row>
    <row r="243" spans="1:26">
      <c r="A243" s="1">
        <v>44</v>
      </c>
      <c r="B243" s="1">
        <f t="shared" si="33"/>
        <v>317.14999999999998</v>
      </c>
      <c r="C243" s="4">
        <f>ROUND(10000*EXP(($AB$4)+($AC$4/B243)+($AD$4/(B243^2))+($AE$4/(B243^3))),6)</f>
        <v>4546.5584740000004</v>
      </c>
      <c r="D243" s="4">
        <f>((C243+2*$AC$5)*$AC$6)/((C243+2*$AC$5)+$AC$6)</f>
        <v>1696.7740538958196</v>
      </c>
      <c r="E243" s="4">
        <f t="shared" si="34"/>
        <v>1.6967740538958196</v>
      </c>
      <c r="F243" s="24">
        <v>9.9990399102947171E-4</v>
      </c>
      <c r="G243" s="6">
        <v>1.694643929371713</v>
      </c>
      <c r="H243" s="2">
        <f t="shared" si="35"/>
        <v>1.2553966859734495E-3</v>
      </c>
      <c r="I243" s="5">
        <f>G243/F243</f>
        <v>1694.8066460130412</v>
      </c>
      <c r="J243" s="2">
        <f>ABS(D243-I243)/I243</f>
        <v>1.1608450364568902E-3</v>
      </c>
      <c r="K243" s="1">
        <f>$AD$10*B243+$AD$11</f>
        <v>1686.0313417417574</v>
      </c>
      <c r="L243" s="2">
        <f>ABS(K243-D243)/D243</f>
        <v>6.3312567335626164E-3</v>
      </c>
      <c r="M243" s="21">
        <f>K243*F243</f>
        <v>1.6858694676083583</v>
      </c>
      <c r="N243" s="2">
        <f>ABS(M243-G243)/M243</f>
        <v>5.2047100513674558E-3</v>
      </c>
      <c r="O243" s="21">
        <f t="shared" si="36"/>
        <v>8.7744617633547239E-3</v>
      </c>
      <c r="P243" s="25">
        <f>$AD$18*B243+$AD$19</f>
        <v>2</v>
      </c>
      <c r="Q243" s="25">
        <f>$AD$29*G243+$AD$30</f>
        <v>1.9688701355578306</v>
      </c>
      <c r="R243" s="25">
        <f t="shared" si="37"/>
        <v>3.1129864442169364E-2</v>
      </c>
      <c r="S243" s="26">
        <v>1.9500487660783818</v>
      </c>
      <c r="T243" s="26">
        <f t="shared" si="38"/>
        <v>4.9951233921618154E-2</v>
      </c>
      <c r="U243" s="27">
        <f t="shared" si="39"/>
        <v>2.4975616960809077E-2</v>
      </c>
      <c r="V243" s="28">
        <f t="shared" si="40"/>
        <v>43.400585192940582</v>
      </c>
      <c r="W243" s="27">
        <f t="shared" si="41"/>
        <v>1.3623063796804951E-2</v>
      </c>
      <c r="X243" s="21">
        <v>1.9559287571651618</v>
      </c>
      <c r="Y243" s="21">
        <f t="shared" si="42"/>
        <v>43.471145085981945</v>
      </c>
      <c r="Z243" s="2">
        <f t="shared" si="43"/>
        <v>1.2019429864046704E-2</v>
      </c>
    </row>
    <row r="244" spans="1:26">
      <c r="A244" s="1">
        <v>44.1</v>
      </c>
      <c r="B244" s="1">
        <f t="shared" si="33"/>
        <v>317.25</v>
      </c>
      <c r="C244" s="4">
        <f>ROUND(10000*EXP(($AB$4)+($AC$4/B244)+($AD$4/(B244^2))+($AE$4/(B244^3))),6)</f>
        <v>4528.7291279999999</v>
      </c>
      <c r="D244" s="4">
        <f>((C244+2*$AC$5)*$AC$6)/((C244+2*$AC$5)+$AC$6)</f>
        <v>1694.3064678964786</v>
      </c>
      <c r="E244" s="4">
        <f t="shared" si="34"/>
        <v>1.6943064678964785</v>
      </c>
      <c r="F244" s="24">
        <v>9.9990399102947171E-4</v>
      </c>
      <c r="G244" s="6">
        <v>1.692103028385977</v>
      </c>
      <c r="H244" s="2">
        <f t="shared" si="35"/>
        <v>1.3004964286284794E-3</v>
      </c>
      <c r="I244" s="5">
        <f>G244/F244</f>
        <v>1692.2655010545939</v>
      </c>
      <c r="J244" s="2">
        <f>ABS(D244-I244)/I244</f>
        <v>1.2060559295292679E-3</v>
      </c>
      <c r="K244" s="1">
        <f>$AD$10*B244+$AD$11</f>
        <v>1683.6822298228835</v>
      </c>
      <c r="L244" s="2">
        <f>ABS(K244-D244)/D244</f>
        <v>6.2705527452688618E-3</v>
      </c>
      <c r="M244" s="21">
        <f>K244*F244</f>
        <v>1.6835205812253016</v>
      </c>
      <c r="N244" s="2">
        <f>ABS(M244-G244)/M244</f>
        <v>5.0979163880663586E-3</v>
      </c>
      <c r="O244" s="21">
        <f t="shared" si="36"/>
        <v>8.582447160675466E-3</v>
      </c>
      <c r="P244" s="25">
        <f>$AD$18*B244+$AD$19</f>
        <v>2.0083333333333364</v>
      </c>
      <c r="Q244" s="25">
        <f>$AD$29*G244+$AD$30</f>
        <v>1.9778846945564554</v>
      </c>
      <c r="R244" s="25">
        <f t="shared" si="37"/>
        <v>3.0448638776880976E-2</v>
      </c>
      <c r="S244" s="26">
        <v>1.959419637882668</v>
      </c>
      <c r="T244" s="26">
        <f t="shared" si="38"/>
        <v>4.8913695450668371E-2</v>
      </c>
      <c r="U244" s="27">
        <f t="shared" si="39"/>
        <v>2.4355367029378405E-2</v>
      </c>
      <c r="V244" s="28">
        <f t="shared" si="40"/>
        <v>43.513035654592016</v>
      </c>
      <c r="W244" s="27">
        <f t="shared" si="41"/>
        <v>1.3309849102221881E-2</v>
      </c>
      <c r="X244" s="21">
        <v>1.9652661620827039</v>
      </c>
      <c r="Y244" s="21">
        <f t="shared" si="42"/>
        <v>43.583193944992445</v>
      </c>
      <c r="Z244" s="2">
        <f t="shared" si="43"/>
        <v>1.1718958163436658E-2</v>
      </c>
    </row>
    <row r="245" spans="1:26">
      <c r="A245" s="1">
        <v>44.2</v>
      </c>
      <c r="B245" s="1">
        <f t="shared" si="33"/>
        <v>317.34999999999997</v>
      </c>
      <c r="C245" s="4">
        <f>ROUND(10000*EXP(($AB$4)+($AC$4/B245)+($AD$4/(B245^2))+($AE$4/(B245^3))),6)</f>
        <v>4510.9795299999996</v>
      </c>
      <c r="D245" s="4">
        <f>((C245+2*$AC$5)*$AC$6)/((C245+2*$AC$5)+$AC$6)</f>
        <v>1691.8378319624421</v>
      </c>
      <c r="E245" s="4">
        <f t="shared" si="34"/>
        <v>1.6918378319624421</v>
      </c>
      <c r="F245" s="24">
        <v>9.9990399102947171E-4</v>
      </c>
      <c r="G245" s="6">
        <v>1.6895563688847077</v>
      </c>
      <c r="H245" s="2">
        <f t="shared" si="35"/>
        <v>1.3485116803943213E-3</v>
      </c>
      <c r="I245" s="5">
        <f>G245/F245</f>
        <v>1689.7185970276907</v>
      </c>
      <c r="J245" s="2">
        <f>ABS(D245-I245)/I245</f>
        <v>1.2541940051315219E-3</v>
      </c>
      <c r="K245" s="1">
        <f>$AD$10*B245+$AD$11</f>
        <v>1681.3331179040097</v>
      </c>
      <c r="L245" s="2">
        <f>ABS(K245-D245)/D245</f>
        <v>6.2090549460331809E-3</v>
      </c>
      <c r="M245" s="21">
        <f>K245*F245</f>
        <v>1.6811716948422446</v>
      </c>
      <c r="N245" s="2">
        <f>ABS(M245-G245)/M245</f>
        <v>4.9873990076010136E-3</v>
      </c>
      <c r="O245" s="21">
        <f t="shared" si="36"/>
        <v>8.384674042463125E-3</v>
      </c>
      <c r="P245" s="25">
        <f>$AD$18*B245+$AD$19</f>
        <v>2.0166666666666657</v>
      </c>
      <c r="Q245" s="25">
        <f>$AD$29*G245+$AD$30</f>
        <v>1.9869196835042633</v>
      </c>
      <c r="R245" s="25">
        <f t="shared" si="37"/>
        <v>2.9746983162402429E-2</v>
      </c>
      <c r="S245" s="26">
        <v>1.9688117465351733</v>
      </c>
      <c r="T245" s="26">
        <f t="shared" si="38"/>
        <v>4.7854920131492396E-2</v>
      </c>
      <c r="U245" s="27">
        <f t="shared" si="39"/>
        <v>2.3729712461897066E-2</v>
      </c>
      <c r="V245" s="28">
        <f t="shared" si="40"/>
        <v>43.625740958422078</v>
      </c>
      <c r="W245" s="27">
        <f t="shared" si="41"/>
        <v>1.2992286008550333E-2</v>
      </c>
      <c r="X245" s="21">
        <v>1.9746246922531758</v>
      </c>
      <c r="Y245" s="21">
        <f t="shared" si="42"/>
        <v>43.695496307038113</v>
      </c>
      <c r="Z245" s="2">
        <f t="shared" si="43"/>
        <v>1.1414110700495254E-2</v>
      </c>
    </row>
    <row r="246" spans="1:26">
      <c r="A246" s="1">
        <v>44.3</v>
      </c>
      <c r="B246" s="1">
        <f t="shared" si="33"/>
        <v>317.45</v>
      </c>
      <c r="C246" s="4">
        <f>ROUND(10000*EXP(($AB$4)+($AC$4/B246)+($AD$4/(B246^2))+($AE$4/(B246^3))),6)</f>
        <v>4493.3092820000002</v>
      </c>
      <c r="D246" s="4">
        <f>((C246+2*$AC$5)*$AC$6)/((C246+2*$AC$5)+$AC$6)</f>
        <v>1689.3681644579731</v>
      </c>
      <c r="E246" s="4">
        <f t="shared" si="34"/>
        <v>1.6893681644579732</v>
      </c>
      <c r="F246" s="24">
        <v>9.9990399102947171E-4</v>
      </c>
      <c r="G246" s="6">
        <v>1.6872038954459114</v>
      </c>
      <c r="H246" s="2">
        <f t="shared" si="35"/>
        <v>1.2811115170719399E-3</v>
      </c>
      <c r="I246" s="5">
        <f>G246/F246</f>
        <v>1687.365897708655</v>
      </c>
      <c r="J246" s="2">
        <f>ABS(D246-I246)/I246</f>
        <v>1.1866227426055357E-3</v>
      </c>
      <c r="K246" s="1">
        <f>$AD$10*B246+$AD$11</f>
        <v>1678.9840059851358</v>
      </c>
      <c r="L246" s="2">
        <f>ABS(K246-D246)/D246</f>
        <v>6.1467705449326886E-3</v>
      </c>
      <c r="M246" s="21">
        <f>K246*F246</f>
        <v>1.6788228084591876</v>
      </c>
      <c r="N246" s="2">
        <f>ABS(M246-G246)/M246</f>
        <v>4.9922403630052545E-3</v>
      </c>
      <c r="O246" s="21">
        <f t="shared" si="36"/>
        <v>8.3810869867237958E-3</v>
      </c>
      <c r="P246" s="25">
        <f>$AD$18*B246+$AD$19</f>
        <v>2.0250000000000021</v>
      </c>
      <c r="Q246" s="25">
        <f>$AD$29*G246+$AD$30</f>
        <v>1.9952657429240421</v>
      </c>
      <c r="R246" s="25">
        <f t="shared" si="37"/>
        <v>2.9734257075960002E-2</v>
      </c>
      <c r="S246" s="26">
        <v>1.9774876951752651</v>
      </c>
      <c r="T246" s="26">
        <f t="shared" si="38"/>
        <v>4.7512304824737006E-2</v>
      </c>
      <c r="U246" s="27">
        <f t="shared" si="39"/>
        <v>2.3462866580117016E-2</v>
      </c>
      <c r="V246" s="28">
        <f t="shared" si="40"/>
        <v>43.729852342103186</v>
      </c>
      <c r="W246" s="27">
        <f t="shared" si="41"/>
        <v>1.2870150291124408E-2</v>
      </c>
      <c r="X246" s="21">
        <v>1.9832676601532646</v>
      </c>
      <c r="Y246" s="21">
        <f t="shared" si="42"/>
        <v>43.799211921839174</v>
      </c>
      <c r="Z246" s="2">
        <f t="shared" si="43"/>
        <v>1.1304471290312045E-2</v>
      </c>
    </row>
    <row r="247" spans="1:26">
      <c r="A247" s="1">
        <v>44.4</v>
      </c>
      <c r="B247" s="1">
        <f t="shared" si="33"/>
        <v>317.54999999999995</v>
      </c>
      <c r="C247" s="4">
        <f>ROUND(10000*EXP(($AB$4)+($AC$4/B247)+($AD$4/(B247^2))+($AE$4/(B247^3))),6)</f>
        <v>4475.717987</v>
      </c>
      <c r="D247" s="4">
        <f>((C247+2*$AC$5)*$AC$6)/((C247+2*$AC$5)+$AC$6)</f>
        <v>1686.8974835908894</v>
      </c>
      <c r="E247" s="4">
        <f t="shared" si="34"/>
        <v>1.6868974835908894</v>
      </c>
      <c r="F247" s="24">
        <v>9.9990399102947171E-4</v>
      </c>
      <c r="G247" s="6">
        <v>1.6846454915086142</v>
      </c>
      <c r="H247" s="2">
        <f t="shared" si="35"/>
        <v>1.3349904805604544E-3</v>
      </c>
      <c r="I247" s="5">
        <f>G247/F247</f>
        <v>1684.8072481180445</v>
      </c>
      <c r="J247" s="2">
        <f>ABS(D247-I247)/I247</f>
        <v>1.2406377496177378E-3</v>
      </c>
      <c r="K247" s="1">
        <f>$AD$10*B247+$AD$11</f>
        <v>1676.6348940662629</v>
      </c>
      <c r="L247" s="2">
        <f>ABS(K247-D247)/D247</f>
        <v>6.0837067008841427E-3</v>
      </c>
      <c r="M247" s="21">
        <f>K247*F247</f>
        <v>1.6764739220761318</v>
      </c>
      <c r="N247" s="2">
        <f>ABS(M247-G247)/M247</f>
        <v>4.8742597930559054E-3</v>
      </c>
      <c r="O247" s="21">
        <f t="shared" si="36"/>
        <v>8.1715694324824284E-3</v>
      </c>
      <c r="P247" s="25">
        <f>$AD$18*B247+$AD$19</f>
        <v>2.0333333333333314</v>
      </c>
      <c r="Q247" s="25">
        <f>$AD$29*G247+$AD$30</f>
        <v>2.0043423985531081</v>
      </c>
      <c r="R247" s="25">
        <f t="shared" si="37"/>
        <v>2.8990934780223299E-2</v>
      </c>
      <c r="S247" s="26">
        <v>1.986923117885522</v>
      </c>
      <c r="T247" s="26">
        <f t="shared" si="38"/>
        <v>4.6410215447809433E-2</v>
      </c>
      <c r="U247" s="27">
        <f t="shared" si="39"/>
        <v>2.2824696121873513E-2</v>
      </c>
      <c r="V247" s="28">
        <f t="shared" si="40"/>
        <v>43.843077414626265</v>
      </c>
      <c r="W247" s="27">
        <f t="shared" si="41"/>
        <v>1.2543301472381389E-2</v>
      </c>
      <c r="X247" s="21">
        <v>1.9926692367719632</v>
      </c>
      <c r="Y247" s="21">
        <f t="shared" si="42"/>
        <v>43.912030841263565</v>
      </c>
      <c r="Z247" s="2">
        <f t="shared" si="43"/>
        <v>1.0990296367937691E-2</v>
      </c>
    </row>
    <row r="248" spans="1:26">
      <c r="A248" s="1">
        <v>44.5</v>
      </c>
      <c r="B248" s="1">
        <f t="shared" si="33"/>
        <v>317.64999999999998</v>
      </c>
      <c r="C248" s="4">
        <f>ROUND(10000*EXP(($AB$4)+($AC$4/B248)+($AD$4/(B248^2))+($AE$4/(B248^3))),6)</f>
        <v>4458.2052540000004</v>
      </c>
      <c r="D248" s="4">
        <f>((C248+2*$AC$5)*$AC$6)/((C248+2*$AC$5)+$AC$6)</f>
        <v>1684.4258081171888</v>
      </c>
      <c r="E248" s="4">
        <f t="shared" si="34"/>
        <v>1.6844258081171888</v>
      </c>
      <c r="F248" s="24">
        <v>9.9990399102947171E-4</v>
      </c>
      <c r="G248" s="6">
        <v>1.6820814113487608</v>
      </c>
      <c r="H248" s="2">
        <f t="shared" si="35"/>
        <v>1.3918076754288902E-3</v>
      </c>
      <c r="I248" s="5">
        <f>G248/F248</f>
        <v>1682.2429217598574</v>
      </c>
      <c r="J248" s="2">
        <f>ABS(D248-I248)/I248</f>
        <v>1.2976047211111623E-3</v>
      </c>
      <c r="K248" s="1">
        <f>$AD$10*B248+$AD$11</f>
        <v>1674.2857821473881</v>
      </c>
      <c r="L248" s="2">
        <f>ABS(K248-D248)/D248</f>
        <v>6.0198709381774421E-3</v>
      </c>
      <c r="M248" s="21">
        <f>K248*F248</f>
        <v>1.6741250356930739</v>
      </c>
      <c r="N248" s="2">
        <f>ABS(M248-G248)/M248</f>
        <v>4.752557596388241E-3</v>
      </c>
      <c r="O248" s="21">
        <f t="shared" si="36"/>
        <v>7.9563756556868537E-3</v>
      </c>
      <c r="P248" s="25">
        <f>$AD$18*B248+$AD$19</f>
        <v>2.0416666666666679</v>
      </c>
      <c r="Q248" s="25">
        <f>$AD$29*G248+$AD$30</f>
        <v>2.0134391921739372</v>
      </c>
      <c r="R248" s="25">
        <f t="shared" si="37"/>
        <v>2.8227474492730664E-2</v>
      </c>
      <c r="S248" s="26">
        <v>1.996379474648003</v>
      </c>
      <c r="T248" s="26">
        <f t="shared" si="38"/>
        <v>4.5287192018664824E-2</v>
      </c>
      <c r="U248" s="27">
        <f t="shared" si="39"/>
        <v>2.218148180506031E-2</v>
      </c>
      <c r="V248" s="28">
        <f t="shared" si="40"/>
        <v>43.956553695776037</v>
      </c>
      <c r="W248" s="27">
        <f t="shared" si="41"/>
        <v>1.2212276499414894E-2</v>
      </c>
      <c r="X248" s="21">
        <v>2.0020916352490934</v>
      </c>
      <c r="Y248" s="21">
        <f t="shared" si="42"/>
        <v>44.025099622989124</v>
      </c>
      <c r="Z248" s="2">
        <f t="shared" si="43"/>
        <v>1.0671918584514061E-2</v>
      </c>
    </row>
    <row r="249" spans="1:26">
      <c r="A249" s="1">
        <v>44.6</v>
      </c>
      <c r="B249" s="1">
        <f t="shared" si="33"/>
        <v>317.75</v>
      </c>
      <c r="C249" s="4">
        <f>ROUND(10000*EXP(($AB$4)+($AC$4/B249)+($AD$4/(B249^2))+($AE$4/(B249^3))),6)</f>
        <v>4440.7706900000003</v>
      </c>
      <c r="D249" s="4">
        <f>((C249+2*$AC$5)*$AC$6)/((C249+2*$AC$5)+$AC$6)</f>
        <v>1681.9531562181612</v>
      </c>
      <c r="E249" s="4">
        <f t="shared" si="34"/>
        <v>1.6819531562181613</v>
      </c>
      <c r="F249" s="24">
        <v>9.9990399102947171E-4</v>
      </c>
      <c r="G249" s="6">
        <v>1.6797107030685154</v>
      </c>
      <c r="H249" s="2">
        <f t="shared" si="35"/>
        <v>1.333243521887373E-3</v>
      </c>
      <c r="I249" s="5">
        <f>G249/F249</f>
        <v>1679.871985848496</v>
      </c>
      <c r="J249" s="2">
        <f>ABS(D249-I249)/I249</f>
        <v>1.2388862884775101E-3</v>
      </c>
      <c r="K249" s="1">
        <f>$AD$10*B249+$AD$11</f>
        <v>1671.9366702285133</v>
      </c>
      <c r="L249" s="2">
        <f>ABS(K249-D249)/D249</f>
        <v>5.9552704857546469E-3</v>
      </c>
      <c r="M249" s="21">
        <f>K249*F249</f>
        <v>1.6717761493100163</v>
      </c>
      <c r="N249" s="2">
        <f>ABS(M249-G249)/M249</f>
        <v>4.7461819345693806E-3</v>
      </c>
      <c r="O249" s="21">
        <f t="shared" si="36"/>
        <v>7.9345537584991632E-3</v>
      </c>
      <c r="P249" s="25">
        <f>$AD$18*B249+$AD$19</f>
        <v>2.0500000000000007</v>
      </c>
      <c r="Q249" s="25">
        <f>$AD$29*G249+$AD$30</f>
        <v>2.0218499448088378</v>
      </c>
      <c r="R249" s="25">
        <f t="shared" si="37"/>
        <v>2.815005519116287E-2</v>
      </c>
      <c r="S249" s="26">
        <v>2.0051226736685877</v>
      </c>
      <c r="T249" s="26">
        <f t="shared" si="38"/>
        <v>4.4877326331413059E-2</v>
      </c>
      <c r="U249" s="27">
        <f t="shared" si="39"/>
        <v>2.1891378698250266E-2</v>
      </c>
      <c r="V249" s="28">
        <f t="shared" si="40"/>
        <v>44.061472084023052</v>
      </c>
      <c r="W249" s="27">
        <f t="shared" si="41"/>
        <v>1.207461695015582E-2</v>
      </c>
      <c r="X249" s="21">
        <v>2.0108014683144426</v>
      </c>
      <c r="Y249" s="21">
        <f t="shared" si="42"/>
        <v>44.129617619773313</v>
      </c>
      <c r="Z249" s="2">
        <f t="shared" si="43"/>
        <v>1.0546690139611844E-2</v>
      </c>
    </row>
    <row r="250" spans="1:26">
      <c r="A250" s="1">
        <v>44.7</v>
      </c>
      <c r="B250" s="1">
        <f t="shared" si="33"/>
        <v>317.84999999999997</v>
      </c>
      <c r="C250" s="4">
        <f>ROUND(10000*EXP(($AB$4)+($AC$4/B250)+($AD$4/(B250^2))+($AE$4/(B250^3))),6)</f>
        <v>4423.4139059999998</v>
      </c>
      <c r="D250" s="4">
        <f>((C250+2*$AC$5)*$AC$6)/((C250+2*$AC$5)+$AC$6)</f>
        <v>1679.4795463445178</v>
      </c>
      <c r="E250" s="4">
        <f t="shared" si="34"/>
        <v>1.6794795463445178</v>
      </c>
      <c r="F250" s="24">
        <v>9.9990399102947171E-4</v>
      </c>
      <c r="G250" s="6">
        <v>1.6773347481500154</v>
      </c>
      <c r="H250" s="2">
        <f t="shared" si="35"/>
        <v>1.2770612176675161E-3</v>
      </c>
      <c r="I250" s="5">
        <f>G250/F250</f>
        <v>1677.4958027951072</v>
      </c>
      <c r="J250" s="2">
        <f>ABS(D250-I250)/I250</f>
        <v>1.1825624517838617E-3</v>
      </c>
      <c r="K250" s="1">
        <f>$AD$10*B250+$AD$11</f>
        <v>1669.5875583096404</v>
      </c>
      <c r="L250" s="2">
        <f>ABS(K250-D250)/D250</f>
        <v>5.8899127747091993E-3</v>
      </c>
      <c r="M250" s="21">
        <f>K250*F250</f>
        <v>1.6694272629269602</v>
      </c>
      <c r="N250" s="2">
        <f>ABS(M250-G250)/M250</f>
        <v>4.7366455542310988E-3</v>
      </c>
      <c r="O250" s="21">
        <f t="shared" si="36"/>
        <v>7.9074852230551773E-3</v>
      </c>
      <c r="P250" s="25">
        <f>$AD$18*B250+$AD$19</f>
        <v>2.0583333333333336</v>
      </c>
      <c r="Q250" s="25">
        <f>$AD$29*G250+$AD$30</f>
        <v>2.0302793113646889</v>
      </c>
      <c r="R250" s="25">
        <f t="shared" si="37"/>
        <v>2.8054021968644705E-2</v>
      </c>
      <c r="S250" s="26">
        <v>2.0138852220449528</v>
      </c>
      <c r="T250" s="26">
        <f t="shared" si="38"/>
        <v>4.4448111288380776E-2</v>
      </c>
      <c r="U250" s="27">
        <f t="shared" si="39"/>
        <v>2.1594224107715353E-2</v>
      </c>
      <c r="V250" s="28">
        <f t="shared" si="40"/>
        <v>44.166622664539432</v>
      </c>
      <c r="W250" s="27">
        <f t="shared" si="41"/>
        <v>1.1932378869364007E-2</v>
      </c>
      <c r="X250" s="21">
        <v>2.0202663047742946</v>
      </c>
      <c r="Y250" s="21">
        <f t="shared" si="42"/>
        <v>44.243195657291537</v>
      </c>
      <c r="Z250" s="2">
        <f t="shared" si="43"/>
        <v>1.0219336525916466E-2</v>
      </c>
    </row>
    <row r="251" spans="1:26">
      <c r="A251" s="1">
        <v>44.8</v>
      </c>
      <c r="B251" s="1">
        <f t="shared" si="33"/>
        <v>317.95</v>
      </c>
      <c r="C251" s="4">
        <f>ROUND(10000*EXP(($AB$4)+($AC$4/B251)+($AD$4/(B251^2))+($AE$4/(B251^3))),6)</f>
        <v>4406.1345170000004</v>
      </c>
      <c r="D251" s="4">
        <f>((C251+2*$AC$5)*$AC$6)/((C251+2*$AC$5)+$AC$6)</f>
        <v>1677.0049972240793</v>
      </c>
      <c r="E251" s="4">
        <f t="shared" si="34"/>
        <v>1.6770049972240793</v>
      </c>
      <c r="F251" s="24">
        <v>9.9990399102947171E-4</v>
      </c>
      <c r="G251" s="6">
        <v>1.6749506487572869</v>
      </c>
      <c r="H251" s="2">
        <f t="shared" si="35"/>
        <v>1.2250103429583348E-3</v>
      </c>
      <c r="I251" s="5">
        <f>G251/F251</f>
        <v>1675.1114744854724</v>
      </c>
      <c r="J251" s="2">
        <f>ABS(D251-I251)/I251</f>
        <v>1.1303861071027984E-3</v>
      </c>
      <c r="K251" s="1">
        <f>$AD$10*B251+$AD$11</f>
        <v>1667.2384463907656</v>
      </c>
      <c r="L251" s="2">
        <f>ABS(K251-D251)/D251</f>
        <v>5.8238054445157172E-3</v>
      </c>
      <c r="M251" s="21">
        <f>K251*F251</f>
        <v>1.6670783765439023</v>
      </c>
      <c r="N251" s="2">
        <f>ABS(M251-G251)/M251</f>
        <v>4.7221968229861962E-3</v>
      </c>
      <c r="O251" s="21">
        <f t="shared" si="36"/>
        <v>7.8722722133846013E-3</v>
      </c>
      <c r="P251" s="25">
        <f>$AD$18*B251+$AD$19</f>
        <v>2.0666666666666664</v>
      </c>
      <c r="Q251" s="25">
        <f>$AD$29*G251+$AD$30</f>
        <v>2.0387375727274826</v>
      </c>
      <c r="R251" s="25">
        <f t="shared" si="37"/>
        <v>2.7929093939183858E-2</v>
      </c>
      <c r="S251" s="26">
        <v>2.0226778076304104</v>
      </c>
      <c r="T251" s="26">
        <f t="shared" si="38"/>
        <v>4.3988859036256045E-2</v>
      </c>
      <c r="U251" s="27">
        <f t="shared" si="39"/>
        <v>2.1284931791736798E-2</v>
      </c>
      <c r="V251" s="28">
        <f t="shared" si="40"/>
        <v>44.272133691564925</v>
      </c>
      <c r="W251" s="27">
        <f t="shared" si="41"/>
        <v>1.1782730098997156E-2</v>
      </c>
      <c r="X251" s="21">
        <v>2.0282894958671669</v>
      </c>
      <c r="Y251" s="21">
        <f t="shared" si="42"/>
        <v>44.33947395040601</v>
      </c>
      <c r="Z251" s="2">
        <f t="shared" si="43"/>
        <v>1.0279599321294361E-2</v>
      </c>
    </row>
    <row r="252" spans="1:26">
      <c r="A252" s="1">
        <v>44.9</v>
      </c>
      <c r="B252" s="1">
        <f t="shared" si="33"/>
        <v>318.04999999999995</v>
      </c>
      <c r="C252" s="4">
        <f>ROUND(10000*EXP(($AB$4)+($AC$4/B252)+($AD$4/(B252^2))+($AE$4/(B252^3))),6)</f>
        <v>4388.9321360000004</v>
      </c>
      <c r="D252" s="4">
        <f>((C252+2*$AC$5)*$AC$6)/((C252+2*$AC$5)+$AC$6)</f>
        <v>1674.529527004054</v>
      </c>
      <c r="E252" s="4">
        <f t="shared" si="34"/>
        <v>1.6745295270040541</v>
      </c>
      <c r="F252" s="24">
        <v>9.9990399102947171E-4</v>
      </c>
      <c r="G252" s="6">
        <v>1.6723632239476975</v>
      </c>
      <c r="H252" s="2">
        <f t="shared" si="35"/>
        <v>1.2936786252030789E-3</v>
      </c>
      <c r="I252" s="5">
        <f>G252/F252</f>
        <v>1672.5238012360383</v>
      </c>
      <c r="J252" s="2">
        <f>ABS(D252-I252)/I252</f>
        <v>1.1992210613286658E-3</v>
      </c>
      <c r="K252" s="1">
        <f>$AD$10*B252+$AD$11</f>
        <v>1664.8893344718927</v>
      </c>
      <c r="L252" s="2">
        <f>ABS(K252-D252)/D252</f>
        <v>5.756955835475093E-3</v>
      </c>
      <c r="M252" s="21">
        <f>K252*F252</f>
        <v>1.6647294901608465</v>
      </c>
      <c r="N252" s="2">
        <f>ABS(M252-G252)/M252</f>
        <v>4.5855701073172477E-3</v>
      </c>
      <c r="O252" s="21">
        <f t="shared" si="36"/>
        <v>7.6337337868510602E-3</v>
      </c>
      <c r="P252" s="25">
        <f>$AD$18*B252+$AD$19</f>
        <v>2.0749999999999993</v>
      </c>
      <c r="Q252" s="25">
        <f>$AD$29*G252+$AD$30</f>
        <v>2.0479171880416915</v>
      </c>
      <c r="R252" s="25">
        <f t="shared" si="37"/>
        <v>2.7082811958307751E-2</v>
      </c>
      <c r="S252" s="26">
        <v>2.0322202594600003</v>
      </c>
      <c r="T252" s="26">
        <f t="shared" si="38"/>
        <v>4.2779740539999001E-2</v>
      </c>
      <c r="U252" s="27">
        <f t="shared" si="39"/>
        <v>2.0616742428915188E-2</v>
      </c>
      <c r="V252" s="28">
        <f t="shared" si="40"/>
        <v>44.386643113520002</v>
      </c>
      <c r="W252" s="27">
        <f t="shared" si="41"/>
        <v>1.143333822895316E-2</v>
      </c>
      <c r="X252" s="21">
        <v>2.0377974630444324</v>
      </c>
      <c r="Y252" s="21">
        <f t="shared" si="42"/>
        <v>44.453569556533196</v>
      </c>
      <c r="Z252" s="2">
        <f t="shared" si="43"/>
        <v>9.9427715694165326E-3</v>
      </c>
    </row>
    <row r="253" spans="1:26">
      <c r="A253" s="1">
        <v>45</v>
      </c>
      <c r="B253" s="1">
        <f t="shared" si="33"/>
        <v>318.14999999999998</v>
      </c>
      <c r="C253" s="4">
        <f>ROUND(10000*EXP(($AB$4)+($AC$4/B253)+($AD$4/(B253^2))+($AE$4/(B253^3))),6)</f>
        <v>4371.8063819999998</v>
      </c>
      <c r="D253" s="4">
        <f>((C253+2*$AC$5)*$AC$6)/((C253+2*$AC$5)+$AC$6)</f>
        <v>1672.0531543975815</v>
      </c>
      <c r="E253" s="4">
        <f t="shared" si="34"/>
        <v>1.6720531543975814</v>
      </c>
      <c r="F253" s="24">
        <v>9.9990399102947171E-4</v>
      </c>
      <c r="G253" s="6">
        <v>1.6699690767038509</v>
      </c>
      <c r="H253" s="2">
        <f t="shared" si="35"/>
        <v>1.2464183260258855E-3</v>
      </c>
      <c r="I253" s="5">
        <f>G253/F253</f>
        <v>1670.1294241105088</v>
      </c>
      <c r="J253" s="2">
        <f>ABS(D253-I253)/I253</f>
        <v>1.1518450362595187E-3</v>
      </c>
      <c r="K253" s="1">
        <f>$AD$10*B253+$AD$11</f>
        <v>1662.5402225530179</v>
      </c>
      <c r="L253" s="2">
        <f>ABS(K253-D253)/D253</f>
        <v>5.6893716683253199E-3</v>
      </c>
      <c r="M253" s="21">
        <f>K253*F253</f>
        <v>1.6623806037777886</v>
      </c>
      <c r="N253" s="2">
        <f>ABS(M253-G253)/M253</f>
        <v>4.5648228262633143E-3</v>
      </c>
      <c r="O253" s="21">
        <f t="shared" si="36"/>
        <v>7.5884729260622397E-3</v>
      </c>
      <c r="P253" s="25">
        <f>$AD$18*B253+$AD$19</f>
        <v>2.0833333333333321</v>
      </c>
      <c r="Q253" s="25">
        <f>$AD$29*G253+$AD$30</f>
        <v>2.0564110969748643</v>
      </c>
      <c r="R253" s="25">
        <f t="shared" si="37"/>
        <v>2.6922236358467799E-2</v>
      </c>
      <c r="S253" s="26">
        <v>2.0410499015483721</v>
      </c>
      <c r="T253" s="26">
        <f t="shared" si="38"/>
        <v>4.2283431784960079E-2</v>
      </c>
      <c r="U253" s="27">
        <f t="shared" si="39"/>
        <v>2.0296047256780851E-2</v>
      </c>
      <c r="V253" s="28">
        <f t="shared" si="40"/>
        <v>44.492598818580468</v>
      </c>
      <c r="W253" s="27">
        <f t="shared" si="41"/>
        <v>1.1275581809322924E-2</v>
      </c>
      <c r="X253" s="21">
        <v>2.0465968666180943</v>
      </c>
      <c r="Y253" s="21">
        <f t="shared" si="42"/>
        <v>44.559162399417133</v>
      </c>
      <c r="Z253" s="2">
        <f t="shared" si="43"/>
        <v>9.7963911240637139E-3</v>
      </c>
    </row>
    <row r="254" spans="1:26">
      <c r="A254" s="1">
        <v>45.1</v>
      </c>
      <c r="B254" s="1">
        <f t="shared" si="33"/>
        <v>318.25</v>
      </c>
      <c r="C254" s="4">
        <f>ROUND(10000*EXP(($AB$4)+($AC$4/B254)+($AD$4/(B254^2))+($AE$4/(B254^3))),6)</f>
        <v>4354.7568730000003</v>
      </c>
      <c r="D254" s="4">
        <f>((C254+2*$AC$5)*$AC$6)/((C254+2*$AC$5)+$AC$6)</f>
        <v>1669.5758976790494</v>
      </c>
      <c r="E254" s="4">
        <f t="shared" si="34"/>
        <v>1.6695758976790493</v>
      </c>
      <c r="F254" s="24">
        <v>9.9990399102947171E-4</v>
      </c>
      <c r="G254" s="6">
        <v>1.6673693123766413</v>
      </c>
      <c r="H254" s="2">
        <f t="shared" si="35"/>
        <v>1.3216442004676142E-3</v>
      </c>
      <c r="I254" s="5">
        <f>G254/F254</f>
        <v>1667.5294101586362</v>
      </c>
      <c r="J254" s="2">
        <f>ABS(D254-I254)/I254</f>
        <v>1.2272572273363852E-3</v>
      </c>
      <c r="K254" s="1">
        <f>$AD$10*B254+$AD$11</f>
        <v>1660.191110634144</v>
      </c>
      <c r="L254" s="2">
        <f>ABS(K254-D254)/D254</f>
        <v>5.6210604489149345E-3</v>
      </c>
      <c r="M254" s="21">
        <f>K254*F254</f>
        <v>1.6600317173947319</v>
      </c>
      <c r="N254" s="2">
        <f>ABS(M254-G254)/M254</f>
        <v>4.4201534856364855E-3</v>
      </c>
      <c r="O254" s="21">
        <f t="shared" si="36"/>
        <v>7.3375949819094455E-3</v>
      </c>
      <c r="P254" s="25">
        <f>$AD$18*B254+$AD$19</f>
        <v>2.0916666666666686</v>
      </c>
      <c r="Q254" s="25">
        <f>$AD$29*G254+$AD$30</f>
        <v>2.0656344901892059</v>
      </c>
      <c r="R254" s="25">
        <f t="shared" si="37"/>
        <v>2.6032176477462698E-2</v>
      </c>
      <c r="S254" s="26">
        <v>2.050637861980722</v>
      </c>
      <c r="T254" s="26">
        <f t="shared" si="38"/>
        <v>4.1028804685946607E-2</v>
      </c>
      <c r="U254" s="27">
        <f t="shared" si="39"/>
        <v>1.9615364790093976E-2</v>
      </c>
      <c r="V254" s="28">
        <f t="shared" si="40"/>
        <v>44.607654343768665</v>
      </c>
      <c r="W254" s="27">
        <f t="shared" si="41"/>
        <v>1.0916755127080624E-2</v>
      </c>
      <c r="X254" s="21">
        <v>2.0568742269047693</v>
      </c>
      <c r="Y254" s="21">
        <f t="shared" si="42"/>
        <v>44.682490722857239</v>
      </c>
      <c r="Z254" s="2">
        <f t="shared" si="43"/>
        <v>9.2574119100390876E-3</v>
      </c>
    </row>
    <row r="255" spans="1:26">
      <c r="A255" s="1">
        <v>45.2</v>
      </c>
      <c r="B255" s="1">
        <f t="shared" si="33"/>
        <v>318.34999999999997</v>
      </c>
      <c r="C255" s="4">
        <f>ROUND(10000*EXP(($AB$4)+($AC$4/B255)+($AD$4/(B255^2))+($AE$4/(B255^3))),6)</f>
        <v>4337.7832319999998</v>
      </c>
      <c r="D255" s="4">
        <f>((C255+2*$AC$5)*$AC$6)/((C255+2*$AC$5)+$AC$6)</f>
        <v>1667.097775552651</v>
      </c>
      <c r="E255" s="4">
        <f t="shared" si="34"/>
        <v>1.667097775552651</v>
      </c>
      <c r="F255" s="24">
        <v>9.9990399102947171E-4</v>
      </c>
      <c r="G255" s="6">
        <v>1.6649622825462171</v>
      </c>
      <c r="H255" s="2">
        <f t="shared" si="35"/>
        <v>1.2809644627628221E-3</v>
      </c>
      <c r="I255" s="5">
        <f>G255/F255</f>
        <v>1665.1221492095665</v>
      </c>
      <c r="J255" s="2">
        <f>ABS(D255-I255)/I255</f>
        <v>1.1864753249618016E-3</v>
      </c>
      <c r="K255" s="1">
        <f>$AD$10*B255+$AD$11</f>
        <v>1657.8419987152711</v>
      </c>
      <c r="L255" s="2">
        <f>ABS(K255-D255)/D255</f>
        <v>5.5520299847509492E-3</v>
      </c>
      <c r="M255" s="21">
        <f>K255*F255</f>
        <v>1.6576828310116758</v>
      </c>
      <c r="N255" s="2">
        <f>ABS(M255-G255)/M255</f>
        <v>4.3913415753354546E-3</v>
      </c>
      <c r="O255" s="21">
        <f t="shared" si="36"/>
        <v>7.2794515345413488E-3</v>
      </c>
      <c r="P255" s="25">
        <f>$AD$18*B255+$AD$19</f>
        <v>2.0999999999999979</v>
      </c>
      <c r="Q255" s="25">
        <f>$AD$29*G255+$AD$30</f>
        <v>2.0741741037119743</v>
      </c>
      <c r="R255" s="25">
        <f t="shared" si="37"/>
        <v>2.5825896288023564E-2</v>
      </c>
      <c r="S255" s="26">
        <v>2.0595150148992465</v>
      </c>
      <c r="T255" s="26">
        <f t="shared" si="38"/>
        <v>4.0484985100751381E-2</v>
      </c>
      <c r="U255" s="27">
        <f t="shared" si="39"/>
        <v>1.9278564333691153E-2</v>
      </c>
      <c r="V255" s="28">
        <f t="shared" si="40"/>
        <v>44.714180178790961</v>
      </c>
      <c r="W255" s="27">
        <f t="shared" si="41"/>
        <v>1.0748226132943394E-2</v>
      </c>
      <c r="X255" s="21">
        <v>2.0657161457808941</v>
      </c>
      <c r="Y255" s="21">
        <f t="shared" si="42"/>
        <v>44.788593749370733</v>
      </c>
      <c r="Z255" s="2">
        <f t="shared" si="43"/>
        <v>9.1019081997626046E-3</v>
      </c>
    </row>
    <row r="256" spans="1:26">
      <c r="A256" s="1">
        <v>45.3</v>
      </c>
      <c r="B256" s="1">
        <f t="shared" si="33"/>
        <v>318.45</v>
      </c>
      <c r="C256" s="4">
        <f>ROUND(10000*EXP(($AB$4)+($AC$4/B256)+($AD$4/(B256^2))+($AE$4/(B256^3))),6)</f>
        <v>4320.8850810000004</v>
      </c>
      <c r="D256" s="4">
        <f>((C256+2*$AC$5)*$AC$6)/((C256+2*$AC$5)+$AC$6)</f>
        <v>1664.6188062815793</v>
      </c>
      <c r="E256" s="4">
        <f t="shared" si="34"/>
        <v>1.6646188062815792</v>
      </c>
      <c r="F256" s="24">
        <v>9.9990399102947171E-4</v>
      </c>
      <c r="G256" s="6">
        <v>1.6623522594712004</v>
      </c>
      <c r="H256" s="2">
        <f t="shared" si="35"/>
        <v>1.3616011076084508E-3</v>
      </c>
      <c r="I256" s="5">
        <f>G256/F256</f>
        <v>1662.5118755248604</v>
      </c>
      <c r="J256" s="2">
        <f>ABS(D256-I256)/I256</f>
        <v>1.2673177182891844E-3</v>
      </c>
      <c r="K256" s="1">
        <f>$AD$10*B256+$AD$11</f>
        <v>1655.4928867963963</v>
      </c>
      <c r="L256" s="2">
        <f>ABS(K256-D256)/D256</f>
        <v>5.4822878671955105E-3</v>
      </c>
      <c r="M256" s="21">
        <f>K256*F256</f>
        <v>1.6553339446286182</v>
      </c>
      <c r="N256" s="2">
        <f>ABS(M256-G256)/M256</f>
        <v>4.23981811365367E-3</v>
      </c>
      <c r="O256" s="21">
        <f t="shared" si="36"/>
        <v>7.0183148425821962E-3</v>
      </c>
      <c r="P256" s="25">
        <f>$AD$18*B256+$AD$19</f>
        <v>2.1083333333333343</v>
      </c>
      <c r="Q256" s="25">
        <f>$AD$29*G256+$AD$30</f>
        <v>2.0834338927118576</v>
      </c>
      <c r="R256" s="25">
        <f t="shared" si="37"/>
        <v>2.4899440621476643E-2</v>
      </c>
      <c r="S256" s="26">
        <v>2.0691408095004782</v>
      </c>
      <c r="T256" s="26">
        <f t="shared" si="38"/>
        <v>3.9192523832856097E-2</v>
      </c>
      <c r="U256" s="27">
        <f t="shared" si="39"/>
        <v>1.8589339367362567E-2</v>
      </c>
      <c r="V256" s="28">
        <f t="shared" si="40"/>
        <v>44.829689714005738</v>
      </c>
      <c r="W256" s="27">
        <f t="shared" si="41"/>
        <v>1.0382125518637063E-2</v>
      </c>
      <c r="X256" s="21">
        <v>2.0753058388711292</v>
      </c>
      <c r="Y256" s="21">
        <f t="shared" si="42"/>
        <v>44.903670066453557</v>
      </c>
      <c r="Z256" s="2">
        <f t="shared" si="43"/>
        <v>8.7490051555505488E-3</v>
      </c>
    </row>
    <row r="257" spans="1:26">
      <c r="A257" s="1">
        <v>45.4</v>
      </c>
      <c r="B257" s="1">
        <f t="shared" si="33"/>
        <v>318.54999999999995</v>
      </c>
      <c r="C257" s="4">
        <f>ROUND(10000*EXP(($AB$4)+($AC$4/B257)+($AD$4/(B257^2))+($AE$4/(B257^3))),6)</f>
        <v>4304.0620470000003</v>
      </c>
      <c r="D257" s="4">
        <f>((C257+2*$AC$5)*$AC$6)/((C257+2*$AC$5)+$AC$6)</f>
        <v>1662.1390085650535</v>
      </c>
      <c r="E257" s="4">
        <f t="shared" si="34"/>
        <v>1.6621390085650536</v>
      </c>
      <c r="F257" s="24">
        <v>9.9990399102947171E-4</v>
      </c>
      <c r="G257" s="6">
        <v>1.6599334433743813</v>
      </c>
      <c r="H257" s="2">
        <f t="shared" si="35"/>
        <v>1.3269438833376334E-3</v>
      </c>
      <c r="I257" s="5">
        <f>G257/F257</f>
        <v>1660.0928271777</v>
      </c>
      <c r="J257" s="2">
        <f>ABS(D257-I257)/I257</f>
        <v>1.2325704646481625E-3</v>
      </c>
      <c r="K257" s="1">
        <f>$AD$10*B257+$AD$11</f>
        <v>1653.1437748775234</v>
      </c>
      <c r="L257" s="2">
        <f>ABS(K257-D257)/D257</f>
        <v>5.4118419946691592E-3</v>
      </c>
      <c r="M257" s="21">
        <f>K257*F257</f>
        <v>1.6529850582455621</v>
      </c>
      <c r="N257" s="2">
        <f>ABS(M257-G257)/M257</f>
        <v>4.2035377719591011E-3</v>
      </c>
      <c r="O257" s="21">
        <f t="shared" si="36"/>
        <v>6.9483851288192353E-3</v>
      </c>
      <c r="P257" s="25">
        <f>$AD$18*B257+$AD$19</f>
        <v>2.1166666666666636</v>
      </c>
      <c r="Q257" s="25">
        <f>$AD$29*G257+$AD$30</f>
        <v>2.0920153213208454</v>
      </c>
      <c r="R257" s="25">
        <f t="shared" si="37"/>
        <v>2.4651345345818143E-2</v>
      </c>
      <c r="S257" s="26">
        <v>2.0780614308287517</v>
      </c>
      <c r="T257" s="26">
        <f t="shared" si="38"/>
        <v>3.8605235837911867E-2</v>
      </c>
      <c r="U257" s="27">
        <f t="shared" si="39"/>
        <v>1.8238694096651301E-2</v>
      </c>
      <c r="V257" s="28">
        <f t="shared" si="40"/>
        <v>44.936737169945019</v>
      </c>
      <c r="W257" s="27">
        <f t="shared" si="41"/>
        <v>1.0204027093722021E-2</v>
      </c>
      <c r="X257" s="21">
        <v>2.084190964637624</v>
      </c>
      <c r="Y257" s="21">
        <f t="shared" si="42"/>
        <v>45.010291575651486</v>
      </c>
      <c r="Z257" s="2">
        <f t="shared" si="43"/>
        <v>8.5838859988659148E-3</v>
      </c>
    </row>
    <row r="258" spans="1:26">
      <c r="A258" s="1">
        <v>45.5</v>
      </c>
      <c r="B258" s="1">
        <f t="shared" si="33"/>
        <v>318.64999999999998</v>
      </c>
      <c r="C258" s="4">
        <f>ROUND(10000*EXP(($AB$4)+($AC$4/B258)+($AD$4/(B258^2))+($AE$4/(B258^3))),6)</f>
        <v>4287.3137559999996</v>
      </c>
      <c r="D258" s="4">
        <f>((C258+2*$AC$5)*$AC$6)/((C258+2*$AC$5)+$AC$6)</f>
        <v>1659.6584006591754</v>
      </c>
      <c r="E258" s="4">
        <f t="shared" si="34"/>
        <v>1.6596584006591755</v>
      </c>
      <c r="F258" s="24">
        <v>9.9990399102947171E-4</v>
      </c>
      <c r="G258" s="6">
        <v>1.6575096243226712</v>
      </c>
      <c r="H258" s="2">
        <f t="shared" si="35"/>
        <v>1.2947100051738305E-3</v>
      </c>
      <c r="I258" s="5">
        <f>G258/F258</f>
        <v>1657.6687753952738</v>
      </c>
      <c r="J258" s="2">
        <f>ABS(D258-I258)/I258</f>
        <v>1.2002550168245852E-3</v>
      </c>
      <c r="K258" s="1">
        <f>$AD$10*B258+$AD$11</f>
        <v>1650.7946629586486</v>
      </c>
      <c r="L258" s="2">
        <f>ABS(K258-D258)/D258</f>
        <v>5.3407000482788318E-3</v>
      </c>
      <c r="M258" s="21">
        <f>K258*F258</f>
        <v>1.6506361718625044</v>
      </c>
      <c r="N258" s="2">
        <f>ABS(M258-G258)/M258</f>
        <v>4.1641232497716908E-3</v>
      </c>
      <c r="O258" s="21">
        <f t="shared" si="36"/>
        <v>6.8734524601667948E-3</v>
      </c>
      <c r="P258" s="25">
        <f>$AD$18*B258+$AD$19</f>
        <v>2.125</v>
      </c>
      <c r="Q258" s="25">
        <f>$AD$29*G258+$AD$30</f>
        <v>2.1006144993156939</v>
      </c>
      <c r="R258" s="25">
        <f t="shared" si="37"/>
        <v>2.4385500684306116E-2</v>
      </c>
      <c r="S258" s="26">
        <v>2.0870005029431749</v>
      </c>
      <c r="T258" s="26">
        <f t="shared" si="38"/>
        <v>3.7999497056825149E-2</v>
      </c>
      <c r="U258" s="27">
        <f t="shared" si="39"/>
        <v>1.7882116262035366E-2</v>
      </c>
      <c r="V258" s="28">
        <f t="shared" si="40"/>
        <v>45.044006035318098</v>
      </c>
      <c r="W258" s="27">
        <f t="shared" si="41"/>
        <v>1.0021845377624215E-2</v>
      </c>
      <c r="X258" s="21">
        <v>2.0930980912151447</v>
      </c>
      <c r="Y258" s="21">
        <f t="shared" si="42"/>
        <v>45.117177094581734</v>
      </c>
      <c r="Z258" s="2">
        <f t="shared" si="43"/>
        <v>8.4136902289728716E-3</v>
      </c>
    </row>
    <row r="259" spans="1:26">
      <c r="A259" s="1">
        <v>45.6</v>
      </c>
      <c r="B259" s="1">
        <f t="shared" si="33"/>
        <v>318.75</v>
      </c>
      <c r="C259" s="4">
        <f>ROUND(10000*EXP(($AB$4)+($AC$4/B259)+($AD$4/(B259^2))+($AE$4/(B259^3))),6)</f>
        <v>4270.6398390000004</v>
      </c>
      <c r="D259" s="4">
        <f>((C259+2*$AC$5)*$AC$6)/((C259+2*$AC$5)+$AC$6)</f>
        <v>1657.1770012624734</v>
      </c>
      <c r="E259" s="4">
        <f t="shared" si="34"/>
        <v>1.6571770012624734</v>
      </c>
      <c r="F259" s="24">
        <v>9.9990399102947171E-4</v>
      </c>
      <c r="G259" s="6">
        <v>1.6548817987391198</v>
      </c>
      <c r="H259" s="2">
        <f t="shared" si="35"/>
        <v>1.3850074684870982E-3</v>
      </c>
      <c r="I259" s="5">
        <f>G259/F259</f>
        <v>1655.0406974926684</v>
      </c>
      <c r="J259" s="2">
        <f>ABS(D259-I259)/I259</f>
        <v>1.2907862465505427E-3</v>
      </c>
      <c r="K259" s="1">
        <f>$AD$10*B259+$AD$11</f>
        <v>1648.4455510397738</v>
      </c>
      <c r="L259" s="2">
        <f>ABS(K259-D259)/D259</f>
        <v>5.2688700217585344E-3</v>
      </c>
      <c r="M259" s="21">
        <f>K259*F259</f>
        <v>1.6482872854794466</v>
      </c>
      <c r="N259" s="2">
        <f>ABS(M259-G259)/M259</f>
        <v>4.0008275970866407E-3</v>
      </c>
      <c r="O259" s="21">
        <f t="shared" si="36"/>
        <v>6.5945132596731959E-3</v>
      </c>
      <c r="P259" s="25">
        <f>$AD$18*B259+$AD$19</f>
        <v>2.1333333333333364</v>
      </c>
      <c r="Q259" s="25">
        <f>$AD$29*G259+$AD$30</f>
        <v>2.1099374477084112</v>
      </c>
      <c r="R259" s="25">
        <f t="shared" si="37"/>
        <v>2.3395885624925228E-2</v>
      </c>
      <c r="S259" s="26">
        <v>2.0966919536424999</v>
      </c>
      <c r="T259" s="26">
        <f t="shared" si="38"/>
        <v>3.6641379690836473E-2</v>
      </c>
      <c r="U259" s="27">
        <f t="shared" si="39"/>
        <v>1.7175646730079572E-2</v>
      </c>
      <c r="V259" s="28">
        <f t="shared" si="40"/>
        <v>45.160303443709999</v>
      </c>
      <c r="W259" s="27">
        <f t="shared" si="41"/>
        <v>9.6424683396930284E-3</v>
      </c>
      <c r="X259" s="21">
        <v>2.1027493686895005</v>
      </c>
      <c r="Y259" s="21">
        <f t="shared" si="42"/>
        <v>45.232992424274009</v>
      </c>
      <c r="Z259" s="2">
        <f t="shared" si="43"/>
        <v>8.0484117483770237E-3</v>
      </c>
    </row>
    <row r="260" spans="1:26">
      <c r="A260" s="1">
        <v>45.7</v>
      </c>
      <c r="B260" s="1">
        <f t="shared" ref="B260:B323" si="44">A260+273.15</f>
        <v>318.84999999999997</v>
      </c>
      <c r="C260" s="4">
        <f>ROUND(10000*EXP(($AB$4)+($AC$4/B260)+($AD$4/(B260^2))+($AE$4/(B260^3))),6)</f>
        <v>4254.0399280000001</v>
      </c>
      <c r="D260" s="4">
        <f>((C260+2*$AC$5)*$AC$6)/((C260+2*$AC$5)+$AC$6)</f>
        <v>1654.6948289281431</v>
      </c>
      <c r="E260" s="4">
        <f t="shared" ref="E260:E323" si="45">D260*0.001</f>
        <v>1.6546948289281431</v>
      </c>
      <c r="F260" s="24">
        <v>9.9990399102947171E-4</v>
      </c>
      <c r="G260" s="6">
        <v>1.6524453633903555</v>
      </c>
      <c r="H260" s="2">
        <f t="shared" ref="H260:H323" si="46">ABS(E260-G260)/E260</f>
        <v>1.3594443509832735E-3</v>
      </c>
      <c r="I260" s="5">
        <f>G260/F260</f>
        <v>1652.6040282017941</v>
      </c>
      <c r="J260" s="2">
        <f>ABS(D260-I260)/I260</f>
        <v>1.2651552886652625E-3</v>
      </c>
      <c r="K260" s="1">
        <f>$AD$10*B260+$AD$11</f>
        <v>1646.0964391209009</v>
      </c>
      <c r="L260" s="2">
        <f>ABS(K260-D260)/D260</f>
        <v>5.1963598706669138E-3</v>
      </c>
      <c r="M260" s="21">
        <f>K260*F260</f>
        <v>1.6459383990963905</v>
      </c>
      <c r="N260" s="2">
        <f>ABS(M260-G260)/M260</f>
        <v>3.9533461869151994E-3</v>
      </c>
      <c r="O260" s="21">
        <f t="shared" ref="O260:O323" si="47">N260*M260</f>
        <v>6.506964293965023E-3</v>
      </c>
      <c r="P260" s="25">
        <f>$AD$18*B260+$AD$19</f>
        <v>2.1416666666666657</v>
      </c>
      <c r="Q260" s="25">
        <f>$AD$29*G260+$AD$30</f>
        <v>2.1185813855560749</v>
      </c>
      <c r="R260" s="25">
        <f t="shared" ref="R260:R323" si="48">ABS(P260-Q260)</f>
        <v>2.3085281110590827E-2</v>
      </c>
      <c r="S260" s="26">
        <v>2.1056775545285875</v>
      </c>
      <c r="T260" s="26">
        <f t="shared" ref="T260:T323" si="49">ABS(P260-S260)</f>
        <v>3.5989112138078205E-2</v>
      </c>
      <c r="U260" s="27">
        <f t="shared" ref="U260:U323" si="50">IF(P260=0,ABS(P260-S260),ABS(P260-S260)/P260)</f>
        <v>1.6804254694822517E-2</v>
      </c>
      <c r="V260" s="28">
        <f t="shared" ref="V260:V323" si="51">(S260-$AD$21)/($AD$20)</f>
        <v>45.268130654343054</v>
      </c>
      <c r="W260" s="27">
        <f t="shared" ref="W260:W323" si="52">ABS(A260-V260)/A260</f>
        <v>9.4500950909616865E-3</v>
      </c>
      <c r="X260" s="21">
        <v>2.1116990800655024</v>
      </c>
      <c r="Y260" s="21">
        <f t="shared" ref="Y260:Y323" si="53">(X260+5/3)/(1/12)</f>
        <v>45.340388960786036</v>
      </c>
      <c r="Z260" s="2">
        <f t="shared" ref="Z260:Z323" si="54">ABS(A260-Y260)/A260</f>
        <v>7.8689505298460919E-3</v>
      </c>
    </row>
    <row r="261" spans="1:26">
      <c r="A261" s="1">
        <v>45.8</v>
      </c>
      <c r="B261" s="1">
        <f t="shared" si="44"/>
        <v>318.95</v>
      </c>
      <c r="C261" s="4">
        <f>ROUND(10000*EXP(($AB$4)+($AC$4/B261)+($AD$4/(B261^2))+($AE$4/(B261^3))),6)</f>
        <v>4237.5136549999997</v>
      </c>
      <c r="D261" s="4">
        <f>((C261+2*$AC$5)*$AC$6)/((C261+2*$AC$5)+$AC$6)</f>
        <v>1652.2119019111003</v>
      </c>
      <c r="E261" s="4">
        <f t="shared" si="45"/>
        <v>1.6522119019111003</v>
      </c>
      <c r="F261" s="24">
        <v>9.9990399102947171E-4</v>
      </c>
      <c r="G261" s="6">
        <v>1.6500040175212982</v>
      </c>
      <c r="H261" s="2">
        <f t="shared" si="46"/>
        <v>1.3363203516741926E-3</v>
      </c>
      <c r="I261" s="5">
        <f>G261/F261</f>
        <v>1650.1624479191273</v>
      </c>
      <c r="J261" s="2">
        <f>ABS(D261-I261)/I261</f>
        <v>1.2419710523393498E-3</v>
      </c>
      <c r="K261" s="1">
        <f>$AD$10*B261+$AD$11</f>
        <v>1643.7473272020261</v>
      </c>
      <c r="L261" s="2">
        <f>ABS(K261-D261)/D261</f>
        <v>5.1231774200895825E-3</v>
      </c>
      <c r="M261" s="21">
        <f>K261*F261</f>
        <v>1.6435895127133329</v>
      </c>
      <c r="N261" s="2">
        <f>ABS(M261-G261)/M261</f>
        <v>3.9027413830208203E-3</v>
      </c>
      <c r="O261" s="21">
        <f t="shared" si="47"/>
        <v>6.4145048079653488E-3</v>
      </c>
      <c r="P261" s="25">
        <f>$AD$18*B261+$AD$19</f>
        <v>2.1500000000000021</v>
      </c>
      <c r="Q261" s="25">
        <f>$AD$29*G261+$AD$30</f>
        <v>2.1272427448519364</v>
      </c>
      <c r="R261" s="25">
        <f t="shared" si="48"/>
        <v>2.2757255148065703E-2</v>
      </c>
      <c r="S261" s="26">
        <v>2.1146812657870888</v>
      </c>
      <c r="T261" s="26">
        <f t="shared" si="49"/>
        <v>3.5318734212913316E-2</v>
      </c>
      <c r="U261" s="27">
        <f t="shared" si="50"/>
        <v>1.6427318238564317E-2</v>
      </c>
      <c r="V261" s="28">
        <f t="shared" si="51"/>
        <v>45.376175189445064</v>
      </c>
      <c r="W261" s="27">
        <f t="shared" si="52"/>
        <v>9.2538168243435186E-3</v>
      </c>
      <c r="X261" s="21">
        <v>2.120670480226539</v>
      </c>
      <c r="Y261" s="21">
        <f t="shared" si="53"/>
        <v>45.448045762718472</v>
      </c>
      <c r="Z261" s="2">
        <f t="shared" si="54"/>
        <v>7.6845903336577558E-3</v>
      </c>
    </row>
    <row r="262" spans="1:26">
      <c r="A262" s="1">
        <v>45.9</v>
      </c>
      <c r="B262" s="1">
        <f t="shared" si="44"/>
        <v>319.04999999999995</v>
      </c>
      <c r="C262" s="4">
        <f>ROUND(10000*EXP(($AB$4)+($AC$4/B262)+($AD$4/(B262^2))+($AE$4/(B262^3))),6)</f>
        <v>4221.060657</v>
      </c>
      <c r="D262" s="4">
        <f>((C262+2*$AC$5)*$AC$6)/((C262+2*$AC$5)+$AC$6)</f>
        <v>1649.7282389186303</v>
      </c>
      <c r="E262" s="4">
        <f t="shared" si="45"/>
        <v>1.6497282389186303</v>
      </c>
      <c r="F262" s="24">
        <v>9.9990399102947171E-4</v>
      </c>
      <c r="G262" s="6">
        <v>1.6473596334283696</v>
      </c>
      <c r="H262" s="2">
        <f t="shared" si="46"/>
        <v>1.4357549530784092E-3</v>
      </c>
      <c r="I262" s="5">
        <f>G262/F262</f>
        <v>1647.5178099172267</v>
      </c>
      <c r="J262" s="2">
        <f>ABS(D262-I262)/I262</f>
        <v>1.3416722951933423E-3</v>
      </c>
      <c r="K262" s="1">
        <f>$AD$10*B262+$AD$11</f>
        <v>1641.3982152831531</v>
      </c>
      <c r="L262" s="2">
        <f>ABS(K262-D262)/D262</f>
        <v>5.0493308164121092E-3</v>
      </c>
      <c r="M262" s="21">
        <f>K262*F262</f>
        <v>1.6412406263302768</v>
      </c>
      <c r="N262" s="2">
        <f>ABS(M262-G262)/M262</f>
        <v>3.7282815206533897E-3</v>
      </c>
      <c r="O262" s="21">
        <f t="shared" si="47"/>
        <v>6.1190070980927658E-3</v>
      </c>
      <c r="P262" s="25">
        <f>$AD$18*B262+$AD$19</f>
        <v>2.1583333333333314</v>
      </c>
      <c r="Q262" s="25">
        <f>$AD$29*G262+$AD$30</f>
        <v>2.1366244392015199</v>
      </c>
      <c r="R262" s="25">
        <f t="shared" si="48"/>
        <v>2.170889413181154E-2</v>
      </c>
      <c r="S262" s="26">
        <v>2.1244337842578096</v>
      </c>
      <c r="T262" s="26">
        <f t="shared" si="49"/>
        <v>3.389954907552184E-2</v>
      </c>
      <c r="U262" s="27">
        <f t="shared" si="50"/>
        <v>1.5706354784025576E-2</v>
      </c>
      <c r="V262" s="28">
        <f t="shared" si="51"/>
        <v>45.493205411093719</v>
      </c>
      <c r="W262" s="27">
        <f t="shared" si="52"/>
        <v>8.8626272092871428E-3</v>
      </c>
      <c r="X262" s="21">
        <v>2.1303824042747199</v>
      </c>
      <c r="Y262" s="21">
        <f t="shared" si="53"/>
        <v>45.564588851296641</v>
      </c>
      <c r="Z262" s="2">
        <f t="shared" si="54"/>
        <v>7.3074324336243526E-3</v>
      </c>
    </row>
    <row r="263" spans="1:26">
      <c r="A263" s="1">
        <v>46</v>
      </c>
      <c r="B263" s="1">
        <f t="shared" si="44"/>
        <v>319.14999999999998</v>
      </c>
      <c r="C263" s="4">
        <f>ROUND(10000*EXP(($AB$4)+($AC$4/B263)+($AD$4/(B263^2))+($AE$4/(B263^3))),6)</f>
        <v>4204.6805709999999</v>
      </c>
      <c r="D263" s="4">
        <f>((C263+2*$AC$5)*$AC$6)/((C263+2*$AC$5)+$AC$6)</f>
        <v>1647.2438583622286</v>
      </c>
      <c r="E263" s="4">
        <f t="shared" si="45"/>
        <v>1.6472438583622286</v>
      </c>
      <c r="F263" s="24">
        <v>9.9990399102947171E-4</v>
      </c>
      <c r="G263" s="6">
        <v>1.6449058327779318</v>
      </c>
      <c r="H263" s="2">
        <f t="shared" si="46"/>
        <v>1.4193560792033762E-3</v>
      </c>
      <c r="I263" s="5">
        <f>G263/F263</f>
        <v>1645.063773657294</v>
      </c>
      <c r="J263" s="2">
        <f>ABS(D263-I263)/I263</f>
        <v>1.3252280792056435E-3</v>
      </c>
      <c r="K263" s="1">
        <f>$AD$10*B263+$AD$11</f>
        <v>1639.0491033642793</v>
      </c>
      <c r="L263" s="2">
        <f>ABS(K263-D263)/D263</f>
        <v>4.974828078033895E-3</v>
      </c>
      <c r="M263" s="21">
        <f>K263*F263</f>
        <v>1.63889173994722</v>
      </c>
      <c r="N263" s="2">
        <f>ABS(M263-G263)/M263</f>
        <v>3.6696095807435274E-3</v>
      </c>
      <c r="O263" s="21">
        <f t="shared" si="47"/>
        <v>6.0140928307117481E-3</v>
      </c>
      <c r="P263" s="25">
        <f>$AD$18*B263+$AD$19</f>
        <v>2.1666666666666679</v>
      </c>
      <c r="Q263" s="25">
        <f>$AD$29*G263+$AD$30</f>
        <v>2.1453299853280354</v>
      </c>
      <c r="R263" s="25">
        <f t="shared" si="48"/>
        <v>2.1336681338632424E-2</v>
      </c>
      <c r="S263" s="26">
        <v>2.1334834286004263</v>
      </c>
      <c r="T263" s="26">
        <f t="shared" si="49"/>
        <v>3.3183238066241572E-2</v>
      </c>
      <c r="U263" s="27">
        <f t="shared" si="50"/>
        <v>1.531534064595764E-2</v>
      </c>
      <c r="V263" s="28">
        <f t="shared" si="51"/>
        <v>45.601801143205115</v>
      </c>
      <c r="W263" s="27">
        <f t="shared" si="52"/>
        <v>8.656496886845319E-3</v>
      </c>
      <c r="X263" s="21">
        <v>2.1393957626777933</v>
      </c>
      <c r="Y263" s="21">
        <f t="shared" si="53"/>
        <v>45.672749152133527</v>
      </c>
      <c r="Z263" s="2">
        <f t="shared" si="54"/>
        <v>7.114148866662463E-3</v>
      </c>
    </row>
    <row r="264" spans="1:26">
      <c r="A264" s="1">
        <v>46.1</v>
      </c>
      <c r="B264" s="1">
        <f t="shared" si="44"/>
        <v>319.25</v>
      </c>
      <c r="C264" s="4">
        <f>ROUND(10000*EXP(($AB$4)+($AC$4/B264)+($AD$4/(B264^2))+($AE$4/(B264^3))),6)</f>
        <v>4188.3730370000003</v>
      </c>
      <c r="D264" s="4">
        <f>((C264+2*$AC$5)*$AC$6)/((C264+2*$AC$5)+$AC$6)</f>
        <v>1644.7587788099927</v>
      </c>
      <c r="E264" s="4">
        <f t="shared" si="45"/>
        <v>1.6447587788099927</v>
      </c>
      <c r="F264" s="24">
        <v>9.9990399102947171E-4</v>
      </c>
      <c r="G264" s="6">
        <v>1.6424462002329914</v>
      </c>
      <c r="H264" s="2">
        <f t="shared" si="46"/>
        <v>1.4060290218815396E-3</v>
      </c>
      <c r="I264" s="5">
        <f>G264/F264</f>
        <v>1642.6039049428907</v>
      </c>
      <c r="J264" s="2">
        <f>ABS(D264-I264)/I264</f>
        <v>1.3118645710128692E-3</v>
      </c>
      <c r="K264" s="1">
        <f>$AD$10*B264+$AD$11</f>
        <v>1636.6999914454045</v>
      </c>
      <c r="L264" s="2">
        <f>ABS(K264-D264)/D264</f>
        <v>4.8996773681419846E-3</v>
      </c>
      <c r="M264" s="21">
        <f>K264*F264</f>
        <v>1.6365428535641622</v>
      </c>
      <c r="N264" s="2">
        <f>ABS(M264-G264)/M264</f>
        <v>3.6072056750439036E-3</v>
      </c>
      <c r="O264" s="21">
        <f t="shared" si="47"/>
        <v>5.9033466688291902E-3</v>
      </c>
      <c r="P264" s="25">
        <f>$AD$18*B264+$AD$19</f>
        <v>2.1750000000000007</v>
      </c>
      <c r="Q264" s="25">
        <f>$AD$29*G264+$AD$30</f>
        <v>2.1540562217362131</v>
      </c>
      <c r="R264" s="25">
        <f t="shared" si="48"/>
        <v>2.0943778263787571E-2</v>
      </c>
      <c r="S264" s="26">
        <v>2.142554581368822</v>
      </c>
      <c r="T264" s="26">
        <f t="shared" si="49"/>
        <v>3.2445418631178669E-2</v>
      </c>
      <c r="U264" s="27">
        <f t="shared" si="50"/>
        <v>1.4917433853415474E-2</v>
      </c>
      <c r="V264" s="28">
        <f t="shared" si="51"/>
        <v>45.710654976425865</v>
      </c>
      <c r="W264" s="27">
        <f t="shared" si="52"/>
        <v>8.4456621165756376E-3</v>
      </c>
      <c r="X264" s="21">
        <v>2.1484304959236646</v>
      </c>
      <c r="Y264" s="21">
        <f t="shared" si="53"/>
        <v>45.781165951083977</v>
      </c>
      <c r="Z264" s="2">
        <f t="shared" si="54"/>
        <v>6.9161398897185236E-3</v>
      </c>
    </row>
    <row r="265" spans="1:26">
      <c r="A265" s="1">
        <v>46.2</v>
      </c>
      <c r="B265" s="1">
        <f t="shared" si="44"/>
        <v>319.34999999999997</v>
      </c>
      <c r="C265" s="4">
        <f>ROUND(10000*EXP(($AB$4)+($AC$4/B265)+($AD$4/(B265^2))+($AE$4/(B265^3))),6)</f>
        <v>4172.1376970000001</v>
      </c>
      <c r="D265" s="4">
        <f>((C265+2*$AC$5)*$AC$6)/((C265+2*$AC$5)+$AC$6)</f>
        <v>1642.2730188380913</v>
      </c>
      <c r="E265" s="4">
        <f t="shared" si="45"/>
        <v>1.6422730188380914</v>
      </c>
      <c r="F265" s="24">
        <v>9.9990399102947171E-4</v>
      </c>
      <c r="G265" s="6">
        <v>1.6399817812280764</v>
      </c>
      <c r="H265" s="2">
        <f t="shared" si="46"/>
        <v>1.3951624265471348E-3</v>
      </c>
      <c r="I265" s="5">
        <f>G265/F265</f>
        <v>1640.1392493089256</v>
      </c>
      <c r="J265" s="2">
        <f>ABS(D265-I265)/I265</f>
        <v>1.3009685184137343E-3</v>
      </c>
      <c r="K265" s="1">
        <f>$AD$10*B265+$AD$11</f>
        <v>1634.3508795265316</v>
      </c>
      <c r="L265" s="2">
        <f>ABS(K265-D265)/D265</f>
        <v>4.8238869059449201E-3</v>
      </c>
      <c r="M265" s="21">
        <f>K265*F265</f>
        <v>1.6341939671811063</v>
      </c>
      <c r="N265" s="2">
        <f>ABS(M265-G265)/M265</f>
        <v>3.5416934361553777E-3</v>
      </c>
      <c r="O265" s="21">
        <f t="shared" si="47"/>
        <v>5.7878140469700412E-3</v>
      </c>
      <c r="P265" s="25">
        <f>$AD$18*B265+$AD$19</f>
        <v>2.1833333333333336</v>
      </c>
      <c r="Q265" s="25">
        <f>$AD$29*G265+$AD$30</f>
        <v>2.1627994394538064</v>
      </c>
      <c r="R265" s="25">
        <f t="shared" si="48"/>
        <v>2.0533893879527199E-2</v>
      </c>
      <c r="S265" s="26">
        <v>2.1516433864356483</v>
      </c>
      <c r="T265" s="26">
        <f t="shared" si="49"/>
        <v>3.1689946897685228E-2</v>
      </c>
      <c r="U265" s="27">
        <f t="shared" si="50"/>
        <v>1.4514479495123004E-2</v>
      </c>
      <c r="V265" s="28">
        <f t="shared" si="51"/>
        <v>45.819720637227782</v>
      </c>
      <c r="W265" s="27">
        <f t="shared" si="52"/>
        <v>8.2311550383597602E-3</v>
      </c>
      <c r="X265" s="21">
        <v>2.1574864989950502</v>
      </c>
      <c r="Y265" s="21">
        <f t="shared" si="53"/>
        <v>45.889837987940609</v>
      </c>
      <c r="Z265" s="2">
        <f t="shared" si="54"/>
        <v>6.7134634644890369E-3</v>
      </c>
    </row>
    <row r="266" spans="1:26">
      <c r="A266" s="1">
        <v>46.3</v>
      </c>
      <c r="B266" s="1">
        <f t="shared" si="44"/>
        <v>319.45</v>
      </c>
      <c r="C266" s="4">
        <f>ROUND(10000*EXP(($AB$4)+($AC$4/B266)+($AD$4/(B266^2))+($AE$4/(B266^3))),6)</f>
        <v>4155.9741940000004</v>
      </c>
      <c r="D266" s="4">
        <f>((C266+2*$AC$5)*$AC$6)/((C266+2*$AC$5)+$AC$6)</f>
        <v>1639.7865968779697</v>
      </c>
      <c r="E266" s="4">
        <f t="shared" si="45"/>
        <v>1.6397865968779697</v>
      </c>
      <c r="F266" s="24">
        <v>9.9990399102947171E-4</v>
      </c>
      <c r="G266" s="6">
        <v>1.6375105687891964</v>
      </c>
      <c r="H266" s="2">
        <f t="shared" si="46"/>
        <v>1.3880026176007526E-3</v>
      </c>
      <c r="I266" s="5">
        <f>G266/F266</f>
        <v>1637.6677995887023</v>
      </c>
      <c r="J266" s="2">
        <f>ABS(D266-I266)/I266</f>
        <v>1.2937894301881673E-3</v>
      </c>
      <c r="K266" s="1">
        <f>$AD$10*B266+$AD$11</f>
        <v>1632.0017676076568</v>
      </c>
      <c r="L266" s="2">
        <f>ABS(K266-D266)/D266</f>
        <v>4.7474648744749107E-3</v>
      </c>
      <c r="M266" s="21">
        <f>K266*F266</f>
        <v>1.6318450807980485</v>
      </c>
      <c r="N266" s="2">
        <f>ABS(M266-G266)/M266</f>
        <v>3.471829561404982E-3</v>
      </c>
      <c r="O266" s="21">
        <f t="shared" si="47"/>
        <v>5.6654879911479661E-3</v>
      </c>
      <c r="P266" s="25">
        <f>$AD$18*B266+$AD$19</f>
        <v>2.1916666666666664</v>
      </c>
      <c r="Q266" s="25">
        <f>$AD$29*G266+$AD$30</f>
        <v>2.1715667587840271</v>
      </c>
      <c r="R266" s="25">
        <f t="shared" si="48"/>
        <v>2.0099907882639378E-2</v>
      </c>
      <c r="S266" s="26">
        <v>2.1607572457303692</v>
      </c>
      <c r="T266" s="26">
        <f t="shared" si="49"/>
        <v>3.0909420936297227E-2</v>
      </c>
      <c r="U266" s="27">
        <f t="shared" si="50"/>
        <v>1.4103157841656531E-2</v>
      </c>
      <c r="V266" s="28">
        <f t="shared" si="51"/>
        <v>45.929086948764429</v>
      </c>
      <c r="W266" s="27">
        <f t="shared" si="52"/>
        <v>8.0110810202066642E-3</v>
      </c>
      <c r="X266" s="21">
        <v>2.1665636663663412</v>
      </c>
      <c r="Y266" s="21">
        <f t="shared" si="53"/>
        <v>45.998763996396093</v>
      </c>
      <c r="Z266" s="2">
        <f t="shared" si="54"/>
        <v>6.5061771836696361E-3</v>
      </c>
    </row>
    <row r="267" spans="1:26">
      <c r="A267" s="1">
        <v>46.4</v>
      </c>
      <c r="B267" s="1">
        <f t="shared" si="44"/>
        <v>319.54999999999995</v>
      </c>
      <c r="C267" s="4">
        <f>ROUND(10000*EXP(($AB$4)+($AC$4/B267)+($AD$4/(B267^2))+($AE$4/(B267^3))),6)</f>
        <v>4139.882173</v>
      </c>
      <c r="D267" s="4">
        <f>((C267+2*$AC$5)*$AC$6)/((C267+2*$AC$5)+$AC$6)</f>
        <v>1637.2995313690792</v>
      </c>
      <c r="E267" s="4">
        <f t="shared" si="45"/>
        <v>1.6372995313690792</v>
      </c>
      <c r="F267" s="24">
        <v>9.9990399102947171E-4</v>
      </c>
      <c r="G267" s="6">
        <v>1.6352282677611272</v>
      </c>
      <c r="H267" s="2">
        <f t="shared" si="46"/>
        <v>1.2650486781854238E-3</v>
      </c>
      <c r="I267" s="5">
        <f>G267/F267</f>
        <v>1635.3852794182212</v>
      </c>
      <c r="J267" s="2">
        <f>ABS(D267-I267)/I267</f>
        <v>1.170520473034325E-3</v>
      </c>
      <c r="K267" s="1">
        <f>$AD$10*B267+$AD$11</f>
        <v>1629.6526556887839</v>
      </c>
      <c r="L267" s="2">
        <f>ABS(K267-D267)/D267</f>
        <v>4.6704195132219808E-3</v>
      </c>
      <c r="M267" s="21">
        <f>K267*F267</f>
        <v>1.6294961944149924</v>
      </c>
      <c r="N267" s="2">
        <f>ABS(M267-G267)/M267</f>
        <v>3.5176966756848864E-3</v>
      </c>
      <c r="O267" s="21">
        <f t="shared" si="47"/>
        <v>5.7320733461347917E-3</v>
      </c>
      <c r="P267" s="25">
        <f>$AD$18*B267+$AD$19</f>
        <v>2.1999999999999993</v>
      </c>
      <c r="Q267" s="25">
        <f>$AD$29*G267+$AD$30</f>
        <v>2.179663861892589</v>
      </c>
      <c r="R267" s="25">
        <f t="shared" si="48"/>
        <v>2.0336138107410306E-2</v>
      </c>
      <c r="S267" s="26">
        <v>2.1691743978396656</v>
      </c>
      <c r="T267" s="26">
        <f t="shared" si="49"/>
        <v>3.0825602160333698E-2</v>
      </c>
      <c r="U267" s="27">
        <f t="shared" si="50"/>
        <v>1.4011637345606232E-2</v>
      </c>
      <c r="V267" s="28">
        <f t="shared" si="51"/>
        <v>46.030092774075989</v>
      </c>
      <c r="W267" s="27">
        <f t="shared" si="52"/>
        <v>7.9721384897415894E-3</v>
      </c>
      <c r="X267" s="21">
        <v>2.1763753010747502</v>
      </c>
      <c r="Y267" s="21">
        <f t="shared" si="53"/>
        <v>46.116503612897006</v>
      </c>
      <c r="Z267" s="2">
        <f t="shared" si="54"/>
        <v>6.1098359289438091E-3</v>
      </c>
    </row>
    <row r="268" spans="1:26">
      <c r="A268" s="1">
        <v>46.5</v>
      </c>
      <c r="B268" s="1">
        <f t="shared" si="44"/>
        <v>319.64999999999998</v>
      </c>
      <c r="C268" s="4">
        <f>ROUND(10000*EXP(($AB$4)+($AC$4/B268)+($AD$4/(B268^2))+($AE$4/(B268^3))),6)</f>
        <v>4123.8612810000004</v>
      </c>
      <c r="D268" s="4">
        <f>((C268+2*$AC$5)*$AC$6)/((C268+2*$AC$5)+$AC$6)</f>
        <v>1634.8118407603358</v>
      </c>
      <c r="E268" s="4">
        <f t="shared" si="45"/>
        <v>1.6348118407603358</v>
      </c>
      <c r="F268" s="24">
        <v>9.9990399102947171E-4</v>
      </c>
      <c r="G268" s="6">
        <v>1.632549917222069</v>
      </c>
      <c r="H268" s="2">
        <f t="shared" si="46"/>
        <v>1.3835987003952819E-3</v>
      </c>
      <c r="I268" s="5">
        <f>G268/F268</f>
        <v>1632.7066717087944</v>
      </c>
      <c r="J268" s="2">
        <f>ABS(D268-I268)/I268</f>
        <v>1.2893737056504935E-3</v>
      </c>
      <c r="K268" s="1">
        <f>$AD$10*B268+$AD$11</f>
        <v>1627.3035437699091</v>
      </c>
      <c r="L268" s="2">
        <f>ABS(K268-D268)/D268</f>
        <v>4.5927591195661418E-3</v>
      </c>
      <c r="M268" s="21">
        <f>K268*F268</f>
        <v>1.6271473080319347</v>
      </c>
      <c r="N268" s="2">
        <f>ABS(M268-G268)/M268</f>
        <v>3.3202950731417193E-3</v>
      </c>
      <c r="O268" s="21">
        <f t="shared" si="47"/>
        <v>5.4026091901342443E-3</v>
      </c>
      <c r="P268" s="25">
        <f>$AD$18*B268+$AD$19</f>
        <v>2.2083333333333321</v>
      </c>
      <c r="Q268" s="25">
        <f>$AD$29*G268+$AD$30</f>
        <v>2.1891660617377928</v>
      </c>
      <c r="R268" s="25">
        <f t="shared" si="48"/>
        <v>1.9167271595539326E-2</v>
      </c>
      <c r="S268" s="26">
        <v>2.1790521847857036</v>
      </c>
      <c r="T268" s="26">
        <f t="shared" si="49"/>
        <v>2.9281148547628533E-2</v>
      </c>
      <c r="U268" s="27">
        <f t="shared" si="50"/>
        <v>1.3259388021567644E-2</v>
      </c>
      <c r="V268" s="28">
        <f t="shared" si="51"/>
        <v>46.148626217428443</v>
      </c>
      <c r="W268" s="27">
        <f t="shared" si="52"/>
        <v>7.5564254316463787E-3</v>
      </c>
      <c r="X268" s="21">
        <v>2.1847810716002094</v>
      </c>
      <c r="Y268" s="21">
        <f t="shared" si="53"/>
        <v>46.21737285920252</v>
      </c>
      <c r="Z268" s="2">
        <f t="shared" si="54"/>
        <v>6.0780030279027975E-3</v>
      </c>
    </row>
    <row r="269" spans="1:26">
      <c r="A269" s="1">
        <v>46.6</v>
      </c>
      <c r="B269" s="1">
        <f t="shared" si="44"/>
        <v>319.75</v>
      </c>
      <c r="C269" s="4">
        <f>ROUND(10000*EXP(($AB$4)+($AC$4/B269)+($AD$4/(B269^2))+($AE$4/(B269^3))),6)</f>
        <v>4107.911169</v>
      </c>
      <c r="D269" s="4">
        <f>((C269+2*$AC$5)*$AC$6)/((C269+2*$AC$5)+$AC$6)</f>
        <v>1632.3235438243589</v>
      </c>
      <c r="E269" s="4">
        <f t="shared" si="45"/>
        <v>1.6323235438243588</v>
      </c>
      <c r="F269" s="24">
        <v>9.9990399102947171E-4</v>
      </c>
      <c r="G269" s="6">
        <v>1.6300615534030216</v>
      </c>
      <c r="H269" s="2">
        <f t="shared" si="46"/>
        <v>1.3857488179320342E-3</v>
      </c>
      <c r="I269" s="5">
        <f>G269/F269</f>
        <v>1630.2180689615593</v>
      </c>
      <c r="J269" s="2">
        <f>ABS(D269-I269)/I269</f>
        <v>1.2915295829967013E-3</v>
      </c>
      <c r="K269" s="1">
        <f>$AD$10*B269+$AD$11</f>
        <v>1624.9544318510343</v>
      </c>
      <c r="L269" s="2">
        <f>ABS(K269-D269)/D269</f>
        <v>4.5144922409558388E-3</v>
      </c>
      <c r="M269" s="21">
        <f>K269*F269</f>
        <v>1.6247984216488769</v>
      </c>
      <c r="N269" s="2">
        <f>ABS(M269-G269)/M269</f>
        <v>3.2392521336915107E-3</v>
      </c>
      <c r="O269" s="21">
        <f t="shared" si="47"/>
        <v>5.2631317541447231E-3</v>
      </c>
      <c r="P269" s="25">
        <f>$AD$18*B269+$AD$19</f>
        <v>2.2166666666666686</v>
      </c>
      <c r="Q269" s="25">
        <f>$AD$29*G269+$AD$30</f>
        <v>2.1979942304003153</v>
      </c>
      <c r="R269" s="25">
        <f t="shared" si="48"/>
        <v>1.8672436266353287E-2</v>
      </c>
      <c r="S269" s="26">
        <v>2.1882292988669398</v>
      </c>
      <c r="T269" s="26">
        <f t="shared" si="49"/>
        <v>2.8437367799728719E-2</v>
      </c>
      <c r="U269" s="27">
        <f t="shared" si="50"/>
        <v>1.2828887729200916E-2</v>
      </c>
      <c r="V269" s="28">
        <f t="shared" si="51"/>
        <v>46.258751586403278</v>
      </c>
      <c r="W269" s="27">
        <f t="shared" si="52"/>
        <v>7.3229273304017874E-3</v>
      </c>
      <c r="X269" s="21">
        <v>2.1939210978085928</v>
      </c>
      <c r="Y269" s="21">
        <f t="shared" si="53"/>
        <v>46.327053173703121</v>
      </c>
      <c r="Z269" s="2">
        <f t="shared" si="54"/>
        <v>5.8572280321219057E-3</v>
      </c>
    </row>
    <row r="270" spans="1:26">
      <c r="A270" s="1">
        <v>46.7</v>
      </c>
      <c r="B270" s="1">
        <f t="shared" si="44"/>
        <v>319.84999999999997</v>
      </c>
      <c r="C270" s="4">
        <f>ROUND(10000*EXP(($AB$4)+($AC$4/B270)+($AD$4/(B270^2))+($AE$4/(B270^3))),6)</f>
        <v>4092.0314880000001</v>
      </c>
      <c r="D270" s="4">
        <f>((C270+2*$AC$5)*$AC$6)/((C270+2*$AC$5)+$AC$6)</f>
        <v>1629.8346590379122</v>
      </c>
      <c r="E270" s="4">
        <f t="shared" si="45"/>
        <v>1.6298346590379122</v>
      </c>
      <c r="F270" s="24">
        <v>9.9990399102947171E-4</v>
      </c>
      <c r="G270" s="6">
        <v>1.6275675293463943</v>
      </c>
      <c r="H270" s="2">
        <f t="shared" si="46"/>
        <v>1.3910182109247019E-3</v>
      </c>
      <c r="I270" s="5">
        <f>G270/F270</f>
        <v>1627.7238054332583</v>
      </c>
      <c r="J270" s="2">
        <f>ABS(D270-I270)/I270</f>
        <v>1.2968131310778224E-3</v>
      </c>
      <c r="K270" s="1">
        <f>$AD$10*B270+$AD$11</f>
        <v>1622.6053199321614</v>
      </c>
      <c r="L270" s="2">
        <f>ABS(K270-D270)/D270</f>
        <v>4.4356272985495715E-3</v>
      </c>
      <c r="M270" s="21">
        <f>K270*F270</f>
        <v>1.622449535265821</v>
      </c>
      <c r="N270" s="2">
        <f>ABS(M270-G270)/M270</f>
        <v>3.1544858372033746E-3</v>
      </c>
      <c r="O270" s="21">
        <f t="shared" si="47"/>
        <v>5.1179940805732294E-3</v>
      </c>
      <c r="P270" s="25">
        <f>$AD$18*B270+$AD$19</f>
        <v>2.2249999999999979</v>
      </c>
      <c r="Q270" s="25">
        <f>$AD$29*G270+$AD$30</f>
        <v>2.2068424803434139</v>
      </c>
      <c r="R270" s="25">
        <f t="shared" si="48"/>
        <v>1.8157519656583965E-2</v>
      </c>
      <c r="S270" s="26">
        <v>2.1974272876632295</v>
      </c>
      <c r="T270" s="26">
        <f t="shared" si="49"/>
        <v>2.757271233676839E-2</v>
      </c>
      <c r="U270" s="27">
        <f t="shared" si="50"/>
        <v>1.2392230263716142E-2</v>
      </c>
      <c r="V270" s="28">
        <f t="shared" si="51"/>
        <v>46.369127451958754</v>
      </c>
      <c r="W270" s="27">
        <f t="shared" si="52"/>
        <v>7.0850652685492312E-3</v>
      </c>
      <c r="X270" s="21">
        <v>2.2030818644144041</v>
      </c>
      <c r="Y270" s="21">
        <f t="shared" si="53"/>
        <v>46.436982372972857</v>
      </c>
      <c r="Z270" s="2">
        <f t="shared" si="54"/>
        <v>5.6320691012236882E-3</v>
      </c>
    </row>
    <row r="271" spans="1:26">
      <c r="A271" s="1">
        <v>46.8</v>
      </c>
      <c r="B271" s="1">
        <f t="shared" si="44"/>
        <v>319.95</v>
      </c>
      <c r="C271" s="4">
        <f>ROUND(10000*EXP(($AB$4)+($AC$4/B271)+($AD$4/(B271^2))+($AE$4/(B271^3))),6)</f>
        <v>4076.2218889999999</v>
      </c>
      <c r="D271" s="4">
        <f>((C271+2*$AC$5)*$AC$6)/((C271+2*$AC$5)+$AC$6)</f>
        <v>1627.3452045762069</v>
      </c>
      <c r="E271" s="4">
        <f t="shared" si="45"/>
        <v>1.6273452045762069</v>
      </c>
      <c r="F271" s="24">
        <v>9.9990399102947171E-4</v>
      </c>
      <c r="G271" s="6">
        <v>1.6250678738690891</v>
      </c>
      <c r="H271" s="2">
        <f t="shared" si="46"/>
        <v>1.3994146421507645E-3</v>
      </c>
      <c r="I271" s="5">
        <f>G271/F271</f>
        <v>1625.2239099435608</v>
      </c>
      <c r="J271" s="2">
        <f>ABS(D271-I271)/I271</f>
        <v>1.3052322327203559E-3</v>
      </c>
      <c r="K271" s="1">
        <f>$AD$10*B271+$AD$11</f>
        <v>1620.2562080132875</v>
      </c>
      <c r="L271" s="2">
        <f>ABS(K271-D271)/D271</f>
        <v>4.3561725827959991E-3</v>
      </c>
      <c r="M271" s="21">
        <f>K271*F271</f>
        <v>1.6201006488827641</v>
      </c>
      <c r="N271" s="2">
        <f>ABS(M271-G271)/M271</f>
        <v>3.0659977759718276E-3</v>
      </c>
      <c r="O271" s="21">
        <f t="shared" si="47"/>
        <v>4.9672249863250695E-3</v>
      </c>
      <c r="P271" s="25">
        <f>$AD$18*B271+$AD$19</f>
        <v>2.2333333333333343</v>
      </c>
      <c r="Q271" s="25">
        <f>$AD$29*G271+$AD$30</f>
        <v>2.2157107093310442</v>
      </c>
      <c r="R271" s="25">
        <f t="shared" si="48"/>
        <v>1.7622624002290088E-2</v>
      </c>
      <c r="S271" s="26">
        <v>2.2066460452716115</v>
      </c>
      <c r="T271" s="26">
        <f t="shared" si="49"/>
        <v>2.6687288061722825E-2</v>
      </c>
      <c r="U271" s="27">
        <f t="shared" si="50"/>
        <v>1.1949531967935589E-2</v>
      </c>
      <c r="V271" s="28">
        <f t="shared" si="51"/>
        <v>46.479752543259337</v>
      </c>
      <c r="W271" s="27">
        <f t="shared" si="52"/>
        <v>6.8428943748004211E-3</v>
      </c>
      <c r="X271" s="21">
        <v>2.2122632651161434</v>
      </c>
      <c r="Y271" s="21">
        <f t="shared" si="53"/>
        <v>46.547159181393724</v>
      </c>
      <c r="Z271" s="2">
        <f t="shared" si="54"/>
        <v>5.4025815941511407E-3</v>
      </c>
    </row>
    <row r="272" spans="1:26">
      <c r="A272" s="1">
        <v>46.9</v>
      </c>
      <c r="B272" s="1">
        <f t="shared" si="44"/>
        <v>320.04999999999995</v>
      </c>
      <c r="C272" s="4">
        <f>ROUND(10000*EXP(($AB$4)+($AC$4/B272)+($AD$4/(B272^2))+($AE$4/(B272^3))),6)</f>
        <v>4060.4820289999998</v>
      </c>
      <c r="D272" s="4">
        <f>((C272+2*$AC$5)*$AC$6)/((C272+2*$AC$5)+$AC$6)</f>
        <v>1624.8551992585776</v>
      </c>
      <c r="E272" s="4">
        <f t="shared" si="45"/>
        <v>1.6248551992585776</v>
      </c>
      <c r="F272" s="24">
        <v>9.9990399102947171E-4</v>
      </c>
      <c r="G272" s="6">
        <v>1.6225626158481732</v>
      </c>
      <c r="H272" s="2">
        <f t="shared" si="46"/>
        <v>1.4109462870602249E-3</v>
      </c>
      <c r="I272" s="5">
        <f>G272/F272</f>
        <v>1622.7184113723063</v>
      </c>
      <c r="J272" s="2">
        <f>ABS(D272-I272)/I272</f>
        <v>1.3167952438921939E-3</v>
      </c>
      <c r="K272" s="1">
        <f>$AD$10*B272+$AD$11</f>
        <v>1617.9070960944136</v>
      </c>
      <c r="L272" s="2">
        <f>ABS(K272-D272)/D272</f>
        <v>4.2761368319677905E-3</v>
      </c>
      <c r="M272" s="21">
        <f>K272*F272</f>
        <v>1.6177517624997073</v>
      </c>
      <c r="N272" s="2">
        <f>ABS(M272-G272)/M272</f>
        <v>2.973789588726683E-3</v>
      </c>
      <c r="O272" s="21">
        <f t="shared" si="47"/>
        <v>4.8108533484658711E-3</v>
      </c>
      <c r="P272" s="25">
        <f>$AD$18*B272+$AD$19</f>
        <v>2.2416666666666636</v>
      </c>
      <c r="Q272" s="25">
        <f>$AD$29*G272+$AD$30</f>
        <v>2.224598814913711</v>
      </c>
      <c r="R272" s="25">
        <f t="shared" si="48"/>
        <v>1.7067851752952556E-2</v>
      </c>
      <c r="S272" s="26">
        <v>2.215885465498808</v>
      </c>
      <c r="T272" s="26">
        <f t="shared" si="49"/>
        <v>2.5781201167855539E-2</v>
      </c>
      <c r="U272" s="27">
        <f t="shared" si="50"/>
        <v>1.150090758417349E-2</v>
      </c>
      <c r="V272" s="28">
        <f t="shared" si="51"/>
        <v>46.590625585985698</v>
      </c>
      <c r="W272" s="27">
        <f t="shared" si="52"/>
        <v>6.5964693819680221E-3</v>
      </c>
      <c r="X272" s="21">
        <v>2.2214651931791507</v>
      </c>
      <c r="Y272" s="21">
        <f t="shared" si="53"/>
        <v>46.657582318149807</v>
      </c>
      <c r="Z272" s="2">
        <f t="shared" si="54"/>
        <v>5.1688205085328783E-3</v>
      </c>
    </row>
    <row r="273" spans="1:26">
      <c r="A273" s="1">
        <v>47</v>
      </c>
      <c r="B273" s="1">
        <f t="shared" si="44"/>
        <v>320.14999999999998</v>
      </c>
      <c r="C273" s="4">
        <f>ROUND(10000*EXP(($AB$4)+($AC$4/B273)+($AD$4/(B273^2))+($AE$4/(B273^3))),6)</f>
        <v>4044.8115640000001</v>
      </c>
      <c r="D273" s="4">
        <f>((C273+2*$AC$5)*$AC$6)/((C273+2*$AC$5)+$AC$6)</f>
        <v>1622.3646614497184</v>
      </c>
      <c r="E273" s="4">
        <f t="shared" si="45"/>
        <v>1.6223646614497185</v>
      </c>
      <c r="F273" s="24">
        <v>9.9990399102947171E-4</v>
      </c>
      <c r="G273" s="6">
        <v>1.6200517842196041</v>
      </c>
      <c r="H273" s="2">
        <f t="shared" si="46"/>
        <v>1.4256210610798618E-3</v>
      </c>
      <c r="I273" s="5">
        <f>G273/F273</f>
        <v>1620.207338658231</v>
      </c>
      <c r="J273" s="2">
        <f>ABS(D273-I273)/I273</f>
        <v>1.3315103197063104E-3</v>
      </c>
      <c r="K273" s="1">
        <f>$AD$10*B273+$AD$11</f>
        <v>1615.5579841755398</v>
      </c>
      <c r="L273" s="2">
        <f>ABS(K273-D273)/D273</f>
        <v>4.1955285614371359E-3</v>
      </c>
      <c r="M273" s="21">
        <f>K273*F273</f>
        <v>1.6154028761166503</v>
      </c>
      <c r="N273" s="2">
        <f>ABS(M273-G273)/M273</f>
        <v>2.8778629601857939E-3</v>
      </c>
      <c r="O273" s="21">
        <f t="shared" si="47"/>
        <v>4.6489081029537083E-3</v>
      </c>
      <c r="P273" s="25">
        <f>$AD$18*B273+$AD$19</f>
        <v>2.25</v>
      </c>
      <c r="Q273" s="25">
        <f>$AD$29*G273+$AD$30</f>
        <v>2.2335066944329887</v>
      </c>
      <c r="R273" s="25">
        <f t="shared" si="48"/>
        <v>1.649330556701134E-2</v>
      </c>
      <c r="S273" s="26">
        <v>2.2251454404733169</v>
      </c>
      <c r="T273" s="26">
        <f t="shared" si="49"/>
        <v>2.485455952668314E-2</v>
      </c>
      <c r="U273" s="27">
        <f t="shared" si="50"/>
        <v>1.1046470900748062E-2</v>
      </c>
      <c r="V273" s="28">
        <f t="shared" si="51"/>
        <v>46.701745285679806</v>
      </c>
      <c r="W273" s="27">
        <f t="shared" si="52"/>
        <v>6.3458449855360449E-3</v>
      </c>
      <c r="X273" s="21">
        <v>2.2306875418159442</v>
      </c>
      <c r="Y273" s="21">
        <f t="shared" si="53"/>
        <v>46.768250501791329</v>
      </c>
      <c r="Z273" s="2">
        <f t="shared" si="54"/>
        <v>4.9308403874185405E-3</v>
      </c>
    </row>
    <row r="274" spans="1:26">
      <c r="A274" s="1">
        <v>47.1</v>
      </c>
      <c r="B274" s="1">
        <f t="shared" si="44"/>
        <v>320.25</v>
      </c>
      <c r="C274" s="4">
        <f>ROUND(10000*EXP(($AB$4)+($AC$4/B274)+($AD$4/(B274^2))+($AE$4/(B274^3))),6)</f>
        <v>4029.2101520000001</v>
      </c>
      <c r="D274" s="4">
        <f>((C274+2*$AC$5)*$AC$6)/((C274+2*$AC$5)+$AC$6)</f>
        <v>1619.8736095304801</v>
      </c>
      <c r="E274" s="4">
        <f t="shared" si="45"/>
        <v>1.61987360953048</v>
      </c>
      <c r="F274" s="24">
        <v>9.9990399102947171E-4</v>
      </c>
      <c r="G274" s="6">
        <v>1.6175354079397679</v>
      </c>
      <c r="H274" s="2">
        <f t="shared" si="46"/>
        <v>1.4434469312638544E-3</v>
      </c>
      <c r="I274" s="5">
        <f>G274/F274</f>
        <v>1617.6907207605013</v>
      </c>
      <c r="J274" s="2">
        <f>ABS(D274-I274)/I274</f>
        <v>1.3493857274229203E-3</v>
      </c>
      <c r="K274" s="1">
        <f>$AD$10*B274+$AD$11</f>
        <v>1613.208872256665</v>
      </c>
      <c r="L274" s="2">
        <f>ABS(K274-D274)/D274</f>
        <v>4.114356351386456E-3</v>
      </c>
      <c r="M274" s="21">
        <f>K274*F274</f>
        <v>1.6130539897335925</v>
      </c>
      <c r="N274" s="2">
        <f>ABS(M274-G274)/M274</f>
        <v>2.7782195975446324E-3</v>
      </c>
      <c r="O274" s="21">
        <f t="shared" si="47"/>
        <v>4.4814182061754249E-3</v>
      </c>
      <c r="P274" s="25">
        <f>$AD$18*B274+$AD$19</f>
        <v>2.2583333333333364</v>
      </c>
      <c r="Q274" s="25">
        <f>$AD$29*G274+$AD$30</f>
        <v>2.2424342451579742</v>
      </c>
      <c r="R274" s="25">
        <f t="shared" si="48"/>
        <v>1.589908817536223E-2</v>
      </c>
      <c r="S274" s="26">
        <v>2.2344258647543809</v>
      </c>
      <c r="T274" s="26">
        <f t="shared" si="49"/>
        <v>2.3907468578955537E-2</v>
      </c>
      <c r="U274" s="27">
        <f t="shared" si="50"/>
        <v>1.0586332950090999E-2</v>
      </c>
      <c r="V274" s="28">
        <f t="shared" si="51"/>
        <v>46.813110377052574</v>
      </c>
      <c r="W274" s="27">
        <f t="shared" si="52"/>
        <v>6.0910747971852945E-3</v>
      </c>
      <c r="X274" s="21">
        <v>2.2399302036318742</v>
      </c>
      <c r="Y274" s="21">
        <f t="shared" si="53"/>
        <v>46.879162443582494</v>
      </c>
      <c r="Z274" s="2">
        <f t="shared" si="54"/>
        <v>4.688695465339854E-3</v>
      </c>
    </row>
    <row r="275" spans="1:26">
      <c r="A275" s="1">
        <v>47.2</v>
      </c>
      <c r="B275" s="1">
        <f t="shared" si="44"/>
        <v>320.34999999999997</v>
      </c>
      <c r="C275" s="4">
        <f>ROUND(10000*EXP(($AB$4)+($AC$4/B275)+($AD$4/(B275^2))+($AE$4/(B275^3))),6)</f>
        <v>4013.677455</v>
      </c>
      <c r="D275" s="4">
        <f>((C275+2*$AC$5)*$AC$6)/((C275+2*$AC$5)+$AC$6)</f>
        <v>1617.3820622211551</v>
      </c>
      <c r="E275" s="4">
        <f t="shared" si="45"/>
        <v>1.6173820622211552</v>
      </c>
      <c r="F275" s="24">
        <v>9.9990399102947171E-4</v>
      </c>
      <c r="G275" s="6">
        <v>1.6150135161735535</v>
      </c>
      <c r="H275" s="2">
        <f t="shared" si="46"/>
        <v>1.464431999665556E-3</v>
      </c>
      <c r="I275" s="5">
        <f>G275/F275</f>
        <v>1615.1685868468062</v>
      </c>
      <c r="J275" s="2">
        <f>ABS(D275-I275)/I275</f>
        <v>1.3704299305809164E-3</v>
      </c>
      <c r="K275" s="1">
        <f>$AD$10*B275+$AD$11</f>
        <v>1610.8597603377921</v>
      </c>
      <c r="L275" s="2">
        <f>ABS(K275-D275)/D275</f>
        <v>4.032629046476487E-3</v>
      </c>
      <c r="M275" s="21">
        <f>K275*F275</f>
        <v>1.6107051033505366</v>
      </c>
      <c r="N275" s="2">
        <f>ABS(M275-G275)/M275</f>
        <v>2.6748613474028484E-3</v>
      </c>
      <c r="O275" s="21">
        <f t="shared" si="47"/>
        <v>4.3084128230168606E-3</v>
      </c>
      <c r="P275" s="25">
        <f>$AD$18*B275+$AD$19</f>
        <v>2.2666666666666657</v>
      </c>
      <c r="Q275" s="25">
        <f>$AD$29*G275+$AD$30</f>
        <v>2.2513813636180426</v>
      </c>
      <c r="R275" s="25">
        <f t="shared" si="48"/>
        <v>1.5285303048623078E-2</v>
      </c>
      <c r="S275" s="26">
        <v>2.2437266302094998</v>
      </c>
      <c r="T275" s="26">
        <f t="shared" si="49"/>
        <v>2.2940036457165913E-2</v>
      </c>
      <c r="U275" s="27">
        <f t="shared" si="50"/>
        <v>1.0120604319337907E-2</v>
      </c>
      <c r="V275" s="28">
        <f t="shared" si="51"/>
        <v>46.924719562513999</v>
      </c>
      <c r="W275" s="27">
        <f t="shared" si="52"/>
        <v>5.8322126586017667E-3</v>
      </c>
      <c r="X275" s="21">
        <v>2.2491930714401867</v>
      </c>
      <c r="Y275" s="21">
        <f t="shared" si="53"/>
        <v>46.990316857282238</v>
      </c>
      <c r="Z275" s="2">
        <f t="shared" si="54"/>
        <v>4.4424394643594227E-3</v>
      </c>
    </row>
    <row r="276" spans="1:26">
      <c r="A276" s="1">
        <v>47.3</v>
      </c>
      <c r="B276" s="1">
        <f t="shared" si="44"/>
        <v>320.45</v>
      </c>
      <c r="C276" s="4">
        <f>ROUND(10000*EXP(($AB$4)+($AC$4/B276)+($AD$4/(B276^2))+($AE$4/(B276^3))),6)</f>
        <v>3998.213135</v>
      </c>
      <c r="D276" s="4">
        <f>((C276+2*$AC$5)*$AC$6)/((C276+2*$AC$5)+$AC$6)</f>
        <v>1614.8900379445911</v>
      </c>
      <c r="E276" s="4">
        <f t="shared" si="45"/>
        <v>1.6148900379445912</v>
      </c>
      <c r="F276" s="24">
        <v>9.9990399102947171E-4</v>
      </c>
      <c r="G276" s="6">
        <v>1.6126781082096302</v>
      </c>
      <c r="H276" s="2">
        <f t="shared" si="46"/>
        <v>1.3697091956652941E-3</v>
      </c>
      <c r="I276" s="5">
        <f>G276/F276</f>
        <v>1612.8329546412394</v>
      </c>
      <c r="J276" s="2">
        <f>ABS(D276-I276)/I276</f>
        <v>1.2754472169185225E-3</v>
      </c>
      <c r="K276" s="1">
        <f>$AD$10*B276+$AD$11</f>
        <v>1608.5106484189173</v>
      </c>
      <c r="L276" s="2">
        <f>ABS(K276-D276)/D276</f>
        <v>3.9503553652441761E-3</v>
      </c>
      <c r="M276" s="21">
        <f>K276*F276</f>
        <v>1.6083562169674788</v>
      </c>
      <c r="N276" s="2">
        <f>ABS(M276-G276)/M276</f>
        <v>2.6871480313610287E-3</v>
      </c>
      <c r="O276" s="21">
        <f t="shared" si="47"/>
        <v>4.3218912421514322E-3</v>
      </c>
      <c r="P276" s="25">
        <f>$AD$18*B276+$AD$19</f>
        <v>2.2750000000000021</v>
      </c>
      <c r="Q276" s="25">
        <f>$AD$29*G276+$AD$30</f>
        <v>2.2596668784786491</v>
      </c>
      <c r="R276" s="25">
        <f t="shared" si="48"/>
        <v>1.5333121521353021E-2</v>
      </c>
      <c r="S276" s="26">
        <v>2.2523396410489016</v>
      </c>
      <c r="T276" s="26">
        <f t="shared" si="49"/>
        <v>2.2660358951100523E-2</v>
      </c>
      <c r="U276" s="27">
        <f t="shared" si="50"/>
        <v>9.9605973411430772E-3</v>
      </c>
      <c r="V276" s="28">
        <f t="shared" si="51"/>
        <v>47.028075692586818</v>
      </c>
      <c r="W276" s="27">
        <f t="shared" si="52"/>
        <v>5.7489282751200773E-3</v>
      </c>
      <c r="X276" s="21">
        <v>2.2577725999780975</v>
      </c>
      <c r="Y276" s="21">
        <f t="shared" si="53"/>
        <v>47.093271199737174</v>
      </c>
      <c r="Z276" s="2">
        <f t="shared" si="54"/>
        <v>4.3705877434000668E-3</v>
      </c>
    </row>
    <row r="277" spans="1:26">
      <c r="A277" s="1">
        <v>47.4</v>
      </c>
      <c r="B277" s="1">
        <f t="shared" si="44"/>
        <v>320.54999999999995</v>
      </c>
      <c r="C277" s="4">
        <f>ROUND(10000*EXP(($AB$4)+($AC$4/B277)+($AD$4/(B277^2))+($AE$4/(B277^3))),6)</f>
        <v>3982.816855</v>
      </c>
      <c r="D277" s="4">
        <f>((C277+2*$AC$5)*$AC$6)/((C277+2*$AC$5)+$AC$6)</f>
        <v>1612.3975549828745</v>
      </c>
      <c r="E277" s="4">
        <f t="shared" si="45"/>
        <v>1.6123975549828744</v>
      </c>
      <c r="F277" s="24">
        <v>9.9990399102947171E-4</v>
      </c>
      <c r="G277" s="6">
        <v>1.6101449743907126</v>
      </c>
      <c r="H277" s="2">
        <f t="shared" si="46"/>
        <v>1.3970379607687689E-3</v>
      </c>
      <c r="I277" s="5">
        <f>G277/F277</f>
        <v>1610.2995775953996</v>
      </c>
      <c r="J277" s="2">
        <f>ABS(D277-I277)/I277</f>
        <v>1.3028491199182427E-3</v>
      </c>
      <c r="K277" s="1">
        <f>$AD$10*B277+$AD$11</f>
        <v>1606.1615365000443</v>
      </c>
      <c r="L277" s="2">
        <f>ABS(K277-D277)/D277</f>
        <v>3.867543995932404E-3</v>
      </c>
      <c r="M277" s="21">
        <f>K277*F277</f>
        <v>1.6060073305844229</v>
      </c>
      <c r="N277" s="2">
        <f>ABS(M277-G277)/M277</f>
        <v>2.5763542466421931E-3</v>
      </c>
      <c r="O277" s="21">
        <f t="shared" si="47"/>
        <v>4.1376438062896703E-3</v>
      </c>
      <c r="P277" s="25">
        <f>$AD$18*B277+$AD$19</f>
        <v>2.2833333333333314</v>
      </c>
      <c r="Q277" s="25">
        <f>$AD$29*G277+$AD$30</f>
        <v>2.268653881274207</v>
      </c>
      <c r="R277" s="25">
        <f t="shared" si="48"/>
        <v>1.4679452059124465E-2</v>
      </c>
      <c r="S277" s="26">
        <v>2.2616818673285399</v>
      </c>
      <c r="T277" s="26">
        <f t="shared" si="49"/>
        <v>2.1651466004791509E-2</v>
      </c>
      <c r="U277" s="27">
        <f t="shared" si="50"/>
        <v>9.4823938707116178E-3</v>
      </c>
      <c r="V277" s="28">
        <f t="shared" si="51"/>
        <v>47.140182407942483</v>
      </c>
      <c r="W277" s="27">
        <f t="shared" si="52"/>
        <v>5.4813837986817694E-3</v>
      </c>
      <c r="X277" s="21">
        <v>2.2670766648299465</v>
      </c>
      <c r="Y277" s="21">
        <f t="shared" si="53"/>
        <v>47.204919977959356</v>
      </c>
      <c r="Z277" s="2">
        <f t="shared" si="54"/>
        <v>4.1156122793384415E-3</v>
      </c>
    </row>
    <row r="278" spans="1:26">
      <c r="A278" s="1">
        <v>47.5</v>
      </c>
      <c r="B278" s="1">
        <f t="shared" si="44"/>
        <v>320.64999999999998</v>
      </c>
      <c r="C278" s="4">
        <f>ROUND(10000*EXP(($AB$4)+($AC$4/B278)+($AD$4/(B278^2))+($AE$4/(B278^3))),6)</f>
        <v>3967.4882819999998</v>
      </c>
      <c r="D278" s="4">
        <f>((C278+2*$AC$5)*$AC$6)/((C278+2*$AC$5)+$AC$6)</f>
        <v>1609.9046319644824</v>
      </c>
      <c r="E278" s="4">
        <f t="shared" si="45"/>
        <v>1.6099046319644825</v>
      </c>
      <c r="F278" s="24">
        <v>9.9990399102947171E-4</v>
      </c>
      <c r="G278" s="6">
        <v>1.6076064124247353</v>
      </c>
      <c r="H278" s="2">
        <f t="shared" si="46"/>
        <v>1.4275501132901174E-3</v>
      </c>
      <c r="I278" s="5">
        <f>G278/F278</f>
        <v>1607.7607718812994</v>
      </c>
      <c r="J278" s="2">
        <f>ABS(D278-I278)/I278</f>
        <v>1.3334447018970136E-3</v>
      </c>
      <c r="K278" s="1">
        <f>$AD$10*B278+$AD$11</f>
        <v>1603.8124245811696</v>
      </c>
      <c r="L278" s="2">
        <f>ABS(K278-D278)/D278</f>
        <v>3.784203897766803E-3</v>
      </c>
      <c r="M278" s="21">
        <f>K278*F278</f>
        <v>1.6036584442013651</v>
      </c>
      <c r="N278" s="2">
        <f>ABS(M278-G278)/M278</f>
        <v>2.4618510491717649E-3</v>
      </c>
      <c r="O278" s="21">
        <f t="shared" si="47"/>
        <v>3.9479682233702906E-3</v>
      </c>
      <c r="P278" s="25">
        <f>$AD$18*B278+$AD$19</f>
        <v>2.2916666666666679</v>
      </c>
      <c r="Q278" s="25">
        <f>$AD$29*G278+$AD$30</f>
        <v>2.277660141944116</v>
      </c>
      <c r="R278" s="25">
        <f t="shared" si="48"/>
        <v>1.4006524722551816E-2</v>
      </c>
      <c r="S278" s="26">
        <v>2.2710441125259551</v>
      </c>
      <c r="T278" s="26">
        <f t="shared" si="49"/>
        <v>2.062255414071279E-2</v>
      </c>
      <c r="U278" s="27">
        <f t="shared" si="50"/>
        <v>8.9989327159473945E-3</v>
      </c>
      <c r="V278" s="28">
        <f t="shared" si="51"/>
        <v>47.252529350311463</v>
      </c>
      <c r="W278" s="27">
        <f t="shared" si="52"/>
        <v>5.2099084144955265E-3</v>
      </c>
      <c r="X278" s="21">
        <v>2.2764006124153497</v>
      </c>
      <c r="Y278" s="21">
        <f t="shared" si="53"/>
        <v>47.316807348984199</v>
      </c>
      <c r="Z278" s="2">
        <f t="shared" si="54"/>
        <v>3.8566873898063427E-3</v>
      </c>
    </row>
    <row r="279" spans="1:26">
      <c r="A279" s="1">
        <v>47.6</v>
      </c>
      <c r="B279" s="1">
        <f t="shared" si="44"/>
        <v>320.75</v>
      </c>
      <c r="C279" s="4">
        <f>ROUND(10000*EXP(($AB$4)+($AC$4/B279)+($AD$4/(B279^2))+($AE$4/(B279^3))),6)</f>
        <v>3952.2270840000001</v>
      </c>
      <c r="D279" s="4">
        <f>((C279+2*$AC$5)*$AC$6)/((C279+2*$AC$5)+$AC$6)</f>
        <v>1607.4112873823765</v>
      </c>
      <c r="E279" s="4">
        <f t="shared" si="45"/>
        <v>1.6074112873823765</v>
      </c>
      <c r="F279" s="24">
        <v>9.9990399102947171E-4</v>
      </c>
      <c r="G279" s="6">
        <v>1.6050624563576521</v>
      </c>
      <c r="H279" s="2">
        <f t="shared" si="46"/>
        <v>1.4612507969565085E-3</v>
      </c>
      <c r="I279" s="5">
        <f>G279/F279</f>
        <v>1605.2165715481615</v>
      </c>
      <c r="J279" s="2">
        <f>ABS(D279-I279)/I279</f>
        <v>1.3672397065389722E-3</v>
      </c>
      <c r="K279" s="1">
        <f>$AD$10*B279+$AD$11</f>
        <v>1601.4633126622957</v>
      </c>
      <c r="L279" s="2">
        <f>ABS(K279-D279)/D279</f>
        <v>3.7003440045309576E-3</v>
      </c>
      <c r="M279" s="21">
        <f>K279*F279</f>
        <v>1.6013095578183083</v>
      </c>
      <c r="N279" s="2">
        <f>ABS(M279-G279)/M279</f>
        <v>2.3436433767727608E-3</v>
      </c>
      <c r="O279" s="21">
        <f t="shared" si="47"/>
        <v>3.7528985393437968E-3</v>
      </c>
      <c r="P279" s="25">
        <f>$AD$18*B279+$AD$19</f>
        <v>2.3000000000000007</v>
      </c>
      <c r="Q279" s="25">
        <f>$AD$29*G279+$AD$30</f>
        <v>2.2866855397008052</v>
      </c>
      <c r="R279" s="25">
        <f t="shared" si="48"/>
        <v>1.3314460299195474E-2</v>
      </c>
      <c r="S279" s="26">
        <v>2.2804262512773974</v>
      </c>
      <c r="T279" s="26">
        <f t="shared" si="49"/>
        <v>1.9573748722603312E-2</v>
      </c>
      <c r="U279" s="27">
        <f t="shared" si="50"/>
        <v>8.5103255315666544E-3</v>
      </c>
      <c r="V279" s="28">
        <f t="shared" si="51"/>
        <v>47.365115015328769</v>
      </c>
      <c r="W279" s="27">
        <f t="shared" si="52"/>
        <v>4.9345585014964836E-3</v>
      </c>
      <c r="X279" s="21">
        <v>2.2857443344729758</v>
      </c>
      <c r="Y279" s="21">
        <f t="shared" si="53"/>
        <v>47.428932013675713</v>
      </c>
      <c r="Z279" s="2">
        <f t="shared" si="54"/>
        <v>3.5938652589136296E-3</v>
      </c>
    </row>
    <row r="280" spans="1:26">
      <c r="A280" s="1">
        <v>47.7</v>
      </c>
      <c r="B280" s="1">
        <f t="shared" si="44"/>
        <v>320.84999999999997</v>
      </c>
      <c r="C280" s="4">
        <f>ROUND(10000*EXP(($AB$4)+($AC$4/B280)+($AD$4/(B280^2))+($AE$4/(B280^3))),6)</f>
        <v>3937.032929</v>
      </c>
      <c r="D280" s="4">
        <f>((C280+2*$AC$5)*$AC$6)/((C280+2*$AC$5)+$AC$6)</f>
        <v>1604.9175394277217</v>
      </c>
      <c r="E280" s="4">
        <f t="shared" si="45"/>
        <v>1.6049175394277218</v>
      </c>
      <c r="F280" s="24">
        <v>9.9990399102947171E-4</v>
      </c>
      <c r="G280" s="6">
        <v>1.6025131261190708</v>
      </c>
      <c r="H280" s="2">
        <f t="shared" si="46"/>
        <v>1.4981537989224624E-3</v>
      </c>
      <c r="I280" s="5">
        <f>G280/F280</f>
        <v>1602.6669965275071</v>
      </c>
      <c r="J280" s="2">
        <f>ABS(D280-I280)/I280</f>
        <v>1.4042486087820563E-3</v>
      </c>
      <c r="K280" s="1">
        <f>$AD$10*B280+$AD$11</f>
        <v>1599.1142007434219</v>
      </c>
      <c r="L280" s="2">
        <f>ABS(K280-D280)/D280</f>
        <v>3.6159731211917782E-3</v>
      </c>
      <c r="M280" s="21">
        <f>K280*F280</f>
        <v>1.5989606714352513</v>
      </c>
      <c r="N280" s="2">
        <f>ABS(M280-G280)/M280</f>
        <v>2.221727367834974E-3</v>
      </c>
      <c r="O280" s="21">
        <f t="shared" si="47"/>
        <v>3.5524546838194837E-3</v>
      </c>
      <c r="P280" s="25">
        <f>$AD$18*B280+$AD$19</f>
        <v>2.3083333333333336</v>
      </c>
      <c r="Q280" s="25">
        <f>$AD$29*G280+$AD$30</f>
        <v>2.2957300038383996</v>
      </c>
      <c r="R280" s="25">
        <f t="shared" si="48"/>
        <v>1.2603329494933924E-2</v>
      </c>
      <c r="S280" s="26">
        <v>2.2898282101137859</v>
      </c>
      <c r="T280" s="26">
        <f t="shared" si="49"/>
        <v>1.850512321954767E-2</v>
      </c>
      <c r="U280" s="27">
        <f t="shared" si="50"/>
        <v>8.0166598785044053E-3</v>
      </c>
      <c r="V280" s="28">
        <f t="shared" si="51"/>
        <v>47.477938521365431</v>
      </c>
      <c r="W280" s="27">
        <f t="shared" si="52"/>
        <v>4.6553769105780298E-3</v>
      </c>
      <c r="X280" s="21">
        <v>2.2958067265686504</v>
      </c>
      <c r="Y280" s="21">
        <f t="shared" si="53"/>
        <v>47.549680718823808</v>
      </c>
      <c r="Z280" s="2">
        <f t="shared" si="54"/>
        <v>3.1513476137567057E-3</v>
      </c>
    </row>
    <row r="281" spans="1:26">
      <c r="A281" s="1">
        <v>47.8</v>
      </c>
      <c r="B281" s="1">
        <f t="shared" si="44"/>
        <v>320.95</v>
      </c>
      <c r="C281" s="4">
        <f>ROUND(10000*EXP(($AB$4)+($AC$4/B281)+($AD$4/(B281^2))+($AE$4/(B281^3))),6)</f>
        <v>3921.9054900000001</v>
      </c>
      <c r="D281" s="4">
        <f>((C281+2*$AC$5)*$AC$6)/((C281+2*$AC$5)+$AC$6)</f>
        <v>1602.4234068106261</v>
      </c>
      <c r="E281" s="4">
        <f t="shared" si="45"/>
        <v>1.6024234068106262</v>
      </c>
      <c r="F281" s="24">
        <v>9.9990399102947171E-4</v>
      </c>
      <c r="G281" s="6">
        <v>1.6001478749004712</v>
      </c>
      <c r="H281" s="2">
        <f t="shared" si="46"/>
        <v>1.4200565845977943E-3</v>
      </c>
      <c r="I281" s="5">
        <f>G281/F281</f>
        <v>1600.3015182017687</v>
      </c>
      <c r="J281" s="2">
        <f>ABS(D281-I281)/I281</f>
        <v>1.3259305104214479E-3</v>
      </c>
      <c r="K281" s="1">
        <f>$AD$10*B281+$AD$11</f>
        <v>1596.765088824548</v>
      </c>
      <c r="L281" s="2">
        <f>ABS(K281-D281)/D281</f>
        <v>3.5311004332744646E-3</v>
      </c>
      <c r="M281" s="21">
        <f>K281*F281</f>
        <v>1.5966117850521944</v>
      </c>
      <c r="N281" s="2">
        <f>ABS(M281-G281)/M281</f>
        <v>2.214746177738632E-3</v>
      </c>
      <c r="O281" s="21">
        <f t="shared" si="47"/>
        <v>3.5360898482768017E-3</v>
      </c>
      <c r="P281" s="25">
        <f>$AD$18*B281+$AD$19</f>
        <v>2.3166666666666664</v>
      </c>
      <c r="Q281" s="25">
        <f>$AD$29*G281+$AD$30</f>
        <v>2.3041213960163445</v>
      </c>
      <c r="R281" s="25">
        <f t="shared" si="48"/>
        <v>1.254527065032196E-2</v>
      </c>
      <c r="S281" s="26">
        <v>2.2985512830392607</v>
      </c>
      <c r="T281" s="26">
        <f t="shared" si="49"/>
        <v>1.8115383627405723E-2</v>
      </c>
      <c r="U281" s="27">
        <f t="shared" si="50"/>
        <v>7.819590054995277E-3</v>
      </c>
      <c r="V281" s="28">
        <f t="shared" si="51"/>
        <v>47.582615396471127</v>
      </c>
      <c r="W281" s="27">
        <f t="shared" si="52"/>
        <v>4.5477950529052395E-3</v>
      </c>
      <c r="X281" s="21">
        <v>2.3044906680091337</v>
      </c>
      <c r="Y281" s="21">
        <f t="shared" si="53"/>
        <v>47.653888016109612</v>
      </c>
      <c r="Z281" s="2">
        <f t="shared" si="54"/>
        <v>3.0567360646524162E-3</v>
      </c>
    </row>
    <row r="282" spans="1:26">
      <c r="A282" s="1">
        <v>47.9</v>
      </c>
      <c r="B282" s="1">
        <f t="shared" si="44"/>
        <v>321.04999999999995</v>
      </c>
      <c r="C282" s="4">
        <f>ROUND(10000*EXP(($AB$4)+($AC$4/B282)+($AD$4/(B282^2))+($AE$4/(B282^3))),6)</f>
        <v>3906.8444399999998</v>
      </c>
      <c r="D282" s="4">
        <f>((C282+2*$AC$5)*$AC$6)/((C282+2*$AC$5)+$AC$6)</f>
        <v>1599.9289079434011</v>
      </c>
      <c r="E282" s="4">
        <f t="shared" si="45"/>
        <v>1.5999289079434011</v>
      </c>
      <c r="F282" s="24">
        <v>9.9990399102947171E-4</v>
      </c>
      <c r="G282" s="6">
        <v>1.5975875928393997</v>
      </c>
      <c r="H282" s="2">
        <f t="shared" si="46"/>
        <v>1.4633869619938829E-3</v>
      </c>
      <c r="I282" s="5">
        <f>G282/F282</f>
        <v>1597.74099030705</v>
      </c>
      <c r="J282" s="2">
        <f>ABS(D282-I282)/I282</f>
        <v>1.3693819271236585E-3</v>
      </c>
      <c r="K282" s="1">
        <f>$AD$10*B282+$AD$11</f>
        <v>1594.4159769056751</v>
      </c>
      <c r="L282" s="2">
        <f>ABS(K282-D282)/D282</f>
        <v>3.4457350013211169E-3</v>
      </c>
      <c r="M282" s="21">
        <f>K282*F282</f>
        <v>1.5942628986691385</v>
      </c>
      <c r="N282" s="2">
        <f>ABS(M282-G282)/M282</f>
        <v>2.0854114920673054E-3</v>
      </c>
      <c r="O282" s="21">
        <f t="shared" si="47"/>
        <v>3.3246941702611554E-3</v>
      </c>
      <c r="P282" s="25">
        <f>$AD$18*B282+$AD$19</f>
        <v>2.3249999999999993</v>
      </c>
      <c r="Q282" s="25">
        <f>$AD$29*G282+$AD$30</f>
        <v>2.3132047148163348</v>
      </c>
      <c r="R282" s="25">
        <f t="shared" si="48"/>
        <v>1.1795285183664461E-2</v>
      </c>
      <c r="S282" s="26">
        <v>2.3079936325480102</v>
      </c>
      <c r="T282" s="26">
        <f t="shared" si="49"/>
        <v>1.7006367451989135E-2</v>
      </c>
      <c r="U282" s="27">
        <f t="shared" si="50"/>
        <v>7.3145666460168344E-3</v>
      </c>
      <c r="V282" s="28">
        <f t="shared" si="51"/>
        <v>47.695923590576122</v>
      </c>
      <c r="W282" s="27">
        <f t="shared" si="52"/>
        <v>4.2604678376592219E-3</v>
      </c>
      <c r="X282" s="21">
        <v>2.3138930622637561</v>
      </c>
      <c r="Y282" s="21">
        <f t="shared" si="53"/>
        <v>47.766716747165077</v>
      </c>
      <c r="Z282" s="2">
        <f t="shared" si="54"/>
        <v>2.7825313744242481E-3</v>
      </c>
    </row>
    <row r="283" spans="1:26">
      <c r="A283" s="1">
        <v>48</v>
      </c>
      <c r="B283" s="1">
        <f t="shared" si="44"/>
        <v>321.14999999999998</v>
      </c>
      <c r="C283" s="4">
        <f>ROUND(10000*EXP(($AB$4)+($AC$4/B283)+($AD$4/(B283^2))+($AE$4/(B283^3))),6)</f>
        <v>3891.8494529999998</v>
      </c>
      <c r="D283" s="4">
        <f>((C283+2*$AC$5)*$AC$6)/((C283+2*$AC$5)+$AC$6)</f>
        <v>1597.4340611018749</v>
      </c>
      <c r="E283" s="4">
        <f t="shared" si="45"/>
        <v>1.5974340611018749</v>
      </c>
      <c r="F283" s="24">
        <v>9.9990399102947171E-4</v>
      </c>
      <c r="G283" s="6">
        <v>1.5950220294945618</v>
      </c>
      <c r="H283" s="2">
        <f t="shared" si="46"/>
        <v>1.5099412652121011E-3</v>
      </c>
      <c r="I283" s="5">
        <f>G283/F283</f>
        <v>1595.1751806214656</v>
      </c>
      <c r="J283" s="2">
        <f>ABS(D283-I283)/I283</f>
        <v>1.4160704779328686E-3</v>
      </c>
      <c r="K283" s="1">
        <f>$AD$10*B283+$AD$11</f>
        <v>1592.0668649868003</v>
      </c>
      <c r="L283" s="2">
        <f>ABS(K283-D283)/D283</f>
        <v>3.3598858605609514E-3</v>
      </c>
      <c r="M283" s="21">
        <f>K283*F283</f>
        <v>1.5919140122860806</v>
      </c>
      <c r="N283" s="2">
        <f>ABS(M283-G283)/M283</f>
        <v>1.9523775684453602E-3</v>
      </c>
      <c r="O283" s="21">
        <f t="shared" si="47"/>
        <v>3.1080172084811952E-3</v>
      </c>
      <c r="P283" s="25">
        <f>$AD$18*B283+$AD$19</f>
        <v>2.3333333333333321</v>
      </c>
      <c r="Q283" s="25">
        <f>$AD$29*G283+$AD$30</f>
        <v>2.322306770451946</v>
      </c>
      <c r="R283" s="25">
        <f t="shared" si="48"/>
        <v>1.1026562881386148E-2</v>
      </c>
      <c r="S283" s="26">
        <v>2.317455458948412</v>
      </c>
      <c r="T283" s="26">
        <f t="shared" si="49"/>
        <v>1.5877874384920165E-2</v>
      </c>
      <c r="U283" s="27">
        <f t="shared" si="50"/>
        <v>6.8048033078229311E-3</v>
      </c>
      <c r="V283" s="28">
        <f t="shared" si="51"/>
        <v>47.809465507380942</v>
      </c>
      <c r="W283" s="27">
        <f t="shared" si="52"/>
        <v>3.9694685962303744E-3</v>
      </c>
      <c r="X283" s="21">
        <v>2.3233147964050662</v>
      </c>
      <c r="Y283" s="21">
        <f t="shared" si="53"/>
        <v>47.879777556860802</v>
      </c>
      <c r="Z283" s="2">
        <f t="shared" si="54"/>
        <v>2.5046342320666306E-3</v>
      </c>
    </row>
    <row r="284" spans="1:26">
      <c r="A284" s="1">
        <v>48.1</v>
      </c>
      <c r="B284" s="1">
        <f t="shared" si="44"/>
        <v>321.25</v>
      </c>
      <c r="C284" s="4">
        <f>ROUND(10000*EXP(($AB$4)+($AC$4/B284)+($AD$4/(B284^2))+($AE$4/(B284^3))),6)</f>
        <v>3876.9202059999998</v>
      </c>
      <c r="D284" s="4">
        <f>((C284+2*$AC$5)*$AC$6)/((C284+2*$AC$5)+$AC$6)</f>
        <v>1594.9388847587343</v>
      </c>
      <c r="E284" s="4">
        <f t="shared" si="45"/>
        <v>1.5949388847587342</v>
      </c>
      <c r="F284" s="24">
        <v>9.9990399102947171E-4</v>
      </c>
      <c r="G284" s="6">
        <v>1.5926397350895267</v>
      </c>
      <c r="H284" s="2">
        <f t="shared" si="46"/>
        <v>1.4415283815437947E-3</v>
      </c>
      <c r="I284" s="5">
        <f>G284/F284</f>
        <v>1592.7926574728358</v>
      </c>
      <c r="J284" s="2">
        <f>ABS(D284-I284)/I284</f>
        <v>1.3474618154655066E-3</v>
      </c>
      <c r="K284" s="1">
        <f>$AD$10*B284+$AD$11</f>
        <v>1589.7177530679255</v>
      </c>
      <c r="L284" s="2">
        <f>ABS(K284-D284)/D284</f>
        <v>3.273562229062187E-3</v>
      </c>
      <c r="M284" s="21">
        <f>K284*F284</f>
        <v>1.589565125903023</v>
      </c>
      <c r="N284" s="2">
        <f>ABS(M284-G284)/M284</f>
        <v>1.9342454967090695E-3</v>
      </c>
      <c r="O284" s="21">
        <f t="shared" si="47"/>
        <v>3.0746091865037073E-3</v>
      </c>
      <c r="P284" s="25">
        <f>$AD$18*B284+$AD$19</f>
        <v>2.3416666666666686</v>
      </c>
      <c r="Q284" s="25">
        <f>$AD$29*G284+$AD$30</f>
        <v>2.3307586281145785</v>
      </c>
      <c r="R284" s="25">
        <f t="shared" si="48"/>
        <v>1.0908038552090105E-2</v>
      </c>
      <c r="S284" s="26">
        <v>2.326241387951975</v>
      </c>
      <c r="T284" s="26">
        <f t="shared" si="49"/>
        <v>1.5425278714693569E-2</v>
      </c>
      <c r="U284" s="27">
        <f t="shared" si="50"/>
        <v>6.5873076361680667E-3</v>
      </c>
      <c r="V284" s="28">
        <f t="shared" si="51"/>
        <v>47.914896655423703</v>
      </c>
      <c r="W284" s="27">
        <f t="shared" si="52"/>
        <v>3.8483023820436164E-3</v>
      </c>
      <c r="X284" s="21">
        <v>2.3320611940345315</v>
      </c>
      <c r="Y284" s="21">
        <f t="shared" si="53"/>
        <v>47.984734328414376</v>
      </c>
      <c r="Z284" s="2">
        <f t="shared" si="54"/>
        <v>2.3963757086408583E-3</v>
      </c>
    </row>
    <row r="285" spans="1:26">
      <c r="A285" s="1">
        <v>48.2</v>
      </c>
      <c r="B285" s="1">
        <f t="shared" si="44"/>
        <v>321.34999999999997</v>
      </c>
      <c r="C285" s="4">
        <f>ROUND(10000*EXP(($AB$4)+($AC$4/B285)+($AD$4/(B285^2))+($AE$4/(B285^3))),6)</f>
        <v>3862.0563780000002</v>
      </c>
      <c r="D285" s="4">
        <f>((C285+2*$AC$5)*$AC$6)/((C285+2*$AC$5)+$AC$6)</f>
        <v>1592.4433974211702</v>
      </c>
      <c r="E285" s="4">
        <f t="shared" si="45"/>
        <v>1.5924433974211702</v>
      </c>
      <c r="F285" s="24">
        <v>9.9990399102947171E-4</v>
      </c>
      <c r="G285" s="6">
        <v>1.5902516109329499</v>
      </c>
      <c r="H285" s="2">
        <f t="shared" si="46"/>
        <v>1.3763669664929993E-3</v>
      </c>
      <c r="I285" s="5">
        <f>G285/F285</f>
        <v>1590.404304012902</v>
      </c>
      <c r="J285" s="2">
        <f>ABS(D285-I285)/I285</f>
        <v>1.282122667250799E-3</v>
      </c>
      <c r="K285" s="1">
        <f>$AD$10*B285+$AD$11</f>
        <v>1587.3686411490526</v>
      </c>
      <c r="L285" s="2">
        <f>ABS(K285-D285)/D285</f>
        <v>3.1867734076675863E-3</v>
      </c>
      <c r="M285" s="21">
        <f>K285*F285</f>
        <v>1.5872162395199669</v>
      </c>
      <c r="N285" s="2">
        <f>ABS(M285-G285)/M285</f>
        <v>1.9123868175019072E-3</v>
      </c>
      <c r="O285" s="21">
        <f t="shared" si="47"/>
        <v>3.0353714129829346E-3</v>
      </c>
      <c r="P285" s="25">
        <f>$AD$18*B285+$AD$19</f>
        <v>2.3499999999999979</v>
      </c>
      <c r="Q285" s="25">
        <f>$AD$29*G285+$AD$30</f>
        <v>2.3392311684561173</v>
      </c>
      <c r="R285" s="25">
        <f t="shared" si="48"/>
        <v>1.076883154388053E-2</v>
      </c>
      <c r="S285" s="26">
        <v>2.3350488164911871</v>
      </c>
      <c r="T285" s="26">
        <f t="shared" si="49"/>
        <v>1.495118350881075E-2</v>
      </c>
      <c r="U285" s="27">
        <f t="shared" si="50"/>
        <v>6.3622057484301123E-3</v>
      </c>
      <c r="V285" s="28">
        <f t="shared" si="51"/>
        <v>48.020585797894249</v>
      </c>
      <c r="W285" s="27">
        <f t="shared" si="52"/>
        <v>3.7222863507417815E-3</v>
      </c>
      <c r="X285" s="21">
        <v>2.3408289323147016</v>
      </c>
      <c r="Y285" s="21">
        <f t="shared" si="53"/>
        <v>48.089947187776417</v>
      </c>
      <c r="Z285" s="2">
        <f t="shared" si="54"/>
        <v>2.2832533656345594E-3</v>
      </c>
    </row>
    <row r="286" spans="1:26">
      <c r="A286" s="1">
        <v>48.3</v>
      </c>
      <c r="B286" s="1">
        <f t="shared" si="44"/>
        <v>321.45</v>
      </c>
      <c r="C286" s="4">
        <f>ROUND(10000*EXP(($AB$4)+($AC$4/B286)+($AD$4/(B286^2))+($AE$4/(B286^3))),6)</f>
        <v>3847.2576479999998</v>
      </c>
      <c r="D286" s="4">
        <f>((C286+2*$AC$5)*$AC$6)/((C286+2*$AC$5)+$AC$6)</f>
        <v>1589.9476172950051</v>
      </c>
      <c r="E286" s="4">
        <f t="shared" si="45"/>
        <v>1.5899476172950051</v>
      </c>
      <c r="F286" s="24">
        <v>9.9990399102947171E-4</v>
      </c>
      <c r="G286" s="6">
        <v>1.5876697792108065</v>
      </c>
      <c r="H286" s="2">
        <f t="shared" si="46"/>
        <v>1.4326497674645906E-3</v>
      </c>
      <c r="I286" s="5">
        <f>G286/F286</f>
        <v>1587.822224387952</v>
      </c>
      <c r="J286" s="2">
        <f>ABS(D286-I286)/I286</f>
        <v>1.3385584824348615E-3</v>
      </c>
      <c r="K286" s="1">
        <f>$AD$10*B286+$AD$11</f>
        <v>1585.0195292301778</v>
      </c>
      <c r="L286" s="2">
        <f>ABS(K286-D286)/D286</f>
        <v>3.0995285701371192E-3</v>
      </c>
      <c r="M286" s="21">
        <f>K286*F286</f>
        <v>1.5848673531369091</v>
      </c>
      <c r="N286" s="2">
        <f>ABS(M286-G286)/M286</f>
        <v>1.768240142211687E-3</v>
      </c>
      <c r="O286" s="21">
        <f t="shared" si="47"/>
        <v>2.8024260738974682E-3</v>
      </c>
      <c r="P286" s="25">
        <f>$AD$18*B286+$AD$19</f>
        <v>2.3583333333333343</v>
      </c>
      <c r="Q286" s="25">
        <f>$AD$29*G286+$AD$30</f>
        <v>2.3483909407236858</v>
      </c>
      <c r="R286" s="25">
        <f t="shared" si="48"/>
        <v>9.9423926096484649E-3</v>
      </c>
      <c r="S286" s="26">
        <v>2.3445706410895166</v>
      </c>
      <c r="T286" s="26">
        <f t="shared" si="49"/>
        <v>1.3762692243817654E-2</v>
      </c>
      <c r="U286" s="27">
        <f t="shared" si="50"/>
        <v>5.8357705627495324E-3</v>
      </c>
      <c r="V286" s="28">
        <f t="shared" si="51"/>
        <v>48.134847693074192</v>
      </c>
      <c r="W286" s="27">
        <f t="shared" si="52"/>
        <v>3.4193024208241146E-3</v>
      </c>
      <c r="X286" s="21">
        <v>2.3503102479169802</v>
      </c>
      <c r="Y286" s="21">
        <f t="shared" si="53"/>
        <v>48.203722975003764</v>
      </c>
      <c r="Z286" s="2">
        <f t="shared" si="54"/>
        <v>1.9933131469199433E-3</v>
      </c>
    </row>
    <row r="287" spans="1:26">
      <c r="A287" s="1">
        <v>48.4</v>
      </c>
      <c r="B287" s="1">
        <f t="shared" si="44"/>
        <v>321.54999999999995</v>
      </c>
      <c r="C287" s="4">
        <f>ROUND(10000*EXP(($AB$4)+($AC$4/B287)+($AD$4/(B287^2))+($AE$4/(B287^3))),6)</f>
        <v>3832.5236989999999</v>
      </c>
      <c r="D287" s="4">
        <f>((C287+2*$AC$5)*$AC$6)/((C287+2*$AC$5)+$AC$6)</f>
        <v>1587.4515629584753</v>
      </c>
      <c r="E287" s="4">
        <f t="shared" si="45"/>
        <v>1.5874515629584753</v>
      </c>
      <c r="F287" s="24">
        <v>9.9990399102947171E-4</v>
      </c>
      <c r="G287" s="6">
        <v>1.5852704012075405</v>
      </c>
      <c r="H287" s="2">
        <f t="shared" si="46"/>
        <v>1.3740020809642252E-3</v>
      </c>
      <c r="I287" s="5">
        <f>G287/F287</f>
        <v>1585.4226160007549</v>
      </c>
      <c r="J287" s="2">
        <f>ABS(D287-I287)/I287</f>
        <v>1.2797514916485649E-3</v>
      </c>
      <c r="K287" s="1">
        <f>$AD$10*B287+$AD$11</f>
        <v>1582.6704173113048</v>
      </c>
      <c r="L287" s="2">
        <f>ABS(K287-D287)/D287</f>
        <v>3.0118371852933816E-3</v>
      </c>
      <c r="M287" s="21">
        <f>K287*F287</f>
        <v>1.5825184667538532</v>
      </c>
      <c r="N287" s="2">
        <f>ABS(M287-G287)/M287</f>
        <v>1.7389588251264969E-3</v>
      </c>
      <c r="O287" s="21">
        <f t="shared" si="47"/>
        <v>2.7519344536872659E-3</v>
      </c>
      <c r="P287" s="25">
        <f>$AD$18*B287+$AD$19</f>
        <v>2.3666666666666636</v>
      </c>
      <c r="Q287" s="25">
        <f>$AD$29*G287+$AD$30</f>
        <v>2.3569034072431867</v>
      </c>
      <c r="R287" s="25">
        <f t="shared" si="48"/>
        <v>9.7632594234768888E-3</v>
      </c>
      <c r="S287" s="26">
        <v>2.3534195746154527</v>
      </c>
      <c r="T287" s="26">
        <f t="shared" si="49"/>
        <v>1.3247092051210885E-2</v>
      </c>
      <c r="U287" s="27">
        <f t="shared" si="50"/>
        <v>5.5973628385398181E-3</v>
      </c>
      <c r="V287" s="28">
        <f t="shared" si="51"/>
        <v>48.241034895385425</v>
      </c>
      <c r="W287" s="27">
        <f t="shared" si="52"/>
        <v>3.2844029879044059E-3</v>
      </c>
      <c r="X287" s="21">
        <v>2.3591192289319904</v>
      </c>
      <c r="Y287" s="21">
        <f t="shared" si="53"/>
        <v>48.309430747183889</v>
      </c>
      <c r="Z287" s="2">
        <f t="shared" si="54"/>
        <v>1.8712655540518539E-3</v>
      </c>
    </row>
    <row r="288" spans="1:26">
      <c r="A288" s="1">
        <v>48.5</v>
      </c>
      <c r="B288" s="1">
        <f t="shared" si="44"/>
        <v>321.64999999999998</v>
      </c>
      <c r="C288" s="4">
        <f>ROUND(10000*EXP(($AB$4)+($AC$4/B288)+($AD$4/(B288^2))+($AE$4/(B288^3))),6)</f>
        <v>3817.8542130000001</v>
      </c>
      <c r="D288" s="4">
        <f>((C288+2*$AC$5)*$AC$6)/((C288+2*$AC$5)+$AC$6)</f>
        <v>1584.9552525193328</v>
      </c>
      <c r="E288" s="4">
        <f t="shared" si="45"/>
        <v>1.5849552525193329</v>
      </c>
      <c r="F288" s="24">
        <v>9.9990399102947171E-4</v>
      </c>
      <c r="G288" s="6">
        <v>1.582677972496942</v>
      </c>
      <c r="H288" s="2">
        <f t="shared" si="46"/>
        <v>1.4368102940263529E-3</v>
      </c>
      <c r="I288" s="5">
        <f>G288/F288</f>
        <v>1582.8299383698461</v>
      </c>
      <c r="J288" s="2">
        <f>ABS(D288-I288)/I288</f>
        <v>1.3427305726069155E-3</v>
      </c>
      <c r="K288" s="1">
        <f>$AD$10*B288+$AD$11</f>
        <v>1580.3213053924301</v>
      </c>
      <c r="L288" s="2">
        <f>ABS(K288-D288)/D288</f>
        <v>2.9237084892692997E-3</v>
      </c>
      <c r="M288" s="21">
        <f>K288*F288</f>
        <v>1.5801695803707954</v>
      </c>
      <c r="N288" s="2">
        <f>ABS(M288-G288)/M288</f>
        <v>1.5874195765482406E-3</v>
      </c>
      <c r="O288" s="21">
        <f t="shared" si="47"/>
        <v>2.5083921261466191E-3</v>
      </c>
      <c r="P288" s="25">
        <f>$AD$18*B288+$AD$19</f>
        <v>2.375</v>
      </c>
      <c r="Q288" s="25">
        <f>$AD$29*G288+$AD$30</f>
        <v>2.3661007752998762</v>
      </c>
      <c r="R288" s="25">
        <f t="shared" si="48"/>
        <v>8.8992247001238312E-3</v>
      </c>
      <c r="S288" s="26">
        <v>2.3629804809958119</v>
      </c>
      <c r="T288" s="26">
        <f t="shared" si="49"/>
        <v>1.2019519004188073E-2</v>
      </c>
      <c r="U288" s="27">
        <f t="shared" si="50"/>
        <v>5.0608501070265573E-3</v>
      </c>
      <c r="V288" s="28">
        <f t="shared" si="51"/>
        <v>48.355765771949741</v>
      </c>
      <c r="W288" s="27">
        <f t="shared" si="52"/>
        <v>2.9739016092836836E-3</v>
      </c>
      <c r="X288" s="21">
        <v>2.368639348027322</v>
      </c>
      <c r="Y288" s="21">
        <f t="shared" si="53"/>
        <v>48.423672176327862</v>
      </c>
      <c r="Z288" s="2">
        <f t="shared" si="54"/>
        <v>1.5737695602502607E-3</v>
      </c>
    </row>
    <row r="289" spans="1:26">
      <c r="A289" s="1">
        <v>48.6</v>
      </c>
      <c r="B289" s="1">
        <f t="shared" si="44"/>
        <v>321.75</v>
      </c>
      <c r="C289" s="4">
        <f>ROUND(10000*EXP(($AB$4)+($AC$4/B289)+($AD$4/(B289^2))+($AE$4/(B289^3))),6)</f>
        <v>3803.248877</v>
      </c>
      <c r="D289" s="4">
        <f>((C289+2*$AC$5)*$AC$6)/((C289+2*$AC$5)+$AC$6)</f>
        <v>1582.4587046335992</v>
      </c>
      <c r="E289" s="4">
        <f t="shared" si="45"/>
        <v>1.5824587046335992</v>
      </c>
      <c r="F289" s="24">
        <v>9.9990399102947171E-4</v>
      </c>
      <c r="G289" s="6">
        <v>1.5802685336666307</v>
      </c>
      <c r="H289" s="2">
        <f t="shared" si="46"/>
        <v>1.3840304082219995E-3</v>
      </c>
      <c r="I289" s="5">
        <f>G289/F289</f>
        <v>1580.4202681895815</v>
      </c>
      <c r="J289" s="2">
        <f>ABS(D289-I289)/I289</f>
        <v>1.2898065692062554E-3</v>
      </c>
      <c r="K289" s="1">
        <f>$AD$10*B289+$AD$11</f>
        <v>1577.9721934735562</v>
      </c>
      <c r="L289" s="2">
        <f>ABS(K289-D289)/D289</f>
        <v>2.8351521255537216E-3</v>
      </c>
      <c r="M289" s="21">
        <f>K289*F289</f>
        <v>1.5778206939877386</v>
      </c>
      <c r="N289" s="2">
        <f>ABS(M289-G289)/M289</f>
        <v>1.5514054849321702E-3</v>
      </c>
      <c r="O289" s="21">
        <f t="shared" si="47"/>
        <v>2.4478396788920609E-3</v>
      </c>
      <c r="P289" s="25">
        <f>$AD$18*B289+$AD$19</f>
        <v>2.3833333333333364</v>
      </c>
      <c r="Q289" s="25">
        <f>$AD$29*G289+$AD$30</f>
        <v>2.3746489354254967</v>
      </c>
      <c r="R289" s="25">
        <f t="shared" si="48"/>
        <v>8.6843979078397027E-3</v>
      </c>
      <c r="S289" s="26">
        <v>2.371866518372725</v>
      </c>
      <c r="T289" s="26">
        <f t="shared" si="49"/>
        <v>1.1466814960611416E-2</v>
      </c>
      <c r="U289" s="27">
        <f t="shared" si="50"/>
        <v>4.8112510324243643E-3</v>
      </c>
      <c r="V289" s="28">
        <f t="shared" si="51"/>
        <v>48.462398220472693</v>
      </c>
      <c r="W289" s="27">
        <f t="shared" si="52"/>
        <v>2.8313123359528509E-3</v>
      </c>
      <c r="X289" s="21">
        <v>2.3774891323669958</v>
      </c>
      <c r="Y289" s="21">
        <f t="shared" si="53"/>
        <v>48.529869588403947</v>
      </c>
      <c r="Z289" s="2">
        <f t="shared" si="54"/>
        <v>1.4430125842809451E-3</v>
      </c>
    </row>
    <row r="290" spans="1:26">
      <c r="A290" s="1">
        <v>48.7</v>
      </c>
      <c r="B290" s="1">
        <f t="shared" si="44"/>
        <v>321.84999999999997</v>
      </c>
      <c r="C290" s="4">
        <f>ROUND(10000*EXP(($AB$4)+($AC$4/B290)+($AD$4/(B290^2))+($AE$4/(B290^3))),6)</f>
        <v>3788.7073759999998</v>
      </c>
      <c r="D290" s="4">
        <f>((C290+2*$AC$5)*$AC$6)/((C290+2*$AC$5)+$AC$6)</f>
        <v>1579.9619373147862</v>
      </c>
      <c r="E290" s="4">
        <f t="shared" si="45"/>
        <v>1.5799619373147862</v>
      </c>
      <c r="F290" s="24">
        <v>9.9990399102947171E-4</v>
      </c>
      <c r="G290" s="6">
        <v>1.5776645476479287</v>
      </c>
      <c r="H290" s="2">
        <f t="shared" si="46"/>
        <v>1.4540791221603442E-3</v>
      </c>
      <c r="I290" s="5">
        <f>G290/F290</f>
        <v>1577.8160321408577</v>
      </c>
      <c r="J290" s="2">
        <f>ABS(D290-I290)/I290</f>
        <v>1.3600477686975785E-3</v>
      </c>
      <c r="K290" s="1">
        <f>$AD$10*B290+$AD$11</f>
        <v>1575.6230815546833</v>
      </c>
      <c r="L290" s="2">
        <f>ABS(K290-D290)/D290</f>
        <v>2.7461773968282814E-3</v>
      </c>
      <c r="M290" s="21">
        <f>K290*F290</f>
        <v>1.5754718076046825</v>
      </c>
      <c r="N290" s="2">
        <f>ABS(M290-G290)/M290</f>
        <v>1.3917989726391939E-3</v>
      </c>
      <c r="O290" s="21">
        <f t="shared" si="47"/>
        <v>2.1927400432462107E-3</v>
      </c>
      <c r="P290" s="25">
        <f>$AD$18*B290+$AD$19</f>
        <v>2.3916666666666657</v>
      </c>
      <c r="Q290" s="25">
        <f>$AD$29*G290+$AD$30</f>
        <v>2.38388730627464</v>
      </c>
      <c r="R290" s="25">
        <f t="shared" si="48"/>
        <v>7.7793603920257581E-3</v>
      </c>
      <c r="S290" s="26">
        <v>2.3814700483409306</v>
      </c>
      <c r="T290" s="26">
        <f t="shared" si="49"/>
        <v>1.0196618325735152E-2</v>
      </c>
      <c r="U290" s="27">
        <f t="shared" si="50"/>
        <v>4.2633944219101693E-3</v>
      </c>
      <c r="V290" s="28">
        <f t="shared" si="51"/>
        <v>48.57764058009117</v>
      </c>
      <c r="W290" s="27">
        <f t="shared" si="52"/>
        <v>2.5125137558281822E-3</v>
      </c>
      <c r="X290" s="21">
        <v>2.3870476151189286</v>
      </c>
      <c r="Y290" s="21">
        <f t="shared" si="53"/>
        <v>48.644571381427141</v>
      </c>
      <c r="Z290" s="2">
        <f t="shared" si="54"/>
        <v>1.1381646524201521E-3</v>
      </c>
    </row>
    <row r="291" spans="1:26">
      <c r="A291" s="1">
        <v>48.8</v>
      </c>
      <c r="B291" s="1">
        <f t="shared" si="44"/>
        <v>321.95</v>
      </c>
      <c r="C291" s="4">
        <f>ROUND(10000*EXP(($AB$4)+($AC$4/B291)+($AD$4/(B291^2))+($AE$4/(B291^3))),6)</f>
        <v>3774.2294000000002</v>
      </c>
      <c r="D291" s="4">
        <f>((C291+2*$AC$5)*$AC$6)/((C291+2*$AC$5)+$AC$6)</f>
        <v>1577.4649691309028</v>
      </c>
      <c r="E291" s="4">
        <f t="shared" si="45"/>
        <v>1.5774649691309028</v>
      </c>
      <c r="F291" s="24">
        <v>9.9990399102947171E-4</v>
      </c>
      <c r="G291" s="6">
        <v>1.5752440930812832</v>
      </c>
      <c r="H291" s="2">
        <f t="shared" si="46"/>
        <v>1.407876620450853E-3</v>
      </c>
      <c r="I291" s="5">
        <f>G291/F291</f>
        <v>1575.3953451665477</v>
      </c>
      <c r="J291" s="2">
        <f>ABS(D291-I291)/I291</f>
        <v>1.3137172016566185E-3</v>
      </c>
      <c r="K291" s="1">
        <f>$AD$10*B291+$AD$11</f>
        <v>1573.2739696358085</v>
      </c>
      <c r="L291" s="2">
        <f>ABS(K291-D291)/D291</f>
        <v>2.6567940189526282E-3</v>
      </c>
      <c r="M291" s="21">
        <f>K291*F291</f>
        <v>1.5731229212216249</v>
      </c>
      <c r="N291" s="2">
        <f>ABS(M291-G291)/M291</f>
        <v>1.3483827811822256E-3</v>
      </c>
      <c r="O291" s="21">
        <f t="shared" si="47"/>
        <v>2.1211718596583218E-3</v>
      </c>
      <c r="P291" s="25">
        <f>$AD$18*B291+$AD$19</f>
        <v>2.4000000000000021</v>
      </c>
      <c r="Q291" s="25">
        <f>$AD$29*G291+$AD$30</f>
        <v>2.3924745478149463</v>
      </c>
      <c r="R291" s="25">
        <f t="shared" si="48"/>
        <v>7.5254521850558476E-3</v>
      </c>
      <c r="S291" s="26">
        <v>2.3903967122035907</v>
      </c>
      <c r="T291" s="26">
        <f t="shared" si="49"/>
        <v>9.6032877964113972E-3</v>
      </c>
      <c r="U291" s="27">
        <f t="shared" si="50"/>
        <v>4.001369915171412E-3</v>
      </c>
      <c r="V291" s="28">
        <f t="shared" si="51"/>
        <v>48.684760546443087</v>
      </c>
      <c r="W291" s="27">
        <f t="shared" si="52"/>
        <v>2.3614642122317649E-3</v>
      </c>
      <c r="X291" s="21">
        <v>2.3959377620900995</v>
      </c>
      <c r="Y291" s="21">
        <f t="shared" si="53"/>
        <v>48.751253145081201</v>
      </c>
      <c r="Z291" s="2">
        <f t="shared" si="54"/>
        <v>9.9891096145075017E-4</v>
      </c>
    </row>
    <row r="292" spans="1:26">
      <c r="A292" s="1">
        <v>48.9</v>
      </c>
      <c r="B292" s="1">
        <f t="shared" si="44"/>
        <v>322.04999999999995</v>
      </c>
      <c r="C292" s="4">
        <f>ROUND(10000*EXP(($AB$4)+($AC$4/B292)+($AD$4/(B292^2))+($AE$4/(B292^3))),6)</f>
        <v>3759.8146390000002</v>
      </c>
      <c r="D292" s="4">
        <f>((C292+2*$AC$5)*$AC$6)/((C292+2*$AC$5)+$AC$6)</f>
        <v>1574.9678183502742</v>
      </c>
      <c r="E292" s="4">
        <f t="shared" si="45"/>
        <v>1.5749678183502742</v>
      </c>
      <c r="F292" s="24">
        <v>9.9990399102947171E-4</v>
      </c>
      <c r="G292" s="6">
        <v>1.5726297434917611</v>
      </c>
      <c r="H292" s="2">
        <f t="shared" si="46"/>
        <v>1.4845223065968244E-3</v>
      </c>
      <c r="I292" s="5">
        <f>G292/F292</f>
        <v>1572.7807445519122</v>
      </c>
      <c r="J292" s="2">
        <f>ABS(D292-I292)/I292</f>
        <v>1.3905776796530583E-3</v>
      </c>
      <c r="K292" s="1">
        <f>$AD$10*B292+$AD$11</f>
        <v>1570.9248577169355</v>
      </c>
      <c r="L292" s="2">
        <f>ABS(K292-D292)/D292</f>
        <v>2.567011583496065E-3</v>
      </c>
      <c r="M292" s="21">
        <f>K292*F292</f>
        <v>1.5707740348385688</v>
      </c>
      <c r="N292" s="2">
        <f>ABS(M292-G292)/M292</f>
        <v>1.1813975861798632E-3</v>
      </c>
      <c r="O292" s="21">
        <f t="shared" si="47"/>
        <v>1.8557086531922895E-3</v>
      </c>
      <c r="P292" s="25">
        <f>$AD$18*B292+$AD$19</f>
        <v>2.4083333333333314</v>
      </c>
      <c r="Q292" s="25">
        <f>$AD$29*G292+$AD$30</f>
        <v>2.4017496863386736</v>
      </c>
      <c r="R292" s="25">
        <f t="shared" si="48"/>
        <v>6.5836469946578546E-3</v>
      </c>
      <c r="S292" s="26">
        <v>2.4000384630015748</v>
      </c>
      <c r="T292" s="26">
        <f t="shared" si="49"/>
        <v>8.2948703317566874E-3</v>
      </c>
      <c r="U292" s="27">
        <f t="shared" si="50"/>
        <v>3.4442368159543365E-3</v>
      </c>
      <c r="V292" s="28">
        <f t="shared" si="51"/>
        <v>48.800461556018895</v>
      </c>
      <c r="W292" s="27">
        <f t="shared" si="52"/>
        <v>2.0355510016585553E-3</v>
      </c>
      <c r="X292" s="21">
        <v>2.4055341670873034</v>
      </c>
      <c r="Y292" s="21">
        <f t="shared" si="53"/>
        <v>48.866410005047648</v>
      </c>
      <c r="Z292" s="2">
        <f t="shared" si="54"/>
        <v>6.8691196221576324E-4</v>
      </c>
    </row>
    <row r="293" spans="1:26">
      <c r="A293" s="1">
        <v>49</v>
      </c>
      <c r="B293" s="1">
        <f t="shared" si="44"/>
        <v>322.14999999999998</v>
      </c>
      <c r="C293" s="4">
        <f>ROUND(10000*EXP(($AB$4)+($AC$4/B293)+($AD$4/(B293^2))+($AE$4/(B293^3))),6)</f>
        <v>3745.4627850000002</v>
      </c>
      <c r="D293" s="4">
        <f>((C293+2*$AC$5)*$AC$6)/((C293+2*$AC$5)+$AC$6)</f>
        <v>1572.4705032850948</v>
      </c>
      <c r="E293" s="4">
        <f t="shared" si="45"/>
        <v>1.5724705032850947</v>
      </c>
      <c r="F293" s="24">
        <v>9.9990399102947171E-4</v>
      </c>
      <c r="G293" s="6">
        <v>1.5701983926799137</v>
      </c>
      <c r="H293" s="2">
        <f t="shared" si="46"/>
        <v>1.4449305093064272E-3</v>
      </c>
      <c r="I293" s="5">
        <f>G293/F293</f>
        <v>1570.3491602861627</v>
      </c>
      <c r="J293" s="2">
        <f>ABS(D293-I293)/I293</f>
        <v>1.3508734570504566E-3</v>
      </c>
      <c r="K293" s="1">
        <f>$AD$10*B293+$AD$11</f>
        <v>1568.5757457980608</v>
      </c>
      <c r="L293" s="2">
        <f>ABS(K293-D293)/D293</f>
        <v>2.4768397746713416E-3</v>
      </c>
      <c r="M293" s="21">
        <f>K293*F293</f>
        <v>1.5684251484555112</v>
      </c>
      <c r="N293" s="2">
        <f>ABS(M293-G293)/M293</f>
        <v>1.1305890027003748E-3</v>
      </c>
      <c r="O293" s="21">
        <f t="shared" si="47"/>
        <v>1.7732442244025037E-3</v>
      </c>
      <c r="P293" s="25">
        <f>$AD$18*B293+$AD$19</f>
        <v>2.4166666666666679</v>
      </c>
      <c r="Q293" s="25">
        <f>$AD$29*G293+$AD$30</f>
        <v>2.4103755853653546</v>
      </c>
      <c r="R293" s="25">
        <f t="shared" si="48"/>
        <v>6.2910813013132838E-3</v>
      </c>
      <c r="S293" s="26">
        <v>2.4090053122747785</v>
      </c>
      <c r="T293" s="26">
        <f t="shared" si="49"/>
        <v>7.6613543918893079E-3</v>
      </c>
      <c r="U293" s="27">
        <f t="shared" si="50"/>
        <v>3.1702156104369533E-3</v>
      </c>
      <c r="V293" s="28">
        <f t="shared" si="51"/>
        <v>48.908063747297341</v>
      </c>
      <c r="W293" s="27">
        <f t="shared" si="52"/>
        <v>1.8762500551563115E-3</v>
      </c>
      <c r="X293" s="21">
        <v>2.4144642347199978</v>
      </c>
      <c r="Y293" s="21">
        <f t="shared" si="53"/>
        <v>48.973570816639977</v>
      </c>
      <c r="Z293" s="2">
        <f t="shared" si="54"/>
        <v>5.393710889800517E-4</v>
      </c>
    </row>
    <row r="294" spans="1:26">
      <c r="A294" s="1">
        <v>49.1</v>
      </c>
      <c r="B294" s="1">
        <f t="shared" si="44"/>
        <v>322.25</v>
      </c>
      <c r="C294" s="4">
        <f>ROUND(10000*EXP(($AB$4)+($AC$4/B294)+($AD$4/(B294^2))+($AE$4/(B294^3))),6)</f>
        <v>3731.1735309999999</v>
      </c>
      <c r="D294" s="4">
        <f>((C294+2*$AC$5)*$AC$6)/((C294+2*$AC$5)+$AC$6)</f>
        <v>1569.9730421187455</v>
      </c>
      <c r="E294" s="4">
        <f t="shared" si="45"/>
        <v>1.5699730421187457</v>
      </c>
      <c r="F294" s="24">
        <v>9.9990399102947171E-4</v>
      </c>
      <c r="G294" s="6">
        <v>1.5675737994597094</v>
      </c>
      <c r="H294" s="2">
        <f t="shared" si="46"/>
        <v>1.5282062778596234E-3</v>
      </c>
      <c r="I294" s="5">
        <f>G294/F294</f>
        <v>1567.7243150572701</v>
      </c>
      <c r="J294" s="2">
        <f>ABS(D294-I294)/I294</f>
        <v>1.4343893501410959E-3</v>
      </c>
      <c r="K294" s="1">
        <f>$AD$10*B294+$AD$11</f>
        <v>1566.226633879186</v>
      </c>
      <c r="L294" s="2">
        <f>ABS(K294-D294)/D294</f>
        <v>2.3862882604045077E-3</v>
      </c>
      <c r="M294" s="21">
        <f>K294*F294</f>
        <v>1.5660762620724533</v>
      </c>
      <c r="N294" s="2">
        <f>ABS(M294-G294)/M294</f>
        <v>9.5623528912593071E-4</v>
      </c>
      <c r="O294" s="21">
        <f t="shared" si="47"/>
        <v>1.4975373872561093E-3</v>
      </c>
      <c r="P294" s="25">
        <f>$AD$18*B294+$AD$19</f>
        <v>2.4250000000000007</v>
      </c>
      <c r="Q294" s="25">
        <f>$AD$29*G294+$AD$30</f>
        <v>2.4196870660423828</v>
      </c>
      <c r="R294" s="25">
        <f t="shared" si="48"/>
        <v>5.3129339576178936E-3</v>
      </c>
      <c r="S294" s="26">
        <v>2.4186848420456415</v>
      </c>
      <c r="T294" s="26">
        <f t="shared" si="49"/>
        <v>6.3151579543592185E-3</v>
      </c>
      <c r="U294" s="27">
        <f t="shared" si="50"/>
        <v>2.6041888471584397E-3</v>
      </c>
      <c r="V294" s="28">
        <f t="shared" si="51"/>
        <v>49.0242181045477</v>
      </c>
      <c r="W294" s="27">
        <f t="shared" si="52"/>
        <v>1.5434194593136809E-3</v>
      </c>
      <c r="X294" s="21">
        <v>2.4240981194133613</v>
      </c>
      <c r="Y294" s="21">
        <f t="shared" si="53"/>
        <v>49.089177432960334</v>
      </c>
      <c r="Z294" s="2">
        <f t="shared" si="54"/>
        <v>2.2041888064496486E-4</v>
      </c>
    </row>
    <row r="295" spans="1:26">
      <c r="A295" s="1">
        <v>49.2</v>
      </c>
      <c r="B295" s="1">
        <f t="shared" si="44"/>
        <v>322.34999999999997</v>
      </c>
      <c r="C295" s="4">
        <f>ROUND(10000*EXP(($AB$4)+($AC$4/B295)+($AD$4/(B295^2))+($AE$4/(B295^3))),6)</f>
        <v>3716.9465730000002</v>
      </c>
      <c r="D295" s="4">
        <f>((C295+2*$AC$5)*$AC$6)/((C295+2*$AC$5)+$AC$6)</f>
        <v>1567.4754532563372</v>
      </c>
      <c r="E295" s="4">
        <f t="shared" si="45"/>
        <v>1.5674754532563373</v>
      </c>
      <c r="F295" s="24">
        <v>9.9990399102947171E-4</v>
      </c>
      <c r="G295" s="6">
        <v>1.5651305780111358</v>
      </c>
      <c r="H295" s="2">
        <f t="shared" si="46"/>
        <v>1.4959565971704441E-3</v>
      </c>
      <c r="I295" s="5">
        <f>G295/F295</f>
        <v>1565.2808590149973</v>
      </c>
      <c r="J295" s="2">
        <f>ABS(D295-I295)/I295</f>
        <v>1.4020450251470819E-3</v>
      </c>
      <c r="K295" s="1">
        <f>$AD$10*B295+$AD$11</f>
        <v>1563.8775219603131</v>
      </c>
      <c r="L295" s="2">
        <f>ABS(K295-D295)/D295</f>
        <v>2.2953669153476584E-3</v>
      </c>
      <c r="M295" s="21">
        <f>K295*F295</f>
        <v>1.5637273756893972</v>
      </c>
      <c r="N295" s="2">
        <f>ABS(M295-G295)/M295</f>
        <v>8.9734460338387954E-4</v>
      </c>
      <c r="O295" s="21">
        <f t="shared" si="47"/>
        <v>1.403202321738517E-3</v>
      </c>
      <c r="P295" s="25">
        <f>$AD$18*B295+$AD$19</f>
        <v>2.4333333333333336</v>
      </c>
      <c r="Q295" s="25">
        <f>$AD$29*G295+$AD$30</f>
        <v>2.4283550794826994</v>
      </c>
      <c r="R295" s="25">
        <f t="shared" si="48"/>
        <v>4.9782538506342178E-3</v>
      </c>
      <c r="S295" s="26">
        <v>2.4276954702853617</v>
      </c>
      <c r="T295" s="26">
        <f t="shared" si="49"/>
        <v>5.6378630479718694E-3</v>
      </c>
      <c r="U295" s="27">
        <f t="shared" si="50"/>
        <v>2.3169300197144666E-3</v>
      </c>
      <c r="V295" s="28">
        <f t="shared" si="51"/>
        <v>49.132345643424344</v>
      </c>
      <c r="W295" s="27">
        <f t="shared" si="52"/>
        <v>1.3750885482857495E-3</v>
      </c>
      <c r="X295" s="21">
        <v>2.4330676642806659</v>
      </c>
      <c r="Y295" s="21">
        <f t="shared" si="53"/>
        <v>49.196811971367993</v>
      </c>
      <c r="Z295" s="2">
        <f t="shared" si="54"/>
        <v>6.479732991890827E-5</v>
      </c>
    </row>
    <row r="296" spans="1:26">
      <c r="A296" s="1">
        <v>49.3</v>
      </c>
      <c r="B296" s="1">
        <f t="shared" si="44"/>
        <v>322.45</v>
      </c>
      <c r="C296" s="4">
        <f>ROUND(10000*EXP(($AB$4)+($AC$4/B296)+($AD$4/(B296^2))+($AE$4/(B296^3))),6)</f>
        <v>3702.7816069999999</v>
      </c>
      <c r="D296" s="4">
        <f>((C296+2*$AC$5)*$AC$6)/((C296+2*$AC$5)+$AC$6)</f>
        <v>1564.977754800997</v>
      </c>
      <c r="E296" s="4">
        <f t="shared" si="45"/>
        <v>1.5649777548009971</v>
      </c>
      <c r="F296" s="24">
        <v>9.9990399102947171E-4</v>
      </c>
      <c r="G296" s="6">
        <v>1.5626829517490846</v>
      </c>
      <c r="H296" s="2">
        <f t="shared" si="46"/>
        <v>1.4663486716489139E-3</v>
      </c>
      <c r="I296" s="5">
        <f>G296/F296</f>
        <v>1562.8329977363048</v>
      </c>
      <c r="J296" s="2">
        <f>ABS(D296-I296)/I296</f>
        <v>1.3723520477227857E-3</v>
      </c>
      <c r="K296" s="1">
        <f>$AD$10*B296+$AD$11</f>
        <v>1561.5284100414383</v>
      </c>
      <c r="L296" s="2">
        <f>ABS(K296-D296)/D296</f>
        <v>2.2040854887405846E-3</v>
      </c>
      <c r="M296" s="21">
        <f>K296*F296</f>
        <v>1.5613784893063396</v>
      </c>
      <c r="N296" s="2">
        <f>ABS(M296-G296)/M296</f>
        <v>8.3545562570448923E-4</v>
      </c>
      <c r="O296" s="21">
        <f t="shared" si="47"/>
        <v>1.304462442744958E-3</v>
      </c>
      <c r="P296" s="25">
        <f>$AD$18*B296+$AD$19</f>
        <v>2.4416666666666664</v>
      </c>
      <c r="Q296" s="25">
        <f>$AD$29*G296+$AD$30</f>
        <v>2.4370387202344279</v>
      </c>
      <c r="R296" s="25">
        <f t="shared" si="48"/>
        <v>4.6279464322385166E-3</v>
      </c>
      <c r="S296" s="26">
        <v>2.4367223434725811</v>
      </c>
      <c r="T296" s="26">
        <f t="shared" si="49"/>
        <v>4.9443231940853316E-3</v>
      </c>
      <c r="U296" s="27">
        <f t="shared" si="50"/>
        <v>2.0249787825605456E-3</v>
      </c>
      <c r="V296" s="28">
        <f t="shared" si="51"/>
        <v>49.240668121670971</v>
      </c>
      <c r="W296" s="27">
        <f t="shared" si="52"/>
        <v>1.2034863758423075E-3</v>
      </c>
      <c r="X296" s="21">
        <v>2.4420573365275264</v>
      </c>
      <c r="Y296" s="21">
        <f t="shared" si="53"/>
        <v>49.304688038330319</v>
      </c>
      <c r="Z296" s="2">
        <f t="shared" si="54"/>
        <v>9.5092055381781562E-5</v>
      </c>
    </row>
    <row r="297" spans="1:26">
      <c r="A297" s="1">
        <v>49.4</v>
      </c>
      <c r="B297" s="1">
        <f t="shared" si="44"/>
        <v>322.54999999999995</v>
      </c>
      <c r="C297" s="4">
        <f>ROUND(10000*EXP(($AB$4)+($AC$4/B297)+($AD$4/(B297^2))+($AE$4/(B297^3))),6)</f>
        <v>3688.6783310000001</v>
      </c>
      <c r="D297" s="4">
        <f>((C297+2*$AC$5)*$AC$6)/((C297+2*$AC$5)+$AC$6)</f>
        <v>1562.4799649037027</v>
      </c>
      <c r="E297" s="4">
        <f t="shared" si="45"/>
        <v>1.5624799649037027</v>
      </c>
      <c r="F297" s="24">
        <v>9.9990399102947171E-4</v>
      </c>
      <c r="G297" s="6">
        <v>1.5600430731535688</v>
      </c>
      <c r="H297" s="2">
        <f t="shared" si="46"/>
        <v>1.559630718390702E-3</v>
      </c>
      <c r="I297" s="5">
        <f>G297/F297</f>
        <v>1560.1928656644268</v>
      </c>
      <c r="J297" s="2">
        <f>ABS(D297-I297)/I297</f>
        <v>1.465908023045545E-3</v>
      </c>
      <c r="K297" s="1">
        <f>$AD$10*B297+$AD$11</f>
        <v>1559.1792981225653</v>
      </c>
      <c r="L297" s="2">
        <f>ABS(K297-D297)/D297</f>
        <v>2.1124538267860448E-3</v>
      </c>
      <c r="M297" s="21">
        <f>K297*F297</f>
        <v>1.5590296029232835</v>
      </c>
      <c r="N297" s="2">
        <f>ABS(M297-G297)/M297</f>
        <v>6.5006477643848675E-4</v>
      </c>
      <c r="O297" s="21">
        <f t="shared" si="47"/>
        <v>1.0134702302853071E-3</v>
      </c>
      <c r="P297" s="25">
        <f>$AD$18*B297+$AD$19</f>
        <v>2.4499999999999993</v>
      </c>
      <c r="Q297" s="25">
        <f>$AD$29*G297+$AD$30</f>
        <v>2.4464044300680952</v>
      </c>
      <c r="R297" s="25">
        <f t="shared" si="48"/>
        <v>3.5955699319041301E-3</v>
      </c>
      <c r="S297" s="26">
        <v>2.4464582457990369</v>
      </c>
      <c r="T297" s="26">
        <f t="shared" si="49"/>
        <v>3.5417542009623659E-3</v>
      </c>
      <c r="U297" s="27">
        <f t="shared" si="50"/>
        <v>1.4456139595764763E-3</v>
      </c>
      <c r="V297" s="28">
        <f t="shared" si="51"/>
        <v>49.357498949588447</v>
      </c>
      <c r="W297" s="27">
        <f t="shared" si="52"/>
        <v>8.6034515003141588E-4</v>
      </c>
      <c r="X297" s="21">
        <v>2.4517471623007059</v>
      </c>
      <c r="Y297" s="21">
        <f t="shared" si="53"/>
        <v>49.420965947608472</v>
      </c>
      <c r="Z297" s="2">
        <f t="shared" si="54"/>
        <v>4.2441189490837676E-4</v>
      </c>
    </row>
    <row r="298" spans="1:26">
      <c r="A298" s="1">
        <v>49.5</v>
      </c>
      <c r="B298" s="1">
        <f t="shared" si="44"/>
        <v>322.64999999999998</v>
      </c>
      <c r="C298" s="4">
        <f>ROUND(10000*EXP(($AB$4)+($AC$4/B298)+($AD$4/(B298^2))+($AE$4/(B298^3))),6)</f>
        <v>3674.6364469999999</v>
      </c>
      <c r="D298" s="4">
        <f>((C298+2*$AC$5)*$AC$6)/((C298+2*$AC$5)+$AC$6)</f>
        <v>1559.9821021224664</v>
      </c>
      <c r="E298" s="4">
        <f t="shared" si="45"/>
        <v>1.5599821021224665</v>
      </c>
      <c r="F298" s="24">
        <v>9.9990399102947171E-4</v>
      </c>
      <c r="G298" s="6">
        <v>1.5575837548579978</v>
      </c>
      <c r="H298" s="2">
        <f t="shared" si="46"/>
        <v>1.5374197314222482E-3</v>
      </c>
      <c r="I298" s="5">
        <f>G298/F298</f>
        <v>1557.7333112295667</v>
      </c>
      <c r="J298" s="2">
        <f>ABS(D298-I298)/I298</f>
        <v>1.44363022648894E-3</v>
      </c>
      <c r="K298" s="1">
        <f>$AD$10*B298+$AD$11</f>
        <v>1556.8301862036915</v>
      </c>
      <c r="L298" s="2">
        <f>ABS(K298-D298)/D298</f>
        <v>2.0204821032795634E-3</v>
      </c>
      <c r="M298" s="21">
        <f>K298*F298</f>
        <v>1.5566807165402268</v>
      </c>
      <c r="N298" s="2">
        <f>ABS(M298-G298)/M298</f>
        <v>5.8010503257089621E-4</v>
      </c>
      <c r="O298" s="21">
        <f t="shared" si="47"/>
        <v>9.0303831777105426E-4</v>
      </c>
      <c r="P298" s="25">
        <f>$AD$18*B298+$AD$19</f>
        <v>2.4583333333333321</v>
      </c>
      <c r="Q298" s="25">
        <f>$AD$29*G298+$AD$30</f>
        <v>2.4551295515884837</v>
      </c>
      <c r="R298" s="25">
        <f t="shared" si="48"/>
        <v>3.2037817448484773E-3</v>
      </c>
      <c r="S298" s="26">
        <v>2.455528239192609</v>
      </c>
      <c r="T298" s="26">
        <f t="shared" si="49"/>
        <v>2.8050941407231633E-3</v>
      </c>
      <c r="U298" s="27">
        <f t="shared" si="50"/>
        <v>1.1410552436839992E-3</v>
      </c>
      <c r="V298" s="28">
        <f t="shared" si="51"/>
        <v>49.466338870311311</v>
      </c>
      <c r="W298" s="27">
        <f t="shared" si="52"/>
        <v>6.800228219937095E-4</v>
      </c>
      <c r="X298" s="21">
        <v>2.4607756439655728</v>
      </c>
      <c r="Y298" s="21">
        <f t="shared" si="53"/>
        <v>49.529307727586875</v>
      </c>
      <c r="Z298" s="2">
        <f t="shared" si="54"/>
        <v>5.920753047853614E-4</v>
      </c>
    </row>
    <row r="299" spans="1:26">
      <c r="A299" s="1">
        <v>49.6</v>
      </c>
      <c r="B299" s="1">
        <f t="shared" si="44"/>
        <v>322.75</v>
      </c>
      <c r="C299" s="4">
        <f>ROUND(10000*EXP(($AB$4)+($AC$4/B299)+($AD$4/(B299^2))+($AE$4/(B299^3))),6)</f>
        <v>3660.655655</v>
      </c>
      <c r="D299" s="4">
        <f>((C299+2*$AC$5)*$AC$6)/((C299+2*$AC$5)+$AC$6)</f>
        <v>1557.4841843584802</v>
      </c>
      <c r="E299" s="4">
        <f t="shared" si="45"/>
        <v>1.5574841843584801</v>
      </c>
      <c r="F299" s="24">
        <v>9.9990399102947171E-4</v>
      </c>
      <c r="G299" s="6">
        <v>1.5551201349890722</v>
      </c>
      <c r="H299" s="2">
        <f t="shared" si="46"/>
        <v>1.5178641254592693E-3</v>
      </c>
      <c r="I299" s="5">
        <f>G299/F299</f>
        <v>1555.2694548083225</v>
      </c>
      <c r="J299" s="2">
        <f>ABS(D299-I299)/I299</f>
        <v>1.4240166186705256E-3</v>
      </c>
      <c r="K299" s="1">
        <f>$AD$10*B299+$AD$11</f>
        <v>1554.4810742848167</v>
      </c>
      <c r="L299" s="2">
        <f>ABS(K299-D299)/D299</f>
        <v>1.9281801406544994E-3</v>
      </c>
      <c r="M299" s="21">
        <f>K299*F299</f>
        <v>1.5543318301571689</v>
      </c>
      <c r="N299" s="2">
        <f>ABS(M299-G299)/M299</f>
        <v>5.0716636988870981E-4</v>
      </c>
      <c r="O299" s="21">
        <f t="shared" si="47"/>
        <v>7.8830483190328604E-4</v>
      </c>
      <c r="P299" s="25">
        <f>$AD$18*B299+$AD$19</f>
        <v>2.4666666666666686</v>
      </c>
      <c r="Q299" s="25">
        <f>$AD$29*G299+$AD$30</f>
        <v>2.463869934146989</v>
      </c>
      <c r="R299" s="25">
        <f t="shared" si="48"/>
        <v>2.7967325196796011E-3</v>
      </c>
      <c r="S299" s="26">
        <v>2.4646140972141697</v>
      </c>
      <c r="T299" s="26">
        <f t="shared" si="49"/>
        <v>2.0525694524988758E-3</v>
      </c>
      <c r="U299" s="27">
        <f t="shared" si="50"/>
        <v>8.3212275101305711E-4</v>
      </c>
      <c r="V299" s="28">
        <f t="shared" si="51"/>
        <v>49.575369166570034</v>
      </c>
      <c r="W299" s="27">
        <f t="shared" si="52"/>
        <v>4.9658938366868891E-4</v>
      </c>
      <c r="X299" s="21">
        <v>2.4698239186700479</v>
      </c>
      <c r="Y299" s="21">
        <f t="shared" si="53"/>
        <v>49.637887024040573</v>
      </c>
      <c r="Z299" s="2">
        <f t="shared" si="54"/>
        <v>7.6385129114055965E-4</v>
      </c>
    </row>
    <row r="300" spans="1:26">
      <c r="A300" s="1">
        <v>49.7</v>
      </c>
      <c r="B300" s="1">
        <f t="shared" si="44"/>
        <v>322.84999999999997</v>
      </c>
      <c r="C300" s="4">
        <f>ROUND(10000*EXP(($AB$4)+($AC$4/B300)+($AD$4/(B300^2))+($AE$4/(B300^3))),6)</f>
        <v>3646.7356589999999</v>
      </c>
      <c r="D300" s="4">
        <f>((C300+2*$AC$5)*$AC$6)/((C300+2*$AC$5)+$AC$6)</f>
        <v>1554.9862299222561</v>
      </c>
      <c r="E300" s="4">
        <f t="shared" si="45"/>
        <v>1.5549862299222561</v>
      </c>
      <c r="F300" s="24">
        <v>9.9990399102947171E-4</v>
      </c>
      <c r="G300" s="6">
        <v>1.5528348331232422</v>
      </c>
      <c r="H300" s="2">
        <f t="shared" si="46"/>
        <v>1.3835471707819851E-3</v>
      </c>
      <c r="I300" s="5">
        <f>G300/F300</f>
        <v>1552.9839335119457</v>
      </c>
      <c r="J300" s="2">
        <f>ABS(D300-I300)/I300</f>
        <v>1.2893220381117758E-3</v>
      </c>
      <c r="K300" s="1">
        <f>$AD$10*B300+$AD$11</f>
        <v>1552.1319623659438</v>
      </c>
      <c r="L300" s="2">
        <f>ABS(K300-D300)/D300</f>
        <v>1.8355580913762065E-3</v>
      </c>
      <c r="M300" s="21">
        <f>K300*F300</f>
        <v>1.5519829437741131</v>
      </c>
      <c r="N300" s="2">
        <f>ABS(M300-G300)/M300</f>
        <v>5.489038088637363E-4</v>
      </c>
      <c r="O300" s="21">
        <f t="shared" si="47"/>
        <v>8.5188934912916459E-4</v>
      </c>
      <c r="P300" s="25">
        <f>$AD$18*B300+$AD$19</f>
        <v>2.4749999999999979</v>
      </c>
      <c r="Q300" s="25">
        <f>$AD$29*G300+$AD$30</f>
        <v>2.4719776835692766</v>
      </c>
      <c r="R300" s="25">
        <f t="shared" si="48"/>
        <v>3.0223164307212613E-3</v>
      </c>
      <c r="S300" s="26">
        <v>2.4730423163950972</v>
      </c>
      <c r="T300" s="26">
        <f t="shared" si="49"/>
        <v>1.9576836049006729E-3</v>
      </c>
      <c r="U300" s="27">
        <f t="shared" si="50"/>
        <v>7.9098327470734334E-4</v>
      </c>
      <c r="V300" s="28">
        <f t="shared" si="51"/>
        <v>49.67650779674117</v>
      </c>
      <c r="W300" s="27">
        <f t="shared" si="52"/>
        <v>4.7268014605297674E-4</v>
      </c>
      <c r="X300" s="21">
        <v>2.4782150674374903</v>
      </c>
      <c r="Y300" s="21">
        <f t="shared" si="53"/>
        <v>49.738580809249882</v>
      </c>
      <c r="Z300" s="2">
        <f t="shared" si="54"/>
        <v>7.7627382796537558E-4</v>
      </c>
    </row>
    <row r="301" spans="1:26">
      <c r="A301" s="1">
        <v>49.8</v>
      </c>
      <c r="B301" s="1">
        <f t="shared" si="44"/>
        <v>322.95</v>
      </c>
      <c r="C301" s="4">
        <f>ROUND(10000*EXP(($AB$4)+($AC$4/B301)+($AD$4/(B301^2))+($AE$4/(B301^3))),6)</f>
        <v>3632.8761639999998</v>
      </c>
      <c r="D301" s="4">
        <f>((C301+2*$AC$5)*$AC$6)/((C301+2*$AC$5)+$AC$6)</f>
        <v>1552.4882570023287</v>
      </c>
      <c r="E301" s="4">
        <f t="shared" si="45"/>
        <v>1.5524882570023288</v>
      </c>
      <c r="F301" s="24">
        <v>9.9990399102947171E-4</v>
      </c>
      <c r="G301" s="6">
        <v>1.5501734814214796</v>
      </c>
      <c r="H301" s="2">
        <f t="shared" si="46"/>
        <v>1.4910100417241201E-3</v>
      </c>
      <c r="I301" s="5">
        <f>G301/F301</f>
        <v>1550.3223262720119</v>
      </c>
      <c r="J301" s="2">
        <f>ABS(D301-I301)/I301</f>
        <v>1.3970841376742423E-3</v>
      </c>
      <c r="K301" s="1">
        <f>$AD$10*B301+$AD$11</f>
        <v>1549.782850447069</v>
      </c>
      <c r="L301" s="2">
        <f>ABS(K301-D301)/D301</f>
        <v>1.7426260991394308E-3</v>
      </c>
      <c r="M301" s="21">
        <f>K301*F301</f>
        <v>1.5496340573910552</v>
      </c>
      <c r="N301" s="2">
        <f>ABS(M301-G301)/M301</f>
        <v>3.480976865806392E-4</v>
      </c>
      <c r="O301" s="21">
        <f t="shared" si="47"/>
        <v>5.394240304243958E-4</v>
      </c>
      <c r="P301" s="25">
        <f>$AD$18*B301+$AD$19</f>
        <v>2.4833333333333343</v>
      </c>
      <c r="Q301" s="25">
        <f>$AD$29*G301+$AD$30</f>
        <v>2.4814195752708068</v>
      </c>
      <c r="R301" s="25">
        <f t="shared" si="48"/>
        <v>1.9137580625274708E-3</v>
      </c>
      <c r="S301" s="26">
        <v>2.4828574113157589</v>
      </c>
      <c r="T301" s="26">
        <f t="shared" si="49"/>
        <v>4.7592201757540309E-4</v>
      </c>
      <c r="U301" s="27">
        <f t="shared" si="50"/>
        <v>1.9164645003036358E-4</v>
      </c>
      <c r="V301" s="28">
        <f t="shared" si="51"/>
        <v>49.794288935789105</v>
      </c>
      <c r="W301" s="27">
        <f t="shared" si="52"/>
        <v>1.1468000423478721E-4</v>
      </c>
      <c r="X301" s="21">
        <v>2.4879793980608027</v>
      </c>
      <c r="Y301" s="21">
        <f t="shared" si="53"/>
        <v>49.855752776729631</v>
      </c>
      <c r="Z301" s="2">
        <f t="shared" si="54"/>
        <v>1.1195336692697495E-3</v>
      </c>
    </row>
    <row r="302" spans="1:26">
      <c r="A302" s="1">
        <v>49.9</v>
      </c>
      <c r="B302" s="1">
        <f t="shared" si="44"/>
        <v>323.04999999999995</v>
      </c>
      <c r="C302" s="4">
        <f>ROUND(10000*EXP(($AB$4)+($AC$4/B302)+($AD$4/(B302^2))+($AE$4/(B302^3))),6)</f>
        <v>3619.0768760000001</v>
      </c>
      <c r="D302" s="4">
        <f>((C302+2*$AC$5)*$AC$6)/((C302+2*$AC$5)+$AC$6)</f>
        <v>1549.9902836641354</v>
      </c>
      <c r="E302" s="4">
        <f t="shared" si="45"/>
        <v>1.5499902836641355</v>
      </c>
      <c r="F302" s="24">
        <v>9.9990399102947171E-4</v>
      </c>
      <c r="G302" s="6">
        <v>1.5476927219881964</v>
      </c>
      <c r="H302" s="2">
        <f t="shared" si="46"/>
        <v>1.4823071474407644E-3</v>
      </c>
      <c r="I302" s="5">
        <f>G302/F302</f>
        <v>1547.8413286407003</v>
      </c>
      <c r="J302" s="2">
        <f>ABS(D302-I302)/I302</f>
        <v>1.3883561471525357E-3</v>
      </c>
      <c r="K302" s="1">
        <f>$AD$10*B302+$AD$11</f>
        <v>1547.433738528196</v>
      </c>
      <c r="L302" s="2">
        <f>ABS(K302-D302)/D302</f>
        <v>1.6493942980698919E-3</v>
      </c>
      <c r="M302" s="21">
        <f>K302*F302</f>
        <v>1.5472851710079991</v>
      </c>
      <c r="N302" s="2">
        <f>ABS(M302-G302)/M302</f>
        <v>2.6339745758164706E-4</v>
      </c>
      <c r="O302" s="21">
        <f t="shared" si="47"/>
        <v>4.0755098019729097E-4</v>
      </c>
      <c r="P302" s="25">
        <f>$AD$18*B302+$AD$19</f>
        <v>2.4916666666666636</v>
      </c>
      <c r="Q302" s="25">
        <f>$AD$29*G302+$AD$30</f>
        <v>2.4902207652417134</v>
      </c>
      <c r="R302" s="25">
        <f t="shared" si="48"/>
        <v>1.4459014249501578E-3</v>
      </c>
      <c r="S302" s="26">
        <v>2.492006480106213</v>
      </c>
      <c r="T302" s="26">
        <f t="shared" si="49"/>
        <v>3.3981343954936349E-4</v>
      </c>
      <c r="U302" s="27">
        <f t="shared" si="50"/>
        <v>1.3637997573887514E-4</v>
      </c>
      <c r="V302" s="28">
        <f t="shared" si="51"/>
        <v>49.904077761274557</v>
      </c>
      <c r="W302" s="27">
        <f t="shared" si="52"/>
        <v>8.1718662816805841E-5</v>
      </c>
      <c r="X302" s="21">
        <v>2.4977609670422543</v>
      </c>
      <c r="Y302" s="21">
        <f t="shared" si="53"/>
        <v>49.973131604507053</v>
      </c>
      <c r="Z302" s="2">
        <f t="shared" si="54"/>
        <v>1.4655632165742334E-3</v>
      </c>
    </row>
    <row r="303" spans="1:26">
      <c r="A303" s="1">
        <v>50</v>
      </c>
      <c r="B303" s="1">
        <f t="shared" si="44"/>
        <v>323.14999999999998</v>
      </c>
      <c r="C303" s="4">
        <f>ROUND(10000*EXP(($AB$4)+($AC$4/B303)+($AD$4/(B303^2))+($AE$4/(B303^3))),6)</f>
        <v>3605.3375030000002</v>
      </c>
      <c r="D303" s="4">
        <f>((C303+2*$AC$5)*$AC$6)/((C303+2*$AC$5)+$AC$6)</f>
        <v>1547.4923280311166</v>
      </c>
      <c r="E303" s="4">
        <f t="shared" si="45"/>
        <v>1.5474923280311166</v>
      </c>
      <c r="F303" s="24">
        <v>9.9990399102947171E-4</v>
      </c>
      <c r="G303" s="6">
        <v>1.5452066782525362</v>
      </c>
      <c r="H303" s="2">
        <f t="shared" si="46"/>
        <v>1.4770023328570636E-3</v>
      </c>
      <c r="I303" s="5">
        <f>G303/F303</f>
        <v>1545.3550461996226</v>
      </c>
      <c r="J303" s="2">
        <f>ABS(D303-I303)/I303</f>
        <v>1.383036109889455E-3</v>
      </c>
      <c r="K303" s="1">
        <f>$AD$10*B303+$AD$11</f>
        <v>1545.0846266093213</v>
      </c>
      <c r="L303" s="2">
        <f>ABS(K303-D303)/D303</f>
        <v>1.5558729295017842E-3</v>
      </c>
      <c r="M303" s="21">
        <f>K303*F303</f>
        <v>1.5449362846249415</v>
      </c>
      <c r="N303" s="2">
        <f>ABS(M303-G303)/M303</f>
        <v>1.7501927444236079E-4</v>
      </c>
      <c r="O303" s="21">
        <f t="shared" si="47"/>
        <v>2.7039362759473384E-4</v>
      </c>
      <c r="P303" s="25">
        <f>$AD$18*B303+$AD$19</f>
        <v>2.5</v>
      </c>
      <c r="Q303" s="25">
        <f>$AD$29*G303+$AD$30</f>
        <v>2.4990407027576094</v>
      </c>
      <c r="R303" s="25">
        <f t="shared" si="48"/>
        <v>9.5929724239063319E-4</v>
      </c>
      <c r="S303" s="26">
        <v>2.5011750375451736</v>
      </c>
      <c r="T303" s="26">
        <f t="shared" si="49"/>
        <v>1.1750375451735628E-3</v>
      </c>
      <c r="U303" s="27">
        <f t="shared" si="50"/>
        <v>4.7001501806942514E-4</v>
      </c>
      <c r="V303" s="28">
        <f t="shared" si="51"/>
        <v>50.014100450542081</v>
      </c>
      <c r="W303" s="27">
        <f t="shared" si="52"/>
        <v>2.8200901084161954E-4</v>
      </c>
      <c r="X303" s="21">
        <v>2.506886182105883</v>
      </c>
      <c r="Y303" s="21">
        <f t="shared" si="53"/>
        <v>50.082634185270599</v>
      </c>
      <c r="Z303" s="2">
        <f t="shared" si="54"/>
        <v>1.652683705411988E-3</v>
      </c>
    </row>
    <row r="304" spans="1:26">
      <c r="A304" s="1">
        <v>50.1</v>
      </c>
      <c r="B304" s="1">
        <f t="shared" si="44"/>
        <v>323.25</v>
      </c>
      <c r="C304" s="4">
        <f>ROUND(10000*EXP(($AB$4)+($AC$4/B304)+($AD$4/(B304^2))+($AE$4/(B304^3))),6)</f>
        <v>3591.6577550000002</v>
      </c>
      <c r="D304" s="4">
        <f>((C304+2*$AC$5)*$AC$6)/((C304+2*$AC$5)+$AC$6)</f>
        <v>1544.9944082875893</v>
      </c>
      <c r="E304" s="4">
        <f t="shared" si="45"/>
        <v>1.5449944082875893</v>
      </c>
      <c r="F304" s="24">
        <v>9.9990399102947171E-4</v>
      </c>
      <c r="G304" s="6">
        <v>1.5427164967817013</v>
      </c>
      <c r="H304" s="2">
        <f t="shared" si="46"/>
        <v>1.4743817153440128E-3</v>
      </c>
      <c r="I304" s="5">
        <f>G304/F304</f>
        <v>1542.8646256260722</v>
      </c>
      <c r="J304" s="2">
        <f>ABS(D304-I304)/I304</f>
        <v>1.3804079931204905E-3</v>
      </c>
      <c r="K304" s="1">
        <f>$AD$10*B304+$AD$11</f>
        <v>1542.7355146904465</v>
      </c>
      <c r="L304" s="2">
        <f>ABS(K304-D304)/D304</f>
        <v>1.462072344744895E-3</v>
      </c>
      <c r="M304" s="21">
        <f>K304*F304</f>
        <v>1.5425873982418836</v>
      </c>
      <c r="N304" s="2">
        <f>ABS(M304-G304)/M304</f>
        <v>8.3689611340544327E-5</v>
      </c>
      <c r="O304" s="21">
        <f t="shared" si="47"/>
        <v>1.2909853981768471E-4</v>
      </c>
      <c r="P304" s="25">
        <f>$AD$18*B304+$AD$19</f>
        <v>2.5083333333333364</v>
      </c>
      <c r="Q304" s="25">
        <f>$AD$29*G304+$AD$30</f>
        <v>2.5078753200497195</v>
      </c>
      <c r="R304" s="25">
        <f t="shared" si="48"/>
        <v>4.580132836169426E-4</v>
      </c>
      <c r="S304" s="26">
        <v>2.5103588554694882</v>
      </c>
      <c r="T304" s="26">
        <f t="shared" si="49"/>
        <v>2.0255221361518139E-3</v>
      </c>
      <c r="U304" s="27">
        <f t="shared" si="50"/>
        <v>8.0751713069175202E-4</v>
      </c>
      <c r="V304" s="28">
        <f t="shared" si="51"/>
        <v>50.124306265633862</v>
      </c>
      <c r="W304" s="27">
        <f t="shared" si="52"/>
        <v>4.8515500267187317E-4</v>
      </c>
      <c r="X304" s="21">
        <v>2.5160306291532928</v>
      </c>
      <c r="Y304" s="21">
        <f t="shared" si="53"/>
        <v>50.192367549839517</v>
      </c>
      <c r="Z304" s="2">
        <f t="shared" si="54"/>
        <v>1.8436636694514083E-3</v>
      </c>
    </row>
    <row r="305" spans="1:26">
      <c r="A305" s="1">
        <v>50.2</v>
      </c>
      <c r="B305" s="1">
        <f t="shared" si="44"/>
        <v>323.34999999999997</v>
      </c>
      <c r="C305" s="4">
        <f>ROUND(10000*EXP(($AB$4)+($AC$4/B305)+($AD$4/(B305^2))+($AE$4/(B305^3))),6)</f>
        <v>3578.0373420000001</v>
      </c>
      <c r="D305" s="4">
        <f>((C305+2*$AC$5)*$AC$6)/((C305+2*$AC$5)+$AC$6)</f>
        <v>1542.4965423140866</v>
      </c>
      <c r="E305" s="4">
        <f t="shared" si="45"/>
        <v>1.5424965423140866</v>
      </c>
      <c r="F305" s="24">
        <v>9.9990399102947171E-4</v>
      </c>
      <c r="G305" s="6">
        <v>1.5402199721972953</v>
      </c>
      <c r="H305" s="2">
        <f t="shared" si="46"/>
        <v>1.4758996563946373E-3</v>
      </c>
      <c r="I305" s="5">
        <f>G305/F305</f>
        <v>1540.3678613298964</v>
      </c>
      <c r="J305" s="2">
        <f>ABS(D305-I305)/I305</f>
        <v>1.381930276286305E-3</v>
      </c>
      <c r="K305" s="1">
        <f>$AD$10*B305+$AD$11</f>
        <v>1540.3864027715736</v>
      </c>
      <c r="L305" s="2">
        <f>ABS(K305-D305)/D305</f>
        <v>1.3680027699429058E-3</v>
      </c>
      <c r="M305" s="21">
        <f>K305*F305</f>
        <v>1.5402385118588278</v>
      </c>
      <c r="N305" s="2">
        <f>ABS(M305-G305)/M305</f>
        <v>1.2036877009424699E-5</v>
      </c>
      <c r="O305" s="21">
        <f t="shared" si="47"/>
        <v>1.8539661532424034E-5</v>
      </c>
      <c r="P305" s="25">
        <f>$AD$18*B305+$AD$19</f>
        <v>2.5166666666666657</v>
      </c>
      <c r="Q305" s="25">
        <f>$AD$29*G305+$AD$30</f>
        <v>2.5167324413165391</v>
      </c>
      <c r="R305" s="25">
        <f t="shared" si="48"/>
        <v>6.5774649873340252E-5</v>
      </c>
      <c r="S305" s="26">
        <v>2.5195660658650936</v>
      </c>
      <c r="T305" s="26">
        <f t="shared" si="49"/>
        <v>2.8993991984278544E-3</v>
      </c>
      <c r="U305" s="27">
        <f t="shared" si="50"/>
        <v>1.1520791516931876E-3</v>
      </c>
      <c r="V305" s="28">
        <f t="shared" si="51"/>
        <v>50.234792790381121</v>
      </c>
      <c r="W305" s="27">
        <f t="shared" si="52"/>
        <v>6.9308347372745542E-4</v>
      </c>
      <c r="X305" s="21">
        <v>2.5251941954625394</v>
      </c>
      <c r="Y305" s="21">
        <f t="shared" si="53"/>
        <v>50.30233034555048</v>
      </c>
      <c r="Z305" s="2">
        <f t="shared" si="54"/>
        <v>2.038453098615087E-3</v>
      </c>
    </row>
    <row r="306" spans="1:26">
      <c r="A306" s="1">
        <v>50.3</v>
      </c>
      <c r="B306" s="1">
        <f t="shared" si="44"/>
        <v>323.45</v>
      </c>
      <c r="C306" s="4">
        <f>ROUND(10000*EXP(($AB$4)+($AC$4/B306)+($AD$4/(B306^2))+($AE$4/(B306^3))),6)</f>
        <v>3564.4759779999999</v>
      </c>
      <c r="D306" s="4">
        <f>((C306+2*$AC$5)*$AC$6)/((C306+2*$AC$5)+$AC$6)</f>
        <v>1539.998748420707</v>
      </c>
      <c r="E306" s="4">
        <f t="shared" si="45"/>
        <v>1.5399987484207069</v>
      </c>
      <c r="F306" s="24">
        <v>9.9990399102947171E-4</v>
      </c>
      <c r="G306" s="6">
        <v>1.5377182603901982</v>
      </c>
      <c r="H306" s="2">
        <f t="shared" si="46"/>
        <v>1.4808375869444102E-3</v>
      </c>
      <c r="I306" s="5">
        <f>G306/F306</f>
        <v>1537.865909312962</v>
      </c>
      <c r="J306" s="2">
        <f>ABS(D306-I306)/I306</f>
        <v>1.3868823639492898E-3</v>
      </c>
      <c r="K306" s="1">
        <f>$AD$10*B306+$AD$11</f>
        <v>1538.0372908526997</v>
      </c>
      <c r="L306" s="2">
        <f>ABS(K306-D306)/D306</f>
        <v>1.2736747805923842E-3</v>
      </c>
      <c r="M306" s="21">
        <f>K306*F306</f>
        <v>1.5378896254757708</v>
      </c>
      <c r="N306" s="2">
        <f>ABS(M306-G306)/M306</f>
        <v>1.1142872852111798E-4</v>
      </c>
      <c r="O306" s="21">
        <f t="shared" si="47"/>
        <v>1.7136508557258345E-4</v>
      </c>
      <c r="P306" s="25">
        <f>$AD$18*B306+$AD$19</f>
        <v>2.5250000000000021</v>
      </c>
      <c r="Q306" s="25">
        <f>$AD$29*G306+$AD$30</f>
        <v>2.5256079657109307</v>
      </c>
      <c r="R306" s="25">
        <f t="shared" si="48"/>
        <v>6.0796571092858187E-4</v>
      </c>
      <c r="S306" s="26">
        <v>2.5287924074103874</v>
      </c>
      <c r="T306" s="26">
        <f t="shared" si="49"/>
        <v>3.7924074103852234E-3</v>
      </c>
      <c r="U306" s="27">
        <f t="shared" si="50"/>
        <v>1.5019435288654338E-3</v>
      </c>
      <c r="V306" s="28">
        <f t="shared" si="51"/>
        <v>50.345508888924641</v>
      </c>
      <c r="W306" s="27">
        <f t="shared" si="52"/>
        <v>9.0474928279610342E-4</v>
      </c>
      <c r="X306" s="21">
        <v>2.5343767687030359</v>
      </c>
      <c r="Y306" s="21">
        <f t="shared" si="53"/>
        <v>50.412521224436432</v>
      </c>
      <c r="Z306" s="2">
        <f t="shared" si="54"/>
        <v>2.237002473885385E-3</v>
      </c>
    </row>
    <row r="307" spans="1:26">
      <c r="A307" s="1">
        <v>50.4</v>
      </c>
      <c r="B307" s="1">
        <f t="shared" si="44"/>
        <v>323.54999999999995</v>
      </c>
      <c r="C307" s="4">
        <f>ROUND(10000*EXP(($AB$4)+($AC$4/B307)+($AD$4/(B307^2))+($AE$4/(B307^3))),6)</f>
        <v>3550.9733769999998</v>
      </c>
      <c r="D307" s="4">
        <f>((C307+2*$AC$5)*$AC$6)/((C307+2*$AC$5)+$AC$6)</f>
        <v>1537.5010446165379</v>
      </c>
      <c r="E307" s="4">
        <f t="shared" si="45"/>
        <v>1.537501044616538</v>
      </c>
      <c r="F307" s="24">
        <v>9.9990399102947171E-4</v>
      </c>
      <c r="G307" s="6">
        <v>1.5352113859615679</v>
      </c>
      <c r="H307" s="2">
        <f t="shared" si="46"/>
        <v>1.4892078694757312E-3</v>
      </c>
      <c r="I307" s="5">
        <f>G307/F307</f>
        <v>1535.3587941787887</v>
      </c>
      <c r="J307" s="2">
        <f>ABS(D307-I307)/I307</f>
        <v>1.3952767560725394E-3</v>
      </c>
      <c r="K307" s="1">
        <f>$AD$10*B307+$AD$11</f>
        <v>1535.6881789338258</v>
      </c>
      <c r="L307" s="2">
        <f>ABS(K307-D307)/D307</f>
        <v>1.179098829922559E-3</v>
      </c>
      <c r="M307" s="21">
        <f>K307*F307</f>
        <v>1.535540739092714</v>
      </c>
      <c r="N307" s="2">
        <f>ABS(M307-G307)/M307</f>
        <v>2.1448674252740895E-4</v>
      </c>
      <c r="O307" s="21">
        <f t="shared" si="47"/>
        <v>3.2935313114612619E-4</v>
      </c>
      <c r="P307" s="25">
        <f>$AD$18*B307+$AD$19</f>
        <v>2.5333333333333314</v>
      </c>
      <c r="Q307" s="25">
        <f>$AD$29*G307+$AD$30</f>
        <v>2.5345018059533855</v>
      </c>
      <c r="R307" s="25">
        <f t="shared" si="48"/>
        <v>1.1684726200540396E-3</v>
      </c>
      <c r="S307" s="26">
        <v>2.5380377885657825</v>
      </c>
      <c r="T307" s="26">
        <f t="shared" si="49"/>
        <v>4.7044552324511102E-3</v>
      </c>
      <c r="U307" s="27">
        <f t="shared" si="50"/>
        <v>1.8570218022833343E-3</v>
      </c>
      <c r="V307" s="28">
        <f t="shared" si="51"/>
        <v>50.456453462789383</v>
      </c>
      <c r="W307" s="27">
        <f t="shared" si="52"/>
        <v>1.1201083886782719E-3</v>
      </c>
      <c r="X307" s="21">
        <v>2.5435782355597243</v>
      </c>
      <c r="Y307" s="21">
        <f t="shared" si="53"/>
        <v>50.52293882671669</v>
      </c>
      <c r="Z307" s="2">
        <f t="shared" si="54"/>
        <v>2.4392624348549821E-3</v>
      </c>
    </row>
    <row r="308" spans="1:26">
      <c r="A308" s="1">
        <v>50.5</v>
      </c>
      <c r="B308" s="1">
        <f t="shared" si="44"/>
        <v>323.64999999999998</v>
      </c>
      <c r="C308" s="4">
        <f>ROUND(10000*EXP(($AB$4)+($AC$4/B308)+($AD$4/(B308^2))+($AE$4/(B308^3))),6)</f>
        <v>3537.5292530000002</v>
      </c>
      <c r="D308" s="4">
        <f>((C308+2*$AC$5)*$AC$6)/((C308+2*$AC$5)+$AC$6)</f>
        <v>1535.0034486047332</v>
      </c>
      <c r="E308" s="4">
        <f t="shared" si="45"/>
        <v>1.5350034486047333</v>
      </c>
      <c r="F308" s="24">
        <v>9.9990399102947171E-4</v>
      </c>
      <c r="G308" s="6">
        <v>1.5326993796783803</v>
      </c>
      <c r="H308" s="2">
        <f t="shared" si="46"/>
        <v>1.5010187295978082E-3</v>
      </c>
      <c r="I308" s="5">
        <f>G308/F308</f>
        <v>1532.8465466973066</v>
      </c>
      <c r="J308" s="2">
        <f>ABS(D308-I308)/I308</f>
        <v>1.4071218753591902E-3</v>
      </c>
      <c r="K308" s="1">
        <f>$AD$10*B308+$AD$11</f>
        <v>1533.339067014952</v>
      </c>
      <c r="L308" s="2">
        <f>ABS(K308-D308)/D308</f>
        <v>1.0842852446319138E-3</v>
      </c>
      <c r="M308" s="21">
        <f>K308*F308</f>
        <v>1.5331918527096571</v>
      </c>
      <c r="N308" s="2">
        <f>ABS(M308-G308)/M308</f>
        <v>3.2120770170177302E-4</v>
      </c>
      <c r="O308" s="21">
        <f t="shared" si="47"/>
        <v>4.9247303127675224E-4</v>
      </c>
      <c r="P308" s="25">
        <f>$AD$18*B308+$AD$19</f>
        <v>2.5416666666666679</v>
      </c>
      <c r="Q308" s="25">
        <f>$AD$29*G308+$AD$30</f>
        <v>2.5434138528894259</v>
      </c>
      <c r="R308" s="25">
        <f t="shared" si="48"/>
        <v>1.7471862227580459E-3</v>
      </c>
      <c r="S308" s="26">
        <v>2.5473020961881723</v>
      </c>
      <c r="T308" s="26">
        <f t="shared" si="49"/>
        <v>5.6354295215044203E-3</v>
      </c>
      <c r="U308" s="27">
        <f t="shared" si="50"/>
        <v>2.2172181723951806E-3</v>
      </c>
      <c r="V308" s="28">
        <f t="shared" si="51"/>
        <v>50.56762515425806</v>
      </c>
      <c r="W308" s="27">
        <f t="shared" si="52"/>
        <v>1.3391119655061417E-3</v>
      </c>
      <c r="X308" s="21">
        <v>2.5527984834988136</v>
      </c>
      <c r="Y308" s="21">
        <f t="shared" si="53"/>
        <v>50.63358180198577</v>
      </c>
      <c r="Z308" s="2">
        <f t="shared" si="54"/>
        <v>2.6451841977380148E-3</v>
      </c>
    </row>
    <row r="309" spans="1:26">
      <c r="A309" s="1">
        <v>50.6</v>
      </c>
      <c r="B309" s="1">
        <f t="shared" si="44"/>
        <v>323.75</v>
      </c>
      <c r="C309" s="4">
        <f>ROUND(10000*EXP(($AB$4)+($AC$4/B309)+($AD$4/(B309^2))+($AE$4/(B309^3))),6)</f>
        <v>3524.143325</v>
      </c>
      <c r="D309" s="4">
        <f>((C309+2*$AC$5)*$AC$6)/((C309+2*$AC$5)+$AC$6)</f>
        <v>1532.5059787124601</v>
      </c>
      <c r="E309" s="4">
        <f t="shared" si="45"/>
        <v>1.5325059787124602</v>
      </c>
      <c r="F309" s="24">
        <v>9.9990399102947171E-4</v>
      </c>
      <c r="G309" s="6">
        <v>1.5301822720965288</v>
      </c>
      <c r="H309" s="2">
        <f t="shared" si="46"/>
        <v>1.5162789889300579E-3</v>
      </c>
      <c r="I309" s="5">
        <f>G309/F309</f>
        <v>1530.3291974273432</v>
      </c>
      <c r="J309" s="2">
        <f>ABS(D309-I309)/I309</f>
        <v>1.4224268142935175E-3</v>
      </c>
      <c r="K309" s="1">
        <f>$AD$10*B309+$AD$11</f>
        <v>1530.9899550960772</v>
      </c>
      <c r="L309" s="2">
        <f>ABS(K309-D309)/D309</f>
        <v>9.8924482999836216E-4</v>
      </c>
      <c r="M309" s="21">
        <f>K309*F309</f>
        <v>1.5308429663265992</v>
      </c>
      <c r="N309" s="2">
        <f>ABS(M309-G309)/M309</f>
        <v>4.3158850685764456E-4</v>
      </c>
      <c r="O309" s="21">
        <f t="shared" si="47"/>
        <v>6.6069423007042438E-4</v>
      </c>
      <c r="P309" s="25">
        <f>$AD$18*B309+$AD$19</f>
        <v>2.5500000000000007</v>
      </c>
      <c r="Q309" s="25">
        <f>$AD$29*G309+$AD$30</f>
        <v>2.5523439981134493</v>
      </c>
      <c r="R309" s="25">
        <f t="shared" si="48"/>
        <v>2.3439981134485421E-3</v>
      </c>
      <c r="S309" s="26">
        <v>2.5565852174242623</v>
      </c>
      <c r="T309" s="26">
        <f t="shared" si="49"/>
        <v>6.5852174242615469E-3</v>
      </c>
      <c r="U309" s="27">
        <f t="shared" si="50"/>
        <v>2.5824382055927627E-3</v>
      </c>
      <c r="V309" s="28">
        <f t="shared" si="51"/>
        <v>50.679022609091149</v>
      </c>
      <c r="W309" s="27">
        <f t="shared" si="52"/>
        <v>1.5617116421175383E-3</v>
      </c>
      <c r="X309" s="21">
        <v>2.5620373988191334</v>
      </c>
      <c r="Y309" s="21">
        <f t="shared" si="53"/>
        <v>50.744448785829604</v>
      </c>
      <c r="Z309" s="2">
        <f t="shared" si="54"/>
        <v>2.8547190875415581E-3</v>
      </c>
    </row>
    <row r="310" spans="1:26">
      <c r="A310" s="1">
        <v>50.7</v>
      </c>
      <c r="B310" s="1">
        <f t="shared" si="44"/>
        <v>323.84999999999997</v>
      </c>
      <c r="C310" s="4">
        <f>ROUND(10000*EXP(($AB$4)+($AC$4/B310)+($AD$4/(B310^2))+($AE$4/(B310^3))),6)</f>
        <v>3510.8153109999998</v>
      </c>
      <c r="D310" s="4">
        <f>((C310+2*$AC$5)*$AC$6)/((C310+2*$AC$5)+$AC$6)</f>
        <v>1530.008652779341</v>
      </c>
      <c r="E310" s="4">
        <f t="shared" si="45"/>
        <v>1.5300086527793411</v>
      </c>
      <c r="F310" s="24">
        <v>9.9990399102947171E-4</v>
      </c>
      <c r="G310" s="6">
        <v>1.5276600938027727</v>
      </c>
      <c r="H310" s="2">
        <f t="shared" si="46"/>
        <v>1.5349971859976749E-3</v>
      </c>
      <c r="I310" s="5">
        <f>G310/F310</f>
        <v>1527.8067769585946</v>
      </c>
      <c r="J310" s="2">
        <f>ABS(D310-I310)/I310</f>
        <v>1.4412004541108816E-3</v>
      </c>
      <c r="K310" s="1">
        <f>$AD$10*B310+$AD$11</f>
        <v>1528.6408431772043</v>
      </c>
      <c r="L310" s="2">
        <f>ABS(K310-D310)/D310</f>
        <v>8.9398814814022987E-4</v>
      </c>
      <c r="M310" s="21">
        <f>K310*F310</f>
        <v>1.5284940799435434</v>
      </c>
      <c r="N310" s="2">
        <f>ABS(M310-G310)/M310</f>
        <v>5.4562601956658274E-4</v>
      </c>
      <c r="O310" s="21">
        <f t="shared" si="47"/>
        <v>8.3398614077068167E-4</v>
      </c>
      <c r="P310" s="25">
        <f>$AD$18*B310+$AD$19</f>
        <v>2.5583333333333336</v>
      </c>
      <c r="Q310" s="25">
        <f>$AD$29*G310+$AD$30</f>
        <v>2.5612921331103466</v>
      </c>
      <c r="R310" s="25">
        <f t="shared" si="48"/>
        <v>2.9587997770130769E-3</v>
      </c>
      <c r="S310" s="26">
        <v>2.5658870392758883</v>
      </c>
      <c r="T310" s="26">
        <f t="shared" si="49"/>
        <v>7.5537059425547781E-3</v>
      </c>
      <c r="U310" s="27">
        <f t="shared" si="50"/>
        <v>2.9525886420409555E-3</v>
      </c>
      <c r="V310" s="28">
        <f t="shared" si="51"/>
        <v>50.790644471310664</v>
      </c>
      <c r="W310" s="27">
        <f t="shared" si="52"/>
        <v>1.7878593946875914E-3</v>
      </c>
      <c r="X310" s="21">
        <v>2.571294868858681</v>
      </c>
      <c r="Y310" s="21">
        <f t="shared" si="53"/>
        <v>50.855538426304179</v>
      </c>
      <c r="Z310" s="2">
        <f t="shared" si="54"/>
        <v>3.0678190592539627E-3</v>
      </c>
    </row>
    <row r="311" spans="1:26">
      <c r="A311" s="1">
        <v>50.8</v>
      </c>
      <c r="B311" s="1">
        <f t="shared" si="44"/>
        <v>323.95</v>
      </c>
      <c r="C311" s="4">
        <f>ROUND(10000*EXP(($AB$4)+($AC$4/B311)+($AD$4/(B311^2))+($AE$4/(B311^3))),6)</f>
        <v>3497.5449319999998</v>
      </c>
      <c r="D311" s="4">
        <f>((C311+2*$AC$5)*$AC$6)/((C311+2*$AC$5)+$AC$6)</f>
        <v>1527.5114889028998</v>
      </c>
      <c r="E311" s="4">
        <f t="shared" si="45"/>
        <v>1.5275114889028998</v>
      </c>
      <c r="F311" s="24">
        <v>9.9990399102947171E-4</v>
      </c>
      <c r="G311" s="6">
        <v>1.5251328756169507</v>
      </c>
      <c r="H311" s="2">
        <f t="shared" si="46"/>
        <v>1.5571819284040291E-3</v>
      </c>
      <c r="I311" s="5">
        <f>G311/F311</f>
        <v>1525.2793161138588</v>
      </c>
      <c r="J311" s="2">
        <f>ABS(D311-I311)/I311</f>
        <v>1.4634518186007843E-3</v>
      </c>
      <c r="K311" s="1">
        <f>$AD$10*B311+$AD$11</f>
        <v>1526.2917312583295</v>
      </c>
      <c r="L311" s="2">
        <f>ABS(K311-D311)/D311</f>
        <v>7.9852600352380931E-4</v>
      </c>
      <c r="M311" s="21">
        <f>K311*F311</f>
        <v>1.5261451935604855</v>
      </c>
      <c r="N311" s="2">
        <f>ABS(M311-G311)/M311</f>
        <v>6.6331692935002852E-4</v>
      </c>
      <c r="O311" s="21">
        <f t="shared" si="47"/>
        <v>1.0123179435348462E-3</v>
      </c>
      <c r="P311" s="25">
        <f>$AD$18*B311+$AD$19</f>
        <v>2.5666666666666664</v>
      </c>
      <c r="Q311" s="25">
        <f>$AD$29*G311+$AD$30</f>
        <v>2.5702581485380955</v>
      </c>
      <c r="R311" s="25">
        <f t="shared" si="48"/>
        <v>3.591481871429103E-3</v>
      </c>
      <c r="S311" s="26">
        <v>2.5752074487162142</v>
      </c>
      <c r="T311" s="26">
        <f t="shared" si="49"/>
        <v>8.5407820495477793E-3</v>
      </c>
      <c r="U311" s="27">
        <f t="shared" si="50"/>
        <v>3.3275774219017327E-3</v>
      </c>
      <c r="V311" s="28">
        <f t="shared" si="51"/>
        <v>50.902489384594574</v>
      </c>
      <c r="W311" s="27">
        <f t="shared" si="52"/>
        <v>2.0175075707593881E-3</v>
      </c>
      <c r="X311" s="21">
        <v>2.580570780114555</v>
      </c>
      <c r="Y311" s="21">
        <f t="shared" si="53"/>
        <v>50.966849361374663</v>
      </c>
      <c r="Z311" s="2">
        <f t="shared" si="54"/>
        <v>3.2844362475327998E-3</v>
      </c>
    </row>
    <row r="312" spans="1:26">
      <c r="A312" s="1">
        <v>50.9</v>
      </c>
      <c r="B312" s="1">
        <f t="shared" si="44"/>
        <v>324.04999999999995</v>
      </c>
      <c r="C312" s="4">
        <f>ROUND(10000*EXP(($AB$4)+($AC$4/B312)+($AD$4/(B312^2))+($AE$4/(B312^3))),6)</f>
        <v>3484.3319080000001</v>
      </c>
      <c r="D312" s="4">
        <f>((C312+2*$AC$5)*$AC$6)/((C312+2*$AC$5)+$AC$6)</f>
        <v>1525.0145046882296</v>
      </c>
      <c r="E312" s="4">
        <f t="shared" si="45"/>
        <v>1.5250145046882297</v>
      </c>
      <c r="F312" s="24">
        <v>9.9990399102947171E-4</v>
      </c>
      <c r="G312" s="6">
        <v>1.5226006540350978</v>
      </c>
      <c r="H312" s="2">
        <f t="shared" si="46"/>
        <v>1.5828378325001009E-3</v>
      </c>
      <c r="I312" s="5">
        <f>G312/F312</f>
        <v>1522.7468513926751</v>
      </c>
      <c r="J312" s="2">
        <f>ABS(D312-I312)/I312</f>
        <v>1.4891860019152609E-3</v>
      </c>
      <c r="K312" s="1">
        <f>$AD$10*B312+$AD$11</f>
        <v>1523.9426193394565</v>
      </c>
      <c r="L312" s="2">
        <f>ABS(K312-D312)/D312</f>
        <v>7.0286895336266176E-4</v>
      </c>
      <c r="M312" s="21">
        <f>K312*F312</f>
        <v>1.5237963071774296</v>
      </c>
      <c r="N312" s="2">
        <f>ABS(M312-G312)/M312</f>
        <v>7.8465418028645403E-4</v>
      </c>
      <c r="O312" s="21">
        <f t="shared" si="47"/>
        <v>1.1956531423318317E-3</v>
      </c>
      <c r="P312" s="25">
        <f>$AD$18*B312+$AD$19</f>
        <v>2.5749999999999993</v>
      </c>
      <c r="Q312" s="25">
        <f>$AD$29*G312+$AD$30</f>
        <v>2.5792419149167722</v>
      </c>
      <c r="R312" s="25">
        <f t="shared" si="48"/>
        <v>4.2419149167729486E-3</v>
      </c>
      <c r="S312" s="26">
        <v>2.5845463106509539</v>
      </c>
      <c r="T312" s="26">
        <f t="shared" si="49"/>
        <v>9.5463106509545703E-3</v>
      </c>
      <c r="U312" s="27">
        <f t="shared" si="50"/>
        <v>3.7073051071668246E-3</v>
      </c>
      <c r="V312" s="28">
        <f t="shared" si="51"/>
        <v>51.014555727811448</v>
      </c>
      <c r="W312" s="27">
        <f t="shared" si="52"/>
        <v>2.2506036898123677E-3</v>
      </c>
      <c r="X312" s="21">
        <v>2.5898650192290176</v>
      </c>
      <c r="Y312" s="21">
        <f t="shared" si="53"/>
        <v>51.078380230748209</v>
      </c>
      <c r="Z312" s="2">
        <f t="shared" si="54"/>
        <v>3.5045231974108158E-3</v>
      </c>
    </row>
    <row r="313" spans="1:26">
      <c r="A313" s="1">
        <v>51</v>
      </c>
      <c r="B313" s="1">
        <f t="shared" si="44"/>
        <v>324.14999999999998</v>
      </c>
      <c r="C313" s="4">
        <f>ROUND(10000*EXP(($AB$4)+($AC$4/B313)+($AD$4/(B313^2))+($AE$4/(B313^3))),6)</f>
        <v>3471.175964</v>
      </c>
      <c r="D313" s="4">
        <f>((C313+2*$AC$5)*$AC$6)/((C313+2*$AC$5)+$AC$6)</f>
        <v>1522.5177183802623</v>
      </c>
      <c r="E313" s="4">
        <f t="shared" si="45"/>
        <v>1.5225177183802623</v>
      </c>
      <c r="F313" s="24">
        <v>9.9990399102947171E-4</v>
      </c>
      <c r="G313" s="6">
        <v>1.5200623105415896</v>
      </c>
      <c r="H313" s="2">
        <f t="shared" si="46"/>
        <v>1.6127285804495627E-3</v>
      </c>
      <c r="I313" s="5">
        <f>G313/F313</f>
        <v>1520.2082641720212</v>
      </c>
      <c r="J313" s="2">
        <f>ABS(D313-I313)/I313</f>
        <v>1.5191696181831309E-3</v>
      </c>
      <c r="K313" s="1">
        <f>$AD$10*B313+$AD$11</f>
        <v>1521.5935074205818</v>
      </c>
      <c r="L313" s="2">
        <f>ABS(K313-D313)/D313</f>
        <v>6.0702804868750446E-4</v>
      </c>
      <c r="M313" s="21">
        <f>K313*F313</f>
        <v>1.5214474207943718</v>
      </c>
      <c r="N313" s="2">
        <f>ABS(M313-G313)/M313</f>
        <v>9.1038982606380097E-4</v>
      </c>
      <c r="O313" s="21">
        <f t="shared" si="47"/>
        <v>1.3851102527822068E-3</v>
      </c>
      <c r="P313" s="25">
        <f>$AD$18*B313+$AD$19</f>
        <v>2.5833333333333321</v>
      </c>
      <c r="Q313" s="25">
        <f>$AD$29*G313+$AD$30</f>
        <v>2.5882474004943132</v>
      </c>
      <c r="R313" s="25">
        <f t="shared" si="48"/>
        <v>4.9140671609810838E-3</v>
      </c>
      <c r="S313" s="26">
        <v>2.5939077499183623</v>
      </c>
      <c r="T313" s="26">
        <f t="shared" si="49"/>
        <v>1.0574416585030111E-2</v>
      </c>
      <c r="U313" s="27">
        <f t="shared" si="50"/>
        <v>4.0933225490439162E-3</v>
      </c>
      <c r="V313" s="28">
        <f t="shared" si="51"/>
        <v>51.126892999020349</v>
      </c>
      <c r="W313" s="27">
        <f t="shared" si="52"/>
        <v>2.488098020006841E-3</v>
      </c>
      <c r="X313" s="21">
        <v>2.5991774724025341</v>
      </c>
      <c r="Y313" s="21">
        <f t="shared" si="53"/>
        <v>51.190129668830416</v>
      </c>
      <c r="Z313" s="2">
        <f t="shared" si="54"/>
        <v>3.728032722165014E-3</v>
      </c>
    </row>
    <row r="314" spans="1:26">
      <c r="A314" s="1">
        <v>51.1</v>
      </c>
      <c r="B314" s="1">
        <f t="shared" si="44"/>
        <v>324.25</v>
      </c>
      <c r="C314" s="4">
        <f>ROUND(10000*EXP(($AB$4)+($AC$4/B314)+($AD$4/(B314^2))+($AE$4/(B314^3))),6)</f>
        <v>3458.0768229999999</v>
      </c>
      <c r="D314" s="4">
        <f>((C314+2*$AC$5)*$AC$6)/((C314+2*$AC$5)+$AC$6)</f>
        <v>1520.0211475421468</v>
      </c>
      <c r="E314" s="4">
        <f t="shared" si="45"/>
        <v>1.5200211475421468</v>
      </c>
      <c r="F314" s="24">
        <v>9.9990399102947171E-4</v>
      </c>
      <c r="G314" s="6">
        <v>1.5175201543870385</v>
      </c>
      <c r="H314" s="2">
        <f t="shared" si="46"/>
        <v>1.6453673418638901E-3</v>
      </c>
      <c r="I314" s="5">
        <f>G314/F314</f>
        <v>1517.6658639242398</v>
      </c>
      <c r="J314" s="2">
        <f>ABS(D314-I314)/I314</f>
        <v>1.5519118363885845E-3</v>
      </c>
      <c r="K314" s="1">
        <f>$AD$10*B314+$AD$11</f>
        <v>1519.2443955017079</v>
      </c>
      <c r="L314" s="2">
        <f>ABS(K314-D314)/D314</f>
        <v>5.1101396957196812E-4</v>
      </c>
      <c r="M314" s="21">
        <f>K314*F314</f>
        <v>1.5190985344113148</v>
      </c>
      <c r="N314" s="2">
        <f>ABS(M314-G314)/M314</f>
        <v>1.0390241241908689E-3</v>
      </c>
      <c r="O314" s="21">
        <f t="shared" si="47"/>
        <v>1.5783800242763488E-3</v>
      </c>
      <c r="P314" s="25">
        <f>$AD$18*B314+$AD$19</f>
        <v>2.5916666666666686</v>
      </c>
      <c r="Q314" s="25">
        <f>$AD$29*G314+$AD$30</f>
        <v>2.5972664125563991</v>
      </c>
      <c r="R314" s="25">
        <f t="shared" si="48"/>
        <v>5.5997458897305563E-3</v>
      </c>
      <c r="S314" s="26">
        <v>2.6032832505348922</v>
      </c>
      <c r="T314" s="26">
        <f t="shared" si="49"/>
        <v>1.1616583868223618E-2</v>
      </c>
      <c r="U314" s="27">
        <f t="shared" si="50"/>
        <v>4.4822831645878877E-3</v>
      </c>
      <c r="V314" s="28">
        <f t="shared" si="51"/>
        <v>51.239399006418708</v>
      </c>
      <c r="W314" s="27">
        <f t="shared" si="52"/>
        <v>2.7279649005617712E-3</v>
      </c>
      <c r="X314" s="21">
        <v>2.6085080262152966</v>
      </c>
      <c r="Y314" s="21">
        <f t="shared" si="53"/>
        <v>51.302096314583558</v>
      </c>
      <c r="Z314" s="2">
        <f t="shared" si="54"/>
        <v>3.9549180936116748E-3</v>
      </c>
    </row>
    <row r="315" spans="1:26">
      <c r="A315" s="1">
        <v>51.2</v>
      </c>
      <c r="B315" s="1">
        <f t="shared" si="44"/>
        <v>324.34999999999997</v>
      </c>
      <c r="C315" s="4">
        <f>ROUND(10000*EXP(($AB$4)+($AC$4/B315)+($AD$4/(B315^2))+($AE$4/(B315^3))),6)</f>
        <v>3445.034212</v>
      </c>
      <c r="D315" s="4">
        <f>((C315+2*$AC$5)*$AC$6)/((C315+2*$AC$5)+$AC$6)</f>
        <v>1517.5248101932189</v>
      </c>
      <c r="E315" s="4">
        <f t="shared" si="45"/>
        <v>1.5175248101932188</v>
      </c>
      <c r="F315" s="24">
        <v>9.9990399102947171E-4</v>
      </c>
      <c r="G315" s="6">
        <v>1.5151534002287157</v>
      </c>
      <c r="H315" s="2">
        <f t="shared" si="46"/>
        <v>1.5626828296805213E-3</v>
      </c>
      <c r="I315" s="5">
        <f>G315/F315</f>
        <v>1515.2988825144685</v>
      </c>
      <c r="J315" s="2">
        <f>ABS(D315-I315)/I315</f>
        <v>1.4689693923991534E-3</v>
      </c>
      <c r="K315" s="1">
        <f>$AD$10*B315+$AD$11</f>
        <v>1516.8952835828341</v>
      </c>
      <c r="L315" s="2">
        <f>ABS(K315-D315)/D315</f>
        <v>4.1483777145274233E-4</v>
      </c>
      <c r="M315" s="21">
        <f>K315*F315</f>
        <v>1.5167496480282581</v>
      </c>
      <c r="N315" s="2">
        <f>ABS(M315-G315)/M315</f>
        <v>1.0524134959368275E-3</v>
      </c>
      <c r="O315" s="21">
        <f t="shared" si="47"/>
        <v>1.5962477995423716E-3</v>
      </c>
      <c r="P315" s="25">
        <f>$AD$18*B315+$AD$19</f>
        <v>2.5999999999999979</v>
      </c>
      <c r="Q315" s="25">
        <f>$AD$29*G315+$AD$30</f>
        <v>2.605663136834603</v>
      </c>
      <c r="R315" s="25">
        <f t="shared" si="48"/>
        <v>5.6631368346051758E-3</v>
      </c>
      <c r="S315" s="26">
        <v>2.6120118666830652</v>
      </c>
      <c r="T315" s="26">
        <f t="shared" si="49"/>
        <v>1.2011866683067307E-2</v>
      </c>
      <c r="U315" s="27">
        <f t="shared" si="50"/>
        <v>4.6199487242566603E-3</v>
      </c>
      <c r="V315" s="28">
        <f t="shared" si="51"/>
        <v>51.34414240019678</v>
      </c>
      <c r="W315" s="27">
        <f t="shared" si="52"/>
        <v>2.8152812538433103E-3</v>
      </c>
      <c r="X315" s="21">
        <v>2.6171963949125878</v>
      </c>
      <c r="Y315" s="21">
        <f t="shared" si="53"/>
        <v>51.406356738951061</v>
      </c>
      <c r="Z315" s="2">
        <f t="shared" si="54"/>
        <v>4.0304050576378536E-3</v>
      </c>
    </row>
    <row r="316" spans="1:26">
      <c r="A316" s="1">
        <v>51.3</v>
      </c>
      <c r="B316" s="1">
        <f t="shared" si="44"/>
        <v>324.45</v>
      </c>
      <c r="C316" s="4">
        <f>ROUND(10000*EXP(($AB$4)+($AC$4/B316)+($AD$4/(B316^2))+($AE$4/(B316^3))),6)</f>
        <v>3432.0478589999998</v>
      </c>
      <c r="D316" s="4">
        <f>((C316+2*$AC$5)*$AC$6)/((C316+2*$AC$5)+$AC$6)</f>
        <v>1515.0287242425693</v>
      </c>
      <c r="E316" s="4">
        <f t="shared" si="45"/>
        <v>1.5150287242425693</v>
      </c>
      <c r="F316" s="24">
        <v>9.9990399102947171E-4</v>
      </c>
      <c r="G316" s="6">
        <v>1.5127800183515618</v>
      </c>
      <c r="H316" s="2">
        <f t="shared" si="46"/>
        <v>1.4842661759642086E-3</v>
      </c>
      <c r="I316" s="5">
        <f>G316/F316</f>
        <v>1512.9252727494847</v>
      </c>
      <c r="J316" s="2">
        <f>ABS(D316-I316)/I316</f>
        <v>1.3903208115903063E-3</v>
      </c>
      <c r="K316" s="1">
        <f>$AD$10*B316+$AD$11</f>
        <v>1514.5461716639602</v>
      </c>
      <c r="L316" s="2">
        <f>ABS(K316-D316)/D316</f>
        <v>3.1851051461110198E-4</v>
      </c>
      <c r="M316" s="21">
        <f>K316*F316</f>
        <v>1.5144007616452011</v>
      </c>
      <c r="N316" s="2">
        <f>ABS(M316-G316)/M316</f>
        <v>1.070220865366266E-3</v>
      </c>
      <c r="O316" s="21">
        <f t="shared" si="47"/>
        <v>1.6207432936392596E-3</v>
      </c>
      <c r="P316" s="25">
        <f>$AD$18*B316+$AD$19</f>
        <v>2.6083333333333343</v>
      </c>
      <c r="Q316" s="25">
        <f>$AD$29*G316+$AD$30</f>
        <v>2.6140833748045109</v>
      </c>
      <c r="R316" s="25">
        <f t="shared" si="48"/>
        <v>5.7500414711766368E-3</v>
      </c>
      <c r="S316" s="26">
        <v>2.6207649261390578</v>
      </c>
      <c r="T316" s="26">
        <f t="shared" si="49"/>
        <v>1.2431592805723479E-2</v>
      </c>
      <c r="U316" s="27">
        <f t="shared" si="50"/>
        <v>4.7661058680090003E-3</v>
      </c>
      <c r="V316" s="28">
        <f t="shared" si="51"/>
        <v>51.449179113668691</v>
      </c>
      <c r="W316" s="27">
        <f t="shared" si="52"/>
        <v>2.9079749253156763E-3</v>
      </c>
      <c r="X316" s="21">
        <v>2.6259048538710785</v>
      </c>
      <c r="Y316" s="21">
        <f t="shared" si="53"/>
        <v>51.510858246452941</v>
      </c>
      <c r="Z316" s="2">
        <f t="shared" si="54"/>
        <v>4.1102972018117623E-3</v>
      </c>
    </row>
    <row r="317" spans="1:26">
      <c r="A317" s="1">
        <v>51.4</v>
      </c>
      <c r="B317" s="1">
        <f t="shared" si="44"/>
        <v>324.54999999999995</v>
      </c>
      <c r="C317" s="4">
        <f>ROUND(10000*EXP(($AB$4)+($AC$4/B317)+($AD$4/(B317^2))+($AE$4/(B317^3))),6)</f>
        <v>3419.1174919999999</v>
      </c>
      <c r="D317" s="4">
        <f>((C317+2*$AC$5)*$AC$6)/((C317+2*$AC$5)+$AC$6)</f>
        <v>1512.5329072949432</v>
      </c>
      <c r="E317" s="4">
        <f t="shared" si="45"/>
        <v>1.5125329072949434</v>
      </c>
      <c r="F317" s="24">
        <v>9.9990399102947171E-4</v>
      </c>
      <c r="G317" s="6">
        <v>1.5102226045904965</v>
      </c>
      <c r="H317" s="2">
        <f t="shared" si="46"/>
        <v>1.527439630109395E-3</v>
      </c>
      <c r="I317" s="5">
        <f>G317/F317</f>
        <v>1510.3676134301811</v>
      </c>
      <c r="J317" s="2">
        <f>ABS(D317-I317)/I317</f>
        <v>1.4336204282377031E-3</v>
      </c>
      <c r="K317" s="1">
        <f>$AD$10*B317+$AD$11</f>
        <v>1512.1970597450863</v>
      </c>
      <c r="L317" s="2">
        <f>ABS(K317-D317)/D317</f>
        <v>2.2204313587963323E-4</v>
      </c>
      <c r="M317" s="21">
        <f>K317*F317</f>
        <v>1.5120518752621444</v>
      </c>
      <c r="N317" s="2">
        <f>ABS(M317-G317)/M317</f>
        <v>1.2097935934444722E-3</v>
      </c>
      <c r="O317" s="21">
        <f t="shared" si="47"/>
        <v>1.8292706716478424E-3</v>
      </c>
      <c r="P317" s="25">
        <f>$AD$18*B317+$AD$19</f>
        <v>2.6166666666666636</v>
      </c>
      <c r="Q317" s="25">
        <f>$AD$29*G317+$AD$30</f>
        <v>2.6231565175056382</v>
      </c>
      <c r="R317" s="25">
        <f t="shared" si="48"/>
        <v>6.4898508389745757E-3</v>
      </c>
      <c r="S317" s="26">
        <v>2.6301966969992252</v>
      </c>
      <c r="T317" s="26">
        <f t="shared" si="49"/>
        <v>1.3530030332561616E-2</v>
      </c>
      <c r="U317" s="27">
        <f t="shared" si="50"/>
        <v>5.1707122290044448E-3</v>
      </c>
      <c r="V317" s="28">
        <f t="shared" si="51"/>
        <v>51.562360363990706</v>
      </c>
      <c r="W317" s="27">
        <f t="shared" si="52"/>
        <v>3.1587619453445023E-3</v>
      </c>
      <c r="X317" s="21">
        <v>2.6352912409731082</v>
      </c>
      <c r="Y317" s="21">
        <f t="shared" si="53"/>
        <v>51.623494891677296</v>
      </c>
      <c r="Z317" s="2">
        <f t="shared" si="54"/>
        <v>4.3481496435271959E-3</v>
      </c>
    </row>
    <row r="318" spans="1:26">
      <c r="A318" s="1">
        <v>51.5</v>
      </c>
      <c r="B318" s="1">
        <f t="shared" si="44"/>
        <v>324.64999999999998</v>
      </c>
      <c r="C318" s="4">
        <f>ROUND(10000*EXP(($AB$4)+($AC$4/B318)+($AD$4/(B318^2))+($AE$4/(B318^3))),6)</f>
        <v>3406.2428410000002</v>
      </c>
      <c r="D318" s="4">
        <f>((C318+2*$AC$5)*$AC$6)/((C318+2*$AC$5)+$AC$6)</f>
        <v>1510.0373770344963</v>
      </c>
      <c r="E318" s="4">
        <f t="shared" si="45"/>
        <v>1.5100373770344964</v>
      </c>
      <c r="F318" s="24">
        <v>9.9990399102947171E-4</v>
      </c>
      <c r="G318" s="6">
        <v>1.5078386464610216</v>
      </c>
      <c r="H318" s="2">
        <f t="shared" si="46"/>
        <v>1.4560769202897157E-3</v>
      </c>
      <c r="I318" s="5">
        <f>G318/F318</f>
        <v>1507.9834263973637</v>
      </c>
      <c r="J318" s="2">
        <f>ABS(D318-I318)/I318</f>
        <v>1.36205120107958E-3</v>
      </c>
      <c r="K318" s="1">
        <f>$AD$10*B318+$AD$11</f>
        <v>1509.8479478262125</v>
      </c>
      <c r="L318" s="2">
        <f>ABS(K318-D318)/D318</f>
        <v>1.2544670162792086E-4</v>
      </c>
      <c r="M318" s="21">
        <f>K318*F318</f>
        <v>1.5097029888790874</v>
      </c>
      <c r="N318" s="2">
        <f>ABS(M318-G318)/M318</f>
        <v>1.2349067543742428E-3</v>
      </c>
      <c r="O318" s="21">
        <f t="shared" si="47"/>
        <v>1.8643424180657673E-3</v>
      </c>
      <c r="P318" s="25">
        <f>$AD$18*B318+$AD$19</f>
        <v>2.625</v>
      </c>
      <c r="Q318" s="25">
        <f>$AD$29*G318+$AD$30</f>
        <v>2.6316142776974143</v>
      </c>
      <c r="R318" s="25">
        <f t="shared" si="48"/>
        <v>6.6142776974142947E-3</v>
      </c>
      <c r="S318" s="26">
        <v>2.6389887611773033</v>
      </c>
      <c r="T318" s="26">
        <f t="shared" si="49"/>
        <v>1.3988761177303299E-2</v>
      </c>
      <c r="U318" s="27">
        <f t="shared" si="50"/>
        <v>5.3290518770679239E-3</v>
      </c>
      <c r="V318" s="28">
        <f t="shared" si="51"/>
        <v>51.667865134127638</v>
      </c>
      <c r="W318" s="27">
        <f t="shared" si="52"/>
        <v>3.259517167526948E-3</v>
      </c>
      <c r="X318" s="21">
        <v>2.6446952726316728</v>
      </c>
      <c r="Y318" s="21">
        <f t="shared" si="53"/>
        <v>51.736343271580076</v>
      </c>
      <c r="Z318" s="2">
        <f t="shared" si="54"/>
        <v>4.5891897394189423E-3</v>
      </c>
    </row>
    <row r="319" spans="1:26">
      <c r="A319" s="1">
        <v>51.6</v>
      </c>
      <c r="B319" s="1">
        <f t="shared" si="44"/>
        <v>324.75</v>
      </c>
      <c r="C319" s="4">
        <f>ROUND(10000*EXP(($AB$4)+($AC$4/B319)+($AD$4/(B319^2))+($AE$4/(B319^3))),6)</f>
        <v>3393.42364</v>
      </c>
      <c r="D319" s="4">
        <f>((C319+2*$AC$5)*$AC$6)/((C319+2*$AC$5)+$AC$6)</f>
        <v>1507.542151618336</v>
      </c>
      <c r="E319" s="4">
        <f t="shared" si="45"/>
        <v>1.507542151618336</v>
      </c>
      <c r="F319" s="24">
        <v>9.9990399102947171E-4</v>
      </c>
      <c r="G319" s="6">
        <v>1.5052713144097445</v>
      </c>
      <c r="H319" s="2">
        <f t="shared" si="46"/>
        <v>1.5063175554685688E-3</v>
      </c>
      <c r="I319" s="5">
        <f>G319/F319</f>
        <v>1505.4158478355121</v>
      </c>
      <c r="J319" s="2">
        <f>ABS(D319-I319)/I319</f>
        <v>1.4124361623275893E-3</v>
      </c>
      <c r="K319" s="1">
        <f>$AD$10*B319+$AD$11</f>
        <v>1507.4988359073377</v>
      </c>
      <c r="L319" s="2">
        <f>ABS(K319-D319)/D319</f>
        <v>2.8732669897015273E-5</v>
      </c>
      <c r="M319" s="21">
        <f>K319*F319</f>
        <v>1.5073541024960297</v>
      </c>
      <c r="N319" s="2">
        <f>ABS(M319-G319)/M319</f>
        <v>1.3817510317160162E-3</v>
      </c>
      <c r="O319" s="21">
        <f t="shared" si="47"/>
        <v>2.0827880862852588E-3</v>
      </c>
      <c r="P319" s="25">
        <f>$AD$18*B319+$AD$19</f>
        <v>2.6333333333333364</v>
      </c>
      <c r="Q319" s="25">
        <f>$AD$29*G319+$AD$30</f>
        <v>2.6407226083152624</v>
      </c>
      <c r="R319" s="25">
        <f t="shared" si="48"/>
        <v>7.3892749819259862E-3</v>
      </c>
      <c r="S319" s="26">
        <v>2.6484571109768709</v>
      </c>
      <c r="T319" s="26">
        <f t="shared" si="49"/>
        <v>1.5123777643534453E-2</v>
      </c>
      <c r="U319" s="27">
        <f t="shared" si="50"/>
        <v>5.7432067000763674E-3</v>
      </c>
      <c r="V319" s="28">
        <f t="shared" si="51"/>
        <v>51.781485331722443</v>
      </c>
      <c r="W319" s="27">
        <f t="shared" si="52"/>
        <v>3.5171575915201908E-3</v>
      </c>
      <c r="X319" s="21">
        <v>2.6534610958032485</v>
      </c>
      <c r="Y319" s="21">
        <f t="shared" si="53"/>
        <v>51.841533149638984</v>
      </c>
      <c r="Z319" s="2">
        <f t="shared" si="54"/>
        <v>4.6808749930035377E-3</v>
      </c>
    </row>
    <row r="320" spans="1:26">
      <c r="A320" s="1">
        <v>51.7</v>
      </c>
      <c r="B320" s="1">
        <f t="shared" si="44"/>
        <v>324.84999999999997</v>
      </c>
      <c r="C320" s="4">
        <f>ROUND(10000*EXP(($AB$4)+($AC$4/B320)+($AD$4/(B320^2))+($AE$4/(B320^3))),6)</f>
        <v>3380.6596199999999</v>
      </c>
      <c r="D320" s="4">
        <f>((C320+2*$AC$5)*$AC$6)/((C320+2*$AC$5)+$AC$6)</f>
        <v>1505.0472483170597</v>
      </c>
      <c r="E320" s="4">
        <f t="shared" si="45"/>
        <v>1.5050472483170598</v>
      </c>
      <c r="F320" s="24">
        <v>9.9990399102947171E-4</v>
      </c>
      <c r="G320" s="6">
        <v>1.5026992197919449</v>
      </c>
      <c r="H320" s="2">
        <f t="shared" si="46"/>
        <v>1.5601028657010691E-3</v>
      </c>
      <c r="I320" s="5">
        <f>G320/F320</f>
        <v>1502.8435062498449</v>
      </c>
      <c r="J320" s="2">
        <f>ABS(D320-I320)/I320</f>
        <v>1.4663816013111839E-3</v>
      </c>
      <c r="K320" s="1">
        <f>$AD$10*B320+$AD$11</f>
        <v>1505.1497239884648</v>
      </c>
      <c r="L320" s="2">
        <f>ABS(K320-D320)/D320</f>
        <v>6.8088009542314031E-5</v>
      </c>
      <c r="M320" s="21">
        <f>K320*F320</f>
        <v>1.5050052161129737</v>
      </c>
      <c r="N320" s="2">
        <f>ABS(M320-G320)/M320</f>
        <v>1.532218158674934E-3</v>
      </c>
      <c r="O320" s="21">
        <f t="shared" si="47"/>
        <v>2.3059963210287915E-3</v>
      </c>
      <c r="P320" s="25">
        <f>$AD$18*B320+$AD$19</f>
        <v>2.6416666666666657</v>
      </c>
      <c r="Q320" s="25">
        <f>$AD$29*G320+$AD$30</f>
        <v>2.6498478354738024</v>
      </c>
      <c r="R320" s="25">
        <f t="shared" si="48"/>
        <v>8.1811688071367072E-3</v>
      </c>
      <c r="S320" s="26">
        <v>2.6579430250683673</v>
      </c>
      <c r="T320" s="26">
        <f t="shared" si="49"/>
        <v>1.6276358401701607E-2</v>
      </c>
      <c r="U320" s="27">
        <f t="shared" si="50"/>
        <v>6.161397502221431E-3</v>
      </c>
      <c r="V320" s="28">
        <f t="shared" si="51"/>
        <v>51.895316300820411</v>
      </c>
      <c r="W320" s="27">
        <f t="shared" si="52"/>
        <v>3.7778781590021011E-3</v>
      </c>
      <c r="X320" s="21">
        <v>2.6629011801603948</v>
      </c>
      <c r="Y320" s="21">
        <f t="shared" si="53"/>
        <v>51.954814161924745</v>
      </c>
      <c r="Z320" s="2">
        <f t="shared" si="54"/>
        <v>4.9287071939021609E-3</v>
      </c>
    </row>
    <row r="321" spans="1:26">
      <c r="A321" s="1">
        <v>51.8</v>
      </c>
      <c r="B321" s="1">
        <f t="shared" si="44"/>
        <v>324.95</v>
      </c>
      <c r="C321" s="4">
        <f>ROUND(10000*EXP(($AB$4)+($AC$4/B321)+($AD$4/(B321^2))+($AE$4/(B321^3))),6)</f>
        <v>3367.9505170000002</v>
      </c>
      <c r="D321" s="4">
        <f>((C321+2*$AC$5)*$AC$6)/((C321+2*$AC$5)+$AC$6)</f>
        <v>1502.5526850713723</v>
      </c>
      <c r="E321" s="4">
        <f t="shared" si="45"/>
        <v>1.5025526850713722</v>
      </c>
      <c r="F321" s="24">
        <v>9.9990399102947171E-4</v>
      </c>
      <c r="G321" s="6">
        <v>1.5002997719689246</v>
      </c>
      <c r="H321" s="2">
        <f t="shared" si="46"/>
        <v>1.499390420603161E-3</v>
      </c>
      <c r="I321" s="5">
        <f>G321/F321</f>
        <v>1500.4438280361899</v>
      </c>
      <c r="J321" s="2">
        <f>ABS(D321-I321)/I321</f>
        <v>1.405488826557736E-3</v>
      </c>
      <c r="K321" s="1">
        <f>$AD$10*B321+$AD$11</f>
        <v>1502.80061206959</v>
      </c>
      <c r="L321" s="2">
        <f>ABS(K321-D321)/D321</f>
        <v>1.6500386354569588E-4</v>
      </c>
      <c r="M321" s="21">
        <f>K321*F321</f>
        <v>1.5026563297299158</v>
      </c>
      <c r="N321" s="2">
        <f>ABS(M321-G321)/M321</f>
        <v>1.5682612945933942E-3</v>
      </c>
      <c r="O321" s="21">
        <f t="shared" si="47"/>
        <v>2.3565577609911958E-3</v>
      </c>
      <c r="P321" s="25">
        <f>$AD$18*B321+$AD$19</f>
        <v>2.6500000000000021</v>
      </c>
      <c r="Q321" s="25">
        <f>$AD$29*G321+$AD$30</f>
        <v>2.6583605496984664</v>
      </c>
      <c r="R321" s="25">
        <f t="shared" si="48"/>
        <v>8.3605496984642258E-3</v>
      </c>
      <c r="S321" s="26">
        <v>2.6667922157506432</v>
      </c>
      <c r="T321" s="26">
        <f t="shared" si="49"/>
        <v>1.6792215750641049E-2</v>
      </c>
      <c r="U321" s="27">
        <f t="shared" si="50"/>
        <v>6.3366851889211451E-3</v>
      </c>
      <c r="V321" s="28">
        <f t="shared" si="51"/>
        <v>52.001506589007711</v>
      </c>
      <c r="W321" s="27">
        <f t="shared" si="52"/>
        <v>3.8900885908825077E-3</v>
      </c>
      <c r="X321" s="21">
        <v>2.6723585662721803</v>
      </c>
      <c r="Y321" s="21">
        <f t="shared" si="53"/>
        <v>52.06830279526617</v>
      </c>
      <c r="Z321" s="2">
        <f t="shared" si="54"/>
        <v>5.1795906422041158E-3</v>
      </c>
    </row>
    <row r="322" spans="1:26">
      <c r="A322" s="1">
        <v>51.9</v>
      </c>
      <c r="B322" s="1">
        <f t="shared" si="44"/>
        <v>325.04999999999995</v>
      </c>
      <c r="C322" s="4">
        <f>ROUND(10000*EXP(($AB$4)+($AC$4/B322)+($AD$4/(B322^2))+($AE$4/(B322^3))),6)</f>
        <v>3355.2960659999999</v>
      </c>
      <c r="D322" s="4">
        <f>((C322+2*$AC$5)*$AC$6)/((C322+2*$AC$5)+$AC$6)</f>
        <v>1500.0584793228413</v>
      </c>
      <c r="E322" s="4">
        <f t="shared" si="45"/>
        <v>1.5000584793228413</v>
      </c>
      <c r="F322" s="24">
        <v>9.9990399102947171E-4</v>
      </c>
      <c r="G322" s="6">
        <v>1.4977179449073046</v>
      </c>
      <c r="H322" s="2">
        <f t="shared" si="46"/>
        <v>1.5602954470103653E-3</v>
      </c>
      <c r="I322" s="5">
        <f>G322/F322</f>
        <v>1497.8617530722108</v>
      </c>
      <c r="J322" s="2">
        <f>ABS(D322-I322)/I322</f>
        <v>1.4665747664127638E-3</v>
      </c>
      <c r="K322" s="1">
        <f>$AD$10*B322+$AD$11</f>
        <v>1500.451500150717</v>
      </c>
      <c r="L322" s="2">
        <f>ABS(K322-D322)/D322</f>
        <v>2.6200367071898048E-4</v>
      </c>
      <c r="M322" s="21">
        <f>K322*F322</f>
        <v>1.5003074433468599</v>
      </c>
      <c r="N322" s="2">
        <f>ABS(M322-G322)/M322</f>
        <v>1.7259785326257874E-3</v>
      </c>
      <c r="O322" s="21">
        <f t="shared" si="47"/>
        <v>2.58949843955536E-3</v>
      </c>
      <c r="P322" s="25">
        <f>$AD$18*B322+$AD$19</f>
        <v>2.6583333333333314</v>
      </c>
      <c r="Q322" s="25">
        <f>$AD$29*G322+$AD$30</f>
        <v>2.6675203054315215</v>
      </c>
      <c r="R322" s="25">
        <f t="shared" si="48"/>
        <v>9.1869720981900826E-3</v>
      </c>
      <c r="S322" s="26">
        <v>2.6763140229446858</v>
      </c>
      <c r="T322" s="26">
        <f t="shared" si="49"/>
        <v>1.798068961135435E-2</v>
      </c>
      <c r="U322" s="27">
        <f t="shared" si="50"/>
        <v>6.7638957785659043E-3</v>
      </c>
      <c r="V322" s="28">
        <f t="shared" si="51"/>
        <v>52.115768275336222</v>
      </c>
      <c r="W322" s="27">
        <f t="shared" si="52"/>
        <v>4.1573848812374529E-3</v>
      </c>
      <c r="X322" s="21">
        <v>2.6818331393817991</v>
      </c>
      <c r="Y322" s="21">
        <f t="shared" si="53"/>
        <v>52.181997672581588</v>
      </c>
      <c r="Z322" s="2">
        <f t="shared" si="54"/>
        <v>5.4334811672753208E-3</v>
      </c>
    </row>
    <row r="323" spans="1:26">
      <c r="A323" s="1">
        <v>52</v>
      </c>
      <c r="B323" s="1">
        <f t="shared" si="44"/>
        <v>325.14999999999998</v>
      </c>
      <c r="C323" s="4">
        <f>ROUND(10000*EXP(($AB$4)+($AC$4/B323)+($AD$4/(B323^2))+($AE$4/(B323^3))),6)</f>
        <v>3342.6960049999998</v>
      </c>
      <c r="D323" s="4">
        <f>((C323+2*$AC$5)*$AC$6)/((C323+2*$AC$5)+$AC$6)</f>
        <v>1497.5646487985173</v>
      </c>
      <c r="E323" s="4">
        <f t="shared" si="45"/>
        <v>1.4975646487985173</v>
      </c>
      <c r="F323" s="24">
        <v>9.9990399102947171E-4</v>
      </c>
      <c r="G323" s="6">
        <v>1.495131454551172</v>
      </c>
      <c r="H323" s="2">
        <f t="shared" si="46"/>
        <v>1.6247674177521198E-3</v>
      </c>
      <c r="I323" s="5">
        <f>G323/F323</f>
        <v>1495.275014365958</v>
      </c>
      <c r="J323" s="2">
        <f>ABS(D323-I323)/I323</f>
        <v>1.531246366428567E-3</v>
      </c>
      <c r="K323" s="1">
        <f>$AD$10*B323+$AD$11</f>
        <v>1498.1023882318423</v>
      </c>
      <c r="L323" s="2">
        <f>ABS(K323-D323)/D323</f>
        <v>3.590759395638848E-4</v>
      </c>
      <c r="M323" s="21">
        <f>K323*F323</f>
        <v>1.4979585569638021</v>
      </c>
      <c r="N323" s="2">
        <f>ABS(M323-G323)/M323</f>
        <v>1.8873034901314585E-3</v>
      </c>
      <c r="O323" s="21">
        <f t="shared" si="47"/>
        <v>2.827102412630067E-3</v>
      </c>
      <c r="P323" s="25">
        <f>$AD$18*B323+$AD$19</f>
        <v>2.6666666666666679</v>
      </c>
      <c r="Q323" s="25">
        <f>$AD$29*G323+$AD$30</f>
        <v>2.6766966055099664</v>
      </c>
      <c r="R323" s="25">
        <f t="shared" si="48"/>
        <v>1.0029938843298503E-2</v>
      </c>
      <c r="S323" s="26">
        <v>2.6858530287936535</v>
      </c>
      <c r="T323" s="26">
        <f t="shared" si="49"/>
        <v>1.9186362126985657E-2</v>
      </c>
      <c r="U323" s="27">
        <f t="shared" si="50"/>
        <v>7.1948857976196177E-3</v>
      </c>
      <c r="V323" s="28">
        <f t="shared" si="51"/>
        <v>52.230236345523835</v>
      </c>
      <c r="W323" s="27">
        <f t="shared" si="52"/>
        <v>4.4276220293045189E-3</v>
      </c>
      <c r="X323" s="21">
        <v>2.6913247849059116</v>
      </c>
      <c r="Y323" s="21">
        <f t="shared" si="53"/>
        <v>52.295897418870943</v>
      </c>
      <c r="Z323" s="2">
        <f t="shared" si="54"/>
        <v>5.6903349782873721E-3</v>
      </c>
    </row>
    <row r="324" spans="1:26">
      <c r="A324" s="1">
        <v>52.1</v>
      </c>
      <c r="B324" s="1">
        <f t="shared" ref="B324:B387" si="55">A324+273.15</f>
        <v>325.25</v>
      </c>
      <c r="C324" s="4">
        <f>ROUND(10000*EXP(($AB$4)+($AC$4/B324)+($AD$4/(B324^2))+($AE$4/(B324^3))),6)</f>
        <v>3330.1500740000001</v>
      </c>
      <c r="D324" s="4">
        <f>((C324+2*$AC$5)*$AC$6)/((C324+2*$AC$5)+$AC$6)</f>
        <v>1495.0712113195093</v>
      </c>
      <c r="E324" s="4">
        <f t="shared" ref="E324:E387" si="56">D324*0.001</f>
        <v>1.4950712113195093</v>
      </c>
      <c r="F324" s="24">
        <v>9.9990399102947171E-4</v>
      </c>
      <c r="G324" s="6">
        <v>1.4927167903777521</v>
      </c>
      <c r="H324" s="2">
        <f t="shared" ref="H324:H387" si="57">ABS(E324-G324)/E324</f>
        <v>1.5747884943080725E-3</v>
      </c>
      <c r="I324" s="5">
        <f>G324/F324</f>
        <v>1492.8601183408566</v>
      </c>
      <c r="J324" s="2">
        <f>ABS(D324-I324)/I324</f>
        <v>1.4811119618561878E-3</v>
      </c>
      <c r="K324" s="1">
        <f>$AD$10*B324+$AD$11</f>
        <v>1495.7532763129684</v>
      </c>
      <c r="L324" s="2">
        <f>ABS(K324-D324)/D324</f>
        <v>4.5620903425538863E-4</v>
      </c>
      <c r="M324" s="21">
        <f>K324*F324</f>
        <v>1.4956096705807453</v>
      </c>
      <c r="N324" s="2">
        <f>ABS(M324-G324)/M324</f>
        <v>1.9342481262975319E-3</v>
      </c>
      <c r="O324" s="21">
        <f t="shared" ref="O324:O387" si="58">N324*M324</f>
        <v>2.8928802029932754E-3</v>
      </c>
      <c r="P324" s="25">
        <f>$AD$18*B324+$AD$19</f>
        <v>2.6750000000000007</v>
      </c>
      <c r="Q324" s="25">
        <f>$AD$29*G324+$AD$30</f>
        <v>2.6852633040060336</v>
      </c>
      <c r="R324" s="25">
        <f t="shared" ref="R324:R387" si="59">ABS(P324-Q324)</f>
        <v>1.0263304006032925E-2</v>
      </c>
      <c r="S324" s="26">
        <v>2.6947583373373347</v>
      </c>
      <c r="T324" s="26">
        <f t="shared" ref="T324:T387" si="60">ABS(P324-S324)</f>
        <v>1.9758337337334009E-2</v>
      </c>
      <c r="U324" s="27">
        <f t="shared" ref="U324:U387" si="61">IF(P324=0,ABS(P324-S324),ABS(P324-S324)/P324)</f>
        <v>7.386294331713646E-3</v>
      </c>
      <c r="V324" s="28">
        <f t="shared" ref="V324:V387" si="62">(S324-$AD$21)/($AD$20)</f>
        <v>52.337100048048015</v>
      </c>
      <c r="W324" s="27">
        <f t="shared" ref="W324:W387" si="63">ABS(A324-V324)/A324</f>
        <v>4.5508646458351908E-3</v>
      </c>
      <c r="X324" s="21">
        <v>2.7001831820094075</v>
      </c>
      <c r="Y324" s="21">
        <f t="shared" ref="Y324:Y387" si="64">(X324+5/3)/(1/12)</f>
        <v>52.402198184112898</v>
      </c>
      <c r="Z324" s="2">
        <f t="shared" ref="Z324:Z387" si="65">ABS(A324-Y324)/A324</f>
        <v>5.800349023280158E-3</v>
      </c>
    </row>
    <row r="325" spans="1:26">
      <c r="A325" s="1">
        <v>52.2</v>
      </c>
      <c r="B325" s="1">
        <f t="shared" si="55"/>
        <v>325.34999999999997</v>
      </c>
      <c r="C325" s="4">
        <f>ROUND(10000*EXP(($AB$4)+($AC$4/B325)+($AD$4/(B325^2))+($AE$4/(B325^3))),6)</f>
        <v>3317.658011</v>
      </c>
      <c r="D325" s="4">
        <f>((C325+2*$AC$5)*$AC$6)/((C325+2*$AC$5)+$AC$6)</f>
        <v>1492.5781840047316</v>
      </c>
      <c r="E325" s="4">
        <f t="shared" si="56"/>
        <v>1.4925781840047316</v>
      </c>
      <c r="F325" s="24">
        <v>9.9990399102947171E-4</v>
      </c>
      <c r="G325" s="6">
        <v>1.4901207476682143</v>
      </c>
      <c r="H325" s="2">
        <f t="shared" si="57"/>
        <v>1.6464372606088574E-3</v>
      </c>
      <c r="I325" s="5">
        <f>G325/F325</f>
        <v>1490.263826363999</v>
      </c>
      <c r="J325" s="2">
        <f>ABS(D325-I325)/I325</f>
        <v>1.5529851827506807E-3</v>
      </c>
      <c r="K325" s="1">
        <f>$AD$10*B325+$AD$11</f>
        <v>1493.4041643940955</v>
      </c>
      <c r="L325" s="2">
        <f>ABS(K325-D325)/D325</f>
        <v>5.5339170719195688E-4</v>
      </c>
      <c r="M325" s="21">
        <f>K325*F325</f>
        <v>1.4932607841976893</v>
      </c>
      <c r="N325" s="2">
        <f>ABS(M325-G325)/M325</f>
        <v>2.1028051916343765E-3</v>
      </c>
      <c r="O325" s="21">
        <f t="shared" si="58"/>
        <v>3.1400365294749211E-3</v>
      </c>
      <c r="P325" s="25">
        <f>$AD$18*B325+$AD$19</f>
        <v>2.6833333333333336</v>
      </c>
      <c r="Q325" s="25">
        <f>$AD$29*G325+$AD$30</f>
        <v>2.6944734937377284</v>
      </c>
      <c r="R325" s="25">
        <f t="shared" si="59"/>
        <v>1.1140160404394805E-2</v>
      </c>
      <c r="S325" s="26">
        <v>2.7043325724322771</v>
      </c>
      <c r="T325" s="26">
        <f t="shared" si="60"/>
        <v>2.0999239098943523E-2</v>
      </c>
      <c r="U325" s="27">
        <f t="shared" si="61"/>
        <v>7.8258033909106295E-3</v>
      </c>
      <c r="V325" s="28">
        <f t="shared" si="62"/>
        <v>52.451990869187327</v>
      </c>
      <c r="W325" s="27">
        <f t="shared" si="63"/>
        <v>4.8274112871134877E-3</v>
      </c>
      <c r="X325" s="21">
        <v>2.7097097345152452</v>
      </c>
      <c r="Y325" s="21">
        <f t="shared" si="64"/>
        <v>52.51651681418295</v>
      </c>
      <c r="Z325" s="2">
        <f t="shared" si="65"/>
        <v>6.0635405015890204E-3</v>
      </c>
    </row>
    <row r="326" spans="1:26">
      <c r="A326" s="1">
        <v>52.3</v>
      </c>
      <c r="B326" s="1">
        <f t="shared" si="55"/>
        <v>325.45</v>
      </c>
      <c r="C326" s="4">
        <f>ROUND(10000*EXP(($AB$4)+($AC$4/B326)+($AD$4/(B326^2))+($AE$4/(B326^3))),6)</f>
        <v>3305.2195590000001</v>
      </c>
      <c r="D326" s="4">
        <f>((C326+2*$AC$5)*$AC$6)/((C326+2*$AC$5)+$AC$6)</f>
        <v>1490.0855846637537</v>
      </c>
      <c r="E326" s="4">
        <f t="shared" si="56"/>
        <v>1.4900855846637537</v>
      </c>
      <c r="F326" s="24">
        <v>9.9990399102947171E-4</v>
      </c>
      <c r="G326" s="6">
        <v>1.4876960052689352</v>
      </c>
      <c r="H326" s="2">
        <f t="shared" si="57"/>
        <v>1.6036524474919767E-3</v>
      </c>
      <c r="I326" s="5">
        <f>G326/F326</f>
        <v>1487.8388511453456</v>
      </c>
      <c r="J326" s="2">
        <f>ABS(D326-I326)/I326</f>
        <v>1.5100650965516309E-3</v>
      </c>
      <c r="K326" s="1">
        <f>$AD$10*B326+$AD$11</f>
        <v>1491.0550524752207</v>
      </c>
      <c r="L326" s="2">
        <f>ABS(K326-D326)/D326</f>
        <v>6.5061216714323833E-4</v>
      </c>
      <c r="M326" s="21">
        <f>K326*F326</f>
        <v>1.4909118978146316</v>
      </c>
      <c r="N326" s="2">
        <f>ABS(M326-G326)/M326</f>
        <v>2.1569970367868573E-3</v>
      </c>
      <c r="O326" s="21">
        <f t="shared" si="58"/>
        <v>3.21589254569643E-3</v>
      </c>
      <c r="P326" s="25">
        <f>$AD$18*B326+$AD$19</f>
        <v>2.6916666666666664</v>
      </c>
      <c r="Q326" s="25">
        <f>$AD$29*G326+$AD$30</f>
        <v>2.703075947567088</v>
      </c>
      <c r="R326" s="25">
        <f t="shared" si="59"/>
        <v>1.1409280900421592E-2</v>
      </c>
      <c r="S326" s="26">
        <v>2.7132750499553304</v>
      </c>
      <c r="T326" s="26">
        <f t="shared" si="60"/>
        <v>2.160838328866399E-2</v>
      </c>
      <c r="U326" s="27">
        <f t="shared" si="61"/>
        <v>8.0278823363457551E-3</v>
      </c>
      <c r="V326" s="28">
        <f t="shared" si="62"/>
        <v>52.559300599463967</v>
      </c>
      <c r="W326" s="27">
        <f t="shared" si="63"/>
        <v>4.9579464524659592E-3</v>
      </c>
      <c r="X326" s="21">
        <v>2.7186050208618124</v>
      </c>
      <c r="Y326" s="21">
        <f t="shared" si="64"/>
        <v>52.623260250341751</v>
      </c>
      <c r="Z326" s="2">
        <f t="shared" si="65"/>
        <v>6.180884327758201E-3</v>
      </c>
    </row>
    <row r="327" spans="1:26">
      <c r="A327" s="1">
        <v>52.4</v>
      </c>
      <c r="B327" s="1">
        <f t="shared" si="55"/>
        <v>325.54999999999995</v>
      </c>
      <c r="C327" s="4">
        <f>ROUND(10000*EXP(($AB$4)+($AC$4/B327)+($AD$4/(B327^2))+($AE$4/(B327^3))),6)</f>
        <v>3292.8344619999998</v>
      </c>
      <c r="D327" s="4">
        <f>((C327+2*$AC$5)*$AC$6)/((C327+2*$AC$5)+$AC$6)</f>
        <v>1487.5934310063831</v>
      </c>
      <c r="E327" s="4">
        <f t="shared" si="56"/>
        <v>1.4875934310063832</v>
      </c>
      <c r="F327" s="24">
        <v>9.9990399102947171E-4</v>
      </c>
      <c r="G327" s="6">
        <v>1.4852672864798309</v>
      </c>
      <c r="H327" s="2">
        <f t="shared" si="57"/>
        <v>1.5636964227373968E-3</v>
      </c>
      <c r="I327" s="5">
        <f>G327/F327</f>
        <v>1485.4098991550613</v>
      </c>
      <c r="J327" s="2">
        <f>ABS(D327-I327)/I327</f>
        <v>1.4699860641589771E-3</v>
      </c>
      <c r="K327" s="1">
        <f>$AD$10*B327+$AD$11</f>
        <v>1488.7059405563477</v>
      </c>
      <c r="L327" s="2">
        <f>ABS(K327-D327)/D327</f>
        <v>7.4785860624030731E-4</v>
      </c>
      <c r="M327" s="21">
        <f>K327*F327</f>
        <v>1.4885630114315755</v>
      </c>
      <c r="N327" s="2">
        <f>ABS(M327-G327)/M327</f>
        <v>2.2140312008526466E-3</v>
      </c>
      <c r="O327" s="21">
        <f t="shared" si="58"/>
        <v>3.2957249517446829E-3</v>
      </c>
      <c r="P327" s="25">
        <f>$AD$18*B327+$AD$19</f>
        <v>2.6999999999999993</v>
      </c>
      <c r="Q327" s="25">
        <f>$AD$29*G327+$AD$30</f>
        <v>2.7116925087547754</v>
      </c>
      <c r="R327" s="25">
        <f t="shared" si="59"/>
        <v>1.1692508754776121E-2</v>
      </c>
      <c r="S327" s="26">
        <v>2.7222321924495136</v>
      </c>
      <c r="T327" s="26">
        <f t="shared" si="60"/>
        <v>2.2232192449514354E-2</v>
      </c>
      <c r="U327" s="27">
        <f t="shared" si="61"/>
        <v>8.2341453516719849E-3</v>
      </c>
      <c r="V327" s="28">
        <f t="shared" si="62"/>
        <v>52.666786309394162</v>
      </c>
      <c r="W327" s="27">
        <f t="shared" si="63"/>
        <v>5.0913417823313621E-3</v>
      </c>
      <c r="X327" s="21">
        <v>2.7275191324092662</v>
      </c>
      <c r="Y327" s="21">
        <f t="shared" si="64"/>
        <v>52.730229588911193</v>
      </c>
      <c r="Z327" s="2">
        <f t="shared" si="65"/>
        <v>6.3020913914350113E-3</v>
      </c>
    </row>
    <row r="328" spans="1:26">
      <c r="A328" s="1">
        <v>52.5</v>
      </c>
      <c r="B328" s="1">
        <f t="shared" si="55"/>
        <v>325.64999999999998</v>
      </c>
      <c r="C328" s="4">
        <f>ROUND(10000*EXP(($AB$4)+($AC$4/B328)+($AD$4/(B328^2))+($AE$4/(B328^3))),6)</f>
        <v>3280.5024619999999</v>
      </c>
      <c r="D328" s="4">
        <f>((C328+2*$AC$5)*$AC$6)/((C328+2*$AC$5)+$AC$6)</f>
        <v>1485.1017400349162</v>
      </c>
      <c r="E328" s="4">
        <f t="shared" si="56"/>
        <v>1.4851017400349162</v>
      </c>
      <c r="F328" s="24">
        <v>9.9990399102947171E-4</v>
      </c>
      <c r="G328" s="6">
        <v>1.4826558388725943</v>
      </c>
      <c r="H328" s="2">
        <f t="shared" si="57"/>
        <v>1.6469586536639574E-3</v>
      </c>
      <c r="I328" s="5">
        <f>G328/F328</f>
        <v>1482.7982008013544</v>
      </c>
      <c r="J328" s="2">
        <f>ABS(D328-I328)/I328</f>
        <v>1.553508246986655E-3</v>
      </c>
      <c r="K328" s="1">
        <f>$AD$10*B328+$AD$11</f>
        <v>1486.356828637473</v>
      </c>
      <c r="L328" s="2">
        <f>ABS(K328-D328)/D328</f>
        <v>8.4511960946676739E-4</v>
      </c>
      <c r="M328" s="21">
        <f>K328*F328</f>
        <v>1.4862141250485179</v>
      </c>
      <c r="N328" s="2">
        <f>ABS(M328-G328)/M328</f>
        <v>2.3941948309819851E-3</v>
      </c>
      <c r="O328" s="21">
        <f t="shared" si="58"/>
        <v>3.5582861759235751E-3</v>
      </c>
      <c r="P328" s="25">
        <f>$AD$18*B328+$AD$19</f>
        <v>2.7083333333333321</v>
      </c>
      <c r="Q328" s="25">
        <f>$AD$29*G328+$AD$30</f>
        <v>2.7209573516823058</v>
      </c>
      <c r="R328" s="25">
        <f t="shared" si="59"/>
        <v>1.2624018348973642E-2</v>
      </c>
      <c r="S328" s="26">
        <v>2.7318632408278076</v>
      </c>
      <c r="T328" s="26">
        <f t="shared" si="60"/>
        <v>2.3529907494475477E-2</v>
      </c>
      <c r="U328" s="27">
        <f t="shared" si="61"/>
        <v>8.6879658441140258E-3</v>
      </c>
      <c r="V328" s="28">
        <f t="shared" si="62"/>
        <v>52.78235888993369</v>
      </c>
      <c r="W328" s="27">
        <f t="shared" si="63"/>
        <v>5.3782645701655188E-3</v>
      </c>
      <c r="X328" s="21">
        <v>2.7370977340906664</v>
      </c>
      <c r="Y328" s="21">
        <f t="shared" si="64"/>
        <v>52.845172809087998</v>
      </c>
      <c r="Z328" s="2">
        <f t="shared" si="65"/>
        <v>6.5747201731047276E-3</v>
      </c>
    </row>
    <row r="329" spans="1:26">
      <c r="A329" s="1">
        <v>52.6</v>
      </c>
      <c r="B329" s="1">
        <f t="shared" si="55"/>
        <v>325.75</v>
      </c>
      <c r="C329" s="4">
        <f>ROUND(10000*EXP(($AB$4)+($AC$4/B329)+($AD$4/(B329^2))+($AE$4/(B329^3))),6)</f>
        <v>3268.2233059999999</v>
      </c>
      <c r="D329" s="4">
        <f>((C329+2*$AC$5)*$AC$6)/((C329+2*$AC$5)+$AC$6)</f>
        <v>1482.610529454427</v>
      </c>
      <c r="E329" s="4">
        <f t="shared" si="56"/>
        <v>1.482610529454427</v>
      </c>
      <c r="F329" s="24">
        <v>9.9990399102947171E-4</v>
      </c>
      <c r="G329" s="6">
        <v>1.4802160536421511</v>
      </c>
      <c r="H329" s="2">
        <f t="shared" si="57"/>
        <v>1.6150403391219214E-3</v>
      </c>
      <c r="I329" s="5">
        <f>G329/F329</f>
        <v>1480.3581813071517</v>
      </c>
      <c r="J329" s="2">
        <f>ABS(D329-I329)/I329</f>
        <v>1.5214886341132345E-3</v>
      </c>
      <c r="K329" s="1">
        <f>$AD$10*B329+$AD$11</f>
        <v>1484.0077167185982</v>
      </c>
      <c r="L329" s="2">
        <f>ABS(K329-D329)/D329</f>
        <v>9.4238320611773787E-4</v>
      </c>
      <c r="M329" s="21">
        <f>K329*F329</f>
        <v>1.4838652386654601</v>
      </c>
      <c r="N329" s="2">
        <f>ABS(M329-G329)/M329</f>
        <v>2.4592428801626671E-3</v>
      </c>
      <c r="O329" s="21">
        <f t="shared" si="58"/>
        <v>3.6491850233089092E-3</v>
      </c>
      <c r="P329" s="25">
        <f>$AD$18*B329+$AD$19</f>
        <v>2.7166666666666686</v>
      </c>
      <c r="Q329" s="25">
        <f>$AD$29*G329+$AD$30</f>
        <v>2.7296131741749061</v>
      </c>
      <c r="R329" s="25">
        <f t="shared" si="59"/>
        <v>1.2946507508237559E-2</v>
      </c>
      <c r="S329" s="26">
        <v>2.7408611955803837</v>
      </c>
      <c r="T329" s="26">
        <f t="shared" si="60"/>
        <v>2.4194528913715097E-2</v>
      </c>
      <c r="U329" s="27">
        <f t="shared" si="61"/>
        <v>8.9059615633307037E-3</v>
      </c>
      <c r="V329" s="28">
        <f t="shared" si="62"/>
        <v>52.890334346964607</v>
      </c>
      <c r="W329" s="27">
        <f t="shared" si="63"/>
        <v>5.5196643909620913E-3</v>
      </c>
      <c r="X329" s="21">
        <v>2.7460480418863509</v>
      </c>
      <c r="Y329" s="21">
        <f t="shared" si="64"/>
        <v>52.952576502636212</v>
      </c>
      <c r="Z329" s="2">
        <f t="shared" si="65"/>
        <v>6.70297533528918E-3</v>
      </c>
    </row>
    <row r="330" spans="1:26">
      <c r="A330" s="1">
        <v>52.7</v>
      </c>
      <c r="B330" s="1">
        <f t="shared" si="55"/>
        <v>325.84999999999997</v>
      </c>
      <c r="C330" s="4">
        <f>ROUND(10000*EXP(($AB$4)+($AC$4/B330)+($AD$4/(B330^2))+($AE$4/(B330^3))),6)</f>
        <v>3255.99674</v>
      </c>
      <c r="D330" s="4">
        <f>((C330+2*$AC$5)*$AC$6)/((C330+2*$AC$5)+$AC$6)</f>
        <v>1480.1198164642908</v>
      </c>
      <c r="E330" s="4">
        <f t="shared" si="56"/>
        <v>1.4801198164642908</v>
      </c>
      <c r="F330" s="24">
        <v>9.9990399102947171E-4</v>
      </c>
      <c r="G330" s="6">
        <v>1.4777723860880265</v>
      </c>
      <c r="H330" s="2">
        <f t="shared" si="57"/>
        <v>1.5859732098390665E-3</v>
      </c>
      <c r="I330" s="5">
        <f>G330/F330</f>
        <v>1477.9142791164936</v>
      </c>
      <c r="J330" s="2">
        <f>ABS(D330-I330)/I330</f>
        <v>1.4923310363546076E-3</v>
      </c>
      <c r="K330" s="1">
        <f>$AD$10*B330+$AD$11</f>
        <v>1481.6586047997253</v>
      </c>
      <c r="L330" s="2">
        <f>ABS(K330-D330)/D330</f>
        <v>1.0396376822454166E-3</v>
      </c>
      <c r="M330" s="21">
        <f>K330*F330</f>
        <v>1.481516352282404</v>
      </c>
      <c r="N330" s="2">
        <f>ABS(M330-G330)/M330</f>
        <v>2.5271176984375116E-3</v>
      </c>
      <c r="O330" s="21">
        <f t="shared" si="58"/>
        <v>3.7439661943774465E-3</v>
      </c>
      <c r="P330" s="25">
        <f>$AD$18*B330+$AD$19</f>
        <v>2.7249999999999979</v>
      </c>
      <c r="Q330" s="25">
        <f>$AD$29*G330+$AD$30</f>
        <v>2.7382827702998025</v>
      </c>
      <c r="R330" s="25">
        <f t="shared" si="59"/>
        <v>1.3282770299804625E-2</v>
      </c>
      <c r="S330" s="26">
        <v>2.7498734690698821</v>
      </c>
      <c r="T330" s="26">
        <f t="shared" si="60"/>
        <v>2.4873469069884191E-2</v>
      </c>
      <c r="U330" s="27">
        <f t="shared" si="61"/>
        <v>9.127878557755674E-3</v>
      </c>
      <c r="V330" s="28">
        <f t="shared" si="62"/>
        <v>52.998481628838583</v>
      </c>
      <c r="W330" s="27">
        <f t="shared" si="63"/>
        <v>5.6637880235024685E-3</v>
      </c>
      <c r="X330" s="21">
        <v>2.7550168274237827</v>
      </c>
      <c r="Y330" s="21">
        <f t="shared" si="64"/>
        <v>53.060201929085395</v>
      </c>
      <c r="Z330" s="2">
        <f t="shared" si="65"/>
        <v>6.834951216041588E-3</v>
      </c>
    </row>
    <row r="331" spans="1:26">
      <c r="A331" s="1">
        <v>52.8</v>
      </c>
      <c r="B331" s="1">
        <f t="shared" si="55"/>
        <v>325.95</v>
      </c>
      <c r="C331" s="4">
        <f>ROUND(10000*EXP(($AB$4)+($AC$4/B331)+($AD$4/(B331^2))+($AE$4/(B331^3))),6)</f>
        <v>3243.822514</v>
      </c>
      <c r="D331" s="4">
        <f>((C331+2*$AC$5)*$AC$6)/((C331+2*$AC$5)+$AC$6)</f>
        <v>1477.6296187743994</v>
      </c>
      <c r="E331" s="4">
        <f t="shared" si="56"/>
        <v>1.4776296187743994</v>
      </c>
      <c r="F331" s="24">
        <v>9.9990399102947171E-4</v>
      </c>
      <c r="G331" s="6">
        <v>1.4753225313642304</v>
      </c>
      <c r="H331" s="2">
        <f t="shared" si="57"/>
        <v>1.5613435064211311E-3</v>
      </c>
      <c r="I331" s="5">
        <f>G331/F331</f>
        <v>1475.4641891620831</v>
      </c>
      <c r="J331" s="2">
        <f>ABS(D331-I331)/I331</f>
        <v>1.4676260042245084E-3</v>
      </c>
      <c r="K331" s="1">
        <f>$AD$10*B331+$AD$11</f>
        <v>1479.3094928808505</v>
      </c>
      <c r="L331" s="2">
        <f>ABS(K331-D331)/D331</f>
        <v>1.1368708945103591E-3</v>
      </c>
      <c r="M331" s="21">
        <f>K331*F331</f>
        <v>1.4791674658993463</v>
      </c>
      <c r="N331" s="2">
        <f>ABS(M331-G331)/M331</f>
        <v>2.5993909572491615E-3</v>
      </c>
      <c r="O331" s="21">
        <f t="shared" si="58"/>
        <v>3.8449345351159181E-3</v>
      </c>
      <c r="P331" s="25">
        <f>$AD$18*B331+$AD$19</f>
        <v>2.7333333333333343</v>
      </c>
      <c r="Q331" s="25">
        <f>$AD$29*G331+$AD$30</f>
        <v>2.7469743171446792</v>
      </c>
      <c r="R331" s="25">
        <f t="shared" si="59"/>
        <v>1.3640983811344931E-2</v>
      </c>
      <c r="S331" s="26">
        <v>2.7589085612367423</v>
      </c>
      <c r="T331" s="26">
        <f t="shared" si="60"/>
        <v>2.5575227903408049E-2</v>
      </c>
      <c r="U331" s="27">
        <f t="shared" si="61"/>
        <v>9.3567906963687945E-3</v>
      </c>
      <c r="V331" s="28">
        <f t="shared" si="62"/>
        <v>53.106902734840901</v>
      </c>
      <c r="W331" s="27">
        <f t="shared" si="63"/>
        <v>5.8125517962292371E-3</v>
      </c>
      <c r="X331" s="21">
        <v>2.764646441234305</v>
      </c>
      <c r="Y331" s="21">
        <f t="shared" si="64"/>
        <v>53.175757294811667</v>
      </c>
      <c r="Z331" s="2">
        <f t="shared" si="65"/>
        <v>7.1166154320392106E-3</v>
      </c>
    </row>
    <row r="332" spans="1:26">
      <c r="A332" s="1">
        <v>52.9</v>
      </c>
      <c r="B332" s="1">
        <f t="shared" si="55"/>
        <v>326.04999999999995</v>
      </c>
      <c r="C332" s="4">
        <f>ROUND(10000*EXP(($AB$4)+($AC$4/B332)+($AD$4/(B332^2))+($AE$4/(B332^3))),6)</f>
        <v>3231.7003759999998</v>
      </c>
      <c r="D332" s="4">
        <f>((C332+2*$AC$5)*$AC$6)/((C332+2*$AC$5)+$AC$6)</f>
        <v>1475.1399533826266</v>
      </c>
      <c r="E332" s="4">
        <f t="shared" si="56"/>
        <v>1.4751399533826266</v>
      </c>
      <c r="F332" s="24">
        <v>9.9990399102947171E-4</v>
      </c>
      <c r="G332" s="6">
        <v>1.4728665075955507</v>
      </c>
      <c r="H332" s="2">
        <f t="shared" si="57"/>
        <v>1.5411729455653866E-3</v>
      </c>
      <c r="I332" s="5">
        <f>G332/F332</f>
        <v>1473.0079295704488</v>
      </c>
      <c r="J332" s="2">
        <f>ABS(D332-I332)/I332</f>
        <v>1.4473946605294103E-3</v>
      </c>
      <c r="K332" s="1">
        <f>$AD$10*B332+$AD$11</f>
        <v>1476.9603809619775</v>
      </c>
      <c r="L332" s="2">
        <f>ABS(K332-D332)/D332</f>
        <v>1.234071096221454E-3</v>
      </c>
      <c r="M332" s="21">
        <f>K332*F332</f>
        <v>1.4768185795162903</v>
      </c>
      <c r="N332" s="2">
        <f>ABS(M332-G332)/M332</f>
        <v>2.6760713709560609E-3</v>
      </c>
      <c r="O332" s="21">
        <f t="shared" si="58"/>
        <v>3.9520719207395416E-3</v>
      </c>
      <c r="P332" s="25">
        <f>$AD$18*B332+$AD$19</f>
        <v>2.7416666666666636</v>
      </c>
      <c r="Q332" s="25">
        <f>$AD$29*G332+$AD$30</f>
        <v>2.7556877504067687</v>
      </c>
      <c r="R332" s="25">
        <f t="shared" si="59"/>
        <v>1.4021083740105134E-2</v>
      </c>
      <c r="S332" s="26">
        <v>2.7679664047797985</v>
      </c>
      <c r="T332" s="26">
        <f t="shared" si="60"/>
        <v>2.6299738113134907E-2</v>
      </c>
      <c r="U332" s="27">
        <f t="shared" si="61"/>
        <v>9.5926096461282449E-3</v>
      </c>
      <c r="V332" s="28">
        <f t="shared" si="62"/>
        <v>53.215596857357575</v>
      </c>
      <c r="W332" s="27">
        <f t="shared" si="63"/>
        <v>5.9659141277424626E-3</v>
      </c>
      <c r="X332" s="21">
        <v>2.7730093669257214</v>
      </c>
      <c r="Y332" s="21">
        <f t="shared" si="64"/>
        <v>53.276112403108655</v>
      </c>
      <c r="Z332" s="2">
        <f t="shared" si="65"/>
        <v>7.1098752950596728E-3</v>
      </c>
    </row>
    <row r="333" spans="1:26">
      <c r="A333" s="1">
        <v>53</v>
      </c>
      <c r="B333" s="1">
        <f t="shared" si="55"/>
        <v>326.14999999999998</v>
      </c>
      <c r="C333" s="4">
        <f>ROUND(10000*EXP(($AB$4)+($AC$4/B333)+($AD$4/(B333^2))+($AE$4/(B333^3))),6)</f>
        <v>3219.6300780000001</v>
      </c>
      <c r="D333" s="4">
        <f>((C333+2*$AC$5)*$AC$6)/((C333+2*$AC$5)+$AC$6)</f>
        <v>1472.6508378018891</v>
      </c>
      <c r="E333" s="4">
        <f t="shared" si="56"/>
        <v>1.4726508378018892</v>
      </c>
      <c r="F333" s="24">
        <v>9.9990399102947171E-4</v>
      </c>
      <c r="G333" s="6">
        <v>1.4704078798063029</v>
      </c>
      <c r="H333" s="2">
        <f t="shared" si="57"/>
        <v>1.5230752178392523E-3</v>
      </c>
      <c r="I333" s="5">
        <f>G333/F333</f>
        <v>1470.549065708213</v>
      </c>
      <c r="J333" s="2">
        <f>ABS(D333-I333)/I333</f>
        <v>1.4292430920446095E-3</v>
      </c>
      <c r="K333" s="1">
        <f>$AD$10*B333+$AD$11</f>
        <v>1474.6112690431037</v>
      </c>
      <c r="L333" s="2">
        <f>ABS(K333-D333)/D333</f>
        <v>1.3312261066178777E-3</v>
      </c>
      <c r="M333" s="21">
        <f>K333*F333</f>
        <v>1.4744696931332335</v>
      </c>
      <c r="N333" s="2">
        <f>ABS(M333-G333)/M333</f>
        <v>2.7547621669315224E-3</v>
      </c>
      <c r="O333" s="21">
        <f t="shared" si="58"/>
        <v>4.0618133269305634E-3</v>
      </c>
      <c r="P333" s="25">
        <f>$AD$18*B333+$AD$19</f>
        <v>2.75</v>
      </c>
      <c r="Q333" s="25">
        <f>$AD$29*G333+$AD$30</f>
        <v>2.7644104221622809</v>
      </c>
      <c r="R333" s="25">
        <f t="shared" si="59"/>
        <v>1.4410422162280945E-2</v>
      </c>
      <c r="S333" s="26">
        <v>2.7770338517185542</v>
      </c>
      <c r="T333" s="26">
        <f t="shared" si="60"/>
        <v>2.7033851718554214E-2</v>
      </c>
      <c r="U333" s="27">
        <f t="shared" si="61"/>
        <v>9.8304915340197141E-3</v>
      </c>
      <c r="V333" s="28">
        <f t="shared" si="62"/>
        <v>53.324406220622649</v>
      </c>
      <c r="W333" s="27">
        <f t="shared" si="63"/>
        <v>6.1208720872197881E-3</v>
      </c>
      <c r="X333" s="21">
        <v>2.7820328890657255</v>
      </c>
      <c r="Y333" s="21">
        <f t="shared" si="64"/>
        <v>53.384394668788708</v>
      </c>
      <c r="Z333" s="2">
        <f t="shared" si="65"/>
        <v>7.2527295997869496E-3</v>
      </c>
    </row>
    <row r="334" spans="1:26">
      <c r="A334" s="1">
        <v>53.1</v>
      </c>
      <c r="B334" s="1">
        <f t="shared" si="55"/>
        <v>326.25</v>
      </c>
      <c r="C334" s="4">
        <f>ROUND(10000*EXP(($AB$4)+($AC$4/B334)+($AD$4/(B334^2))+($AE$4/(B334^3))),6)</f>
        <v>3207.6113730000002</v>
      </c>
      <c r="D334" s="4">
        <f>((C334+2*$AC$5)*$AC$6)/((C334+2*$AC$5)+$AC$6)</f>
        <v>1470.1622894500781</v>
      </c>
      <c r="E334" s="4">
        <f t="shared" si="56"/>
        <v>1.4701622894500781</v>
      </c>
      <c r="F334" s="24">
        <v>9.9990399102947171E-4</v>
      </c>
      <c r="G334" s="6">
        <v>1.4679431527288869</v>
      </c>
      <c r="H334" s="2">
        <f t="shared" si="57"/>
        <v>1.509450172348869E-3</v>
      </c>
      <c r="I334" s="5">
        <f>G334/F334</f>
        <v>1468.0841019721661</v>
      </c>
      <c r="J334" s="2">
        <f>ABS(D334-I334)/I334</f>
        <v>1.4155779461955003E-3</v>
      </c>
      <c r="K334" s="1">
        <f>$AD$10*B334+$AD$11</f>
        <v>1472.2621571242289</v>
      </c>
      <c r="L334" s="2">
        <f>ABS(K334-D334)/D334</f>
        <v>1.4283237226389931E-3</v>
      </c>
      <c r="M334" s="21">
        <f>K334*F334</f>
        <v>1.4721208067501756</v>
      </c>
      <c r="N334" s="2">
        <f>ABS(M334-G334)/M334</f>
        <v>2.8378472759387758E-3</v>
      </c>
      <c r="O334" s="21">
        <f t="shared" si="58"/>
        <v>4.1776540212887792E-3</v>
      </c>
      <c r="P334" s="25">
        <f>$AD$18*B334+$AD$19</f>
        <v>2.7583333333333364</v>
      </c>
      <c r="Q334" s="25">
        <f>$AD$29*G334+$AD$30</f>
        <v>2.7731547328534907</v>
      </c>
      <c r="R334" s="25">
        <f t="shared" si="59"/>
        <v>1.4821399520154266E-2</v>
      </c>
      <c r="S334" s="26">
        <v>2.7861237934563605</v>
      </c>
      <c r="T334" s="26">
        <f t="shared" si="60"/>
        <v>2.7790460123024108E-2</v>
      </c>
      <c r="U334" s="27">
        <f t="shared" si="61"/>
        <v>1.0075091283271569E-2</v>
      </c>
      <c r="V334" s="28">
        <f t="shared" si="62"/>
        <v>53.433485521476328</v>
      </c>
      <c r="W334" s="27">
        <f t="shared" si="63"/>
        <v>6.2803299713055857E-3</v>
      </c>
      <c r="X334" s="21">
        <v>2.7910744243860606</v>
      </c>
      <c r="Y334" s="21">
        <f t="shared" si="64"/>
        <v>53.492893092632734</v>
      </c>
      <c r="Z334" s="2">
        <f t="shared" si="65"/>
        <v>7.3991166220853579E-3</v>
      </c>
    </row>
    <row r="335" spans="1:26">
      <c r="A335" s="1">
        <v>53.2</v>
      </c>
      <c r="B335" s="1">
        <f t="shared" si="55"/>
        <v>326.34999999999997</v>
      </c>
      <c r="C335" s="4">
        <f>ROUND(10000*EXP(($AB$4)+($AC$4/B335)+($AD$4/(B335^2))+($AE$4/(B335^3))),6)</f>
        <v>3195.6440120000002</v>
      </c>
      <c r="D335" s="4">
        <f>((C335+2*$AC$5)*$AC$6)/((C335+2*$AC$5)+$AC$6)</f>
        <v>1467.6743250249519</v>
      </c>
      <c r="E335" s="4">
        <f t="shared" si="56"/>
        <v>1.467674325024952</v>
      </c>
      <c r="F335" s="24">
        <v>9.9990399102947171E-4</v>
      </c>
      <c r="G335" s="6">
        <v>1.4652991741087447</v>
      </c>
      <c r="H335" s="2">
        <f t="shared" si="57"/>
        <v>1.61830923639476E-3</v>
      </c>
      <c r="I335" s="5">
        <f>G335/F335</f>
        <v>1465.4398694819847</v>
      </c>
      <c r="J335" s="2">
        <f>ABS(D335-I335)/I335</f>
        <v>1.5247678116994854E-3</v>
      </c>
      <c r="K335" s="1">
        <f>$AD$10*B335+$AD$11</f>
        <v>1469.913045205356</v>
      </c>
      <c r="L335" s="2">
        <f>ABS(K335-D335)/D335</f>
        <v>1.5253521453854931E-3</v>
      </c>
      <c r="M335" s="21">
        <f>K335*F335</f>
        <v>1.4697719203671198</v>
      </c>
      <c r="N335" s="2">
        <f>ABS(M335-G335)/M335</f>
        <v>3.043156694174647E-3</v>
      </c>
      <c r="O335" s="21">
        <f t="shared" si="58"/>
        <v>4.4727462583751265E-3</v>
      </c>
      <c r="P335" s="25">
        <f>$AD$18*B335+$AD$19</f>
        <v>2.7666666666666657</v>
      </c>
      <c r="Q335" s="25">
        <f>$AD$29*G335+$AD$30</f>
        <v>2.782534988674624</v>
      </c>
      <c r="R335" s="25">
        <f t="shared" si="59"/>
        <v>1.5868322007958291E-2</v>
      </c>
      <c r="S335" s="26">
        <v>2.7958748167431895</v>
      </c>
      <c r="T335" s="26">
        <f t="shared" si="60"/>
        <v>2.9208150076523776E-2</v>
      </c>
      <c r="U335" s="27">
        <f t="shared" si="61"/>
        <v>1.0557162678261608E-2</v>
      </c>
      <c r="V335" s="28">
        <f t="shared" si="62"/>
        <v>53.550497800918272</v>
      </c>
      <c r="W335" s="27">
        <f t="shared" si="63"/>
        <v>6.5883045285388964E-3</v>
      </c>
      <c r="X335" s="21">
        <v>2.8007719061810668</v>
      </c>
      <c r="Y335" s="21">
        <f t="shared" si="64"/>
        <v>53.609262874172799</v>
      </c>
      <c r="Z335" s="2">
        <f t="shared" si="65"/>
        <v>7.6929111686615858E-3</v>
      </c>
    </row>
    <row r="336" spans="1:26">
      <c r="A336" s="1">
        <v>53.3</v>
      </c>
      <c r="B336" s="1">
        <f t="shared" si="55"/>
        <v>326.45</v>
      </c>
      <c r="C336" s="4">
        <f>ROUND(10000*EXP(($AB$4)+($AC$4/B336)+($AD$4/(B336^2))+($AE$4/(B336^3))),6)</f>
        <v>3183.7277530000001</v>
      </c>
      <c r="D336" s="4">
        <f>((C336+2*$AC$5)*$AC$6)/((C336+2*$AC$5)+$AC$6)</f>
        <v>1465.186962373805</v>
      </c>
      <c r="E336" s="4">
        <f t="shared" si="56"/>
        <v>1.465186962373805</v>
      </c>
      <c r="F336" s="24">
        <v>9.9990399102947171E-4</v>
      </c>
      <c r="G336" s="6">
        <v>1.4628249865853951</v>
      </c>
      <c r="H336" s="2">
        <f t="shared" si="57"/>
        <v>1.6120644320934869E-3</v>
      </c>
      <c r="I336" s="5">
        <f>G336/F336</f>
        <v>1462.9654443916295</v>
      </c>
      <c r="J336" s="2">
        <f>ABS(D336-I336)/I336</f>
        <v>1.5185033868652777E-3</v>
      </c>
      <c r="K336" s="1">
        <f>$AD$10*B336+$AD$11</f>
        <v>1467.5639332864812</v>
      </c>
      <c r="L336" s="2">
        <f>ABS(K336-D336)/D336</f>
        <v>1.6222987057058723E-3</v>
      </c>
      <c r="M336" s="21">
        <f>K336*F336</f>
        <v>1.4674230339840619</v>
      </c>
      <c r="N336" s="2">
        <f>ABS(M336-G336)/M336</f>
        <v>3.1334163988029724E-3</v>
      </c>
      <c r="O336" s="21">
        <f t="shared" si="58"/>
        <v>4.5980473986668713E-3</v>
      </c>
      <c r="P336" s="25">
        <f>$AD$18*B336+$AD$19</f>
        <v>2.7750000000000021</v>
      </c>
      <c r="Q336" s="25">
        <f>$AD$29*G336+$AD$30</f>
        <v>2.7913128629515453</v>
      </c>
      <c r="R336" s="25">
        <f t="shared" si="59"/>
        <v>1.6312862951543217E-2</v>
      </c>
      <c r="S336" s="26">
        <v>2.8049996474003298</v>
      </c>
      <c r="T336" s="26">
        <f t="shared" si="60"/>
        <v>2.9999647400327678E-2</v>
      </c>
      <c r="U336" s="27">
        <f t="shared" si="61"/>
        <v>1.0810683747865821E-2</v>
      </c>
      <c r="V336" s="28">
        <f t="shared" si="62"/>
        <v>53.659995768803959</v>
      </c>
      <c r="W336" s="27">
        <f t="shared" si="63"/>
        <v>6.7541420038266858E-3</v>
      </c>
      <c r="X336" s="21">
        <v>2.8098480156918022</v>
      </c>
      <c r="Y336" s="21">
        <f t="shared" si="64"/>
        <v>53.718176188301634</v>
      </c>
      <c r="Z336" s="2">
        <f t="shared" si="65"/>
        <v>7.8457070975916782E-3</v>
      </c>
    </row>
    <row r="337" spans="1:26">
      <c r="A337" s="1">
        <v>53.4</v>
      </c>
      <c r="B337" s="1">
        <f t="shared" si="55"/>
        <v>326.54999999999995</v>
      </c>
      <c r="C337" s="4">
        <f>ROUND(10000*EXP(($AB$4)+($AC$4/B337)+($AD$4/(B337^2))+($AE$4/(B337^3))),6)</f>
        <v>3171.8623499999999</v>
      </c>
      <c r="D337" s="4">
        <f>((C337+2*$AC$5)*$AC$6)/((C337+2*$AC$5)+$AC$6)</f>
        <v>1462.7002182085939</v>
      </c>
      <c r="E337" s="4">
        <f t="shared" si="56"/>
        <v>1.462700218208594</v>
      </c>
      <c r="F337" s="24">
        <v>9.9990399102947171E-4</v>
      </c>
      <c r="G337" s="6">
        <v>1.4603459677189303</v>
      </c>
      <c r="H337" s="2">
        <f t="shared" si="57"/>
        <v>1.6095235786229357E-3</v>
      </c>
      <c r="I337" s="5">
        <f>G337/F337</f>
        <v>1460.4861874942624</v>
      </c>
      <c r="J337" s="2">
        <f>ABS(D337-I337)/I337</f>
        <v>1.5159545727235814E-3</v>
      </c>
      <c r="K337" s="1">
        <f>$AD$10*B337+$AD$11</f>
        <v>1465.2148213676082</v>
      </c>
      <c r="L337" s="2">
        <f>ABS(K337-D337)/D337</f>
        <v>1.7191514212625278E-3</v>
      </c>
      <c r="M337" s="21">
        <f>K337*F337</f>
        <v>1.4650741476010058</v>
      </c>
      <c r="N337" s="2">
        <f>ABS(M337-G337)/M337</f>
        <v>3.2272632001716147E-3</v>
      </c>
      <c r="O337" s="21">
        <f t="shared" si="58"/>
        <v>4.7281798820755228E-3</v>
      </c>
      <c r="P337" s="25">
        <f>$AD$18*B337+$AD$19</f>
        <v>2.7833333333333314</v>
      </c>
      <c r="Q337" s="25">
        <f>$AD$29*G337+$AD$30</f>
        <v>2.8001078777734145</v>
      </c>
      <c r="R337" s="25">
        <f t="shared" si="59"/>
        <v>1.6774544440083083E-2</v>
      </c>
      <c r="S337" s="26">
        <v>2.8141422974781993</v>
      </c>
      <c r="T337" s="26">
        <f t="shared" si="60"/>
        <v>3.080896414486789E-2</v>
      </c>
      <c r="U337" s="27">
        <f t="shared" si="61"/>
        <v>1.10690889143238E-2</v>
      </c>
      <c r="V337" s="28">
        <f t="shared" si="62"/>
        <v>53.769707569738394</v>
      </c>
      <c r="W337" s="27">
        <f t="shared" si="63"/>
        <v>6.9233627291834295E-3</v>
      </c>
      <c r="X337" s="21">
        <v>2.8189417897842262</v>
      </c>
      <c r="Y337" s="21">
        <f t="shared" si="64"/>
        <v>53.827301477410721</v>
      </c>
      <c r="Z337" s="2">
        <f t="shared" si="65"/>
        <v>8.0019003260434918E-3</v>
      </c>
    </row>
    <row r="338" spans="1:26">
      <c r="A338" s="1">
        <v>53.5</v>
      </c>
      <c r="B338" s="1">
        <f t="shared" si="55"/>
        <v>326.64999999999998</v>
      </c>
      <c r="C338" s="4">
        <f>ROUND(10000*EXP(($AB$4)+($AC$4/B338)+($AD$4/(B338^2))+($AE$4/(B338^3))),6)</f>
        <v>3160.0475609999999</v>
      </c>
      <c r="D338" s="4">
        <f>((C338+2*$AC$5)*$AC$6)/((C338+2*$AC$5)+$AC$6)</f>
        <v>1460.2141097715519</v>
      </c>
      <c r="E338" s="4">
        <f t="shared" si="56"/>
        <v>1.460214109771552</v>
      </c>
      <c r="F338" s="24">
        <v>9.9990399102947171E-4</v>
      </c>
      <c r="G338" s="6">
        <v>1.4578621484659093</v>
      </c>
      <c r="H338" s="2">
        <f t="shared" si="57"/>
        <v>1.6106961916773947E-3</v>
      </c>
      <c r="I338" s="5">
        <f>G338/F338</f>
        <v>1458.0021297494147</v>
      </c>
      <c r="J338" s="2">
        <f>ABS(D338-I338)/I338</f>
        <v>1.517130858044296E-3</v>
      </c>
      <c r="K338" s="1">
        <f>$AD$10*B338+$AD$11</f>
        <v>1462.8657094487335</v>
      </c>
      <c r="L338" s="2">
        <f>ABS(K338-D338)/D338</f>
        <v>1.8158978600723368E-3</v>
      </c>
      <c r="M338" s="21">
        <f>K338*F338</f>
        <v>1.4627252612179482</v>
      </c>
      <c r="N338" s="2">
        <f>ABS(M338-G338)/M338</f>
        <v>3.3246932154501621E-3</v>
      </c>
      <c r="O338" s="21">
        <f t="shared" si="58"/>
        <v>4.8631127520388784E-3</v>
      </c>
      <c r="P338" s="25">
        <f>$AD$18*B338+$AD$19</f>
        <v>2.7916666666666679</v>
      </c>
      <c r="Q338" s="25">
        <f>$AD$29*G338+$AD$30</f>
        <v>2.8089199233131561</v>
      </c>
      <c r="R338" s="25">
        <f t="shared" si="59"/>
        <v>1.7253256646488246E-2</v>
      </c>
      <c r="S338" s="26">
        <v>2.8233026505622498</v>
      </c>
      <c r="T338" s="26">
        <f t="shared" si="60"/>
        <v>3.1635983895581976E-2</v>
      </c>
      <c r="U338" s="27">
        <f t="shared" si="61"/>
        <v>1.1332292738715928E-2</v>
      </c>
      <c r="V338" s="28">
        <f t="shared" si="62"/>
        <v>53.879631806747</v>
      </c>
      <c r="W338" s="27">
        <f t="shared" si="63"/>
        <v>7.0959216214392471E-3</v>
      </c>
      <c r="X338" s="21">
        <v>2.8286878547412639</v>
      </c>
      <c r="Y338" s="21">
        <f t="shared" si="64"/>
        <v>53.944254256895171</v>
      </c>
      <c r="Z338" s="2">
        <f t="shared" si="65"/>
        <v>8.3038178858910443E-3</v>
      </c>
    </row>
    <row r="339" spans="1:26">
      <c r="A339" s="1">
        <v>53.6</v>
      </c>
      <c r="B339" s="1">
        <f t="shared" si="55"/>
        <v>326.75</v>
      </c>
      <c r="C339" s="4">
        <f>ROUND(10000*EXP(($AB$4)+($AC$4/B339)+($AD$4/(B339^2))+($AE$4/(B339^3))),6)</f>
        <v>3148.2831449999999</v>
      </c>
      <c r="D339" s="4">
        <f>((C339+2*$AC$5)*$AC$6)/((C339+2*$AC$5)+$AC$6)</f>
        <v>1457.7286542127135</v>
      </c>
      <c r="E339" s="4">
        <f t="shared" si="56"/>
        <v>1.4577286542127135</v>
      </c>
      <c r="F339" s="24">
        <v>9.9990399102947171E-4</v>
      </c>
      <c r="G339" s="6">
        <v>1.4553747555117291</v>
      </c>
      <c r="H339" s="2">
        <f t="shared" si="57"/>
        <v>1.6147715105837958E-3</v>
      </c>
      <c r="I339" s="5">
        <f>G339/F339</f>
        <v>1455.5144979602674</v>
      </c>
      <c r="J339" s="2">
        <f>ABS(D339-I339)/I339</f>
        <v>1.521218961095237E-3</v>
      </c>
      <c r="K339" s="1">
        <f>$AD$10*B339+$AD$11</f>
        <v>1460.5165975298587</v>
      </c>
      <c r="L339" s="2">
        <f>ABS(K339-D339)/D339</f>
        <v>1.9125255644033897E-3</v>
      </c>
      <c r="M339" s="21">
        <f>K339*F339</f>
        <v>1.4603763748348904</v>
      </c>
      <c r="N339" s="2">
        <f>ABS(M339-G339)/M339</f>
        <v>3.4248837555501499E-3</v>
      </c>
      <c r="O339" s="21">
        <f t="shared" si="58"/>
        <v>5.0016193231612327E-3</v>
      </c>
      <c r="P339" s="25">
        <f>$AD$18*B339+$AD$19</f>
        <v>2.8000000000000007</v>
      </c>
      <c r="Q339" s="25">
        <f>$AD$29*G339+$AD$30</f>
        <v>2.8177446475602226</v>
      </c>
      <c r="R339" s="25">
        <f t="shared" si="59"/>
        <v>1.7744647560221871E-2</v>
      </c>
      <c r="S339" s="26">
        <v>2.8324761837717269</v>
      </c>
      <c r="T339" s="26">
        <f t="shared" si="60"/>
        <v>3.247618377172623E-2</v>
      </c>
      <c r="U339" s="27">
        <f t="shared" si="61"/>
        <v>1.1598637061330793E-2</v>
      </c>
      <c r="V339" s="28">
        <f t="shared" si="62"/>
        <v>53.989714205260725</v>
      </c>
      <c r="W339" s="27">
        <f t="shared" si="63"/>
        <v>7.2707874115806644E-3</v>
      </c>
      <c r="X339" s="21">
        <v>2.8378155066858417</v>
      </c>
      <c r="Y339" s="21">
        <f t="shared" si="64"/>
        <v>54.053786080230104</v>
      </c>
      <c r="Z339" s="2">
        <f t="shared" si="65"/>
        <v>8.4661582132481827E-3</v>
      </c>
    </row>
    <row r="340" spans="1:26">
      <c r="A340" s="1">
        <v>53.7</v>
      </c>
      <c r="B340" s="1">
        <f t="shared" si="55"/>
        <v>326.84999999999997</v>
      </c>
      <c r="C340" s="4">
        <f>ROUND(10000*EXP(($AB$4)+($AC$4/B340)+($AD$4/(B340^2))+($AE$4/(B340^3))),6)</f>
        <v>3136.5688610000002</v>
      </c>
      <c r="D340" s="4">
        <f>((C340+2*$AC$5)*$AC$6)/((C340+2*$AC$5)+$AC$6)</f>
        <v>1455.2438683773553</v>
      </c>
      <c r="E340" s="4">
        <f t="shared" si="56"/>
        <v>1.4552438683773554</v>
      </c>
      <c r="F340" s="24">
        <v>9.9990399102947171E-4</v>
      </c>
      <c r="G340" s="6">
        <v>1.4528814259718645</v>
      </c>
      <c r="H340" s="2">
        <f t="shared" si="57"/>
        <v>1.6233996629891896E-3</v>
      </c>
      <c r="I340" s="5">
        <f>G340/F340</f>
        <v>1453.0209290154153</v>
      </c>
      <c r="J340" s="2">
        <f>ABS(D340-I340)/I340</f>
        <v>1.5298742898674543E-3</v>
      </c>
      <c r="K340" s="1">
        <f>$AD$10*B340+$AD$11</f>
        <v>1458.1674856109858</v>
      </c>
      <c r="L340" s="2">
        <f>ABS(K340-D340)/D340</f>
        <v>2.0090221970083923E-3</v>
      </c>
      <c r="M340" s="21">
        <f>K340*F340</f>
        <v>1.4580274884518345</v>
      </c>
      <c r="N340" s="2">
        <f>ABS(M340-G340)/M340</f>
        <v>3.5294687656637815E-3</v>
      </c>
      <c r="O340" s="21">
        <f t="shared" si="58"/>
        <v>5.1460624799699595E-3</v>
      </c>
      <c r="P340" s="25">
        <f>$AD$18*B340+$AD$19</f>
        <v>2.8083333333333336</v>
      </c>
      <c r="Q340" s="25">
        <f>$AD$29*G340+$AD$30</f>
        <v>2.8265904335102849</v>
      </c>
      <c r="R340" s="25">
        <f t="shared" si="59"/>
        <v>1.8257100176951369E-2</v>
      </c>
      <c r="S340" s="26">
        <v>2.8416716116916918</v>
      </c>
      <c r="T340" s="26">
        <f t="shared" si="60"/>
        <v>3.3338278358358231E-2</v>
      </c>
      <c r="U340" s="27">
        <f t="shared" si="61"/>
        <v>1.1871197041551892E-2</v>
      </c>
      <c r="V340" s="28">
        <f t="shared" si="62"/>
        <v>54.100059340300305</v>
      </c>
      <c r="W340" s="27">
        <f t="shared" si="63"/>
        <v>7.4498946052197826E-3</v>
      </c>
      <c r="X340" s="21">
        <v>2.8469604743889669</v>
      </c>
      <c r="Y340" s="21">
        <f t="shared" si="64"/>
        <v>54.163525692667605</v>
      </c>
      <c r="Z340" s="2">
        <f t="shared" si="65"/>
        <v>8.6317633643873768E-3</v>
      </c>
    </row>
    <row r="341" spans="1:26">
      <c r="A341" s="1">
        <v>53.8</v>
      </c>
      <c r="B341" s="1">
        <f t="shared" si="55"/>
        <v>326.95</v>
      </c>
      <c r="C341" s="4">
        <f>ROUND(10000*EXP(($AB$4)+($AC$4/B341)+($AD$4/(B341^2))+($AE$4/(B341^3))),6)</f>
        <v>3124.9044720000002</v>
      </c>
      <c r="D341" s="4">
        <f>((C341+2*$AC$5)*$AC$6)/((C341+2*$AC$5)+$AC$6)</f>
        <v>1452.759769655308</v>
      </c>
      <c r="E341" s="4">
        <f t="shared" si="56"/>
        <v>1.4527597696553081</v>
      </c>
      <c r="F341" s="24">
        <v>9.9990399102947171E-4</v>
      </c>
      <c r="G341" s="6">
        <v>1.4503833976048073</v>
      </c>
      <c r="H341" s="2">
        <f t="shared" si="57"/>
        <v>1.6357639440033643E-3</v>
      </c>
      <c r="I341" s="5">
        <f>G341/F341</f>
        <v>1450.5226607921979</v>
      </c>
      <c r="J341" s="2">
        <f>ABS(D341-I341)/I341</f>
        <v>1.5422777758523694E-3</v>
      </c>
      <c r="K341" s="1">
        <f>$AD$10*B341+$AD$11</f>
        <v>1455.8183736921119</v>
      </c>
      <c r="L341" s="2">
        <f>ABS(K341-D341)/D341</f>
        <v>2.1053749564730892E-3</v>
      </c>
      <c r="M341" s="21">
        <f>K341*F341</f>
        <v>1.4556786020687775</v>
      </c>
      <c r="N341" s="2">
        <f>ABS(M341-G341)/M341</f>
        <v>3.6376192220211414E-3</v>
      </c>
      <c r="O341" s="21">
        <f t="shared" si="58"/>
        <v>5.2952044639702489E-3</v>
      </c>
      <c r="P341" s="25">
        <f>$AD$18*B341+$AD$19</f>
        <v>2.8166666666666664</v>
      </c>
      <c r="Q341" s="25">
        <f>$AD$29*G341+$AD$30</f>
        <v>2.8354528898678888</v>
      </c>
      <c r="R341" s="25">
        <f t="shared" si="59"/>
        <v>1.8786223201222363E-2</v>
      </c>
      <c r="S341" s="26">
        <v>2.8508843684667489</v>
      </c>
      <c r="T341" s="26">
        <f t="shared" si="60"/>
        <v>3.4217701800082434E-2</v>
      </c>
      <c r="U341" s="27">
        <f t="shared" si="61"/>
        <v>1.2148296497070688E-2</v>
      </c>
      <c r="V341" s="28">
        <f t="shared" si="62"/>
        <v>54.210612421600985</v>
      </c>
      <c r="W341" s="27">
        <f t="shared" si="63"/>
        <v>7.6322011449997664E-3</v>
      </c>
      <c r="X341" s="21">
        <v>2.8561226408663263</v>
      </c>
      <c r="Y341" s="21">
        <f t="shared" si="64"/>
        <v>54.273471690395922</v>
      </c>
      <c r="Z341" s="2">
        <f t="shared" si="65"/>
        <v>8.8005890408164554E-3</v>
      </c>
    </row>
    <row r="342" spans="1:26">
      <c r="A342" s="1">
        <v>53.9</v>
      </c>
      <c r="B342" s="1">
        <f t="shared" si="55"/>
        <v>327.04999999999995</v>
      </c>
      <c r="C342" s="4">
        <f>ROUND(10000*EXP(($AB$4)+($AC$4/B342)+($AD$4/(B342^2))+($AE$4/(B342^3))),6)</f>
        <v>3113.2897389999998</v>
      </c>
      <c r="D342" s="4">
        <f>((C342+2*$AC$5)*$AC$6)/((C342+2*$AC$5)+$AC$6)</f>
        <v>1450.2763747082922</v>
      </c>
      <c r="E342" s="4">
        <f t="shared" si="56"/>
        <v>1.4502763747082923</v>
      </c>
      <c r="F342" s="24">
        <v>9.9990399102947171E-4</v>
      </c>
      <c r="G342" s="6">
        <v>1.4478806952319618</v>
      </c>
      <c r="H342" s="2">
        <f t="shared" si="57"/>
        <v>1.6518778890074139E-3</v>
      </c>
      <c r="I342" s="5">
        <f>G342/F342</f>
        <v>1448.0197181144026</v>
      </c>
      <c r="J342" s="2">
        <f>ABS(D342-I342)/I342</f>
        <v>1.5584432764687752E-3</v>
      </c>
      <c r="K342" s="1">
        <f>$AD$10*B342+$AD$11</f>
        <v>1453.469261773238</v>
      </c>
      <c r="L342" s="2">
        <f>ABS(K342-D342)/D342</f>
        <v>2.2015714526053857E-3</v>
      </c>
      <c r="M342" s="21">
        <f>K342*F342</f>
        <v>1.4533297156857208</v>
      </c>
      <c r="N342" s="2">
        <f>ABS(M342-G342)/M342</f>
        <v>3.7493353331648827E-3</v>
      </c>
      <c r="O342" s="21">
        <f t="shared" si="58"/>
        <v>5.4490204537589459E-3</v>
      </c>
      <c r="P342" s="25">
        <f>$AD$18*B342+$AD$19</f>
        <v>2.8249999999999993</v>
      </c>
      <c r="Q342" s="25">
        <f>$AD$29*G342+$AD$30</f>
        <v>2.8443319285721369</v>
      </c>
      <c r="R342" s="25">
        <f t="shared" si="59"/>
        <v>1.9331928572137613E-2</v>
      </c>
      <c r="S342" s="26">
        <v>2.8601143632228787</v>
      </c>
      <c r="T342" s="26">
        <f t="shared" si="60"/>
        <v>3.5114363222879419E-2</v>
      </c>
      <c r="U342" s="27">
        <f t="shared" si="61"/>
        <v>1.242986308774493E-2</v>
      </c>
      <c r="V342" s="28">
        <f t="shared" si="62"/>
        <v>54.321372358674537</v>
      </c>
      <c r="W342" s="27">
        <f t="shared" si="63"/>
        <v>7.8176689921064715E-3</v>
      </c>
      <c r="X342" s="21">
        <v>2.8653018900829492</v>
      </c>
      <c r="Y342" s="21">
        <f t="shared" si="64"/>
        <v>54.383622680995394</v>
      </c>
      <c r="Z342" s="2">
        <f t="shared" si="65"/>
        <v>8.9725914841446309E-3</v>
      </c>
    </row>
    <row r="343" spans="1:26">
      <c r="A343" s="1">
        <v>54</v>
      </c>
      <c r="B343" s="1">
        <f t="shared" si="55"/>
        <v>327.14999999999998</v>
      </c>
      <c r="C343" s="4">
        <f>ROUND(10000*EXP(($AB$4)+($AC$4/B343)+($AD$4/(B343^2))+($AE$4/(B343^3))),6)</f>
        <v>3101.7244270000001</v>
      </c>
      <c r="D343" s="4">
        <f>((C343+2*$AC$5)*$AC$6)/((C343+2*$AC$5)+$AC$6)</f>
        <v>1447.7937007477665</v>
      </c>
      <c r="E343" s="4">
        <f t="shared" si="56"/>
        <v>1.4477937007477666</v>
      </c>
      <c r="F343" s="24">
        <v>9.9990399102947171E-4</v>
      </c>
      <c r="G343" s="6">
        <v>1.4453721476099697</v>
      </c>
      <c r="H343" s="2">
        <f t="shared" si="57"/>
        <v>1.6725816230214326E-3</v>
      </c>
      <c r="I343" s="5">
        <f>G343/F343</f>
        <v>1445.5109296262106</v>
      </c>
      <c r="J343" s="2">
        <f>ABS(D343-I343)/I343</f>
        <v>1.5792140168363986E-3</v>
      </c>
      <c r="K343" s="1">
        <f>$AD$10*B343+$AD$11</f>
        <v>1451.1201498543642</v>
      </c>
      <c r="L343" s="2">
        <f>ABS(K343-D343)/D343</f>
        <v>2.2975988256335312E-3</v>
      </c>
      <c r="M343" s="21">
        <f>K343*F343</f>
        <v>1.4509808293026638</v>
      </c>
      <c r="N343" s="2">
        <f>ABS(M343-G343)/M343</f>
        <v>3.8654416236427059E-3</v>
      </c>
      <c r="O343" s="21">
        <f t="shared" si="58"/>
        <v>5.6086816926941285E-3</v>
      </c>
      <c r="P343" s="25">
        <f>$AD$18*B343+$AD$19</f>
        <v>2.8333333333333321</v>
      </c>
      <c r="Q343" s="25">
        <f>$AD$29*G343+$AD$30</f>
        <v>2.853231704937393</v>
      </c>
      <c r="R343" s="25">
        <f t="shared" si="59"/>
        <v>1.9898371604060827E-2</v>
      </c>
      <c r="S343" s="26">
        <v>2.8693659156067777</v>
      </c>
      <c r="T343" s="26">
        <f t="shared" si="60"/>
        <v>3.6032582273445524E-2</v>
      </c>
      <c r="U343" s="27">
        <f t="shared" si="61"/>
        <v>1.2717381978863131E-2</v>
      </c>
      <c r="V343" s="28">
        <f t="shared" si="62"/>
        <v>54.43239098728133</v>
      </c>
      <c r="W343" s="27">
        <f t="shared" si="63"/>
        <v>8.0072405052098207E-3</v>
      </c>
      <c r="X343" s="21">
        <v>2.8744981050155829</v>
      </c>
      <c r="Y343" s="21">
        <f t="shared" si="64"/>
        <v>54.493977260187002</v>
      </c>
      <c r="Z343" s="2">
        <f t="shared" si="65"/>
        <v>9.1477270405000335E-3</v>
      </c>
    </row>
    <row r="344" spans="1:26">
      <c r="A344" s="1">
        <v>54.1</v>
      </c>
      <c r="B344" s="1">
        <f t="shared" si="55"/>
        <v>327.25</v>
      </c>
      <c r="C344" s="4">
        <f>ROUND(10000*EXP(($AB$4)+($AC$4/B344)+($AD$4/(B344^2))+($AE$4/(B344^3))),6)</f>
        <v>3090.2082999999998</v>
      </c>
      <c r="D344" s="4">
        <f>((C344+2*$AC$5)*$AC$6)/((C344+2*$AC$5)+$AC$6)</f>
        <v>1445.3117644680656</v>
      </c>
      <c r="E344" s="4">
        <f t="shared" si="56"/>
        <v>1.4453117644680655</v>
      </c>
      <c r="F344" s="24">
        <v>9.9990399102947171E-4</v>
      </c>
      <c r="G344" s="6">
        <v>1.4428601968536836</v>
      </c>
      <c r="H344" s="2">
        <f t="shared" si="57"/>
        <v>1.696220618036829E-3</v>
      </c>
      <c r="I344" s="5">
        <f>G344/F344</f>
        <v>1442.9987376769616</v>
      </c>
      <c r="J344" s="2">
        <f>ABS(D344-I344)/I344</f>
        <v>1.6029305713930581E-3</v>
      </c>
      <c r="K344" s="1">
        <f>$AD$10*B344+$AD$11</f>
        <v>1448.7710379354894</v>
      </c>
      <c r="L344" s="2">
        <f>ABS(K344-D344)/D344</f>
        <v>2.3934444819917332E-3</v>
      </c>
      <c r="M344" s="21">
        <f>K344*F344</f>
        <v>1.448631942919606</v>
      </c>
      <c r="N344" s="2">
        <f>ABS(M344-G344)/M344</f>
        <v>3.9842736411637011E-3</v>
      </c>
      <c r="O344" s="21">
        <f t="shared" si="58"/>
        <v>5.7717460659223452E-3</v>
      </c>
      <c r="P344" s="25">
        <f>$AD$18*B344+$AD$19</f>
        <v>2.8416666666666686</v>
      </c>
      <c r="Q344" s="25">
        <f>$AD$29*G344+$AD$30</f>
        <v>2.862143554876174</v>
      </c>
      <c r="R344" s="25">
        <f t="shared" si="59"/>
        <v>2.0476888209505439E-2</v>
      </c>
      <c r="S344" s="26">
        <v>2.8786300180251971</v>
      </c>
      <c r="T344" s="26">
        <f t="shared" si="60"/>
        <v>3.6963351358528573E-2</v>
      </c>
      <c r="U344" s="27">
        <f t="shared" si="61"/>
        <v>1.3007630976608286E-2</v>
      </c>
      <c r="V344" s="28">
        <f t="shared" si="62"/>
        <v>54.543560216302367</v>
      </c>
      <c r="W344" s="27">
        <f t="shared" si="63"/>
        <v>8.1988949408940102E-3</v>
      </c>
      <c r="X344" s="21">
        <v>2.8837111691952444</v>
      </c>
      <c r="Y344" s="21">
        <f t="shared" si="64"/>
        <v>54.60453403034294</v>
      </c>
      <c r="Z344" s="2">
        <f t="shared" si="65"/>
        <v>9.3259525017179001E-3</v>
      </c>
    </row>
    <row r="345" spans="1:26">
      <c r="A345" s="1">
        <v>54.2</v>
      </c>
      <c r="B345" s="1">
        <f t="shared" si="55"/>
        <v>327.34999999999997</v>
      </c>
      <c r="C345" s="4">
        <f>ROUND(10000*EXP(($AB$4)+($AC$4/B345)+($AD$4/(B345^2))+($AE$4/(B345^3))),6)</f>
        <v>3078.741125</v>
      </c>
      <c r="D345" s="4">
        <f>((C345+2*$AC$5)*$AC$6)/((C345+2*$AC$5)+$AC$6)</f>
        <v>1442.8305829051817</v>
      </c>
      <c r="E345" s="4">
        <f t="shared" si="56"/>
        <v>1.4428305829051817</v>
      </c>
      <c r="F345" s="24">
        <v>9.9990399102947171E-4</v>
      </c>
      <c r="G345" s="6">
        <v>1.4403436597836117</v>
      </c>
      <c r="H345" s="2">
        <f t="shared" si="57"/>
        <v>1.723641812861056E-3</v>
      </c>
      <c r="I345" s="5">
        <f>G345/F345</f>
        <v>1440.4819589735573</v>
      </c>
      <c r="J345" s="2">
        <f>ABS(D345-I345)/I345</f>
        <v>1.6304431423063046E-3</v>
      </c>
      <c r="K345" s="1">
        <f>$AD$10*B345+$AD$11</f>
        <v>1446.4219260166165</v>
      </c>
      <c r="L345" s="2">
        <f>ABS(K345-D345)/D345</f>
        <v>2.4890955001823419E-3</v>
      </c>
      <c r="M345" s="21">
        <f>K345*F345</f>
        <v>1.4462830565365501</v>
      </c>
      <c r="N345" s="2">
        <f>ABS(M345-G345)/M345</f>
        <v>4.1066627491036511E-3</v>
      </c>
      <c r="O345" s="21">
        <f t="shared" si="58"/>
        <v>5.9393967529384204E-3</v>
      </c>
      <c r="P345" s="25">
        <f>$AD$18*B345+$AD$19</f>
        <v>2.8499999999999979</v>
      </c>
      <c r="Q345" s="25">
        <f>$AD$29*G345+$AD$30</f>
        <v>2.8710716760496249</v>
      </c>
      <c r="R345" s="25">
        <f t="shared" si="59"/>
        <v>2.1071676049627008E-2</v>
      </c>
      <c r="S345" s="26">
        <v>2.8879110344899006</v>
      </c>
      <c r="T345" s="26">
        <f t="shared" si="60"/>
        <v>3.791103448990274E-2</v>
      </c>
      <c r="U345" s="27">
        <f t="shared" si="61"/>
        <v>1.3302117364878165E-2</v>
      </c>
      <c r="V345" s="28">
        <f t="shared" si="62"/>
        <v>54.654932413878811</v>
      </c>
      <c r="W345" s="27">
        <f t="shared" si="63"/>
        <v>8.393586971933726E-3</v>
      </c>
      <c r="X345" s="21">
        <v>2.8929409657708973</v>
      </c>
      <c r="Y345" s="21">
        <f t="shared" si="64"/>
        <v>54.715291589250775</v>
      </c>
      <c r="Z345" s="2">
        <f t="shared" si="65"/>
        <v>9.5072248939256851E-3</v>
      </c>
    </row>
    <row r="346" spans="1:26">
      <c r="A346" s="1">
        <v>54.3</v>
      </c>
      <c r="B346" s="1">
        <f t="shared" si="55"/>
        <v>327.45</v>
      </c>
      <c r="C346" s="4">
        <f>ROUND(10000*EXP(($AB$4)+($AC$4/B346)+($AD$4/(B346^2))+($AE$4/(B346^3))),6)</f>
        <v>3067.3226679999998</v>
      </c>
      <c r="D346" s="4">
        <f>((C346+2*$AC$5)*$AC$6)/((C346+2*$AC$5)+$AC$6)</f>
        <v>1440.3501725748256</v>
      </c>
      <c r="E346" s="4">
        <f t="shared" si="56"/>
        <v>1.4403501725748256</v>
      </c>
      <c r="F346" s="24">
        <v>9.9990399102947171E-4</v>
      </c>
      <c r="G346" s="6">
        <v>1.438164756336223</v>
      </c>
      <c r="H346" s="2">
        <f t="shared" si="57"/>
        <v>1.5172812002346924E-3</v>
      </c>
      <c r="I346" s="5">
        <f>G346/F346</f>
        <v>1438.3028463118053</v>
      </c>
      <c r="J346" s="2">
        <f>ABS(D346-I346)/I346</f>
        <v>1.4234319762838471E-3</v>
      </c>
      <c r="K346" s="1">
        <f>$AD$10*B346+$AD$11</f>
        <v>1444.0728140977417</v>
      </c>
      <c r="L346" s="2">
        <f>ABS(K346-D346)/D346</f>
        <v>2.5845392278888366E-3</v>
      </c>
      <c r="M346" s="21">
        <f>K346*F346</f>
        <v>1.4439341701534922</v>
      </c>
      <c r="N346" s="2">
        <f>ABS(M346-G346)/M346</f>
        <v>3.9956210861440836E-3</v>
      </c>
      <c r="O346" s="21">
        <f t="shared" si="58"/>
        <v>5.7694138172692524E-3</v>
      </c>
      <c r="P346" s="25">
        <f>$AD$18*B346+$AD$19</f>
        <v>2.8583333333333343</v>
      </c>
      <c r="Q346" s="25">
        <f>$AD$29*G346+$AD$30</f>
        <v>2.8788019472365214</v>
      </c>
      <c r="R346" s="25">
        <f t="shared" si="59"/>
        <v>2.0468613903187105E-2</v>
      </c>
      <c r="S346" s="26">
        <v>2.8959468556442887</v>
      </c>
      <c r="T346" s="26">
        <f t="shared" si="60"/>
        <v>3.7613522310954384E-2</v>
      </c>
      <c r="U346" s="27">
        <f t="shared" si="61"/>
        <v>1.3159249788088993E-2</v>
      </c>
      <c r="V346" s="28">
        <f t="shared" si="62"/>
        <v>54.751362267731466</v>
      </c>
      <c r="W346" s="27">
        <f t="shared" si="63"/>
        <v>8.3123806212056835E-3</v>
      </c>
      <c r="X346" s="21">
        <v>2.9015614409574604</v>
      </c>
      <c r="Y346" s="21">
        <f t="shared" si="64"/>
        <v>54.818737291489526</v>
      </c>
      <c r="Z346" s="2">
        <f t="shared" si="65"/>
        <v>9.5531729556082735E-3</v>
      </c>
    </row>
    <row r="347" spans="1:26">
      <c r="A347" s="1">
        <v>54.4</v>
      </c>
      <c r="B347" s="1">
        <f t="shared" si="55"/>
        <v>327.54999999999995</v>
      </c>
      <c r="C347" s="4">
        <f>ROUND(10000*EXP(($AB$4)+($AC$4/B347)+($AD$4/(B347^2))+($AE$4/(B347^3))),6)</f>
        <v>3055.9526989999999</v>
      </c>
      <c r="D347" s="4">
        <f>((C347+2*$AC$5)*$AC$6)/((C347+2*$AC$5)+$AC$6)</f>
        <v>1437.8705505565983</v>
      </c>
      <c r="E347" s="4">
        <f t="shared" si="56"/>
        <v>1.4378705505565983</v>
      </c>
      <c r="F347" s="24">
        <v>9.9990399102947171E-4</v>
      </c>
      <c r="G347" s="6">
        <v>1.4356373518395604</v>
      </c>
      <c r="H347" s="2">
        <f t="shared" si="57"/>
        <v>1.553129185498233E-3</v>
      </c>
      <c r="I347" s="5">
        <f>G347/F347</f>
        <v>1435.7751991383398</v>
      </c>
      <c r="J347" s="2">
        <f>ABS(D347-I347)/I347</f>
        <v>1.4593868312505211E-3</v>
      </c>
      <c r="K347" s="1">
        <f>$AD$10*B347+$AD$11</f>
        <v>1441.7237021788687</v>
      </c>
      <c r="L347" s="2">
        <f>ABS(K347-D347)/D347</f>
        <v>2.6797625285383563E-3</v>
      </c>
      <c r="M347" s="21">
        <f>K347*F347</f>
        <v>1.4415852837704364</v>
      </c>
      <c r="N347" s="2">
        <f>ABS(M347-G347)/M347</f>
        <v>4.1259660443531002E-3</v>
      </c>
      <c r="O347" s="21">
        <f t="shared" si="58"/>
        <v>5.9479319308759484E-3</v>
      </c>
      <c r="P347" s="25">
        <f>$AD$18*B347+$AD$19</f>
        <v>2.8666666666666636</v>
      </c>
      <c r="Q347" s="25">
        <f>$AD$29*G347+$AD$30</f>
        <v>2.8877686236542388</v>
      </c>
      <c r="R347" s="25">
        <f t="shared" si="59"/>
        <v>2.1101956987575221E-2</v>
      </c>
      <c r="S347" s="26">
        <v>2.905267952282216</v>
      </c>
      <c r="T347" s="26">
        <f t="shared" si="60"/>
        <v>3.8601285615552428E-2</v>
      </c>
      <c r="U347" s="27">
        <f t="shared" si="61"/>
        <v>1.3465564749611327E-2</v>
      </c>
      <c r="V347" s="28">
        <f t="shared" si="62"/>
        <v>54.863215427386585</v>
      </c>
      <c r="W347" s="27">
        <f t="shared" si="63"/>
        <v>8.5149894740181344E-3</v>
      </c>
      <c r="X347" s="21">
        <v>2.9102006141619454</v>
      </c>
      <c r="Y347" s="21">
        <f t="shared" si="64"/>
        <v>54.922407369943343</v>
      </c>
      <c r="Z347" s="2">
        <f t="shared" si="65"/>
        <v>9.6030766533703078E-3</v>
      </c>
    </row>
    <row r="348" spans="1:26">
      <c r="A348" s="1">
        <v>54.5</v>
      </c>
      <c r="B348" s="1">
        <f t="shared" si="55"/>
        <v>327.64999999999998</v>
      </c>
      <c r="C348" s="4">
        <f>ROUND(10000*EXP(($AB$4)+($AC$4/B348)+($AD$4/(B348^2))+($AE$4/(B348^3))),6)</f>
        <v>3044.630987</v>
      </c>
      <c r="D348" s="4">
        <f>((C348+2*$AC$5)*$AC$6)/((C348+2*$AC$5)+$AC$6)</f>
        <v>1435.3917334101857</v>
      </c>
      <c r="E348" s="4">
        <f t="shared" si="56"/>
        <v>1.4353917334101858</v>
      </c>
      <c r="F348" s="24">
        <v>9.9990399102947171E-4</v>
      </c>
      <c r="G348" s="6">
        <v>1.4331066721409484</v>
      </c>
      <c r="H348" s="2">
        <f t="shared" si="57"/>
        <v>1.5919426147233771E-3</v>
      </c>
      <c r="I348" s="5">
        <f>G348/F348</f>
        <v>1433.2442764484458</v>
      </c>
      <c r="J348" s="2">
        <f>ABS(D348-I348)/I348</f>
        <v>1.4983188818735236E-3</v>
      </c>
      <c r="K348" s="1">
        <f>$AD$10*B348+$AD$11</f>
        <v>1439.374590259994</v>
      </c>
      <c r="L348" s="2">
        <f>ABS(K348-D348)/D348</f>
        <v>2.7747525341711874E-3</v>
      </c>
      <c r="M348" s="21">
        <f>K348*F348</f>
        <v>1.4392363973873785</v>
      </c>
      <c r="N348" s="2">
        <f>ABS(M348-G348)/M348</f>
        <v>4.2590121105589461E-3</v>
      </c>
      <c r="O348" s="21">
        <f t="shared" si="58"/>
        <v>6.1297252464300733E-3</v>
      </c>
      <c r="P348" s="25">
        <f>$AD$18*B348+$AD$19</f>
        <v>2.875</v>
      </c>
      <c r="Q348" s="25">
        <f>$AD$29*G348+$AD$30</f>
        <v>2.896746919769603</v>
      </c>
      <c r="R348" s="25">
        <f t="shared" si="59"/>
        <v>2.1746919769602968E-2</v>
      </c>
      <c r="S348" s="26">
        <v>2.9146011270390875</v>
      </c>
      <c r="T348" s="26">
        <f t="shared" si="60"/>
        <v>3.9601127039087469E-2</v>
      </c>
      <c r="U348" s="27">
        <f t="shared" si="61"/>
        <v>1.3774305057073902E-2</v>
      </c>
      <c r="V348" s="28">
        <f t="shared" si="62"/>
        <v>54.975213524469048</v>
      </c>
      <c r="W348" s="27">
        <f t="shared" si="63"/>
        <v>8.7195142104412454E-3</v>
      </c>
      <c r="X348" s="21">
        <v>2.919482104191427</v>
      </c>
      <c r="Y348" s="21">
        <f t="shared" si="64"/>
        <v>55.033785250297122</v>
      </c>
      <c r="Z348" s="2">
        <f t="shared" si="65"/>
        <v>9.7942247760939745E-3</v>
      </c>
    </row>
    <row r="349" spans="1:26">
      <c r="A349" s="1">
        <v>54.6</v>
      </c>
      <c r="B349" s="1">
        <f t="shared" si="55"/>
        <v>327.75</v>
      </c>
      <c r="C349" s="4">
        <f>ROUND(10000*EXP(($AB$4)+($AC$4/B349)+($AD$4/(B349^2))+($AE$4/(B349^3))),6)</f>
        <v>3033.3573040000001</v>
      </c>
      <c r="D349" s="4">
        <f>((C349+2*$AC$5)*$AC$6)/((C349+2*$AC$5)+$AC$6)</f>
        <v>1432.9137380479299</v>
      </c>
      <c r="E349" s="4">
        <f t="shared" si="56"/>
        <v>1.43291373804793</v>
      </c>
      <c r="F349" s="24">
        <v>9.9990399102947171E-4</v>
      </c>
      <c r="G349" s="6">
        <v>1.4305715400409507</v>
      </c>
      <c r="H349" s="2">
        <f t="shared" si="57"/>
        <v>1.6345701383044305E-3</v>
      </c>
      <c r="I349" s="5">
        <f>G349/F349</f>
        <v>1430.7089009296546</v>
      </c>
      <c r="J349" s="2">
        <f>ABS(D349-I349)/I349</f>
        <v>1.5410801714049334E-3</v>
      </c>
      <c r="K349" s="1">
        <f>$AD$10*B349+$AD$11</f>
        <v>1437.0254783411201</v>
      </c>
      <c r="L349" s="2">
        <f>ABS(K349-D349)/D349</f>
        <v>2.8694960373481246E-3</v>
      </c>
      <c r="M349" s="21">
        <f>K349*F349</f>
        <v>1.4368875110043215</v>
      </c>
      <c r="N349" s="2">
        <f>ABS(M349-G349)/M349</f>
        <v>4.3955918017244784E-3</v>
      </c>
      <c r="O349" s="21">
        <f t="shared" si="58"/>
        <v>6.3159709633708871E-3</v>
      </c>
      <c r="P349" s="25">
        <f>$AD$18*B349+$AD$19</f>
        <v>2.8833333333333364</v>
      </c>
      <c r="Q349" s="25">
        <f>$AD$29*G349+$AD$30</f>
        <v>2.9057410120278337</v>
      </c>
      <c r="R349" s="25">
        <f t="shared" si="59"/>
        <v>2.2407678694497335E-2</v>
      </c>
      <c r="S349" s="26">
        <v>2.9239507232482009</v>
      </c>
      <c r="T349" s="26">
        <f t="shared" si="60"/>
        <v>4.0617389914864521E-2</v>
      </c>
      <c r="U349" s="27">
        <f t="shared" si="61"/>
        <v>1.4086956039837392E-2</v>
      </c>
      <c r="V349" s="28">
        <f t="shared" si="62"/>
        <v>55.087408678978413</v>
      </c>
      <c r="W349" s="27">
        <f t="shared" si="63"/>
        <v>8.9268988823884895E-3</v>
      </c>
      <c r="X349" s="21">
        <v>2.9287798589079883</v>
      </c>
      <c r="Y349" s="21">
        <f t="shared" si="64"/>
        <v>55.145358306895858</v>
      </c>
      <c r="Z349" s="2">
        <f t="shared" si="65"/>
        <v>9.9882473790449903E-3</v>
      </c>
    </row>
    <row r="350" spans="1:26">
      <c r="A350" s="1">
        <v>54.7</v>
      </c>
      <c r="B350" s="1">
        <f t="shared" si="55"/>
        <v>327.84999999999997</v>
      </c>
      <c r="C350" s="4">
        <f>ROUND(10000*EXP(($AB$4)+($AC$4/B350)+($AD$4/(B350^2))+($AE$4/(B350^3))),6)</f>
        <v>3022.131421</v>
      </c>
      <c r="D350" s="4">
        <f>((C350+2*$AC$5)*$AC$6)/((C350+2*$AC$5)+$AC$6)</f>
        <v>1430.4365808593011</v>
      </c>
      <c r="E350" s="4">
        <f t="shared" si="56"/>
        <v>1.4304365808593011</v>
      </c>
      <c r="F350" s="24">
        <v>9.9990399102947171E-4</v>
      </c>
      <c r="G350" s="6">
        <v>1.4282006824141995</v>
      </c>
      <c r="H350" s="2">
        <f t="shared" si="57"/>
        <v>1.563088133385454E-3</v>
      </c>
      <c r="I350" s="5">
        <f>G350/F350</f>
        <v>1428.3378156574474</v>
      </c>
      <c r="J350" s="2">
        <f>ABS(D350-I350)/I350</f>
        <v>1.4693759269319836E-3</v>
      </c>
      <c r="K350" s="1">
        <f>$AD$10*B350+$AD$11</f>
        <v>1434.6763664222462</v>
      </c>
      <c r="L350" s="2">
        <f>ABS(K350-D350)/D350</f>
        <v>2.9639801020735872E-3</v>
      </c>
      <c r="M350" s="21">
        <f>K350*F350</f>
        <v>1.4345386246212648</v>
      </c>
      <c r="N350" s="2">
        <f>ABS(M350-G350)/M350</f>
        <v>4.418104956036709E-3</v>
      </c>
      <c r="O350" s="21">
        <f t="shared" si="58"/>
        <v>6.3379422070652938E-3</v>
      </c>
      <c r="P350" s="25">
        <f>$AD$18*B350+$AD$19</f>
        <v>2.8916666666666657</v>
      </c>
      <c r="Q350" s="25">
        <f>$AD$29*G350+$AD$30</f>
        <v>2.9141522945113572</v>
      </c>
      <c r="R350" s="25">
        <f t="shared" si="59"/>
        <v>2.2485627844691436E-2</v>
      </c>
      <c r="S350" s="26">
        <v>2.9326944732722788</v>
      </c>
      <c r="T350" s="26">
        <f t="shared" si="60"/>
        <v>4.1027806605613115E-2</v>
      </c>
      <c r="U350" s="27">
        <f t="shared" si="61"/>
        <v>1.4188290468799929E-2</v>
      </c>
      <c r="V350" s="28">
        <f t="shared" si="62"/>
        <v>55.19233367926735</v>
      </c>
      <c r="W350" s="27">
        <f t="shared" si="63"/>
        <v>9.0006157087266312E-3</v>
      </c>
      <c r="X350" s="21">
        <v>2.9374722193818479</v>
      </c>
      <c r="Y350" s="21">
        <f t="shared" si="64"/>
        <v>55.249666632582176</v>
      </c>
      <c r="Z350" s="2">
        <f t="shared" si="65"/>
        <v>1.0048750138613775E-2</v>
      </c>
    </row>
    <row r="351" spans="1:26">
      <c r="A351" s="1">
        <v>54.8</v>
      </c>
      <c r="B351" s="1">
        <f t="shared" si="55"/>
        <v>327.95</v>
      </c>
      <c r="C351" s="4">
        <f>ROUND(10000*EXP(($AB$4)+($AC$4/B351)+($AD$4/(B351^2))+($AE$4/(B351^3))),6)</f>
        <v>3010.953113</v>
      </c>
      <c r="D351" s="4">
        <f>((C351+2*$AC$5)*$AC$6)/((C351+2*$AC$5)+$AC$6)</f>
        <v>1427.9602788123527</v>
      </c>
      <c r="E351" s="4">
        <f t="shared" si="56"/>
        <v>1.4279602788123527</v>
      </c>
      <c r="F351" s="24">
        <v>9.9990399102947171E-4</v>
      </c>
      <c r="G351" s="6">
        <v>1.4256564418400992</v>
      </c>
      <c r="H351" s="2">
        <f t="shared" si="57"/>
        <v>1.6133760906637891E-3</v>
      </c>
      <c r="I351" s="5">
        <f>G351/F351</f>
        <v>1425.7933307899746</v>
      </c>
      <c r="J351" s="2">
        <f>ABS(D351-I351)/I351</f>
        <v>1.5198191600303995E-3</v>
      </c>
      <c r="K351" s="1">
        <f>$AD$10*B351+$AD$11</f>
        <v>1432.3272545033724</v>
      </c>
      <c r="L351" s="2">
        <f>ABS(K351-D351)/D351</f>
        <v>3.0581912927239922E-3</v>
      </c>
      <c r="M351" s="21">
        <f>K351*F351</f>
        <v>1.4321897382382078</v>
      </c>
      <c r="N351" s="2">
        <f>ABS(M351-G351)/M351</f>
        <v>4.5617533931959914E-3</v>
      </c>
      <c r="O351" s="21">
        <f t="shared" si="58"/>
        <v>6.5332963981086234E-3</v>
      </c>
      <c r="P351" s="25">
        <f>$AD$18*B351+$AD$19</f>
        <v>2.9000000000000021</v>
      </c>
      <c r="Q351" s="25">
        <f>$AD$29*G351+$AD$30</f>
        <v>2.9231787016364965</v>
      </c>
      <c r="R351" s="25">
        <f t="shared" si="59"/>
        <v>2.3178701636494381E-2</v>
      </c>
      <c r="S351" s="26">
        <v>2.9420776608621728</v>
      </c>
      <c r="T351" s="26">
        <f t="shared" si="60"/>
        <v>4.2077660862170685E-2</v>
      </c>
      <c r="U351" s="27">
        <f t="shared" si="61"/>
        <v>1.4509538228334708E-2</v>
      </c>
      <c r="V351" s="28">
        <f t="shared" si="62"/>
        <v>55.304931930346072</v>
      </c>
      <c r="W351" s="27">
        <f t="shared" si="63"/>
        <v>9.214086320183848E-3</v>
      </c>
      <c r="X351" s="21">
        <v>2.9468032493840215</v>
      </c>
      <c r="Y351" s="21">
        <f t="shared" si="64"/>
        <v>55.361638992608256</v>
      </c>
      <c r="Z351" s="2">
        <f t="shared" si="65"/>
        <v>1.0248886726428085E-2</v>
      </c>
    </row>
    <row r="352" spans="1:26">
      <c r="A352" s="1">
        <v>54.9</v>
      </c>
      <c r="B352" s="1">
        <f t="shared" si="55"/>
        <v>328.04999999999995</v>
      </c>
      <c r="C352" s="4">
        <f>ROUND(10000*EXP(($AB$4)+($AC$4/B352)+($AD$4/(B352^2))+($AE$4/(B352^3))),6)</f>
        <v>2999.8221530000001</v>
      </c>
      <c r="D352" s="4">
        <f>((C352+2*$AC$5)*$AC$6)/((C352+2*$AC$5)+$AC$6)</f>
        <v>1425.4848481300323</v>
      </c>
      <c r="E352" s="4">
        <f t="shared" si="56"/>
        <v>1.4254848481300324</v>
      </c>
      <c r="F352" s="24">
        <v>9.9990399102947171E-4</v>
      </c>
      <c r="G352" s="6">
        <v>1.4231078437542415</v>
      </c>
      <c r="H352" s="2">
        <f t="shared" si="57"/>
        <v>1.6675058867929016E-3</v>
      </c>
      <c r="I352" s="5">
        <f>G352/F352</f>
        <v>1423.2444879923437</v>
      </c>
      <c r="J352" s="2">
        <f>ABS(D352-I352)/I352</f>
        <v>1.574121773588553E-3</v>
      </c>
      <c r="K352" s="1">
        <f>$AD$10*B352+$AD$11</f>
        <v>1429.9781425844985</v>
      </c>
      <c r="L352" s="2">
        <f>ABS(K352-D352)/D352</f>
        <v>3.1521166011413949E-3</v>
      </c>
      <c r="M352" s="21">
        <f>K352*F352</f>
        <v>1.4298408518551511</v>
      </c>
      <c r="N352" s="2">
        <f>ABS(M352-G352)/M352</f>
        <v>4.7089213405630695E-3</v>
      </c>
      <c r="O352" s="21">
        <f t="shared" si="58"/>
        <v>6.7330081009095996E-3</v>
      </c>
      <c r="P352" s="25">
        <f>$AD$18*B352+$AD$19</f>
        <v>2.9083333333333314</v>
      </c>
      <c r="Q352" s="25">
        <f>$AD$29*G352+$AD$30</f>
        <v>2.9322205682569278</v>
      </c>
      <c r="R352" s="25">
        <f t="shared" si="59"/>
        <v>2.3887234923596345E-2</v>
      </c>
      <c r="S352" s="26">
        <v>2.9514769192685124</v>
      </c>
      <c r="T352" s="26">
        <f t="shared" si="60"/>
        <v>4.3143585935180973E-2</v>
      </c>
      <c r="U352" s="27">
        <f t="shared" si="61"/>
        <v>1.4834470808658224E-2</v>
      </c>
      <c r="V352" s="28">
        <f t="shared" si="62"/>
        <v>55.417723031222152</v>
      </c>
      <c r="W352" s="27">
        <f t="shared" si="63"/>
        <v>9.4302920076895069E-3</v>
      </c>
      <c r="X352" s="21">
        <v>2.9561501932686869</v>
      </c>
      <c r="Y352" s="21">
        <f t="shared" si="64"/>
        <v>55.473802319224241</v>
      </c>
      <c r="Z352" s="2">
        <f t="shared" si="65"/>
        <v>1.0451772663465251E-2</v>
      </c>
    </row>
    <row r="353" spans="1:26">
      <c r="A353" s="1">
        <v>55</v>
      </c>
      <c r="B353" s="1">
        <f t="shared" si="55"/>
        <v>328.15</v>
      </c>
      <c r="C353" s="4">
        <f>ROUND(10000*EXP(($AB$4)+($AC$4/B353)+($AD$4/(B353^2))+($AE$4/(B353^3))),6)</f>
        <v>2988.7383180000002</v>
      </c>
      <c r="D353" s="4">
        <f>((C353+2*$AC$5)*$AC$6)/((C353+2*$AC$5)+$AC$6)</f>
        <v>1423.0103056196874</v>
      </c>
      <c r="E353" s="4">
        <f t="shared" si="56"/>
        <v>1.4230103056196874</v>
      </c>
      <c r="F353" s="24">
        <v>9.9990399102947171E-4</v>
      </c>
      <c r="G353" s="6">
        <v>1.4207227219767646</v>
      </c>
      <c r="H353" s="2">
        <f t="shared" si="57"/>
        <v>1.6075664623712049E-3</v>
      </c>
      <c r="I353" s="5">
        <f>G353/F353</f>
        <v>1420.8591371997929</v>
      </c>
      <c r="J353" s="2">
        <f>ABS(D353-I353)/I353</f>
        <v>1.5139913335349795E-3</v>
      </c>
      <c r="K353" s="1">
        <f>$AD$10*B353+$AD$11</f>
        <v>1427.6290306656247</v>
      </c>
      <c r="L353" s="2">
        <f>ABS(K353-D353)/D353</f>
        <v>3.2457425133867231E-3</v>
      </c>
      <c r="M353" s="21">
        <f>K353*F353</f>
        <v>1.4274919654720941</v>
      </c>
      <c r="N353" s="2">
        <f>ABS(M353-G353)/M353</f>
        <v>4.7420536570871585E-3</v>
      </c>
      <c r="O353" s="21">
        <f t="shared" si="58"/>
        <v>6.76924349532948E-3</v>
      </c>
      <c r="P353" s="25">
        <f>$AD$18*B353+$AD$19</f>
        <v>2.9166666666666679</v>
      </c>
      <c r="Q353" s="25">
        <f>$AD$29*G353+$AD$30</f>
        <v>2.9406824568164076</v>
      </c>
      <c r="R353" s="25">
        <f t="shared" si="59"/>
        <v>2.4015790149739757E-2</v>
      </c>
      <c r="S353" s="26">
        <v>2.9602732756391825</v>
      </c>
      <c r="T353" s="26">
        <f t="shared" si="60"/>
        <v>4.3606608972514671E-2</v>
      </c>
      <c r="U353" s="27">
        <f t="shared" si="61"/>
        <v>1.4950837362005025E-2</v>
      </c>
      <c r="V353" s="28">
        <f t="shared" si="62"/>
        <v>55.523279307670194</v>
      </c>
      <c r="W353" s="27">
        <f t="shared" si="63"/>
        <v>9.5141692303671605E-3</v>
      </c>
      <c r="X353" s="21">
        <v>2.9655129338576933</v>
      </c>
      <c r="Y353" s="21">
        <f t="shared" si="64"/>
        <v>55.586155206292318</v>
      </c>
      <c r="Z353" s="2">
        <f t="shared" si="65"/>
        <v>1.0657367387133056E-2</v>
      </c>
    </row>
    <row r="354" spans="1:26">
      <c r="A354" s="1">
        <v>55.1</v>
      </c>
      <c r="B354" s="1">
        <f t="shared" si="55"/>
        <v>328.25</v>
      </c>
      <c r="C354" s="4">
        <f>ROUND(10000*EXP(($AB$4)+($AC$4/B354)+($AD$4/(B354^2))+($AE$4/(B354^3))),6)</f>
        <v>2977.7013849999998</v>
      </c>
      <c r="D354" s="4">
        <f>((C354+2*$AC$5)*$AC$6)/((C354+2*$AC$5)+$AC$6)</f>
        <v>1420.53666778818</v>
      </c>
      <c r="E354" s="4">
        <f t="shared" si="56"/>
        <v>1.4205366677881801</v>
      </c>
      <c r="F354" s="24">
        <v>9.9990399102947171E-4</v>
      </c>
      <c r="G354" s="6">
        <v>1.4181652060232701</v>
      </c>
      <c r="H354" s="2">
        <f t="shared" si="57"/>
        <v>1.6694125668733548E-3</v>
      </c>
      <c r="I354" s="5">
        <f>G354/F354</f>
        <v>1418.301375678248</v>
      </c>
      <c r="J354" s="2">
        <f>ABS(D354-I354)/I354</f>
        <v>1.5760346483927781E-3</v>
      </c>
      <c r="K354" s="1">
        <f>$AD$10*B354+$AD$11</f>
        <v>1425.2799187467499</v>
      </c>
      <c r="L354" s="2">
        <f>ABS(K354-D354)/D354</f>
        <v>3.3390556302606944E-3</v>
      </c>
      <c r="M354" s="21">
        <f>K354*F354</f>
        <v>1.4251430790890365</v>
      </c>
      <c r="N354" s="2">
        <f>ABS(M354-G354)/M354</f>
        <v>4.8962614127324505E-3</v>
      </c>
      <c r="O354" s="21">
        <f t="shared" si="58"/>
        <v>6.9778730657663601E-3</v>
      </c>
      <c r="P354" s="25">
        <f>$AD$18*B354+$AD$19</f>
        <v>2.9250000000000007</v>
      </c>
      <c r="Q354" s="25">
        <f>$AD$29*G354+$AD$30</f>
        <v>2.9497559620738434</v>
      </c>
      <c r="R354" s="25">
        <f t="shared" si="59"/>
        <v>2.4755962073842674E-2</v>
      </c>
      <c r="S354" s="26">
        <v>2.969705423690562</v>
      </c>
      <c r="T354" s="26">
        <f t="shared" si="60"/>
        <v>4.4705423690561297E-2</v>
      </c>
      <c r="U354" s="27">
        <f t="shared" si="61"/>
        <v>1.5283905535234628E-2</v>
      </c>
      <c r="V354" s="28">
        <f t="shared" si="62"/>
        <v>55.636465084286748</v>
      </c>
      <c r="W354" s="27">
        <f t="shared" si="63"/>
        <v>9.7362084262567362E-3</v>
      </c>
      <c r="X354" s="21">
        <v>2.974891354635127</v>
      </c>
      <c r="Y354" s="21">
        <f t="shared" si="64"/>
        <v>55.698696255621527</v>
      </c>
      <c r="Z354" s="2">
        <f t="shared" si="65"/>
        <v>1.0865630773530418E-2</v>
      </c>
    </row>
    <row r="355" spans="1:26">
      <c r="A355" s="1">
        <v>55.2</v>
      </c>
      <c r="B355" s="1">
        <f t="shared" si="55"/>
        <v>328.34999999999997</v>
      </c>
      <c r="C355" s="4">
        <f>ROUND(10000*EXP(($AB$4)+($AC$4/B355)+($AD$4/(B355^2))+($AE$4/(B355^3))),6)</f>
        <v>2966.711131</v>
      </c>
      <c r="D355" s="4">
        <f>((C355+2*$AC$5)*$AC$6)/((C355+2*$AC$5)+$AC$6)</f>
        <v>1418.0639508379488</v>
      </c>
      <c r="E355" s="4">
        <f t="shared" si="56"/>
        <v>1.4180639508379489</v>
      </c>
      <c r="F355" s="24">
        <v>9.9990399102947171E-4</v>
      </c>
      <c r="G355" s="6">
        <v>1.4157706346625663</v>
      </c>
      <c r="H355" s="2">
        <f t="shared" si="57"/>
        <v>1.617216327957211E-3</v>
      </c>
      <c r="I355" s="5">
        <f>G355/F355</f>
        <v>1415.9065743951383</v>
      </c>
      <c r="J355" s="2">
        <f>ABS(D355-I355)/I355</f>
        <v>1.5236714637985095E-3</v>
      </c>
      <c r="K355" s="1">
        <f>$AD$10*B355+$AD$11</f>
        <v>1422.9308068278769</v>
      </c>
      <c r="L355" s="2">
        <f>ABS(K355-D355)/D355</f>
        <v>3.4320426713141182E-3</v>
      </c>
      <c r="M355" s="21">
        <f>K355*F355</f>
        <v>1.4227941927059804</v>
      </c>
      <c r="N355" s="2">
        <f>ABS(M355-G355)/M355</f>
        <v>4.9364539716430797E-3</v>
      </c>
      <c r="O355" s="21">
        <f t="shared" si="58"/>
        <v>7.0235580434141465E-3</v>
      </c>
      <c r="P355" s="25">
        <f>$AD$18*B355+$AD$19</f>
        <v>2.9333333333333336</v>
      </c>
      <c r="Q355" s="25">
        <f>$AD$29*G355+$AD$30</f>
        <v>2.9582513756805371</v>
      </c>
      <c r="R355" s="25">
        <f t="shared" si="59"/>
        <v>2.4918042347203517E-2</v>
      </c>
      <c r="S355" s="26">
        <v>2.9785366296536262</v>
      </c>
      <c r="T355" s="26">
        <f t="shared" si="60"/>
        <v>4.520329632029263E-2</v>
      </c>
      <c r="U355" s="27">
        <f t="shared" si="61"/>
        <v>1.5410214654645213E-2</v>
      </c>
      <c r="V355" s="28">
        <f t="shared" si="62"/>
        <v>55.742439555843518</v>
      </c>
      <c r="W355" s="27">
        <f t="shared" si="63"/>
        <v>9.8268035478897668E-3</v>
      </c>
      <c r="X355" s="21">
        <v>2.9836692768074693</v>
      </c>
      <c r="Y355" s="21">
        <f t="shared" si="64"/>
        <v>55.804031321689635</v>
      </c>
      <c r="Z355" s="2">
        <f t="shared" si="65"/>
        <v>1.0942596407420874E-2</v>
      </c>
    </row>
    <row r="356" spans="1:26">
      <c r="A356" s="1">
        <v>55.3</v>
      </c>
      <c r="B356" s="1">
        <f t="shared" si="55"/>
        <v>328.45</v>
      </c>
      <c r="C356" s="4">
        <f>ROUND(10000*EXP(($AB$4)+($AC$4/B356)+($AD$4/(B356^2))+($AE$4/(B356^3))),6)</f>
        <v>2955.7673359999999</v>
      </c>
      <c r="D356" s="4">
        <f>((C356+2*$AC$5)*$AC$6)/((C356+2*$AC$5)+$AC$6)</f>
        <v>1415.592171341958</v>
      </c>
      <c r="E356" s="4">
        <f t="shared" si="56"/>
        <v>1.4155921713419579</v>
      </c>
      <c r="F356" s="24">
        <v>9.9990399102947171E-4</v>
      </c>
      <c r="G356" s="6">
        <v>1.4132043277682507</v>
      </c>
      <c r="H356" s="2">
        <f t="shared" si="57"/>
        <v>1.6868160350474479E-3</v>
      </c>
      <c r="I356" s="5">
        <f>G356/F356</f>
        <v>1413.3400210886819</v>
      </c>
      <c r="J356" s="2">
        <f>ABS(D356-I356)/I356</f>
        <v>1.5934949974326094E-3</v>
      </c>
      <c r="K356" s="1">
        <f>$AD$10*B356+$AD$11</f>
        <v>1420.5816949090022</v>
      </c>
      <c r="L356" s="2">
        <f>ABS(K356-D356)/D356</f>
        <v>3.5246899976242667E-3</v>
      </c>
      <c r="M356" s="21">
        <f>K356*F356</f>
        <v>1.4204453063229225</v>
      </c>
      <c r="N356" s="2">
        <f>ABS(M356-G356)/M356</f>
        <v>5.0976820595904845E-3</v>
      </c>
      <c r="O356" s="21">
        <f t="shared" si="58"/>
        <v>7.2409785546718721E-3</v>
      </c>
      <c r="P356" s="25">
        <f>$AD$18*B356+$AD$19</f>
        <v>2.9416666666666664</v>
      </c>
      <c r="Q356" s="25">
        <f>$AD$29*G356+$AD$30</f>
        <v>2.9673560692664953</v>
      </c>
      <c r="R356" s="25">
        <f t="shared" si="59"/>
        <v>2.5689402599828881E-2</v>
      </c>
      <c r="S356" s="26">
        <v>2.9880011984456312</v>
      </c>
      <c r="T356" s="26">
        <f t="shared" si="60"/>
        <v>4.6334531778964738E-2</v>
      </c>
      <c r="U356" s="27">
        <f t="shared" si="61"/>
        <v>1.5751115618911526E-2</v>
      </c>
      <c r="V356" s="28">
        <f t="shared" si="62"/>
        <v>55.856014381347578</v>
      </c>
      <c r="W356" s="27">
        <f t="shared" si="63"/>
        <v>1.0054509608455343E-2</v>
      </c>
      <c r="X356" s="21">
        <v>2.9930798013476254</v>
      </c>
      <c r="Y356" s="21">
        <f t="shared" si="64"/>
        <v>55.916957616171509</v>
      </c>
      <c r="Z356" s="2">
        <f t="shared" si="65"/>
        <v>1.1156557254457711E-2</v>
      </c>
    </row>
    <row r="357" spans="1:26">
      <c r="A357" s="1">
        <v>55.4</v>
      </c>
      <c r="B357" s="1">
        <f t="shared" si="55"/>
        <v>328.54999999999995</v>
      </c>
      <c r="C357" s="4">
        <f>ROUND(10000*EXP(($AB$4)+($AC$4/B357)+($AD$4/(B357^2))+($AE$4/(B357^3))),6)</f>
        <v>2944.86978</v>
      </c>
      <c r="D357" s="4">
        <f>((C357+2*$AC$5)*$AC$6)/((C357+2*$AC$5)+$AC$6)</f>
        <v>1413.1213455713364</v>
      </c>
      <c r="E357" s="4">
        <f t="shared" si="56"/>
        <v>1.4131213455713365</v>
      </c>
      <c r="F357" s="24">
        <v>9.9990399102947171E-4</v>
      </c>
      <c r="G357" s="6">
        <v>1.4108004346842755</v>
      </c>
      <c r="H357" s="2">
        <f t="shared" si="57"/>
        <v>1.6424002753441011E-3</v>
      </c>
      <c r="I357" s="5">
        <f>G357/F357</f>
        <v>1410.9358971872459</v>
      </c>
      <c r="J357" s="2">
        <f>ABS(D357-I357)/I357</f>
        <v>1.5489352765403813E-3</v>
      </c>
      <c r="K357" s="1">
        <f>$AD$10*B357+$AD$11</f>
        <v>1418.2325829901292</v>
      </c>
      <c r="L357" s="2">
        <f>ABS(K357-D357)/D357</f>
        <v>3.6169840861941765E-3</v>
      </c>
      <c r="M357" s="21">
        <f>K357*F357</f>
        <v>1.4180964199398667</v>
      </c>
      <c r="N357" s="2">
        <f>ABS(M357-G357)/M357</f>
        <v>5.1449147977544046E-3</v>
      </c>
      <c r="O357" s="21">
        <f t="shared" si="58"/>
        <v>7.2959852555911642E-3</v>
      </c>
      <c r="P357" s="25">
        <f>$AD$18*B357+$AD$19</f>
        <v>2.9499999999999993</v>
      </c>
      <c r="Q357" s="25">
        <f>$AD$29*G357+$AD$30</f>
        <v>2.9758845543013432</v>
      </c>
      <c r="R357" s="25">
        <f t="shared" si="59"/>
        <v>2.5884554301343954E-2</v>
      </c>
      <c r="S357" s="26">
        <v>2.9968667833593803</v>
      </c>
      <c r="T357" s="26">
        <f t="shared" si="60"/>
        <v>4.6866783359380992E-2</v>
      </c>
      <c r="U357" s="27">
        <f t="shared" si="61"/>
        <v>1.5887045206569833E-2</v>
      </c>
      <c r="V357" s="28">
        <f t="shared" si="62"/>
        <v>55.962401400312565</v>
      </c>
      <c r="W357" s="27">
        <f t="shared" si="63"/>
        <v>1.0151649825136581E-2</v>
      </c>
      <c r="X357" s="21">
        <v>3.0018917826225207</v>
      </c>
      <c r="Y357" s="21">
        <f t="shared" si="64"/>
        <v>56.02270139147025</v>
      </c>
      <c r="Z357" s="2">
        <f t="shared" si="65"/>
        <v>1.1240097318957601E-2</v>
      </c>
    </row>
    <row r="358" spans="1:26">
      <c r="A358" s="1">
        <v>55.5</v>
      </c>
      <c r="B358" s="1">
        <f t="shared" si="55"/>
        <v>328.65</v>
      </c>
      <c r="C358" s="4">
        <f>ROUND(10000*EXP(($AB$4)+($AC$4/B358)+($AD$4/(B358^2))+($AE$4/(B358^3))),6)</f>
        <v>2934.0182460000001</v>
      </c>
      <c r="D358" s="4">
        <f>((C358+2*$AC$5)*$AC$6)/((C358+2*$AC$5)+$AC$6)</f>
        <v>1410.651490175612</v>
      </c>
      <c r="E358" s="4">
        <f t="shared" si="56"/>
        <v>1.410651490175612</v>
      </c>
      <c r="F358" s="24">
        <v>9.9990399102947171E-4</v>
      </c>
      <c r="G358" s="6">
        <v>1.4082254639121068</v>
      </c>
      <c r="H358" s="2">
        <f t="shared" si="57"/>
        <v>1.7197913732775851E-3</v>
      </c>
      <c r="I358" s="5">
        <f>G358/F358</f>
        <v>1408.3606791710465</v>
      </c>
      <c r="J358" s="2">
        <f>ABS(D358-I358)/I358</f>
        <v>1.6265797806240027E-3</v>
      </c>
      <c r="K358" s="1">
        <f>$AD$10*B358+$AD$11</f>
        <v>1415.8834710712545</v>
      </c>
      <c r="L358" s="2">
        <f>ABS(K358-D358)/D358</f>
        <v>3.7089110471865078E-3</v>
      </c>
      <c r="M358" s="21">
        <f>K358*F358</f>
        <v>1.4157475335568088</v>
      </c>
      <c r="N358" s="2">
        <f>ABS(M358-G358)/M358</f>
        <v>5.3131433863806204E-3</v>
      </c>
      <c r="O358" s="21">
        <f t="shared" si="58"/>
        <v>7.5220696447020341E-3</v>
      </c>
      <c r="P358" s="25">
        <f>$AD$18*B358+$AD$19</f>
        <v>2.9583333333333321</v>
      </c>
      <c r="Q358" s="25">
        <f>$AD$29*G358+$AD$30</f>
        <v>2.9850199854243025</v>
      </c>
      <c r="R358" s="25">
        <f t="shared" si="59"/>
        <v>2.668665209097032E-2</v>
      </c>
      <c r="S358" s="26">
        <v>3.0063633045082243</v>
      </c>
      <c r="T358" s="26">
        <f t="shared" si="60"/>
        <v>4.8029971174892161E-2</v>
      </c>
      <c r="U358" s="27">
        <f t="shared" si="61"/>
        <v>1.6235483214048062E-2</v>
      </c>
      <c r="V358" s="28">
        <f t="shared" si="62"/>
        <v>56.076359654098695</v>
      </c>
      <c r="W358" s="27">
        <f t="shared" si="63"/>
        <v>1.0384858632408924E-2</v>
      </c>
      <c r="X358" s="21">
        <v>3.0113339419709608</v>
      </c>
      <c r="Y358" s="21">
        <f t="shared" si="64"/>
        <v>56.136007303651532</v>
      </c>
      <c r="Z358" s="2">
        <f t="shared" si="65"/>
        <v>1.1459591056784355E-2</v>
      </c>
    </row>
    <row r="359" spans="1:26">
      <c r="A359" s="1">
        <v>55.6</v>
      </c>
      <c r="B359" s="1">
        <f t="shared" si="55"/>
        <v>328.75</v>
      </c>
      <c r="C359" s="4">
        <f>ROUND(10000*EXP(($AB$4)+($AC$4/B359)+($AD$4/(B359^2))+($AE$4/(B359^3))),6)</f>
        <v>2923.2125139999998</v>
      </c>
      <c r="D359" s="4">
        <f>((C359+2*$AC$5)*$AC$6)/((C359+2*$AC$5)+$AC$6)</f>
        <v>1408.1826208184509</v>
      </c>
      <c r="E359" s="4">
        <f t="shared" si="56"/>
        <v>1.4081826208184509</v>
      </c>
      <c r="F359" s="24">
        <v>9.9990399102947171E-4</v>
      </c>
      <c r="G359" s="6">
        <v>1.4058123764815191</v>
      </c>
      <c r="H359" s="2">
        <f t="shared" si="57"/>
        <v>1.6831938570255683E-3</v>
      </c>
      <c r="I359" s="5">
        <f>G359/F359</f>
        <v>1405.9473600401736</v>
      </c>
      <c r="J359" s="2">
        <f>ABS(D359-I359)/I359</f>
        <v>1.5898609306492163E-3</v>
      </c>
      <c r="K359" s="1">
        <f>$AD$10*B359+$AD$11</f>
        <v>1413.5343591523806</v>
      </c>
      <c r="L359" s="2">
        <f>ABS(K359-D359)/D359</f>
        <v>3.8004575932198341E-3</v>
      </c>
      <c r="M359" s="21">
        <f>K359*F359</f>
        <v>1.4133986471737521</v>
      </c>
      <c r="N359" s="2">
        <f>ABS(M359-G359)/M359</f>
        <v>5.3673963162498683E-3</v>
      </c>
      <c r="O359" s="21">
        <f t="shared" si="58"/>
        <v>7.5862706922329446E-3</v>
      </c>
      <c r="P359" s="25">
        <f>$AD$18*B359+$AD$19</f>
        <v>2.9666666666666686</v>
      </c>
      <c r="Q359" s="25">
        <f>$AD$29*G359+$AD$30</f>
        <v>2.993581089982877</v>
      </c>
      <c r="R359" s="25">
        <f t="shared" si="59"/>
        <v>2.6914423316208413E-2</v>
      </c>
      <c r="S359" s="26">
        <v>3.015262798482893</v>
      </c>
      <c r="T359" s="26">
        <f t="shared" si="60"/>
        <v>4.8596131816224464E-2</v>
      </c>
      <c r="U359" s="27">
        <f t="shared" si="61"/>
        <v>1.6380718589738573E-2</v>
      </c>
      <c r="V359" s="28">
        <f t="shared" si="62"/>
        <v>56.18315358179472</v>
      </c>
      <c r="W359" s="27">
        <f t="shared" si="63"/>
        <v>1.0488373773286302E-2</v>
      </c>
      <c r="X359" s="21">
        <v>3.020179510867429</v>
      </c>
      <c r="Y359" s="21">
        <f t="shared" si="64"/>
        <v>56.242154130409155</v>
      </c>
      <c r="Z359" s="2">
        <f t="shared" si="65"/>
        <v>1.154953471958909E-2</v>
      </c>
    </row>
    <row r="360" spans="1:26">
      <c r="A360" s="1">
        <v>55.7</v>
      </c>
      <c r="B360" s="1">
        <f t="shared" si="55"/>
        <v>328.84999999999997</v>
      </c>
      <c r="C360" s="4">
        <f>ROUND(10000*EXP(($AB$4)+($AC$4/B360)+($AD$4/(B360^2))+($AE$4/(B360^3))),6)</f>
        <v>2912.4523709999999</v>
      </c>
      <c r="D360" s="4">
        <f>((C360+2*$AC$5)*$AC$6)/((C360+2*$AC$5)+$AC$6)</f>
        <v>1405.7147544585957</v>
      </c>
      <c r="E360" s="4">
        <f t="shared" si="56"/>
        <v>1.4057147544585957</v>
      </c>
      <c r="F360" s="24">
        <v>9.9990399102947171E-4</v>
      </c>
      <c r="G360" s="6">
        <v>1.4032288688051158</v>
      </c>
      <c r="H360" s="2">
        <f t="shared" si="57"/>
        <v>1.7684140012013921E-3</v>
      </c>
      <c r="I360" s="5">
        <f>G360/F360</f>
        <v>1403.3636043000415</v>
      </c>
      <c r="J360" s="2">
        <f>ABS(D360-I360)/I360</f>
        <v>1.6753677745026793E-3</v>
      </c>
      <c r="K360" s="1">
        <f>$AD$10*B360+$AD$11</f>
        <v>1411.1852472335067</v>
      </c>
      <c r="L360" s="2">
        <f>ABS(K360-D360)/D360</f>
        <v>3.8916094161777098E-3</v>
      </c>
      <c r="M360" s="21">
        <f>K360*F360</f>
        <v>1.4110497607906951</v>
      </c>
      <c r="N360" s="2">
        <f>ABS(M360-G360)/M360</f>
        <v>5.5426053728940263E-3</v>
      </c>
      <c r="O360" s="21">
        <f t="shared" si="58"/>
        <v>7.8208919855793368E-3</v>
      </c>
      <c r="P360" s="25">
        <f>$AD$18*B360+$AD$19</f>
        <v>2.9749999999999979</v>
      </c>
      <c r="Q360" s="25">
        <f>$AD$29*G360+$AD$30</f>
        <v>3.0027468081683075</v>
      </c>
      <c r="R360" s="25">
        <f t="shared" si="59"/>
        <v>2.7746808168309656E-2</v>
      </c>
      <c r="S360" s="26">
        <v>3.0247908040684317</v>
      </c>
      <c r="T360" s="26">
        <f t="shared" si="60"/>
        <v>4.9790804068433836E-2</v>
      </c>
      <c r="U360" s="27">
        <f t="shared" si="61"/>
        <v>1.6736404728885334E-2</v>
      </c>
      <c r="V360" s="28">
        <f t="shared" si="62"/>
        <v>56.297489648821184</v>
      </c>
      <c r="W360" s="27">
        <f t="shared" si="63"/>
        <v>1.0726923677220487E-2</v>
      </c>
      <c r="X360" s="21">
        <v>3.0296528355517087</v>
      </c>
      <c r="Y360" s="21">
        <f t="shared" si="64"/>
        <v>56.355834026620506</v>
      </c>
      <c r="Z360" s="2">
        <f t="shared" si="65"/>
        <v>1.1774399041660746E-2</v>
      </c>
    </row>
    <row r="361" spans="1:26">
      <c r="A361" s="1">
        <v>55.8</v>
      </c>
      <c r="B361" s="1">
        <f t="shared" si="55"/>
        <v>328.95</v>
      </c>
      <c r="C361" s="4">
        <f>ROUND(10000*EXP(($AB$4)+($AC$4/B361)+($AD$4/(B361^2))+($AE$4/(B361^3))),6)</f>
        <v>2901.737599</v>
      </c>
      <c r="D361" s="4">
        <f>((C361+2*$AC$5)*$AC$6)/((C361+2*$AC$5)+$AC$6)</f>
        <v>1403.2479066086698</v>
      </c>
      <c r="E361" s="4">
        <f t="shared" si="56"/>
        <v>1.4032479066086698</v>
      </c>
      <c r="F361" s="24">
        <v>9.9990399102947171E-4</v>
      </c>
      <c r="G361" s="6">
        <v>1.4009733709234555</v>
      </c>
      <c r="H361" s="2">
        <f t="shared" si="57"/>
        <v>1.6209079482693335E-3</v>
      </c>
      <c r="I361" s="5">
        <f>G361/F361</f>
        <v>1401.1078898495591</v>
      </c>
      <c r="J361" s="2">
        <f>ABS(D361-I361)/I361</f>
        <v>1.5273747115509438E-3</v>
      </c>
      <c r="K361" s="1">
        <f>$AD$10*B361+$AD$11</f>
        <v>1408.8361353146329</v>
      </c>
      <c r="L361" s="2">
        <f>ABS(K361-D361)/D361</f>
        <v>3.9823531392029808E-3</v>
      </c>
      <c r="M361" s="21">
        <f>K361*F361</f>
        <v>1.4087008744076384</v>
      </c>
      <c r="N361" s="2">
        <f>ABS(M361-G361)/M361</f>
        <v>5.4855531252738527E-3</v>
      </c>
      <c r="O361" s="21">
        <f t="shared" si="58"/>
        <v>7.7275034841828294E-3</v>
      </c>
      <c r="P361" s="25">
        <f>$AD$18*B361+$AD$19</f>
        <v>2.9833333333333343</v>
      </c>
      <c r="Q361" s="25">
        <f>$AD$29*G361+$AD$30</f>
        <v>3.0107488195963956</v>
      </c>
      <c r="R361" s="25">
        <f t="shared" si="59"/>
        <v>2.7415486263061339E-2</v>
      </c>
      <c r="S361" s="26">
        <v>3.0331091056696264</v>
      </c>
      <c r="T361" s="26">
        <f t="shared" si="60"/>
        <v>4.9775772336292157E-2</v>
      </c>
      <c r="U361" s="27">
        <f t="shared" si="61"/>
        <v>1.6684616425572785E-2</v>
      </c>
      <c r="V361" s="28">
        <f t="shared" si="62"/>
        <v>56.397309268035521</v>
      </c>
      <c r="W361" s="27">
        <f t="shared" si="63"/>
        <v>1.0704467169095407E-2</v>
      </c>
      <c r="X361" s="21">
        <v>3.0385315209644852</v>
      </c>
      <c r="Y361" s="21">
        <f t="shared" si="64"/>
        <v>56.462378251573824</v>
      </c>
      <c r="Z361" s="2">
        <f t="shared" si="65"/>
        <v>1.1870577985194032E-2</v>
      </c>
    </row>
    <row r="362" spans="1:26">
      <c r="A362" s="1">
        <v>55.9</v>
      </c>
      <c r="B362" s="1">
        <f t="shared" si="55"/>
        <v>329.04999999999995</v>
      </c>
      <c r="C362" s="4">
        <f>ROUND(10000*EXP(($AB$4)+($AC$4/B362)+($AD$4/(B362^2))+($AE$4/(B362^3))),6)</f>
        <v>2891.067986</v>
      </c>
      <c r="D362" s="4">
        <f>((C362+2*$AC$5)*$AC$6)/((C362+2*$AC$5)+$AC$6)</f>
        <v>1400.7820938564548</v>
      </c>
      <c r="E362" s="4">
        <f t="shared" si="56"/>
        <v>1.4007820938564548</v>
      </c>
      <c r="F362" s="24">
        <v>9.9990399102947171E-4</v>
      </c>
      <c r="G362" s="6">
        <v>1.3985450482613611</v>
      </c>
      <c r="H362" s="2">
        <f t="shared" si="57"/>
        <v>1.5969975665058626E-3</v>
      </c>
      <c r="I362" s="5">
        <f>G362/F362</f>
        <v>1398.6793340243198</v>
      </c>
      <c r="J362" s="2">
        <f>ABS(D362-I362)/I362</f>
        <v>1.5033895053592353E-3</v>
      </c>
      <c r="K362" s="1">
        <f>$AD$10*B362+$AD$11</f>
        <v>1406.4870233957599</v>
      </c>
      <c r="L362" s="2">
        <f>ABS(K362-D362)/D362</f>
        <v>4.0726745182750211E-3</v>
      </c>
      <c r="M362" s="21">
        <f>K362*F362</f>
        <v>1.4063519880245823</v>
      </c>
      <c r="N362" s="2">
        <f>ABS(M362-G362)/M362</f>
        <v>5.5511990097067794E-3</v>
      </c>
      <c r="O362" s="21">
        <f t="shared" si="58"/>
        <v>7.8069397632212212E-3</v>
      </c>
      <c r="P362" s="25">
        <f>$AD$18*B362+$AD$19</f>
        <v>2.9916666666666636</v>
      </c>
      <c r="Q362" s="25">
        <f>$AD$29*G362+$AD$30</f>
        <v>3.0193639754123973</v>
      </c>
      <c r="R362" s="25">
        <f t="shared" si="59"/>
        <v>2.7697308745733729E-2</v>
      </c>
      <c r="S362" s="26">
        <v>3.0420647872384028</v>
      </c>
      <c r="T362" s="26">
        <f t="shared" si="60"/>
        <v>5.0398120571739202E-2</v>
      </c>
      <c r="U362" s="27">
        <f t="shared" si="61"/>
        <v>1.6846168436235962E-2</v>
      </c>
      <c r="V362" s="28">
        <f t="shared" si="62"/>
        <v>56.504777446860835</v>
      </c>
      <c r="W362" s="27">
        <f t="shared" si="63"/>
        <v>1.081891675958563E-2</v>
      </c>
      <c r="X362" s="21">
        <v>3.0468187283966071</v>
      </c>
      <c r="Y362" s="21">
        <f t="shared" si="64"/>
        <v>56.561824740759292</v>
      </c>
      <c r="Z362" s="2">
        <f t="shared" si="65"/>
        <v>1.183944080070292E-2</v>
      </c>
    </row>
    <row r="363" spans="1:26">
      <c r="A363" s="1">
        <v>56</v>
      </c>
      <c r="B363" s="1">
        <f t="shared" si="55"/>
        <v>329.15</v>
      </c>
      <c r="C363" s="4">
        <f>ROUND(10000*EXP(($AB$4)+($AC$4/B363)+($AD$4/(B363^2))+($AE$4/(B363^3))),6)</f>
        <v>2880.443319</v>
      </c>
      <c r="D363" s="4">
        <f>((C363+2*$AC$5)*$AC$6)/((C363+2*$AC$5)+$AC$6)</f>
        <v>1398.3173322604605</v>
      </c>
      <c r="E363" s="4">
        <f t="shared" si="56"/>
        <v>1.3983173322604605</v>
      </c>
      <c r="F363" s="24">
        <v>9.9990399102947171E-4</v>
      </c>
      <c r="G363" s="6">
        <v>1.3961145960933319</v>
      </c>
      <c r="H363" s="2">
        <f t="shared" si="57"/>
        <v>1.5752763098257369E-3</v>
      </c>
      <c r="I363" s="5">
        <f>G363/F363</f>
        <v>1396.2486484886747</v>
      </c>
      <c r="J363" s="2">
        <f>ABS(D363-I363)/I363</f>
        <v>1.4816012706798185E-3</v>
      </c>
      <c r="K363" s="1">
        <f>$AD$10*B363+$AD$11</f>
        <v>1404.1379114768852</v>
      </c>
      <c r="L363" s="2">
        <f>ABS(K363-D363)/D363</f>
        <v>4.1625595865391832E-3</v>
      </c>
      <c r="M363" s="21">
        <f>K363*F363</f>
        <v>1.4040031016415246</v>
      </c>
      <c r="N363" s="2">
        <f>ABS(M363-G363)/M363</f>
        <v>5.6185812830254573E-3</v>
      </c>
      <c r="O363" s="21">
        <f t="shared" si="58"/>
        <v>7.8885055481927591E-3</v>
      </c>
      <c r="P363" s="25">
        <f>$AD$18*B363+$AD$19</f>
        <v>3</v>
      </c>
      <c r="Q363" s="25">
        <f>$AD$29*G363+$AD$30</f>
        <v>3.0279866862480533</v>
      </c>
      <c r="R363" s="25">
        <f t="shared" si="59"/>
        <v>2.7986686248053338E-2</v>
      </c>
      <c r="S363" s="26">
        <v>3.0510283216871095</v>
      </c>
      <c r="T363" s="26">
        <f t="shared" si="60"/>
        <v>5.1028321687109468E-2</v>
      </c>
      <c r="U363" s="27">
        <f t="shared" si="61"/>
        <v>1.7009440562369822E-2</v>
      </c>
      <c r="V363" s="28">
        <f t="shared" si="62"/>
        <v>56.612339860245307</v>
      </c>
      <c r="W363" s="27">
        <f t="shared" si="63"/>
        <v>1.0934640361523331E-2</v>
      </c>
      <c r="X363" s="21">
        <v>3.0557322426360516</v>
      </c>
      <c r="Y363" s="21">
        <f t="shared" si="64"/>
        <v>56.668786911632623</v>
      </c>
      <c r="Z363" s="2">
        <f t="shared" si="65"/>
        <v>1.1942623422011118E-2</v>
      </c>
    </row>
    <row r="364" spans="1:26">
      <c r="A364" s="1">
        <v>56.1</v>
      </c>
      <c r="B364" s="1">
        <f t="shared" si="55"/>
        <v>329.25</v>
      </c>
      <c r="C364" s="4">
        <f>ROUND(10000*EXP(($AB$4)+($AC$4/B364)+($AD$4/(B364^2))+($AE$4/(B364^3))),6)</f>
        <v>2869.863386</v>
      </c>
      <c r="D364" s="4">
        <f>((C364+2*$AC$5)*$AC$6)/((C364+2*$AC$5)+$AC$6)</f>
        <v>1395.8536378083857</v>
      </c>
      <c r="E364" s="4">
        <f t="shared" si="56"/>
        <v>1.3958536378083857</v>
      </c>
      <c r="F364" s="24">
        <v>9.9990399102947171E-4</v>
      </c>
      <c r="G364" s="6">
        <v>1.3935125698777822</v>
      </c>
      <c r="H364" s="2">
        <f t="shared" si="57"/>
        <v>1.677158598289143E-3</v>
      </c>
      <c r="I364" s="5">
        <f>G364/F364</f>
        <v>1393.6463724312798</v>
      </c>
      <c r="J364" s="2">
        <f>ABS(D364-I364)/I364</f>
        <v>1.5838059214800422E-3</v>
      </c>
      <c r="K364" s="1">
        <f>$AD$10*B364+$AD$11</f>
        <v>1401.7887995580104</v>
      </c>
      <c r="L364" s="2">
        <f>ABS(K364-D364)/D364</f>
        <v>4.2519943272444176E-3</v>
      </c>
      <c r="M364" s="21">
        <f>K364*F364</f>
        <v>1.4016542152584668</v>
      </c>
      <c r="N364" s="2">
        <f>ABS(M364-G364)/M364</f>
        <v>5.808597649872794E-3</v>
      </c>
      <c r="O364" s="21">
        <f t="shared" si="58"/>
        <v>8.1416453806846256E-3</v>
      </c>
      <c r="P364" s="25">
        <f>$AD$18*B364+$AD$19</f>
        <v>3.0083333333333364</v>
      </c>
      <c r="Q364" s="25">
        <f>$AD$29*G364+$AD$30</f>
        <v>3.0372181041457669</v>
      </c>
      <c r="R364" s="25">
        <f t="shared" si="59"/>
        <v>2.888477081243046E-2</v>
      </c>
      <c r="S364" s="26">
        <v>3.0606246241457833</v>
      </c>
      <c r="T364" s="26">
        <f t="shared" si="60"/>
        <v>5.2291290812446878E-2</v>
      </c>
      <c r="U364" s="27">
        <f t="shared" si="61"/>
        <v>1.7382146530453238E-2</v>
      </c>
      <c r="V364" s="28">
        <f t="shared" si="62"/>
        <v>56.727495489749401</v>
      </c>
      <c r="W364" s="27">
        <f t="shared" si="63"/>
        <v>1.1185302847582885E-2</v>
      </c>
      <c r="X364" s="21">
        <v>3.0652686697723532</v>
      </c>
      <c r="Y364" s="21">
        <f t="shared" si="64"/>
        <v>56.783224037268241</v>
      </c>
      <c r="Z364" s="2">
        <f t="shared" si="65"/>
        <v>1.2178681591234211E-2</v>
      </c>
    </row>
    <row r="365" spans="1:26">
      <c r="A365" s="1">
        <v>56.2</v>
      </c>
      <c r="B365" s="1">
        <f t="shared" si="55"/>
        <v>329.34999999999997</v>
      </c>
      <c r="C365" s="4">
        <f>ROUND(10000*EXP(($AB$4)+($AC$4/B365)+($AD$4/(B365^2))+($AE$4/(B365^3))),6)</f>
        <v>2859.327976</v>
      </c>
      <c r="D365" s="4">
        <f>((C365+2*$AC$5)*$AC$6)/((C365+2*$AC$5)+$AC$6)</f>
        <v>1393.3910264177664</v>
      </c>
      <c r="E365" s="4">
        <f t="shared" si="56"/>
        <v>1.3933910264177665</v>
      </c>
      <c r="F365" s="24">
        <v>9.9990399102947171E-4</v>
      </c>
      <c r="G365" s="6">
        <v>1.3910720727768782</v>
      </c>
      <c r="H365" s="2">
        <f t="shared" si="57"/>
        <v>1.6642518840171076E-3</v>
      </c>
      <c r="I365" s="5">
        <f>G365/F365</f>
        <v>1391.2056409982636</v>
      </c>
      <c r="J365" s="2">
        <f>ABS(D365-I365)/I365</f>
        <v>1.5708572155693004E-3</v>
      </c>
      <c r="K365" s="1">
        <f>$AD$10*B365+$AD$11</f>
        <v>1399.4396876391374</v>
      </c>
      <c r="L365" s="2">
        <f>ABS(K365-D365)/D365</f>
        <v>4.340964673011709E-3</v>
      </c>
      <c r="M365" s="21">
        <f>K365*F365</f>
        <v>1.3993053288754107</v>
      </c>
      <c r="N365" s="2">
        <f>ABS(M365-G365)/M365</f>
        <v>5.8838167257959451E-3</v>
      </c>
      <c r="O365" s="21">
        <f t="shared" si="58"/>
        <v>8.2332560985325376E-3</v>
      </c>
      <c r="P365" s="25">
        <f>$AD$18*B365+$AD$19</f>
        <v>3.0166666666666657</v>
      </c>
      <c r="Q365" s="25">
        <f>$AD$29*G365+$AD$30</f>
        <v>3.0458764521985149</v>
      </c>
      <c r="R365" s="25">
        <f t="shared" si="59"/>
        <v>2.9209785531849164E-2</v>
      </c>
      <c r="S365" s="26">
        <v>3.0696252053088027</v>
      </c>
      <c r="T365" s="26">
        <f t="shared" si="60"/>
        <v>5.2958538642136954E-2</v>
      </c>
      <c r="U365" s="27">
        <f t="shared" si="61"/>
        <v>1.7555316676951482E-2</v>
      </c>
      <c r="V365" s="28">
        <f t="shared" si="62"/>
        <v>56.83550246370563</v>
      </c>
      <c r="W365" s="27">
        <f t="shared" si="63"/>
        <v>1.1307873019673086E-2</v>
      </c>
      <c r="X365" s="21">
        <v>3.0742143556635417</v>
      </c>
      <c r="Y365" s="21">
        <f t="shared" si="64"/>
        <v>56.890572267962504</v>
      </c>
      <c r="Z365" s="2">
        <f t="shared" si="65"/>
        <v>1.2287762775133477E-2</v>
      </c>
    </row>
    <row r="366" spans="1:26">
      <c r="A366" s="1">
        <v>56.3</v>
      </c>
      <c r="B366" s="1">
        <f t="shared" si="55"/>
        <v>329.45</v>
      </c>
      <c r="C366" s="4">
        <f>ROUND(10000*EXP(($AB$4)+($AC$4/B366)+($AD$4/(B366^2))+($AE$4/(B366^3))),6)</f>
        <v>2848.836879</v>
      </c>
      <c r="D366" s="4">
        <f>((C366+2*$AC$5)*$AC$6)/((C366+2*$AC$5)+$AC$6)</f>
        <v>1390.929513936657</v>
      </c>
      <c r="E366" s="4">
        <f t="shared" si="56"/>
        <v>1.3909295139366571</v>
      </c>
      <c r="F366" s="24">
        <v>9.9990399102947171E-4</v>
      </c>
      <c r="G366" s="6">
        <v>1.3886270699460606</v>
      </c>
      <c r="H366" s="2">
        <f t="shared" si="57"/>
        <v>1.6553275831210738E-3</v>
      </c>
      <c r="I366" s="5">
        <f>G366/F366</f>
        <v>1388.7604034027017</v>
      </c>
      <c r="J366" s="2">
        <f>ABS(D366-I366)/I366</f>
        <v>1.5619040754910616E-3</v>
      </c>
      <c r="K366" s="1">
        <f>$AD$10*B366+$AD$11</f>
        <v>1397.0905757202627</v>
      </c>
      <c r="L366" s="2">
        <f>ABS(K366-D366)/D366</f>
        <v>4.4294565050736435E-3</v>
      </c>
      <c r="M366" s="21">
        <f>K366*F366</f>
        <v>1.3969564424923531</v>
      </c>
      <c r="N366" s="2">
        <f>ABS(M366-G366)/M366</f>
        <v>5.9625141435561317E-3</v>
      </c>
      <c r="O366" s="21">
        <f t="shared" si="58"/>
        <v>8.3293725462925128E-3</v>
      </c>
      <c r="P366" s="25">
        <f>$AD$18*B366+$AD$19</f>
        <v>3.0250000000000021</v>
      </c>
      <c r="Q366" s="25">
        <f>$AD$29*G366+$AD$30</f>
        <v>3.0545507855920393</v>
      </c>
      <c r="R366" s="25">
        <f t="shared" si="59"/>
        <v>2.9550785592037165E-2</v>
      </c>
      <c r="S366" s="26">
        <v>3.0786424033984319</v>
      </c>
      <c r="T366" s="26">
        <f t="shared" si="60"/>
        <v>5.3642403398429739E-2</v>
      </c>
      <c r="U366" s="27">
        <f t="shared" si="61"/>
        <v>1.7733025916836266E-2</v>
      </c>
      <c r="V366" s="28">
        <f t="shared" si="62"/>
        <v>56.943708840781184</v>
      </c>
      <c r="W366" s="27">
        <f t="shared" si="63"/>
        <v>1.1433549569825703E-2</v>
      </c>
      <c r="X366" s="21">
        <v>3.0837805390274355</v>
      </c>
      <c r="Y366" s="21">
        <f t="shared" si="64"/>
        <v>57.005366468329228</v>
      </c>
      <c r="Z366" s="2">
        <f t="shared" si="65"/>
        <v>1.2528711693236787E-2</v>
      </c>
    </row>
    <row r="367" spans="1:26">
      <c r="A367" s="1">
        <v>56.4</v>
      </c>
      <c r="B367" s="1">
        <f t="shared" si="55"/>
        <v>329.54999999999995</v>
      </c>
      <c r="C367" s="4">
        <f>ROUND(10000*EXP(($AB$4)+($AC$4/B367)+($AD$4/(B367^2))+($AE$4/(B367^3))),6)</f>
        <v>2838.3898880000002</v>
      </c>
      <c r="D367" s="4">
        <f>((C367+2*$AC$5)*$AC$6)/((C367+2*$AC$5)+$AC$6)</f>
        <v>1388.4691166162399</v>
      </c>
      <c r="E367" s="4">
        <f t="shared" si="56"/>
        <v>1.38846911661624</v>
      </c>
      <c r="F367" s="24">
        <v>9.9990399102947171E-4</v>
      </c>
      <c r="G367" s="6">
        <v>1.3861775855798846</v>
      </c>
      <c r="H367" s="2">
        <f t="shared" si="57"/>
        <v>1.6504011568798432E-3</v>
      </c>
      <c r="I367" s="5">
        <f>G367/F367</f>
        <v>1386.3106838414726</v>
      </c>
      <c r="J367" s="2">
        <f>ABS(D367-I367)/I367</f>
        <v>1.5569617979039937E-3</v>
      </c>
      <c r="K367" s="1">
        <f>$AD$10*B367+$AD$11</f>
        <v>1394.7414638013897</v>
      </c>
      <c r="L367" s="2">
        <f>ABS(K367-D367)/D367</f>
        <v>4.5174553110952642E-3</v>
      </c>
      <c r="M367" s="21">
        <f>K367*F367</f>
        <v>1.394607556109297</v>
      </c>
      <c r="N367" s="2">
        <f>ABS(M367-G367)/M367</f>
        <v>6.0446901298387527E-3</v>
      </c>
      <c r="O367" s="21">
        <f t="shared" si="58"/>
        <v>8.4299705294124117E-3</v>
      </c>
      <c r="P367" s="25">
        <f>$AD$18*B367+$AD$19</f>
        <v>3.0333333333333314</v>
      </c>
      <c r="Q367" s="25">
        <f>$AD$29*G367+$AD$30</f>
        <v>3.0632410184893697</v>
      </c>
      <c r="R367" s="25">
        <f t="shared" si="59"/>
        <v>2.9907685156038255E-2</v>
      </c>
      <c r="S367" s="26">
        <v>3.087676128872439</v>
      </c>
      <c r="T367" s="26">
        <f t="shared" si="60"/>
        <v>5.4342795539107591E-2</v>
      </c>
      <c r="U367" s="27">
        <f t="shared" si="61"/>
        <v>1.7915207320584933E-2</v>
      </c>
      <c r="V367" s="28">
        <f t="shared" si="62"/>
        <v>57.052113546469272</v>
      </c>
      <c r="W367" s="27">
        <f t="shared" si="63"/>
        <v>1.1562296923214066E-2</v>
      </c>
      <c r="X367" s="21">
        <v>3.0927579253415729</v>
      </c>
      <c r="Y367" s="21">
        <f t="shared" si="64"/>
        <v>57.113095104098882</v>
      </c>
      <c r="Z367" s="2">
        <f t="shared" si="65"/>
        <v>1.2643530214519208E-2</v>
      </c>
    </row>
    <row r="368" spans="1:26">
      <c r="A368" s="1">
        <v>56.5</v>
      </c>
      <c r="B368" s="1">
        <f t="shared" si="55"/>
        <v>329.65</v>
      </c>
      <c r="C368" s="4">
        <f>ROUND(10000*EXP(($AB$4)+($AC$4/B368)+($AD$4/(B368^2))+($AE$4/(B368^3))),6)</f>
        <v>2827.9867949999998</v>
      </c>
      <c r="D368" s="4">
        <f>((C368+2*$AC$5)*$AC$6)/((C368+2*$AC$5)+$AC$6)</f>
        <v>1386.0098501730481</v>
      </c>
      <c r="E368" s="4">
        <f t="shared" si="56"/>
        <v>1.3860098501730482</v>
      </c>
      <c r="F368" s="24">
        <v>9.9990399102947171E-4</v>
      </c>
      <c r="G368" s="6">
        <v>1.3837249181619415</v>
      </c>
      <c r="H368" s="2">
        <f t="shared" si="57"/>
        <v>1.648568378371486E-3</v>
      </c>
      <c r="I368" s="5">
        <f>G368/F368</f>
        <v>1383.8577809228454</v>
      </c>
      <c r="J368" s="2">
        <f>ABS(D368-I368)/I368</f>
        <v>1.5551231346674363E-3</v>
      </c>
      <c r="K368" s="1">
        <f>$AD$10*B368+$AD$11</f>
        <v>1392.3923518825159</v>
      </c>
      <c r="L368" s="2">
        <f>ABS(K368-D368)/D368</f>
        <v>4.6049468614316729E-3</v>
      </c>
      <c r="M368" s="21">
        <f>K368*F368</f>
        <v>1.3922586697262402</v>
      </c>
      <c r="N368" s="2">
        <f>ABS(M368-G368)/M368</f>
        <v>6.1294296454097053E-3</v>
      </c>
      <c r="O368" s="21">
        <f t="shared" si="58"/>
        <v>8.5337515642986972E-3</v>
      </c>
      <c r="P368" s="25">
        <f>$AD$18*B368+$AD$19</f>
        <v>3.0416666666666679</v>
      </c>
      <c r="Q368" s="25">
        <f>$AD$29*G368+$AD$30</f>
        <v>3.0719425441557267</v>
      </c>
      <c r="R368" s="25">
        <f t="shared" si="59"/>
        <v>3.02758774890588E-2</v>
      </c>
      <c r="S368" s="26">
        <v>3.096721594223562</v>
      </c>
      <c r="T368" s="26">
        <f t="shared" si="60"/>
        <v>5.5054927556894118E-2</v>
      </c>
      <c r="U368" s="27">
        <f t="shared" si="61"/>
        <v>1.8100250155691208E-2</v>
      </c>
      <c r="V368" s="28">
        <f t="shared" si="62"/>
        <v>57.160659130682745</v>
      </c>
      <c r="W368" s="27">
        <f t="shared" si="63"/>
        <v>1.1693081958986645E-2</v>
      </c>
      <c r="X368" s="21">
        <v>3.1017515297158607</v>
      </c>
      <c r="Y368" s="21">
        <f t="shared" si="64"/>
        <v>57.221018356590335</v>
      </c>
      <c r="Z368" s="2">
        <f t="shared" si="65"/>
        <v>1.2761386842306814E-2</v>
      </c>
    </row>
    <row r="369" spans="1:26">
      <c r="A369" s="1">
        <v>56.6</v>
      </c>
      <c r="B369" s="1">
        <f t="shared" si="55"/>
        <v>329.75</v>
      </c>
      <c r="C369" s="4">
        <f>ROUND(10000*EXP(($AB$4)+($AC$4/B369)+($AD$4/(B369^2))+($AE$4/(B369^3))),6)</f>
        <v>2817.6273940000001</v>
      </c>
      <c r="D369" s="4">
        <f>((C369+2*$AC$5)*$AC$6)/((C369+2*$AC$5)+$AC$6)</f>
        <v>1383.5517304940579</v>
      </c>
      <c r="E369" s="4">
        <f t="shared" si="56"/>
        <v>1.3835517304940579</v>
      </c>
      <c r="F369" s="24">
        <v>9.9990399102947171E-4</v>
      </c>
      <c r="G369" s="6">
        <v>1.3812665923089722</v>
      </c>
      <c r="H369" s="2">
        <f t="shared" si="57"/>
        <v>1.6516463640067003E-3</v>
      </c>
      <c r="I369" s="5">
        <f>G369/F369</f>
        <v>1381.3992190258793</v>
      </c>
      <c r="J369" s="2">
        <f>ABS(D369-I369)/I369</f>
        <v>1.5582110070225977E-3</v>
      </c>
      <c r="K369" s="1">
        <f>$AD$10*B369+$AD$11</f>
        <v>1390.0432399636411</v>
      </c>
      <c r="L369" s="2">
        <f>ABS(K369-D369)/D369</f>
        <v>4.6919166999741515E-3</v>
      </c>
      <c r="M369" s="21">
        <f>K369*F369</f>
        <v>1.3899097833431824</v>
      </c>
      <c r="N369" s="2">
        <f>ABS(M369-G369)/M369</f>
        <v>6.2185266538814597E-3</v>
      </c>
      <c r="O369" s="21">
        <f t="shared" si="58"/>
        <v>8.6431910342101848E-3</v>
      </c>
      <c r="P369" s="25">
        <f>$AD$18*B369+$AD$19</f>
        <v>3.0500000000000007</v>
      </c>
      <c r="Q369" s="25">
        <f>$AD$29*G369+$AD$30</f>
        <v>3.080664144707594</v>
      </c>
      <c r="R369" s="25">
        <f t="shared" si="59"/>
        <v>3.0664144707593266E-2</v>
      </c>
      <c r="S369" s="26">
        <v>3.1057879278607521</v>
      </c>
      <c r="T369" s="26">
        <f t="shared" si="60"/>
        <v>5.5787927860751374E-2</v>
      </c>
      <c r="U369" s="27">
        <f t="shared" si="61"/>
        <v>1.8291123888770938E-2</v>
      </c>
      <c r="V369" s="28">
        <f t="shared" si="62"/>
        <v>57.269455134329029</v>
      </c>
      <c r="W369" s="27">
        <f t="shared" si="63"/>
        <v>1.1827829228428042E-2</v>
      </c>
      <c r="X369" s="21">
        <v>3.1107612337243977</v>
      </c>
      <c r="Y369" s="21">
        <f t="shared" si="64"/>
        <v>57.329134804692771</v>
      </c>
      <c r="Z369" s="2">
        <f t="shared" si="65"/>
        <v>1.2882240365596634E-2</v>
      </c>
    </row>
    <row r="370" spans="1:26">
      <c r="A370" s="1">
        <v>56.7</v>
      </c>
      <c r="B370" s="1">
        <f t="shared" si="55"/>
        <v>329.84999999999997</v>
      </c>
      <c r="C370" s="4">
        <f>ROUND(10000*EXP(($AB$4)+($AC$4/B370)+($AD$4/(B370^2))+($AE$4/(B370^3))),6)</f>
        <v>2807.311479</v>
      </c>
      <c r="D370" s="4">
        <f>((C370+2*$AC$5)*$AC$6)/((C370+2*$AC$5)+$AC$6)</f>
        <v>1381.0947731646734</v>
      </c>
      <c r="E370" s="4">
        <f t="shared" si="56"/>
        <v>1.3810947731646734</v>
      </c>
      <c r="F370" s="24">
        <v>9.9990399102947171E-4</v>
      </c>
      <c r="G370" s="6">
        <v>1.3788038887812752</v>
      </c>
      <c r="H370" s="2">
        <f t="shared" si="57"/>
        <v>1.6587452417539804E-3</v>
      </c>
      <c r="I370" s="5">
        <f>G370/F370</f>
        <v>1378.9362790338494</v>
      </c>
      <c r="J370" s="2">
        <f>ABS(D370-I370)/I370</f>
        <v>1.5653327594922354E-3</v>
      </c>
      <c r="K370" s="1">
        <f>$AD$10*B370+$AD$11</f>
        <v>1387.6941280447681</v>
      </c>
      <c r="L370" s="2">
        <f>ABS(K370-D370)/D370</f>
        <v>4.778350485660633E-3</v>
      </c>
      <c r="M370" s="21">
        <f>K370*F370</f>
        <v>1.3875608969601265</v>
      </c>
      <c r="N370" s="2">
        <f>ABS(M370-G370)/M370</f>
        <v>6.3110802545936276E-3</v>
      </c>
      <c r="O370" s="21">
        <f t="shared" si="58"/>
        <v>8.7570081788512777E-3</v>
      </c>
      <c r="P370" s="25">
        <f>$AD$18*B370+$AD$19</f>
        <v>3.0583333333333336</v>
      </c>
      <c r="Q370" s="25">
        <f>$AD$29*G370+$AD$30</f>
        <v>3.0894012762885463</v>
      </c>
      <c r="R370" s="25">
        <f t="shared" si="59"/>
        <v>3.1067942955212757E-2</v>
      </c>
      <c r="S370" s="26">
        <v>3.1148704063920567</v>
      </c>
      <c r="T370" s="26">
        <f t="shared" si="60"/>
        <v>5.6537073058723131E-2</v>
      </c>
      <c r="U370" s="27">
        <f t="shared" si="61"/>
        <v>1.8486236422470777E-2</v>
      </c>
      <c r="V370" s="28">
        <f t="shared" si="62"/>
        <v>57.378444876704684</v>
      </c>
      <c r="W370" s="27">
        <f t="shared" si="63"/>
        <v>1.1965518107666334E-2</v>
      </c>
      <c r="X370" s="21">
        <v>3.1197869193775039</v>
      </c>
      <c r="Y370" s="21">
        <f t="shared" si="64"/>
        <v>57.437443032530048</v>
      </c>
      <c r="Z370" s="2">
        <f t="shared" si="65"/>
        <v>1.3006049956438186E-2</v>
      </c>
    </row>
    <row r="371" spans="1:26">
      <c r="A371" s="1">
        <v>56.8</v>
      </c>
      <c r="B371" s="1">
        <f t="shared" si="55"/>
        <v>329.95</v>
      </c>
      <c r="C371" s="4">
        <f>ROUND(10000*EXP(($AB$4)+($AC$4/B371)+($AD$4/(B371^2))+($AE$4/(B371^3))),6)</f>
        <v>2797.0388459999999</v>
      </c>
      <c r="D371" s="4">
        <f>((C371+2*$AC$5)*$AC$6)/((C371+2*$AC$5)+$AC$6)</f>
        <v>1378.6389939441076</v>
      </c>
      <c r="E371" s="4">
        <f t="shared" si="56"/>
        <v>1.3786389939441077</v>
      </c>
      <c r="F371" s="24">
        <v>9.9990399102947171E-4</v>
      </c>
      <c r="G371" s="6">
        <v>1.3763368397301845</v>
      </c>
      <c r="H371" s="2">
        <f t="shared" si="57"/>
        <v>1.6698745821319386E-3</v>
      </c>
      <c r="I371" s="5">
        <f>G371/F371</f>
        <v>1376.4689931011762</v>
      </c>
      <c r="J371" s="2">
        <f>ABS(D371-I371)/I371</f>
        <v>1.5764981658194564E-3</v>
      </c>
      <c r="K371" s="1">
        <f>$AD$10*B371+$AD$11</f>
        <v>1385.3450161258934</v>
      </c>
      <c r="L371" s="2">
        <f>ABS(K371-D371)/D371</f>
        <v>4.8642336472731872E-3</v>
      </c>
      <c r="M371" s="21">
        <f>K371*F371</f>
        <v>1.3852120105770687</v>
      </c>
      <c r="N371" s="2">
        <f>ABS(M371-G371)/M371</f>
        <v>6.4070848210353261E-3</v>
      </c>
      <c r="O371" s="21">
        <f t="shared" si="58"/>
        <v>8.8751708468841617E-3</v>
      </c>
      <c r="P371" s="25">
        <f>$AD$18*B371+$AD$19</f>
        <v>3.0666666666666664</v>
      </c>
      <c r="Q371" s="25">
        <f>$AD$29*G371+$AD$30</f>
        <v>3.0981538248327061</v>
      </c>
      <c r="R371" s="25">
        <f t="shared" si="59"/>
        <v>3.1487158166039642E-2</v>
      </c>
      <c r="S371" s="26">
        <v>3.1239689114326574</v>
      </c>
      <c r="T371" s="26">
        <f t="shared" si="60"/>
        <v>5.7302244765990995E-2</v>
      </c>
      <c r="U371" s="27">
        <f t="shared" si="61"/>
        <v>1.868551459760576E-2</v>
      </c>
      <c r="V371" s="28">
        <f t="shared" si="62"/>
        <v>57.487626937191891</v>
      </c>
      <c r="W371" s="27">
        <f t="shared" si="63"/>
        <v>1.2106108049153059E-2</v>
      </c>
      <c r="X371" s="21">
        <v>3.1288284682977978</v>
      </c>
      <c r="Y371" s="21">
        <f t="shared" si="64"/>
        <v>57.545941619573576</v>
      </c>
      <c r="Z371" s="2">
        <f t="shared" si="65"/>
        <v>1.3132774992492578E-2</v>
      </c>
    </row>
    <row r="372" spans="1:26">
      <c r="A372" s="1">
        <v>56.9</v>
      </c>
      <c r="B372" s="1">
        <f t="shared" si="55"/>
        <v>330.04999999999995</v>
      </c>
      <c r="C372" s="4">
        <f>ROUND(10000*EXP(($AB$4)+($AC$4/B372)+($AD$4/(B372^2))+($AE$4/(B372^3))),6)</f>
        <v>2786.8092919999999</v>
      </c>
      <c r="D372" s="4">
        <f>((C372+2*$AC$5)*$AC$6)/((C372+2*$AC$5)+$AC$6)</f>
        <v>1376.1844085302673</v>
      </c>
      <c r="E372" s="4">
        <f t="shared" si="56"/>
        <v>1.3761844085302672</v>
      </c>
      <c r="F372" s="24">
        <v>9.9990399102947171E-4</v>
      </c>
      <c r="G372" s="6">
        <v>1.3738654770676435</v>
      </c>
      <c r="H372" s="2">
        <f t="shared" si="57"/>
        <v>1.685044132348735E-3</v>
      </c>
      <c r="I372" s="5">
        <f>G372/F372</f>
        <v>1373.9973931428676</v>
      </c>
      <c r="J372" s="2">
        <f>ABS(D372-I372)/I372</f>
        <v>1.5917172756762952E-3</v>
      </c>
      <c r="K372" s="1">
        <f>$AD$10*B372+$AD$11</f>
        <v>1382.9959042070204</v>
      </c>
      <c r="L372" s="2">
        <f>ABS(K372-D372)/D372</f>
        <v>4.949551553216352E-3</v>
      </c>
      <c r="M372" s="21">
        <f>K372*F372</f>
        <v>1.3828631241940126</v>
      </c>
      <c r="N372" s="2">
        <f>ABS(M372-G372)/M372</f>
        <v>6.506534861585281E-3</v>
      </c>
      <c r="O372" s="21">
        <f t="shared" si="58"/>
        <v>8.9976471263690794E-3</v>
      </c>
      <c r="P372" s="25">
        <f>$AD$18*B372+$AD$19</f>
        <v>3.0749999999999993</v>
      </c>
      <c r="Q372" s="25">
        <f>$AD$29*G372+$AD$30</f>
        <v>3.1069216771235038</v>
      </c>
      <c r="R372" s="25">
        <f t="shared" si="59"/>
        <v>3.1921677123504466E-2</v>
      </c>
      <c r="S372" s="26">
        <v>3.1330833248876608</v>
      </c>
      <c r="T372" s="26">
        <f t="shared" si="60"/>
        <v>5.8083324887661547E-2</v>
      </c>
      <c r="U372" s="27">
        <f t="shared" si="61"/>
        <v>1.8888886142328962E-2</v>
      </c>
      <c r="V372" s="28">
        <f t="shared" si="62"/>
        <v>57.596999898651923</v>
      </c>
      <c r="W372" s="27">
        <f t="shared" si="63"/>
        <v>1.2249558851527668E-2</v>
      </c>
      <c r="X372" s="21">
        <v>3.1378857622722158</v>
      </c>
      <c r="Y372" s="21">
        <f t="shared" si="64"/>
        <v>57.654629147266597</v>
      </c>
      <c r="Z372" s="2">
        <f t="shared" si="65"/>
        <v>1.3262375171644964E-2</v>
      </c>
    </row>
    <row r="373" spans="1:26">
      <c r="A373" s="1">
        <v>57</v>
      </c>
      <c r="B373" s="1">
        <f t="shared" si="55"/>
        <v>330.15</v>
      </c>
      <c r="C373" s="4">
        <f>ROUND(10000*EXP(($AB$4)+($AC$4/B373)+($AD$4/(B373^2))+($AE$4/(B373^3))),6)</f>
        <v>2776.6226160000001</v>
      </c>
      <c r="D373" s="4">
        <f>((C373+2*$AC$5)*$AC$6)/((C373+2*$AC$5)+$AC$6)</f>
        <v>1373.7310328019071</v>
      </c>
      <c r="E373" s="4">
        <f t="shared" si="56"/>
        <v>1.373731032801907</v>
      </c>
      <c r="F373" s="24">
        <v>9.9990399102947171E-4</v>
      </c>
      <c r="G373" s="6">
        <v>1.3713898326927412</v>
      </c>
      <c r="H373" s="2">
        <f t="shared" si="57"/>
        <v>1.7042638284079832E-3</v>
      </c>
      <c r="I373" s="5">
        <f>G373/F373</f>
        <v>1371.5215110610754</v>
      </c>
      <c r="J373" s="2">
        <f>ABS(D373-I373)/I373</f>
        <v>1.6110004276361951E-3</v>
      </c>
      <c r="K373" s="1">
        <f>$AD$10*B373+$AD$11</f>
        <v>1380.6467922881457</v>
      </c>
      <c r="L373" s="2">
        <f>ABS(K373-D373)/D373</f>
        <v>5.0342893340139328E-3</v>
      </c>
      <c r="M373" s="21">
        <f>K373*F373</f>
        <v>1.3805142378109549</v>
      </c>
      <c r="N373" s="2">
        <f>ABS(M373-G373)/M373</f>
        <v>6.6094248565535278E-3</v>
      </c>
      <c r="O373" s="21">
        <f t="shared" si="58"/>
        <v>9.1244051182137742E-3</v>
      </c>
      <c r="P373" s="25">
        <f>$AD$18*B373+$AD$19</f>
        <v>3.0833333333333321</v>
      </c>
      <c r="Q373" s="25">
        <f>$AD$29*G373+$AD$30</f>
        <v>3.1157047199899717</v>
      </c>
      <c r="R373" s="25">
        <f t="shared" si="59"/>
        <v>3.2371386656639523E-2</v>
      </c>
      <c r="S373" s="26">
        <v>3.1422135292989242</v>
      </c>
      <c r="T373" s="26">
        <f t="shared" si="60"/>
        <v>5.8880195965592019E-2</v>
      </c>
      <c r="U373" s="27">
        <f t="shared" si="61"/>
        <v>1.9096279772624444E-2</v>
      </c>
      <c r="V373" s="28">
        <f t="shared" si="62"/>
        <v>57.706562351587088</v>
      </c>
      <c r="W373" s="27">
        <f t="shared" si="63"/>
        <v>1.239583072959804E-2</v>
      </c>
      <c r="X373" s="21">
        <v>3.14695868329339</v>
      </c>
      <c r="Y373" s="21">
        <f t="shared" si="64"/>
        <v>57.763504199520682</v>
      </c>
      <c r="Z373" s="2">
        <f t="shared" si="65"/>
        <v>1.33948105179067E-2</v>
      </c>
    </row>
    <row r="374" spans="1:26">
      <c r="A374" s="1">
        <v>57.1</v>
      </c>
      <c r="B374" s="1">
        <f t="shared" si="55"/>
        <v>330.25</v>
      </c>
      <c r="C374" s="4">
        <f>ROUND(10000*EXP(($AB$4)+($AC$4/B374)+($AD$4/(B374^2))+($AE$4/(B374^3))),6)</f>
        <v>2766.478615</v>
      </c>
      <c r="D374" s="4">
        <f>((C374+2*$AC$5)*$AC$6)/((C374+2*$AC$5)+$AC$6)</f>
        <v>1371.2788818552608</v>
      </c>
      <c r="E374" s="4">
        <f t="shared" si="56"/>
        <v>1.3712788818552608</v>
      </c>
      <c r="F374" s="24">
        <v>9.9990399102947171E-4</v>
      </c>
      <c r="G374" s="6">
        <v>1.368909938569862</v>
      </c>
      <c r="H374" s="2">
        <f t="shared" si="57"/>
        <v>1.7275430379222242E-3</v>
      </c>
      <c r="I374" s="5">
        <f>G374/F374</f>
        <v>1369.0413788232534</v>
      </c>
      <c r="J374" s="2">
        <f>ABS(D374-I374)/I374</f>
        <v>1.6343574902978298E-3</v>
      </c>
      <c r="K374" s="1">
        <f>$AD$10*B374+$AD$11</f>
        <v>1378.2976803692709</v>
      </c>
      <c r="L374" s="2">
        <f>ABS(K374-D374)/D374</f>
        <v>5.1184325864583134E-3</v>
      </c>
      <c r="M374" s="21">
        <f>K374*F374</f>
        <v>1.3781653514278971</v>
      </c>
      <c r="N374" s="2">
        <f>ABS(M374-G374)/M374</f>
        <v>6.7157492012447613E-3</v>
      </c>
      <c r="O374" s="21">
        <f t="shared" si="58"/>
        <v>9.2554128580351058E-3</v>
      </c>
      <c r="P374" s="25">
        <f>$AD$18*B374+$AD$19</f>
        <v>3.0916666666666686</v>
      </c>
      <c r="Q374" s="25">
        <f>$AD$29*G374+$AD$30</f>
        <v>3.124502840029491</v>
      </c>
      <c r="R374" s="25">
        <f t="shared" si="59"/>
        <v>3.2836173362822407E-2</v>
      </c>
      <c r="S374" s="26">
        <v>3.1513594062825678</v>
      </c>
      <c r="T374" s="26">
        <f t="shared" si="60"/>
        <v>5.9692739615899271E-2</v>
      </c>
      <c r="U374" s="27">
        <f t="shared" si="61"/>
        <v>1.9307624673606222E-2</v>
      </c>
      <c r="V374" s="28">
        <f t="shared" si="62"/>
        <v>57.816312875390807</v>
      </c>
      <c r="W374" s="27">
        <f t="shared" si="63"/>
        <v>1.254488398232584E-2</v>
      </c>
      <c r="X374" s="21">
        <v>3.1560471131573693</v>
      </c>
      <c r="Y374" s="21">
        <f t="shared" si="64"/>
        <v>57.872565357888433</v>
      </c>
      <c r="Z374" s="2">
        <f t="shared" si="65"/>
        <v>1.3530041294018072E-2</v>
      </c>
    </row>
    <row r="375" spans="1:26">
      <c r="A375" s="1">
        <v>57.2</v>
      </c>
      <c r="B375" s="1">
        <f t="shared" si="55"/>
        <v>330.34999999999997</v>
      </c>
      <c r="C375" s="4">
        <f>ROUND(10000*EXP(($AB$4)+($AC$4/B375)+($AD$4/(B375^2))+($AE$4/(B375^3))),6)</f>
        <v>2756.3770909999998</v>
      </c>
      <c r="D375" s="4">
        <f>((C375+2*$AC$5)*$AC$6)/((C375+2*$AC$5)+$AC$6)</f>
        <v>1368.8279716930836</v>
      </c>
      <c r="E375" s="4">
        <f t="shared" si="56"/>
        <v>1.3688279716930836</v>
      </c>
      <c r="F375" s="24">
        <v>9.9990399102947171E-4</v>
      </c>
      <c r="G375" s="6">
        <v>1.3664245641976145</v>
      </c>
      <c r="H375" s="2">
        <f t="shared" si="57"/>
        <v>1.755814130899399E-3</v>
      </c>
      <c r="I375" s="5">
        <f>G375/F375</f>
        <v>1366.5557658098594</v>
      </c>
      <c r="J375" s="2">
        <f>ABS(D375-I375)/I375</f>
        <v>1.6627245957120433E-3</v>
      </c>
      <c r="K375" s="1">
        <f>$AD$10*B375+$AD$11</f>
        <v>1375.9485684503979</v>
      </c>
      <c r="L375" s="2">
        <f>ABS(K375-D375)/D375</f>
        <v>5.2019661378683146E-3</v>
      </c>
      <c r="M375" s="21">
        <f>K375*F375</f>
        <v>1.3758164650448412</v>
      </c>
      <c r="N375" s="2">
        <f>ABS(M375-G375)/M375</f>
        <v>6.826419864746012E-3</v>
      </c>
      <c r="O375" s="21">
        <f t="shared" si="58"/>
        <v>9.3919008472267418E-3</v>
      </c>
      <c r="P375" s="25">
        <f>$AD$18*B375+$AD$19</f>
        <v>3.0999999999999979</v>
      </c>
      <c r="Q375" s="25">
        <f>$AD$29*G375+$AD$30</f>
        <v>3.1333204027909165</v>
      </c>
      <c r="R375" s="25">
        <f t="shared" si="59"/>
        <v>3.3320402790918635E-2</v>
      </c>
      <c r="S375" s="26">
        <v>3.1605254955141131</v>
      </c>
      <c r="T375" s="26">
        <f t="shared" si="60"/>
        <v>6.0525495514115235E-2</v>
      </c>
      <c r="U375" s="27">
        <f t="shared" si="61"/>
        <v>1.9524353391650089E-2</v>
      </c>
      <c r="V375" s="28">
        <f t="shared" si="62"/>
        <v>57.92630594616935</v>
      </c>
      <c r="W375" s="27">
        <f t="shared" si="63"/>
        <v>1.2697656401562014E-2</v>
      </c>
      <c r="X375" s="21">
        <v>3.1651509335489298</v>
      </c>
      <c r="Y375" s="21">
        <f t="shared" si="64"/>
        <v>57.98181120258716</v>
      </c>
      <c r="Z375" s="2">
        <f t="shared" si="65"/>
        <v>1.3668028017257991E-2</v>
      </c>
    </row>
    <row r="376" spans="1:26">
      <c r="A376" s="1">
        <v>57.3</v>
      </c>
      <c r="B376" s="1">
        <f t="shared" si="55"/>
        <v>330.45</v>
      </c>
      <c r="C376" s="4">
        <f>ROUND(10000*EXP(($AB$4)+($AC$4/B376)+($AD$4/(B376^2))+($AE$4/(B376^3))),6)</f>
        <v>2746.3178429999998</v>
      </c>
      <c r="D376" s="4">
        <f>((C376+2*$AC$5)*$AC$6)/((C376+2*$AC$5)+$AC$6)</f>
        <v>1366.3783172917119</v>
      </c>
      <c r="E376" s="4">
        <f t="shared" si="56"/>
        <v>1.3663783172917119</v>
      </c>
      <c r="F376" s="24">
        <v>9.9990399102947171E-4</v>
      </c>
      <c r="G376" s="6">
        <v>1.3640985160161889</v>
      </c>
      <c r="H376" s="2">
        <f t="shared" si="57"/>
        <v>1.6684993070160395E-3</v>
      </c>
      <c r="I376" s="5">
        <f>G376/F376</f>
        <v>1364.2294942854996</v>
      </c>
      <c r="J376" s="2">
        <f>ABS(D376-I376)/I376</f>
        <v>1.5751184204807998E-3</v>
      </c>
      <c r="K376" s="1">
        <f>$AD$10*B376+$AD$11</f>
        <v>1373.5994565315241</v>
      </c>
      <c r="L376" s="2">
        <f>ABS(K376-D376)/D376</f>
        <v>5.2848754612303209E-3</v>
      </c>
      <c r="M376" s="21">
        <f>K376*F376</f>
        <v>1.3734675786617843</v>
      </c>
      <c r="N376" s="2">
        <f>ABS(M376-G376)/M376</f>
        <v>6.82146618613592E-3</v>
      </c>
      <c r="O376" s="21">
        <f t="shared" si="58"/>
        <v>9.3690626455953385E-3</v>
      </c>
      <c r="P376" s="25">
        <f>$AD$18*B376+$AD$19</f>
        <v>3.1083333333333343</v>
      </c>
      <c r="Q376" s="25">
        <f>$AD$29*G376+$AD$30</f>
        <v>3.1415727111975862</v>
      </c>
      <c r="R376" s="25">
        <f t="shared" si="59"/>
        <v>3.3239377864251907E-2</v>
      </c>
      <c r="S376" s="26">
        <v>3.1691039876178606</v>
      </c>
      <c r="T376" s="26">
        <f t="shared" si="60"/>
        <v>6.0770654284526326E-2</v>
      </c>
      <c r="U376" s="27">
        <f t="shared" si="61"/>
        <v>1.9550880734968249E-2</v>
      </c>
      <c r="V376" s="28">
        <f t="shared" si="62"/>
        <v>58.029247851414326</v>
      </c>
      <c r="W376" s="27">
        <f t="shared" si="63"/>
        <v>1.2726838593618296E-2</v>
      </c>
      <c r="X376" s="21">
        <v>3.1742700267706141</v>
      </c>
      <c r="Y376" s="21">
        <f t="shared" si="64"/>
        <v>58.091240321247376</v>
      </c>
      <c r="Z376" s="2">
        <f t="shared" si="65"/>
        <v>1.3808731609901904E-2</v>
      </c>
    </row>
    <row r="377" spans="1:26">
      <c r="A377" s="1">
        <v>57.4</v>
      </c>
      <c r="B377" s="1">
        <f t="shared" si="55"/>
        <v>330.54999999999995</v>
      </c>
      <c r="C377" s="4">
        <f>ROUND(10000*EXP(($AB$4)+($AC$4/B377)+($AD$4/(B377^2))+($AE$4/(B377^3))),6)</f>
        <v>2736.300675</v>
      </c>
      <c r="D377" s="4">
        <f>((C377+2*$AC$5)*$AC$6)/((C377+2*$AC$5)+$AC$6)</f>
        <v>1363.9299345430591</v>
      </c>
      <c r="E377" s="4">
        <f t="shared" si="56"/>
        <v>1.3639299345430591</v>
      </c>
      <c r="F377" s="24">
        <v>9.9990399102947171E-4</v>
      </c>
      <c r="G377" s="6">
        <v>1.3616045126510552</v>
      </c>
      <c r="H377" s="2">
        <f t="shared" si="57"/>
        <v>1.7049423383928934E-3</v>
      </c>
      <c r="I377" s="5">
        <f>G377/F377</f>
        <v>1361.735251450679</v>
      </c>
      <c r="J377" s="2">
        <f>ABS(D377-I377)/I377</f>
        <v>1.6116811913637502E-3</v>
      </c>
      <c r="K377" s="1">
        <f>$AD$10*B377+$AD$11</f>
        <v>1371.2503446126502</v>
      </c>
      <c r="L377" s="2">
        <f>ABS(K377-D377)/D377</f>
        <v>5.3671452500554072E-3</v>
      </c>
      <c r="M377" s="21">
        <f>K377*F377</f>
        <v>1.3711186922787275</v>
      </c>
      <c r="N377" s="2">
        <f>ABS(M377-G377)/M377</f>
        <v>6.9389905346999873E-3</v>
      </c>
      <c r="O377" s="21">
        <f t="shared" si="58"/>
        <v>9.5141796276723145E-3</v>
      </c>
      <c r="P377" s="25">
        <f>$AD$18*B377+$AD$19</f>
        <v>3.1166666666666636</v>
      </c>
      <c r="Q377" s="25">
        <f>$AD$29*G377+$AD$30</f>
        <v>3.1504208877318067</v>
      </c>
      <c r="R377" s="25">
        <f t="shared" si="59"/>
        <v>3.3754221065143142E-2</v>
      </c>
      <c r="S377" s="26">
        <v>3.1783018998175621</v>
      </c>
      <c r="T377" s="26">
        <f t="shared" si="60"/>
        <v>6.1635233150898472E-2</v>
      </c>
      <c r="U377" s="27">
        <f t="shared" si="61"/>
        <v>1.9776010636651936E-2</v>
      </c>
      <c r="V377" s="28">
        <f t="shared" si="62"/>
        <v>58.139622797810738</v>
      </c>
      <c r="W377" s="27">
        <f t="shared" si="63"/>
        <v>1.2885414596005907E-2</v>
      </c>
      <c r="X377" s="21">
        <v>3.1828121805920606</v>
      </c>
      <c r="Y377" s="21">
        <f t="shared" si="64"/>
        <v>58.193746167104734</v>
      </c>
      <c r="Z377" s="2">
        <f t="shared" si="65"/>
        <v>1.3828330437364736E-2</v>
      </c>
    </row>
    <row r="378" spans="1:26">
      <c r="A378" s="1">
        <v>57.5</v>
      </c>
      <c r="B378" s="1">
        <f t="shared" si="55"/>
        <v>330.65</v>
      </c>
      <c r="C378" s="4">
        <f>ROUND(10000*EXP(($AB$4)+($AC$4/B378)+($AD$4/(B378^2))+($AE$4/(B378^3))),6)</f>
        <v>2726.3253890000001</v>
      </c>
      <c r="D378" s="4">
        <f>((C378+2*$AC$5)*$AC$6)/((C378+2*$AC$5)+$AC$6)</f>
        <v>1361.4828385531853</v>
      </c>
      <c r="E378" s="4">
        <f t="shared" si="56"/>
        <v>1.3614828385531852</v>
      </c>
      <c r="F378" s="24">
        <v>9.9990399102947171E-4</v>
      </c>
      <c r="G378" s="6">
        <v>1.359269309946217</v>
      </c>
      <c r="H378" s="2">
        <f t="shared" si="57"/>
        <v>1.6258218938113691E-3</v>
      </c>
      <c r="I378" s="5">
        <f>G378/F378</f>
        <v>1359.3998245239059</v>
      </c>
      <c r="J378" s="2">
        <f>ABS(D378-I378)/I378</f>
        <v>1.5323041769620151E-3</v>
      </c>
      <c r="K378" s="1">
        <f>$AD$10*B378+$AD$11</f>
        <v>1368.9012326937764</v>
      </c>
      <c r="L378" s="2">
        <f>ABS(K378-D378)/D378</f>
        <v>5.4487606677983812E-3</v>
      </c>
      <c r="M378" s="21">
        <f>K378*F378</f>
        <v>1.3687698058956705</v>
      </c>
      <c r="N378" s="2">
        <f>ABS(M378-G378)/M378</f>
        <v>6.9409011716450074E-3</v>
      </c>
      <c r="O378" s="21">
        <f t="shared" si="58"/>
        <v>9.500495949453569E-3</v>
      </c>
      <c r="P378" s="25">
        <f>$AD$18*B378+$AD$19</f>
        <v>3.125</v>
      </c>
      <c r="Q378" s="25">
        <f>$AD$29*G378+$AD$30</f>
        <v>3.1587056743782309</v>
      </c>
      <c r="R378" s="25">
        <f t="shared" si="59"/>
        <v>3.370567437823091E-2</v>
      </c>
      <c r="S378" s="26">
        <v>3.1869141542759589</v>
      </c>
      <c r="T378" s="26">
        <f t="shared" si="60"/>
        <v>6.1914154275958921E-2</v>
      </c>
      <c r="U378" s="27">
        <f t="shared" si="61"/>
        <v>1.9812529368306856E-2</v>
      </c>
      <c r="V378" s="28">
        <f t="shared" si="62"/>
        <v>58.2429698513115</v>
      </c>
      <c r="W378" s="27">
        <f t="shared" si="63"/>
        <v>1.2921214805417391E-2</v>
      </c>
      <c r="X378" s="21">
        <v>3.1913715377404119</v>
      </c>
      <c r="Y378" s="21">
        <f t="shared" si="64"/>
        <v>58.296458452884941</v>
      </c>
      <c r="Z378" s="2">
        <f t="shared" si="65"/>
        <v>1.3851451354520721E-2</v>
      </c>
    </row>
    <row r="379" spans="1:26">
      <c r="A379" s="1">
        <v>57.6</v>
      </c>
      <c r="B379" s="1">
        <f t="shared" si="55"/>
        <v>330.75</v>
      </c>
      <c r="C379" s="4">
        <f>ROUND(10000*EXP(($AB$4)+($AC$4/B379)+($AD$4/(B379^2))+($AE$4/(B379^3))),6)</f>
        <v>2716.3917900000001</v>
      </c>
      <c r="D379" s="4">
        <f>((C379+2*$AC$5)*$AC$6)/((C379+2*$AC$5)+$AC$6)</f>
        <v>1359.0370448631704</v>
      </c>
      <c r="E379" s="4">
        <f t="shared" si="56"/>
        <v>1.3590370448631703</v>
      </c>
      <c r="F379" s="24">
        <v>9.9990399102947171E-4</v>
      </c>
      <c r="G379" s="6">
        <v>1.3567680593516138</v>
      </c>
      <c r="H379" s="2">
        <f t="shared" si="57"/>
        <v>1.6695538360287779E-3</v>
      </c>
      <c r="I379" s="5">
        <f>G379/F379</f>
        <v>1356.8983337637501</v>
      </c>
      <c r="J379" s="2">
        <f>ABS(D379-I379)/I379</f>
        <v>1.5761763768166771E-3</v>
      </c>
      <c r="K379" s="1">
        <f>$AD$10*B379+$AD$11</f>
        <v>1366.5521207749016</v>
      </c>
      <c r="L379" s="2">
        <f>ABS(K379-D379)/D379</f>
        <v>5.5297064492364897E-3</v>
      </c>
      <c r="M379" s="21">
        <f>K379*F379</f>
        <v>1.3664209195126127</v>
      </c>
      <c r="N379" s="2">
        <f>ABS(M379-G379)/M379</f>
        <v>7.0643386844823301E-3</v>
      </c>
      <c r="O379" s="21">
        <f t="shared" si="58"/>
        <v>9.6528601609988662E-3</v>
      </c>
      <c r="P379" s="25">
        <f>$AD$18*B379+$AD$19</f>
        <v>3.1333333333333364</v>
      </c>
      <c r="Q379" s="25">
        <f>$AD$29*G379+$AD$30</f>
        <v>3.167579562491925</v>
      </c>
      <c r="R379" s="25">
        <f t="shared" si="59"/>
        <v>3.4246229158588548E-2</v>
      </c>
      <c r="S379" s="26">
        <v>3.1961387943909134</v>
      </c>
      <c r="T379" s="26">
        <f t="shared" si="60"/>
        <v>6.2805461057577006E-2</v>
      </c>
      <c r="U379" s="27">
        <f t="shared" si="61"/>
        <v>2.0044296082205409E-2</v>
      </c>
      <c r="V379" s="28">
        <f t="shared" si="62"/>
        <v>58.353665532690954</v>
      </c>
      <c r="W379" s="27">
        <f t="shared" si="63"/>
        <v>1.308447105366237E-2</v>
      </c>
      <c r="X379" s="21">
        <v>3.2011278327183801</v>
      </c>
      <c r="Y379" s="21">
        <f t="shared" si="64"/>
        <v>58.413533992620565</v>
      </c>
      <c r="Z379" s="2">
        <f t="shared" si="65"/>
        <v>1.4123854038551443E-2</v>
      </c>
    </row>
    <row r="380" spans="1:26">
      <c r="A380" s="1">
        <v>57.7</v>
      </c>
      <c r="B380" s="1">
        <f t="shared" si="55"/>
        <v>330.84999999999997</v>
      </c>
      <c r="C380" s="4">
        <f>ROUND(10000*EXP(($AB$4)+($AC$4/B380)+($AD$4/(B380^2))+($AE$4/(B380^3))),6)</f>
        <v>2706.4996820000001</v>
      </c>
      <c r="D380" s="4">
        <f>((C380+2*$AC$5)*$AC$6)/((C380+2*$AC$5)+$AC$6)</f>
        <v>1356.5925684688912</v>
      </c>
      <c r="E380" s="4">
        <f t="shared" si="56"/>
        <v>1.3565925684688911</v>
      </c>
      <c r="F380" s="24">
        <v>9.9990399102947171E-4</v>
      </c>
      <c r="G380" s="6">
        <v>1.3542614799601027</v>
      </c>
      <c r="H380" s="2">
        <f t="shared" si="57"/>
        <v>1.7183409101373366E-3</v>
      </c>
      <c r="I380" s="5">
        <f>G380/F380</f>
        <v>1354.3915136950247</v>
      </c>
      <c r="J380" s="2">
        <f>ABS(D380-I380)/I380</f>
        <v>1.6251244574484538E-3</v>
      </c>
      <c r="K380" s="1">
        <f>$AD$10*B380+$AD$11</f>
        <v>1364.2030088560286</v>
      </c>
      <c r="L380" s="2">
        <f>ABS(K380-D380)/D380</f>
        <v>5.6099676233129876E-3</v>
      </c>
      <c r="M380" s="21">
        <f>K380*F380</f>
        <v>1.3640720331295568</v>
      </c>
      <c r="N380" s="2">
        <f>ABS(M380-G380)/M380</f>
        <v>7.1921078441480888E-3</v>
      </c>
      <c r="O380" s="21">
        <f t="shared" si="58"/>
        <v>9.810553169454117E-3</v>
      </c>
      <c r="P380" s="25">
        <f>$AD$18*B380+$AD$19</f>
        <v>3.1416666666666657</v>
      </c>
      <c r="Q380" s="25">
        <f>$AD$29*G380+$AD$30</f>
        <v>3.1764723560074382</v>
      </c>
      <c r="R380" s="25">
        <f t="shared" si="59"/>
        <v>3.4805689340772439E-2</v>
      </c>
      <c r="S380" s="26">
        <v>3.2053830876711982</v>
      </c>
      <c r="T380" s="26">
        <f t="shared" si="60"/>
        <v>6.3716421004532453E-2</v>
      </c>
      <c r="U380" s="27">
        <f t="shared" si="61"/>
        <v>2.0281088913909541E-2</v>
      </c>
      <c r="V380" s="28">
        <f t="shared" si="62"/>
        <v>58.46459705205438</v>
      </c>
      <c r="W380" s="27">
        <f t="shared" si="63"/>
        <v>1.3251248735777764E-2</v>
      </c>
      <c r="X380" s="21">
        <v>3.2103079184446779</v>
      </c>
      <c r="Y380" s="21">
        <f t="shared" si="64"/>
        <v>58.523695021336138</v>
      </c>
      <c r="Z380" s="2">
        <f t="shared" si="65"/>
        <v>1.4275476972896627E-2</v>
      </c>
    </row>
    <row r="381" spans="1:26">
      <c r="A381" s="1">
        <v>57.8</v>
      </c>
      <c r="B381" s="1">
        <f t="shared" si="55"/>
        <v>330.95</v>
      </c>
      <c r="C381" s="4">
        <f>ROUND(10000*EXP(($AB$4)+($AC$4/B381)+($AD$4/(B381^2))+($AE$4/(B381^3))),6)</f>
        <v>2696.6488709999999</v>
      </c>
      <c r="D381" s="4">
        <f>((C381+2*$AC$5)*$AC$6)/((C381+2*$AC$5)+$AC$6)</f>
        <v>1354.149424558482</v>
      </c>
      <c r="E381" s="4">
        <f t="shared" si="56"/>
        <v>1.354149424558482</v>
      </c>
      <c r="F381" s="24">
        <v>9.9990399102947171E-4</v>
      </c>
      <c r="G381" s="6">
        <v>1.3519129425085299</v>
      </c>
      <c r="H381" s="2">
        <f t="shared" si="57"/>
        <v>1.6515770042743127E-3</v>
      </c>
      <c r="I381" s="5">
        <f>G381/F381</f>
        <v>1352.0427507411389</v>
      </c>
      <c r="J381" s="2">
        <f>ABS(D381-I381)/I381</f>
        <v>1.5581414242917307E-3</v>
      </c>
      <c r="K381" s="1">
        <f>$AD$10*B381+$AD$11</f>
        <v>1361.8538969371539</v>
      </c>
      <c r="L381" s="2">
        <f>ABS(K381-D381)/D381</f>
        <v>5.6895289684769533E-3</v>
      </c>
      <c r="M381" s="21">
        <f>K381*F381</f>
        <v>1.361723146746499</v>
      </c>
      <c r="N381" s="2">
        <f>ABS(M381-G381)/M381</f>
        <v>7.2042575331176069E-3</v>
      </c>
      <c r="O381" s="21">
        <f t="shared" si="58"/>
        <v>9.8102042379690779E-3</v>
      </c>
      <c r="P381" s="25">
        <f>$AD$18*B381+$AD$19</f>
        <v>3.1500000000000021</v>
      </c>
      <c r="Q381" s="25">
        <f>$AD$29*G381+$AD$30</f>
        <v>3.1848044514084517</v>
      </c>
      <c r="R381" s="25">
        <f t="shared" si="59"/>
        <v>3.4804451408449566E-2</v>
      </c>
      <c r="S381" s="26">
        <v>3.2140445201895216</v>
      </c>
      <c r="T381" s="26">
        <f t="shared" si="60"/>
        <v>6.4044520189519449E-2</v>
      </c>
      <c r="U381" s="27">
        <f t="shared" si="61"/>
        <v>2.0331593710958541E-2</v>
      </c>
      <c r="V381" s="28">
        <f t="shared" si="62"/>
        <v>58.568534242274261</v>
      </c>
      <c r="W381" s="27">
        <f t="shared" si="63"/>
        <v>1.3296440177755426E-2</v>
      </c>
      <c r="X381" s="21">
        <v>3.2189149194162185</v>
      </c>
      <c r="Y381" s="21">
        <f t="shared" si="64"/>
        <v>58.626979032994626</v>
      </c>
      <c r="Z381" s="2">
        <f t="shared" si="65"/>
        <v>1.4307595726550675E-2</v>
      </c>
    </row>
    <row r="382" spans="1:26">
      <c r="A382" s="1">
        <v>57.9</v>
      </c>
      <c r="B382" s="1">
        <f t="shared" si="55"/>
        <v>331.04999999999995</v>
      </c>
      <c r="C382" s="4">
        <f>ROUND(10000*EXP(($AB$4)+($AC$4/B382)+($AD$4/(B382^2))+($AE$4/(B382^3))),6)</f>
        <v>2686.8391660000002</v>
      </c>
      <c r="D382" s="4">
        <f>((C382+2*$AC$5)*$AC$6)/((C382+2*$AC$5)+$AC$6)</f>
        <v>1351.7076287672953</v>
      </c>
      <c r="E382" s="4">
        <f t="shared" si="56"/>
        <v>1.3517076287672953</v>
      </c>
      <c r="F382" s="24">
        <v>9.9990399102947171E-4</v>
      </c>
      <c r="G382" s="6">
        <v>1.3493993211362161</v>
      </c>
      <c r="H382" s="2">
        <f t="shared" si="57"/>
        <v>1.7076974206207155E-3</v>
      </c>
      <c r="I382" s="5">
        <f>G382/F382</f>
        <v>1349.5288880154526</v>
      </c>
      <c r="J382" s="2">
        <f>ABS(D382-I382)/I382</f>
        <v>1.6144454343964938E-3</v>
      </c>
      <c r="K382" s="1">
        <f>$AD$10*B382+$AD$11</f>
        <v>1359.5047850182809</v>
      </c>
      <c r="L382" s="2">
        <f>ABS(K382-D382)/D382</f>
        <v>5.768374820889567E-3</v>
      </c>
      <c r="M382" s="21">
        <f>K382*F382</f>
        <v>1.3593742603634431</v>
      </c>
      <c r="N382" s="2">
        <f>ABS(M382-G382)/M382</f>
        <v>7.337890320624524E-3</v>
      </c>
      <c r="O382" s="21">
        <f t="shared" si="58"/>
        <v>9.974939227227031E-3</v>
      </c>
      <c r="P382" s="25">
        <f>$AD$18*B382+$AD$19</f>
        <v>3.1583333333333314</v>
      </c>
      <c r="Q382" s="25">
        <f>$AD$29*G382+$AD$30</f>
        <v>3.1937222283262185</v>
      </c>
      <c r="R382" s="25">
        <f t="shared" si="59"/>
        <v>3.538889499288711E-2</v>
      </c>
      <c r="S382" s="26">
        <v>3.2233147841642587</v>
      </c>
      <c r="T382" s="26">
        <f t="shared" si="60"/>
        <v>6.4981450830927212E-2</v>
      </c>
      <c r="U382" s="27">
        <f t="shared" si="61"/>
        <v>2.0574601846203879E-2</v>
      </c>
      <c r="V382" s="28">
        <f t="shared" si="62"/>
        <v>58.679777409971102</v>
      </c>
      <c r="W382" s="27">
        <f t="shared" si="63"/>
        <v>1.3467658203300578E-2</v>
      </c>
      <c r="X382" s="21">
        <v>3.228125332230328</v>
      </c>
      <c r="Y382" s="21">
        <f t="shared" si="64"/>
        <v>58.73750398676394</v>
      </c>
      <c r="Z382" s="2">
        <f t="shared" si="65"/>
        <v>1.4464662983833188E-2</v>
      </c>
    </row>
    <row r="383" spans="1:26">
      <c r="A383" s="1">
        <v>58</v>
      </c>
      <c r="B383" s="1">
        <f t="shared" si="55"/>
        <v>331.15</v>
      </c>
      <c r="C383" s="4">
        <f>ROUND(10000*EXP(($AB$4)+($AC$4/B383)+($AD$4/(B383^2))+($AE$4/(B383^3))),6)</f>
        <v>2677.070373</v>
      </c>
      <c r="D383" s="4">
        <f>((C383+2*$AC$5)*$AC$6)/((C383+2*$AC$5)+$AC$6)</f>
        <v>1349.2671956864253</v>
      </c>
      <c r="E383" s="4">
        <f t="shared" si="56"/>
        <v>1.3492671956864253</v>
      </c>
      <c r="F383" s="24">
        <v>9.9990399102947171E-4</v>
      </c>
      <c r="G383" s="6">
        <v>1.3468804704161959</v>
      </c>
      <c r="H383" s="2">
        <f t="shared" si="57"/>
        <v>1.7689048380185419E-3</v>
      </c>
      <c r="I383" s="5">
        <f>G383/F383</f>
        <v>1347.0097954399475</v>
      </c>
      <c r="J383" s="2">
        <f>ABS(D383-I383)/I383</f>
        <v>1.6758603048914798E-3</v>
      </c>
      <c r="K383" s="1">
        <f>$AD$10*B383+$AD$11</f>
        <v>1357.1556730994062</v>
      </c>
      <c r="L383" s="2">
        <f>ABS(K383-D383)/D383</f>
        <v>5.8464901823746191E-3</v>
      </c>
      <c r="M383" s="21">
        <f>K383*F383</f>
        <v>1.3570253739803853</v>
      </c>
      <c r="N383" s="2">
        <f>ABS(M383-G383)/M383</f>
        <v>7.4758392574728943E-3</v>
      </c>
      <c r="O383" s="21">
        <f t="shared" si="58"/>
        <v>1.01449035641894E-2</v>
      </c>
      <c r="P383" s="25">
        <f>$AD$18*B383+$AD$19</f>
        <v>3.1666666666666679</v>
      </c>
      <c r="Q383" s="25">
        <f>$AD$29*G383+$AD$30</f>
        <v>3.2026585578218656</v>
      </c>
      <c r="R383" s="25">
        <f t="shared" si="59"/>
        <v>3.5991891155197742E-2</v>
      </c>
      <c r="S383" s="26">
        <v>3.2326043345088245</v>
      </c>
      <c r="T383" s="26">
        <f t="shared" si="60"/>
        <v>6.59376678421566E-2</v>
      </c>
      <c r="U383" s="27">
        <f t="shared" si="61"/>
        <v>2.082242142383892E-2</v>
      </c>
      <c r="V383" s="28">
        <f t="shared" si="62"/>
        <v>58.791252014105886</v>
      </c>
      <c r="W383" s="27">
        <f t="shared" si="63"/>
        <v>1.3642276105273902E-2</v>
      </c>
      <c r="X383" s="21">
        <v>3.2373501916698966</v>
      </c>
      <c r="Y383" s="21">
        <f t="shared" si="64"/>
        <v>58.848202300038757</v>
      </c>
      <c r="Z383" s="2">
        <f t="shared" si="65"/>
        <v>1.4624177586875122E-2</v>
      </c>
    </row>
    <row r="384" spans="1:26">
      <c r="A384" s="1">
        <v>58.1</v>
      </c>
      <c r="B384" s="1">
        <f t="shared" si="55"/>
        <v>331.25</v>
      </c>
      <c r="C384" s="4">
        <f>ROUND(10000*EXP(($AB$4)+($AC$4/B384)+($AD$4/(B384^2))+($AE$4/(B384^3))),6)</f>
        <v>2667.342302</v>
      </c>
      <c r="D384" s="4">
        <f>((C384+2*$AC$5)*$AC$6)/((C384+2*$AC$5)+$AC$6)</f>
        <v>1346.8281406040123</v>
      </c>
      <c r="E384" s="4">
        <f t="shared" si="56"/>
        <v>1.3468281406040123</v>
      </c>
      <c r="F384" s="24">
        <v>9.9990399102947171E-4</v>
      </c>
      <c r="G384" s="6">
        <v>1.3445188709198459</v>
      </c>
      <c r="H384" s="2">
        <f t="shared" si="57"/>
        <v>1.7145986295852191E-3</v>
      </c>
      <c r="I384" s="5">
        <f>G384/F384</f>
        <v>1344.6479691870904</v>
      </c>
      <c r="J384" s="2">
        <f>ABS(D384-I384)/I384</f>
        <v>1.6213696572493401E-3</v>
      </c>
      <c r="K384" s="1">
        <f>$AD$10*B384+$AD$11</f>
        <v>1354.8065611805323</v>
      </c>
      <c r="L384" s="2">
        <f>ABS(K384-D384)/D384</f>
        <v>5.9238594264461103E-3</v>
      </c>
      <c r="M384" s="21">
        <f>K384*F384</f>
        <v>1.3546764875973283</v>
      </c>
      <c r="N384" s="2">
        <f>ABS(M384-G384)/M384</f>
        <v>7.4981862979685019E-3</v>
      </c>
      <c r="O384" s="21">
        <f t="shared" si="58"/>
        <v>1.0157616677482384E-2</v>
      </c>
      <c r="P384" s="25">
        <f>$AD$18*B384+$AD$19</f>
        <v>3.1750000000000007</v>
      </c>
      <c r="Q384" s="25">
        <f>$AD$29*G384+$AD$30</f>
        <v>3.2110369944907795</v>
      </c>
      <c r="R384" s="25">
        <f t="shared" si="59"/>
        <v>3.6036994490778795E-2</v>
      </c>
      <c r="S384" s="26">
        <v>3.2413139399189812</v>
      </c>
      <c r="T384" s="26">
        <f t="shared" si="60"/>
        <v>6.6313939918980491E-2</v>
      </c>
      <c r="U384" s="27">
        <f t="shared" si="61"/>
        <v>2.0886280289442671E-2</v>
      </c>
      <c r="V384" s="28">
        <f t="shared" si="62"/>
        <v>58.895767279027773</v>
      </c>
      <c r="W384" s="27">
        <f t="shared" si="63"/>
        <v>1.3696510826639779E-2</v>
      </c>
      <c r="X384" s="21">
        <v>3.2460048509232458</v>
      </c>
      <c r="Y384" s="21">
        <f t="shared" si="64"/>
        <v>58.952058211078956</v>
      </c>
      <c r="Z384" s="2">
        <f t="shared" si="65"/>
        <v>1.4665373684663592E-2</v>
      </c>
    </row>
    <row r="385" spans="1:26">
      <c r="A385" s="1">
        <v>58.2</v>
      </c>
      <c r="B385" s="1">
        <f t="shared" si="55"/>
        <v>331.34999999999997</v>
      </c>
      <c r="C385" s="4">
        <f>ROUND(10000*EXP(($AB$4)+($AC$4/B385)+($AD$4/(B385^2))+($AE$4/(B385^3))),6)</f>
        <v>2657.6547639999999</v>
      </c>
      <c r="D385" s="4">
        <f>((C385+2*$AC$5)*$AC$6)/((C385+2*$AC$5)+$AC$6)</f>
        <v>1344.3904787637273</v>
      </c>
      <c r="E385" s="4">
        <f t="shared" si="56"/>
        <v>1.3443904787637273</v>
      </c>
      <c r="F385" s="24">
        <v>9.9990399102947171E-4</v>
      </c>
      <c r="G385" s="6">
        <v>1.3419918874264198</v>
      </c>
      <c r="H385" s="2">
        <f t="shared" si="57"/>
        <v>1.7841478165727255E-3</v>
      </c>
      <c r="I385" s="5">
        <f>G385/F385</f>
        <v>1342.1207430572854</v>
      </c>
      <c r="J385" s="2">
        <f>ABS(D385-I385)/I385</f>
        <v>1.6911561185408398E-3</v>
      </c>
      <c r="K385" s="1">
        <f>$AD$10*B385+$AD$11</f>
        <v>1352.4574492616584</v>
      </c>
      <c r="L385" s="2">
        <f>ABS(K385-D385)/D385</f>
        <v>6.000466847510974E-3</v>
      </c>
      <c r="M385" s="21">
        <f>K385*F385</f>
        <v>1.3523276012142715</v>
      </c>
      <c r="N385" s="2">
        <f>ABS(M385-G385)/M385</f>
        <v>7.6429067768572743E-3</v>
      </c>
      <c r="O385" s="21">
        <f t="shared" si="58"/>
        <v>1.0335713787851697E-2</v>
      </c>
      <c r="P385" s="25">
        <f>$AD$18*B385+$AD$19</f>
        <v>3.1833333333333336</v>
      </c>
      <c r="Q385" s="25">
        <f>$AD$29*G385+$AD$30</f>
        <v>3.2200021772814189</v>
      </c>
      <c r="R385" s="25">
        <f t="shared" si="59"/>
        <v>3.6668843948085339E-2</v>
      </c>
      <c r="S385" s="26">
        <v>3.2506334834839041</v>
      </c>
      <c r="T385" s="26">
        <f t="shared" si="60"/>
        <v>6.7300150150570559E-2</v>
      </c>
      <c r="U385" s="27">
        <f t="shared" si="61"/>
        <v>2.1141408424263E-2</v>
      </c>
      <c r="V385" s="28">
        <f t="shared" si="62"/>
        <v>59.007601801806842</v>
      </c>
      <c r="W385" s="27">
        <f t="shared" si="63"/>
        <v>1.3876319618674219E-2</v>
      </c>
      <c r="X385" s="21">
        <v>3.2552593283711344</v>
      </c>
      <c r="Y385" s="21">
        <f t="shared" si="64"/>
        <v>59.063111940453616</v>
      </c>
      <c r="Z385" s="2">
        <f t="shared" si="65"/>
        <v>1.4830102069649718E-2</v>
      </c>
    </row>
    <row r="386" spans="1:26">
      <c r="A386" s="1">
        <v>58.3</v>
      </c>
      <c r="B386" s="1">
        <f t="shared" si="55"/>
        <v>331.45</v>
      </c>
      <c r="C386" s="4">
        <f>ROUND(10000*EXP(($AB$4)+($AC$4/B386)+($AD$4/(B386^2))+($AE$4/(B386^3))),6)</f>
        <v>2648.007568</v>
      </c>
      <c r="D386" s="4">
        <f>((C386+2*$AC$5)*$AC$6)/((C386+2*$AC$5)+$AC$6)</f>
        <v>1341.9542246070098</v>
      </c>
      <c r="E386" s="4">
        <f t="shared" si="56"/>
        <v>1.3419542246070097</v>
      </c>
      <c r="F386" s="24">
        <v>9.9990399102947171E-4</v>
      </c>
      <c r="G386" s="6">
        <v>1.3396216570243487</v>
      </c>
      <c r="H386" s="2">
        <f t="shared" si="57"/>
        <v>1.7381871452017555E-3</v>
      </c>
      <c r="I386" s="5">
        <f>G386/F386</f>
        <v>1339.7502850699832</v>
      </c>
      <c r="J386" s="2">
        <f>ABS(D386-I386)/I386</f>
        <v>1.6450375578098678E-3</v>
      </c>
      <c r="K386" s="1">
        <f>$AD$10*B386+$AD$11</f>
        <v>1350.1083373427846</v>
      </c>
      <c r="L386" s="2">
        <f>ABS(K386-D386)/D386</f>
        <v>6.0762972285159081E-3</v>
      </c>
      <c r="M386" s="21">
        <f>K386*F386</f>
        <v>1.3499787148312146</v>
      </c>
      <c r="N386" s="2">
        <f>ABS(M386-G386)/M386</f>
        <v>7.6720156348249052E-3</v>
      </c>
      <c r="O386" s="21">
        <f t="shared" si="58"/>
        <v>1.035705780686591E-2</v>
      </c>
      <c r="P386" s="25">
        <f>$AD$18*B386+$AD$19</f>
        <v>3.1916666666666664</v>
      </c>
      <c r="Q386" s="25">
        <f>$AD$29*G386+$AD$30</f>
        <v>3.2284112345094469</v>
      </c>
      <c r="R386" s="25">
        <f t="shared" si="59"/>
        <v>3.6744567842780462E-2</v>
      </c>
      <c r="S386" s="26">
        <v>3.2593749199705795</v>
      </c>
      <c r="T386" s="26">
        <f t="shared" si="60"/>
        <v>6.7708253303913057E-2</v>
      </c>
      <c r="U386" s="27">
        <f t="shared" si="61"/>
        <v>2.1214074142218192E-2</v>
      </c>
      <c r="V386" s="28">
        <f t="shared" si="62"/>
        <v>59.112499039646956</v>
      </c>
      <c r="W386" s="27">
        <f t="shared" si="63"/>
        <v>1.3936518690342341E-2</v>
      </c>
      <c r="X386" s="21">
        <v>3.2639455255661001</v>
      </c>
      <c r="Y386" s="21">
        <f t="shared" si="64"/>
        <v>59.167346306793199</v>
      </c>
      <c r="Z386" s="2">
        <f t="shared" si="65"/>
        <v>1.4877295142250462E-2</v>
      </c>
    </row>
    <row r="387" spans="1:26">
      <c r="A387" s="1">
        <v>58.4</v>
      </c>
      <c r="B387" s="1">
        <f t="shared" si="55"/>
        <v>331.54999999999995</v>
      </c>
      <c r="C387" s="4">
        <f>ROUND(10000*EXP(($AB$4)+($AC$4/B387)+($AD$4/(B387^2))+($AE$4/(B387^3))),6)</f>
        <v>2638.4005269999998</v>
      </c>
      <c r="D387" s="4">
        <f>((C387+2*$AC$5)*$AC$6)/((C387+2*$AC$5)+$AC$6)</f>
        <v>1339.5193932840548</v>
      </c>
      <c r="E387" s="4">
        <f t="shared" si="56"/>
        <v>1.3395193932840548</v>
      </c>
      <c r="F387" s="24">
        <v>9.9990399102947171E-4</v>
      </c>
      <c r="G387" s="6">
        <v>1.3372457197937986</v>
      </c>
      <c r="H387" s="2">
        <f t="shared" si="57"/>
        <v>1.6973800466463659E-3</v>
      </c>
      <c r="I387" s="5">
        <f>G387/F387</f>
        <v>1337.3741197062427</v>
      </c>
      <c r="J387" s="2">
        <f>ABS(D387-I387)/I387</f>
        <v>1.6040938329831679E-3</v>
      </c>
      <c r="K387" s="1">
        <f>$AD$10*B387+$AD$11</f>
        <v>1347.7592254239107</v>
      </c>
      <c r="L387" s="2">
        <f>ABS(K387-D387)/D387</f>
        <v>6.1513347109179318E-3</v>
      </c>
      <c r="M387" s="21">
        <f>K387*F387</f>
        <v>1.3476298284481578</v>
      </c>
      <c r="N387" s="2">
        <f>ABS(M387-G387)/M387</f>
        <v>7.7054606800421562E-3</v>
      </c>
      <c r="O387" s="21">
        <f t="shared" si="58"/>
        <v>1.0384108654359236E-2</v>
      </c>
      <c r="P387" s="25">
        <f>$AD$18*B387+$AD$19</f>
        <v>3.1999999999999993</v>
      </c>
      <c r="Q387" s="25">
        <f>$AD$29*G387+$AD$30</f>
        <v>3.2368405383123333</v>
      </c>
      <c r="R387" s="25">
        <f t="shared" si="59"/>
        <v>3.6840538312334026E-2</v>
      </c>
      <c r="S387" s="26">
        <v>3.2681374033630246</v>
      </c>
      <c r="T387" s="26">
        <f t="shared" si="60"/>
        <v>6.8137403363025317E-2</v>
      </c>
      <c r="U387" s="27">
        <f t="shared" si="61"/>
        <v>2.1292938550945415E-2</v>
      </c>
      <c r="V387" s="28">
        <f t="shared" si="62"/>
        <v>59.217648840356297</v>
      </c>
      <c r="W387" s="27">
        <f t="shared" si="63"/>
        <v>1.4000836307470864E-2</v>
      </c>
      <c r="X387" s="21">
        <v>3.2732291485541976</v>
      </c>
      <c r="Y387" s="21">
        <f t="shared" si="64"/>
        <v>59.278749782650372</v>
      </c>
      <c r="Z387" s="2">
        <f t="shared" si="65"/>
        <v>1.5047085319355717E-2</v>
      </c>
    </row>
    <row r="388" spans="1:26">
      <c r="A388" s="1">
        <v>58.5</v>
      </c>
      <c r="B388" s="1">
        <f t="shared" ref="B388:B451" si="66">A388+273.15</f>
        <v>331.65</v>
      </c>
      <c r="C388" s="4">
        <f>ROUND(10000*EXP(($AB$4)+($AC$4/B388)+($AD$4/(B388^2))+($AE$4/(B388^3))),6)</f>
        <v>2628.833455</v>
      </c>
      <c r="D388" s="4">
        <f>((C388+2*$AC$5)*$AC$6)/((C388+2*$AC$5)+$AC$6)</f>
        <v>1337.0859999042539</v>
      </c>
      <c r="E388" s="4">
        <f t="shared" ref="E388:E451" si="67">D388*0.001</f>
        <v>1.3370859999042539</v>
      </c>
      <c r="F388" s="24">
        <v>9.9990399102947171E-4</v>
      </c>
      <c r="G388" s="6">
        <v>1.3347079359329372</v>
      </c>
      <c r="H388" s="2">
        <f t="shared" ref="H388:H451" si="68">ABS(E388-G388)/E388</f>
        <v>1.7785422713923922E-3</v>
      </c>
      <c r="I388" s="5">
        <f>G388/F388</f>
        <v>1334.8360921719707</v>
      </c>
      <c r="J388" s="2">
        <f>ABS(D388-I388)/I388</f>
        <v>1.6855310891558729E-3</v>
      </c>
      <c r="K388" s="1">
        <f>$AD$10*B388+$AD$11</f>
        <v>1345.4101135050369</v>
      </c>
      <c r="L388" s="2">
        <f>ABS(K388-D388)/D388</f>
        <v>6.2255633529773461E-3</v>
      </c>
      <c r="M388" s="21">
        <f>K388*F388</f>
        <v>1.3452809420651008</v>
      </c>
      <c r="N388" s="2">
        <f>ABS(M388-G388)/M388</f>
        <v>7.8593294542129623E-3</v>
      </c>
      <c r="O388" s="21">
        <f t="shared" ref="O388:O451" si="69">N388*M388</f>
        <v>1.0573006132163609E-2</v>
      </c>
      <c r="P388" s="25">
        <f>$AD$18*B388+$AD$19</f>
        <v>3.2083333333333321</v>
      </c>
      <c r="Q388" s="25">
        <f>$AD$29*G388+$AD$30</f>
        <v>3.2458440384360756</v>
      </c>
      <c r="R388" s="25">
        <f t="shared" ref="R388:R451" si="70">ABS(P388-Q388)</f>
        <v>3.7510705102743458E-2</v>
      </c>
      <c r="S388" s="26">
        <v>3.2774967784012148</v>
      </c>
      <c r="T388" s="26">
        <f t="shared" ref="T388:T451" si="71">ABS(P388-S388)</f>
        <v>6.9163445067882634E-2</v>
      </c>
      <c r="U388" s="27">
        <f t="shared" ref="U388:U451" si="72">IF(P388=0,ABS(P388-S388),ABS(P388-S388)/P388)</f>
        <v>2.1557437423755633E-2</v>
      </c>
      <c r="V388" s="28">
        <f t="shared" ref="V388:V451" si="73">(S388-$AD$21)/($AD$20)</f>
        <v>59.32996134081457</v>
      </c>
      <c r="W388" s="27">
        <f t="shared" ref="W388:W451" si="74">ABS(A388-V388)/A388</f>
        <v>1.4187373347257611E-2</v>
      </c>
      <c r="X388" s="21">
        <v>3.2819464085549006</v>
      </c>
      <c r="Y388" s="21">
        <f t="shared" ref="Y388:Y451" si="75">(X388+5/3)/(1/12)</f>
        <v>59.383356902658811</v>
      </c>
      <c r="Z388" s="2">
        <f t="shared" ref="Z388:Z451" si="76">ABS(A388-Y388)/A388</f>
        <v>1.5100117994167706E-2</v>
      </c>
    </row>
    <row r="389" spans="1:26">
      <c r="A389" s="1">
        <v>58.6</v>
      </c>
      <c r="B389" s="1">
        <f t="shared" si="66"/>
        <v>331.75</v>
      </c>
      <c r="C389" s="4">
        <f>ROUND(10000*EXP(($AB$4)+($AC$4/B389)+($AD$4/(B389^2))+($AE$4/(B389^3))),6)</f>
        <v>2619.306165</v>
      </c>
      <c r="D389" s="4">
        <f>((C389+2*$AC$5)*$AC$6)/((C389+2*$AC$5)+$AC$6)</f>
        <v>1334.6540590260381</v>
      </c>
      <c r="E389" s="4">
        <f t="shared" si="67"/>
        <v>1.3346540590260381</v>
      </c>
      <c r="F389" s="24">
        <v>9.9990399102947171E-4</v>
      </c>
      <c r="G389" s="6">
        <v>1.3323235580422952</v>
      </c>
      <c r="H389" s="2">
        <f t="shared" si="68"/>
        <v>1.746146102791279E-3</v>
      </c>
      <c r="I389" s="5">
        <f>G389/F389</f>
        <v>1332.4514853376813</v>
      </c>
      <c r="J389" s="2">
        <f>ABS(D389-I389)/I389</f>
        <v>1.6530235528977504E-3</v>
      </c>
      <c r="K389" s="1">
        <f>$AD$10*B389+$AD$11</f>
        <v>1343.0610015861621</v>
      </c>
      <c r="L389" s="2">
        <f>ABS(K389-D389)/D389</f>
        <v>6.2989675139181267E-3</v>
      </c>
      <c r="M389" s="21">
        <f>K389*F389</f>
        <v>1.3429320556820432</v>
      </c>
      <c r="N389" s="2">
        <f>ABS(M389-G389)/M389</f>
        <v>7.8995043679705914E-3</v>
      </c>
      <c r="O389" s="21">
        <f t="shared" si="69"/>
        <v>1.0608497639748025E-2</v>
      </c>
      <c r="P389" s="25">
        <f>$AD$18*B389+$AD$19</f>
        <v>3.2166666666666686</v>
      </c>
      <c r="Q389" s="25">
        <f>$AD$29*G389+$AD$30</f>
        <v>3.25430328784834</v>
      </c>
      <c r="R389" s="25">
        <f t="shared" si="70"/>
        <v>3.7636621181671437E-2</v>
      </c>
      <c r="S389" s="26">
        <v>3.2862903917139916</v>
      </c>
      <c r="T389" s="26">
        <f t="shared" si="71"/>
        <v>6.962372504732306E-2</v>
      </c>
      <c r="U389" s="27">
        <f t="shared" si="72"/>
        <v>2.1644681361862077E-2</v>
      </c>
      <c r="V389" s="28">
        <f t="shared" si="73"/>
        <v>59.435484700567898</v>
      </c>
      <c r="W389" s="27">
        <f t="shared" si="74"/>
        <v>1.4257418098428263E-2</v>
      </c>
      <c r="X389" s="21">
        <v>3.2906795601048691</v>
      </c>
      <c r="Y389" s="21">
        <f t="shared" si="75"/>
        <v>59.488154721258432</v>
      </c>
      <c r="Z389" s="2">
        <f t="shared" si="76"/>
        <v>1.5156223912259912E-2</v>
      </c>
    </row>
    <row r="390" spans="1:26">
      <c r="A390" s="1">
        <v>58.7</v>
      </c>
      <c r="B390" s="1">
        <f t="shared" si="66"/>
        <v>331.84999999999997</v>
      </c>
      <c r="C390" s="4">
        <f>ROUND(10000*EXP(($AB$4)+($AC$4/B390)+($AD$4/(B390^2))+($AE$4/(B390^3))),6)</f>
        <v>2609.818471</v>
      </c>
      <c r="D390" s="4">
        <f>((C390+2*$AC$5)*$AC$6)/((C390+2*$AC$5)+$AC$6)</f>
        <v>1332.2235851623245</v>
      </c>
      <c r="E390" s="4">
        <f t="shared" si="67"/>
        <v>1.3322235851623245</v>
      </c>
      <c r="F390" s="24">
        <v>9.9990399102947171E-4</v>
      </c>
      <c r="G390" s="6">
        <v>1.3297779643282173</v>
      </c>
      <c r="H390" s="2">
        <f t="shared" si="68"/>
        <v>1.8357435353535485E-3</v>
      </c>
      <c r="I390" s="5">
        <f>G390/F390</f>
        <v>1329.9056472003047</v>
      </c>
      <c r="J390" s="2">
        <f>ABS(D390-I390)/I390</f>
        <v>1.7429341449143804E-3</v>
      </c>
      <c r="K390" s="1">
        <f>$AD$10*B390+$AD$11</f>
        <v>1340.7118896672891</v>
      </c>
      <c r="L390" s="2">
        <f>ABS(K390-D390)/D390</f>
        <v>6.3715314752743708E-3</v>
      </c>
      <c r="M390" s="21">
        <f>K390*F390</f>
        <v>1.3405831692989871</v>
      </c>
      <c r="N390" s="2">
        <f>ABS(M390-G390)/M390</f>
        <v>8.0600780453032872E-3</v>
      </c>
      <c r="O390" s="21">
        <f t="shared" si="69"/>
        <v>1.0805204970769866E-2</v>
      </c>
      <c r="P390" s="25">
        <f>$AD$18*B390+$AD$19</f>
        <v>3.2249999999999979</v>
      </c>
      <c r="Q390" s="25">
        <f>$AD$29*G390+$AD$30</f>
        <v>3.263334495617122</v>
      </c>
      <c r="R390" s="25">
        <f t="shared" si="70"/>
        <v>3.8334495617124098E-2</v>
      </c>
      <c r="S390" s="26">
        <v>3.295678570625304</v>
      </c>
      <c r="T390" s="26">
        <f t="shared" si="71"/>
        <v>7.0678570625306136E-2</v>
      </c>
      <c r="U390" s="27">
        <f t="shared" si="72"/>
        <v>2.1915835852808117E-2</v>
      </c>
      <c r="V390" s="28">
        <f t="shared" si="73"/>
        <v>59.548142847503641</v>
      </c>
      <c r="W390" s="27">
        <f t="shared" si="74"/>
        <v>1.444877082629707E-2</v>
      </c>
      <c r="X390" s="21">
        <v>3.3005846247634762</v>
      </c>
      <c r="Y390" s="21">
        <f t="shared" si="75"/>
        <v>59.607015497161719</v>
      </c>
      <c r="Z390" s="2">
        <f t="shared" si="76"/>
        <v>1.5451712047047967E-2</v>
      </c>
    </row>
    <row r="391" spans="1:26">
      <c r="A391" s="1">
        <v>58.8</v>
      </c>
      <c r="B391" s="1">
        <f t="shared" si="66"/>
        <v>331.95</v>
      </c>
      <c r="C391" s="4">
        <f>ROUND(10000*EXP(($AB$4)+($AC$4/B391)+($AD$4/(B391^2))+($AE$4/(B391^3))),6)</f>
        <v>2600.3701900000001</v>
      </c>
      <c r="D391" s="4">
        <f>((C391+2*$AC$5)*$AC$6)/((C391+2*$AC$5)+$AC$6)</f>
        <v>1329.7945932969001</v>
      </c>
      <c r="E391" s="4">
        <f t="shared" si="67"/>
        <v>1.3297945932969002</v>
      </c>
      <c r="F391" s="24">
        <v>9.9990399102947171E-4</v>
      </c>
      <c r="G391" s="6">
        <v>1.327543146314675</v>
      </c>
      <c r="H391" s="2">
        <f t="shared" si="68"/>
        <v>1.6930787608658599E-3</v>
      </c>
      <c r="I391" s="5">
        <f>G391/F391</f>
        <v>1327.6706146035838</v>
      </c>
      <c r="J391" s="2">
        <f>ABS(D391-I391)/I391</f>
        <v>1.5997783410687909E-3</v>
      </c>
      <c r="K391" s="1">
        <f>$AD$10*B391+$AD$11</f>
        <v>1338.3627777484144</v>
      </c>
      <c r="L391" s="2">
        <f>ABS(K391-D391)/D391</f>
        <v>6.4432390496276448E-3</v>
      </c>
      <c r="M391" s="21">
        <f>K391*F391</f>
        <v>1.3382342829159293</v>
      </c>
      <c r="N391" s="2">
        <f>ABS(M391-G391)/M391</f>
        <v>7.9889872332062749E-3</v>
      </c>
      <c r="O391" s="21">
        <f t="shared" si="69"/>
        <v>1.0691136601254312E-2</v>
      </c>
      <c r="P391" s="25">
        <f>$AD$18*B391+$AD$19</f>
        <v>3.2333333333333343</v>
      </c>
      <c r="Q391" s="25">
        <f>$AD$29*G391+$AD$30</f>
        <v>3.271263139412123</v>
      </c>
      <c r="R391" s="25">
        <f t="shared" si="70"/>
        <v>3.7929806078788708E-2</v>
      </c>
      <c r="S391" s="26">
        <v>3.3039206040308056</v>
      </c>
      <c r="T391" s="26">
        <f t="shared" si="71"/>
        <v>7.0587270697471283E-2</v>
      </c>
      <c r="U391" s="27">
        <f t="shared" si="72"/>
        <v>2.1831114648702452E-2</v>
      </c>
      <c r="V391" s="28">
        <f t="shared" si="73"/>
        <v>59.64704724836966</v>
      </c>
      <c r="W391" s="27">
        <f t="shared" si="74"/>
        <v>1.4405565448463649E-2</v>
      </c>
      <c r="X391" s="21">
        <v>3.3093470519507711</v>
      </c>
      <c r="Y391" s="21">
        <f t="shared" si="75"/>
        <v>59.712164623409251</v>
      </c>
      <c r="Z391" s="2">
        <f t="shared" si="76"/>
        <v>1.5513003799477105E-2</v>
      </c>
    </row>
    <row r="392" spans="1:26">
      <c r="A392" s="1">
        <v>58.9</v>
      </c>
      <c r="B392" s="1">
        <f t="shared" si="66"/>
        <v>332.04999999999995</v>
      </c>
      <c r="C392" s="4">
        <f>ROUND(10000*EXP(($AB$4)+($AC$4/B392)+($AD$4/(B392^2))+($AE$4/(B392^3))),6)</f>
        <v>2590.961139</v>
      </c>
      <c r="D392" s="4">
        <f>((C392+2*$AC$5)*$AC$6)/((C392+2*$AC$5)+$AC$6)</f>
        <v>1327.3670981195255</v>
      </c>
      <c r="E392" s="4">
        <f t="shared" si="67"/>
        <v>1.3273670981195256</v>
      </c>
      <c r="F392" s="24">
        <v>9.9990399102947171E-4</v>
      </c>
      <c r="G392" s="6">
        <v>1.3251446092212915</v>
      </c>
      <c r="H392" s="2">
        <f t="shared" si="68"/>
        <v>1.6743588878936763E-3</v>
      </c>
      <c r="I392" s="5">
        <f>G392/F392</f>
        <v>1325.2718472070119</v>
      </c>
      <c r="J392" s="2">
        <f>ABS(D392-I392)/I392</f>
        <v>1.58099707386777E-3</v>
      </c>
      <c r="K392" s="1">
        <f>$AD$10*B392+$AD$11</f>
        <v>1336.0136658295414</v>
      </c>
      <c r="L392" s="2">
        <f>ABS(K392-D392)/D392</f>
        <v>6.514074156475225E-3</v>
      </c>
      <c r="M392" s="21">
        <f>K392*F392</f>
        <v>1.3358853965328734</v>
      </c>
      <c r="N392" s="2">
        <f>ABS(M392-G392)/M392</f>
        <v>8.0402011575680787E-3</v>
      </c>
      <c r="O392" s="21">
        <f t="shared" si="69"/>
        <v>1.0740787311581901E-2</v>
      </c>
      <c r="P392" s="25">
        <f>$AD$18*B392+$AD$19</f>
        <v>3.2416666666666636</v>
      </c>
      <c r="Q392" s="25">
        <f>$AD$29*G392+$AD$30</f>
        <v>3.27977262256793</v>
      </c>
      <c r="R392" s="25">
        <f t="shared" si="70"/>
        <v>3.810595590126642E-2</v>
      </c>
      <c r="S392" s="26">
        <v>3.3127664360444675</v>
      </c>
      <c r="T392" s="26">
        <f t="shared" si="71"/>
        <v>7.1099769377803934E-2</v>
      </c>
      <c r="U392" s="27">
        <f t="shared" si="72"/>
        <v>2.1933090810633625E-2</v>
      </c>
      <c r="V392" s="28">
        <f t="shared" si="73"/>
        <v>59.753197232533608</v>
      </c>
      <c r="W392" s="27">
        <f t="shared" si="74"/>
        <v>1.4485521774764176E-2</v>
      </c>
      <c r="X392" s="21">
        <v>3.3175490907530567</v>
      </c>
      <c r="Y392" s="21">
        <f t="shared" si="75"/>
        <v>59.810589089036682</v>
      </c>
      <c r="Z392" s="2">
        <f t="shared" si="76"/>
        <v>1.5459916622015003E-2</v>
      </c>
    </row>
    <row r="393" spans="1:26">
      <c r="A393" s="1">
        <v>59</v>
      </c>
      <c r="B393" s="1">
        <f t="shared" si="66"/>
        <v>332.15</v>
      </c>
      <c r="C393" s="4">
        <f>ROUND(10000*EXP(($AB$4)+($AC$4/B393)+($AD$4/(B393^2))+($AE$4/(B393^3))),6)</f>
        <v>2581.5911350000001</v>
      </c>
      <c r="D393" s="4">
        <f>((C393+2*$AC$5)*$AC$6)/((C393+2*$AC$5)+$AC$6)</f>
        <v>1324.9411140227432</v>
      </c>
      <c r="E393" s="4">
        <f t="shared" si="67"/>
        <v>1.3249411140227432</v>
      </c>
      <c r="F393" s="24">
        <v>9.9990399102947171E-4</v>
      </c>
      <c r="G393" s="6">
        <v>1.3227431258488427</v>
      </c>
      <c r="H393" s="2">
        <f t="shared" si="68"/>
        <v>1.6589327258681172E-3</v>
      </c>
      <c r="I393" s="5">
        <f>G393/F393</f>
        <v>1322.8701332484784</v>
      </c>
      <c r="J393" s="2">
        <f>ABS(D393-I393)/I393</f>
        <v>1.5655208491095743E-3</v>
      </c>
      <c r="K393" s="1">
        <f>$AD$10*B393+$AD$11</f>
        <v>1333.6645539106667</v>
      </c>
      <c r="L393" s="2">
        <f>ABS(K393-D393)/D393</f>
        <v>6.5840208259803938E-3</v>
      </c>
      <c r="M393" s="21">
        <f>K393*F393</f>
        <v>1.3335365101498156</v>
      </c>
      <c r="N393" s="2">
        <f>ABS(M393-G393)/M393</f>
        <v>8.0938048705995278E-3</v>
      </c>
      <c r="O393" s="21">
        <f t="shared" si="69"/>
        <v>1.0793384300972873E-2</v>
      </c>
      <c r="P393" s="25">
        <f>$AD$18*B393+$AD$19</f>
        <v>3.25</v>
      </c>
      <c r="Q393" s="25">
        <f>$AD$29*G393+$AD$30</f>
        <v>3.2882925584751872</v>
      </c>
      <c r="R393" s="25">
        <f t="shared" si="70"/>
        <v>3.8292558475187199E-2</v>
      </c>
      <c r="S393" s="26">
        <v>3.3216231334877291</v>
      </c>
      <c r="T393" s="26">
        <f t="shared" si="71"/>
        <v>7.1623133487729085E-2</v>
      </c>
      <c r="U393" s="27">
        <f t="shared" si="72"/>
        <v>2.2037887226993565E-2</v>
      </c>
      <c r="V393" s="28">
        <f t="shared" si="73"/>
        <v>59.859477601852753</v>
      </c>
      <c r="W393" s="27">
        <f t="shared" si="74"/>
        <v>1.4567416980555128E-2</v>
      </c>
      <c r="X393" s="21">
        <v>3.3263435416829235</v>
      </c>
      <c r="Y393" s="21">
        <f t="shared" si="75"/>
        <v>59.91612250019508</v>
      </c>
      <c r="Z393" s="2">
        <f t="shared" si="76"/>
        <v>1.5527500003306435E-2</v>
      </c>
    </row>
    <row r="394" spans="1:26">
      <c r="A394" s="1">
        <v>59.1</v>
      </c>
      <c r="B394" s="1">
        <f t="shared" si="66"/>
        <v>332.25</v>
      </c>
      <c r="C394" s="4">
        <f>ROUND(10000*EXP(($AB$4)+($AC$4/B394)+($AD$4/(B394^2))+($AE$4/(B394^3))),6)</f>
        <v>2572.2599970000001</v>
      </c>
      <c r="D394" s="4">
        <f>((C394+2*$AC$5)*$AC$6)/((C394+2*$AC$5)+$AC$6)</f>
        <v>1322.5166556192535</v>
      </c>
      <c r="E394" s="4">
        <f t="shared" si="67"/>
        <v>1.3225166556192536</v>
      </c>
      <c r="F394" s="24">
        <v>9.9990399102947171E-4</v>
      </c>
      <c r="G394" s="6">
        <v>1.3201817389354455</v>
      </c>
      <c r="H394" s="2">
        <f t="shared" si="68"/>
        <v>1.7655102292188009E-3</v>
      </c>
      <c r="I394" s="5">
        <f>G394/F394</f>
        <v>1320.3085003953483</v>
      </c>
      <c r="J394" s="2">
        <f>ABS(D394-I394)/I394</f>
        <v>1.6724539933234705E-3</v>
      </c>
      <c r="K394" s="1">
        <f>$AD$10*B394+$AD$11</f>
        <v>1331.3154419917928</v>
      </c>
      <c r="L394" s="2">
        <f>ABS(K394-D394)/D394</f>
        <v>6.6530628065469563E-3</v>
      </c>
      <c r="M394" s="21">
        <f>K394*F394</f>
        <v>1.3311876237667588</v>
      </c>
      <c r="N394" s="2">
        <f>ABS(M394-G394)/M394</f>
        <v>8.2677187158416935E-3</v>
      </c>
      <c r="O394" s="21">
        <f t="shared" si="69"/>
        <v>1.1005884831313262E-2</v>
      </c>
      <c r="P394" s="25">
        <f>$AD$18*B394+$AD$19</f>
        <v>3.2583333333333364</v>
      </c>
      <c r="Q394" s="25">
        <f>$AD$29*G394+$AD$30</f>
        <v>3.297379797048726</v>
      </c>
      <c r="R394" s="25">
        <f t="shared" si="70"/>
        <v>3.9046463715389557E-2</v>
      </c>
      <c r="S394" s="26">
        <v>3.3310695578228815</v>
      </c>
      <c r="T394" s="26">
        <f t="shared" si="71"/>
        <v>7.2736224489545087E-2</v>
      </c>
      <c r="U394" s="27">
        <f t="shared" si="72"/>
        <v>2.2323137950755505E-2</v>
      </c>
      <c r="V394" s="28">
        <f t="shared" si="73"/>
        <v>59.972834693874582</v>
      </c>
      <c r="W394" s="27">
        <f t="shared" si="74"/>
        <v>1.4768776546101186E-2</v>
      </c>
      <c r="X394" s="21">
        <v>3.3357270670114505</v>
      </c>
      <c r="Y394" s="21">
        <f t="shared" si="75"/>
        <v>60.028724804137404</v>
      </c>
      <c r="Z394" s="2">
        <f t="shared" si="76"/>
        <v>1.5714463690988202E-2</v>
      </c>
    </row>
    <row r="395" spans="1:26">
      <c r="A395" s="1">
        <v>59.2</v>
      </c>
      <c r="B395" s="1">
        <f t="shared" si="66"/>
        <v>332.34999999999997</v>
      </c>
      <c r="C395" s="4">
        <f>ROUND(10000*EXP(($AB$4)+($AC$4/B395)+($AD$4/(B395^2))+($AE$4/(B395^3))),6)</f>
        <v>2562.9675440000001</v>
      </c>
      <c r="D395" s="4">
        <f>((C395+2*$AC$5)*$AC$6)/((C395+2*$AC$5)+$AC$6)</f>
        <v>1320.0937372255037</v>
      </c>
      <c r="E395" s="4">
        <f t="shared" si="67"/>
        <v>1.3200937372255037</v>
      </c>
      <c r="F395" s="24">
        <v>9.9990399102947171E-4</v>
      </c>
      <c r="G395" s="6">
        <v>1.3177722004624051</v>
      </c>
      <c r="H395" s="2">
        <f t="shared" si="68"/>
        <v>1.7586150874239611E-3</v>
      </c>
      <c r="I395" s="5">
        <f>G395/F395</f>
        <v>1317.898730562787</v>
      </c>
      <c r="J395" s="2">
        <f>ABS(D395-I395)/I395</f>
        <v>1.6655351521427668E-3</v>
      </c>
      <c r="K395" s="1">
        <f>$AD$10*B395+$AD$11</f>
        <v>1328.9663300729189</v>
      </c>
      <c r="L395" s="2">
        <f>ABS(K395-D395)/D395</f>
        <v>6.7211839562720472E-3</v>
      </c>
      <c r="M395" s="21">
        <f>K395*F395</f>
        <v>1.3288387373837018</v>
      </c>
      <c r="N395" s="2">
        <f>ABS(M395-G395)/M395</f>
        <v>8.3279758558854507E-3</v>
      </c>
      <c r="O395" s="21">
        <f t="shared" si="69"/>
        <v>1.1066536921296777E-2</v>
      </c>
      <c r="P395" s="25">
        <f>$AD$18*B395+$AD$19</f>
        <v>3.2666666666666657</v>
      </c>
      <c r="Q395" s="25">
        <f>$AD$29*G395+$AD$30</f>
        <v>3.3059283106848794</v>
      </c>
      <c r="R395" s="25">
        <f t="shared" si="70"/>
        <v>3.9261644018213637E-2</v>
      </c>
      <c r="S395" s="26">
        <v>3.3399559630079132</v>
      </c>
      <c r="T395" s="26">
        <f t="shared" si="71"/>
        <v>7.3289296341247478E-2</v>
      </c>
      <c r="U395" s="27">
        <f t="shared" si="72"/>
        <v>2.2435498879973724E-2</v>
      </c>
      <c r="V395" s="28">
        <f t="shared" si="73"/>
        <v>60.079471556094951</v>
      </c>
      <c r="W395" s="27">
        <f t="shared" si="74"/>
        <v>1.4855938447549804E-2</v>
      </c>
      <c r="X395" s="21">
        <v>3.3445509197426269</v>
      </c>
      <c r="Y395" s="21">
        <f t="shared" si="75"/>
        <v>60.134611036911529</v>
      </c>
      <c r="Z395" s="2">
        <f t="shared" si="76"/>
        <v>1.5787348596478488E-2</v>
      </c>
    </row>
    <row r="396" spans="1:26">
      <c r="A396" s="1">
        <v>59.3</v>
      </c>
      <c r="B396" s="1">
        <f t="shared" si="66"/>
        <v>332.45</v>
      </c>
      <c r="C396" s="4">
        <f>ROUND(10000*EXP(($AB$4)+($AC$4/B396)+($AD$4/(B396^2))+($AE$4/(B396^3))),6)</f>
        <v>2553.7135979999998</v>
      </c>
      <c r="D396" s="4">
        <f>((C396+2*$AC$5)*$AC$6)/((C396+2*$AC$5)+$AC$6)</f>
        <v>1317.6723736448912</v>
      </c>
      <c r="E396" s="4">
        <f t="shared" si="67"/>
        <v>1.3176723736448912</v>
      </c>
      <c r="F396" s="24">
        <v>9.9990399102947171E-4</v>
      </c>
      <c r="G396" s="6">
        <v>1.3153585327432582</v>
      </c>
      <c r="H396" s="2">
        <f t="shared" si="68"/>
        <v>1.7560062333496075E-3</v>
      </c>
      <c r="I396" s="5">
        <f>G396/F396</f>
        <v>1315.4848310876364</v>
      </c>
      <c r="J396" s="2">
        <f>ABS(D396-I396)/I396</f>
        <v>1.6629173560641908E-3</v>
      </c>
      <c r="K396" s="1">
        <f>$AD$10*B396+$AD$11</f>
        <v>1326.6172181540451</v>
      </c>
      <c r="L396" s="2">
        <f>ABS(K396-D396)/D396</f>
        <v>6.7883676459050439E-3</v>
      </c>
      <c r="M396" s="21">
        <f>K396*F396</f>
        <v>1.3264898510006451</v>
      </c>
      <c r="N396" s="2">
        <f>ABS(M396-G396)/M396</f>
        <v>8.3915593089460266E-3</v>
      </c>
      <c r="O396" s="21">
        <f t="shared" si="69"/>
        <v>1.1131318257386891E-2</v>
      </c>
      <c r="P396" s="25">
        <f>$AD$18*B396+$AD$19</f>
        <v>3.2750000000000021</v>
      </c>
      <c r="Q396" s="25">
        <f>$AD$29*G396+$AD$30</f>
        <v>3.3144914739798965</v>
      </c>
      <c r="R396" s="25">
        <f t="shared" si="70"/>
        <v>3.9491473979894387E-2</v>
      </c>
      <c r="S396" s="26">
        <v>3.3488575970555079</v>
      </c>
      <c r="T396" s="26">
        <f t="shared" si="71"/>
        <v>7.3857597055505764E-2</v>
      </c>
      <c r="U396" s="27">
        <f t="shared" si="72"/>
        <v>2.2551938032215484E-2</v>
      </c>
      <c r="V396" s="28">
        <f t="shared" si="73"/>
        <v>60.186291164666088</v>
      </c>
      <c r="W396" s="27">
        <f t="shared" si="74"/>
        <v>1.4945888105667632E-2</v>
      </c>
      <c r="X396" s="21">
        <v>3.3533898315863406</v>
      </c>
      <c r="Y396" s="21">
        <f t="shared" si="75"/>
        <v>60.240677979036086</v>
      </c>
      <c r="Z396" s="2">
        <f t="shared" si="76"/>
        <v>1.5863035059630499E-2</v>
      </c>
    </row>
    <row r="397" spans="1:26">
      <c r="A397" s="1">
        <v>59.4</v>
      </c>
      <c r="B397" s="1">
        <f t="shared" si="66"/>
        <v>332.54999999999995</v>
      </c>
      <c r="C397" s="4">
        <f>ROUND(10000*EXP(($AB$4)+($AC$4/B397)+($AD$4/(B397^2))+($AE$4/(B397^3))),6)</f>
        <v>2544.4979779999999</v>
      </c>
      <c r="D397" s="4">
        <f>((C397+2*$AC$5)*$AC$6)/((C397+2*$AC$5)+$AC$6)</f>
        <v>1315.2525786001927</v>
      </c>
      <c r="E397" s="4">
        <f t="shared" si="67"/>
        <v>1.3152525786001927</v>
      </c>
      <c r="F397" s="24">
        <v>9.9990399102947171E-4</v>
      </c>
      <c r="G397" s="6">
        <v>1.3129407676572553</v>
      </c>
      <c r="H397" s="2">
        <f t="shared" si="68"/>
        <v>1.75769352636271E-3</v>
      </c>
      <c r="I397" s="5">
        <f>G397/F397</f>
        <v>1313.0668338522082</v>
      </c>
      <c r="J397" s="2">
        <f>ABS(D397-I397)/I397</f>
        <v>1.6646104308126086E-3</v>
      </c>
      <c r="K397" s="1">
        <f>$AD$10*B397+$AD$11</f>
        <v>1324.2681062351721</v>
      </c>
      <c r="L397" s="2">
        <f>ABS(K397-D397)/D397</f>
        <v>6.8545979545423519E-3</v>
      </c>
      <c r="M397" s="21">
        <f>K397*F397</f>
        <v>1.324140964617589</v>
      </c>
      <c r="N397" s="2">
        <f>ABS(M397-G397)/M397</f>
        <v>8.4584627011885447E-3</v>
      </c>
      <c r="O397" s="21">
        <f t="shared" si="69"/>
        <v>1.1200196960333697E-2</v>
      </c>
      <c r="P397" s="25">
        <f>$AD$18*B397+$AD$19</f>
        <v>3.2833333333333314</v>
      </c>
      <c r="Q397" s="25">
        <f>$AD$29*G397+$AD$30</f>
        <v>3.3230691738331926</v>
      </c>
      <c r="R397" s="25">
        <f t="shared" si="70"/>
        <v>3.9735840499861119E-2</v>
      </c>
      <c r="S397" s="26">
        <v>3.3577743412323966</v>
      </c>
      <c r="T397" s="26">
        <f t="shared" si="71"/>
        <v>7.4441007899065159E-2</v>
      </c>
      <c r="U397" s="27">
        <f t="shared" si="72"/>
        <v>2.2672388192608691E-2</v>
      </c>
      <c r="V397" s="28">
        <f t="shared" si="73"/>
        <v>60.293292094788761</v>
      </c>
      <c r="W397" s="27">
        <f t="shared" si="74"/>
        <v>1.5038587454356269E-2</v>
      </c>
      <c r="X397" s="21">
        <v>3.3622436835188023</v>
      </c>
      <c r="Y397" s="21">
        <f t="shared" si="75"/>
        <v>60.34692420222563</v>
      </c>
      <c r="Z397" s="2">
        <f t="shared" si="76"/>
        <v>1.5941484885953386E-2</v>
      </c>
    </row>
    <row r="398" spans="1:26">
      <c r="A398" s="1">
        <v>59.5</v>
      </c>
      <c r="B398" s="1">
        <f t="shared" si="66"/>
        <v>332.65</v>
      </c>
      <c r="C398" s="4">
        <f>ROUND(10000*EXP(($AB$4)+($AC$4/B398)+($AD$4/(B398^2))+($AE$4/(B398^3))),6)</f>
        <v>2535.3205090000001</v>
      </c>
      <c r="D398" s="4">
        <f>((C398+2*$AC$5)*$AC$6)/((C398+2*$AC$5)+$AC$6)</f>
        <v>1312.8343670922623</v>
      </c>
      <c r="E398" s="4">
        <f t="shared" si="67"/>
        <v>1.3128343670922622</v>
      </c>
      <c r="F398" s="24">
        <v>9.9990399102947171E-4</v>
      </c>
      <c r="G398" s="6">
        <v>1.3105189376005408</v>
      </c>
      <c r="H398" s="2">
        <f t="shared" si="68"/>
        <v>1.7636874458502381E-3</v>
      </c>
      <c r="I398" s="5">
        <f>G398/F398</f>
        <v>1310.6447712557574</v>
      </c>
      <c r="J398" s="2">
        <f>ABS(D398-I398)/I398</f>
        <v>1.6706249355475248E-3</v>
      </c>
      <c r="K398" s="1">
        <f>$AD$10*B398+$AD$11</f>
        <v>1321.9189943162974</v>
      </c>
      <c r="L398" s="2">
        <f>ABS(K398-D398)/D398</f>
        <v>6.9198578676426901E-3</v>
      </c>
      <c r="M398" s="21">
        <f>K398*F398</f>
        <v>1.3217920782345312</v>
      </c>
      <c r="N398" s="2">
        <f>ABS(M398-G398)/M398</f>
        <v>8.5286792224140411E-3</v>
      </c>
      <c r="O398" s="21">
        <f t="shared" si="69"/>
        <v>1.1273140633990321E-2</v>
      </c>
      <c r="P398" s="25">
        <f>$AD$18*B398+$AD$19</f>
        <v>3.2916666666666679</v>
      </c>
      <c r="Q398" s="25">
        <f>$AD$29*G398+$AD$30</f>
        <v>3.3316612953103588</v>
      </c>
      <c r="R398" s="25">
        <f t="shared" si="70"/>
        <v>3.9994628643690966E-2</v>
      </c>
      <c r="S398" s="26">
        <v>3.3667060778493352</v>
      </c>
      <c r="T398" s="26">
        <f t="shared" si="71"/>
        <v>7.5039411182667326E-2</v>
      </c>
      <c r="U398" s="27">
        <f t="shared" si="72"/>
        <v>2.2796783144101457E-2</v>
      </c>
      <c r="V398" s="28">
        <f t="shared" si="73"/>
        <v>60.400472934192024</v>
      </c>
      <c r="W398" s="27">
        <f t="shared" si="74"/>
        <v>1.5133998893983595E-2</v>
      </c>
      <c r="X398" s="21">
        <v>3.3711123568478181</v>
      </c>
      <c r="Y398" s="21">
        <f t="shared" si="75"/>
        <v>60.45334828217382</v>
      </c>
      <c r="Z398" s="2">
        <f t="shared" si="76"/>
        <v>1.6022660204602024E-2</v>
      </c>
    </row>
    <row r="399" spans="1:26">
      <c r="A399" s="1">
        <v>59.6</v>
      </c>
      <c r="B399" s="1">
        <f t="shared" si="66"/>
        <v>332.75</v>
      </c>
      <c r="C399" s="4">
        <f>ROUND(10000*EXP(($AB$4)+($AC$4/B399)+($AD$4/(B399^2))+($AE$4/(B399^3))),6)</f>
        <v>2526.1810129999999</v>
      </c>
      <c r="D399" s="4">
        <f>((C399+2*$AC$5)*$AC$6)/((C399+2*$AC$5)+$AC$6)</f>
        <v>1310.4177530406537</v>
      </c>
      <c r="E399" s="4">
        <f t="shared" si="67"/>
        <v>1.3104177530406538</v>
      </c>
      <c r="F399" s="24">
        <v>9.9990399102947171E-4</v>
      </c>
      <c r="G399" s="6">
        <v>1.3080930747657207</v>
      </c>
      <c r="H399" s="2">
        <f t="shared" si="68"/>
        <v>1.7739978488073651E-3</v>
      </c>
      <c r="I399" s="5">
        <f>G399/F399</f>
        <v>1308.2186754939808</v>
      </c>
      <c r="J399" s="2">
        <f>ABS(D399-I399)/I399</f>
        <v>1.6809709170697762E-3</v>
      </c>
      <c r="K399" s="1">
        <f>$AD$10*B399+$AD$11</f>
        <v>1319.5698823974226</v>
      </c>
      <c r="L399" s="2">
        <f>ABS(K399-D399)/D399</f>
        <v>6.9841310799800948E-3</v>
      </c>
      <c r="M399" s="21">
        <f>K399*F399</f>
        <v>1.3194431918514735</v>
      </c>
      <c r="N399" s="2">
        <f>ABS(M399-G399)/M399</f>
        <v>8.6022021681934572E-3</v>
      </c>
      <c r="O399" s="21">
        <f t="shared" si="69"/>
        <v>1.135011708575284E-2</v>
      </c>
      <c r="P399" s="25">
        <f>$AD$18*B399+$AD$19</f>
        <v>3.3000000000000007</v>
      </c>
      <c r="Q399" s="25">
        <f>$AD$29*G399+$AD$30</f>
        <v>3.3402677241990952</v>
      </c>
      <c r="R399" s="25">
        <f t="shared" si="70"/>
        <v>4.0267724199094523E-2</v>
      </c>
      <c r="S399" s="26">
        <v>3.3756526880585134</v>
      </c>
      <c r="T399" s="26">
        <f t="shared" si="71"/>
        <v>7.5652688058512663E-2</v>
      </c>
      <c r="U399" s="27">
        <f t="shared" si="72"/>
        <v>2.2925056987428076E-2</v>
      </c>
      <c r="V399" s="28">
        <f t="shared" si="73"/>
        <v>60.507832256702159</v>
      </c>
      <c r="W399" s="27">
        <f t="shared" si="74"/>
        <v>1.5232084843995927E-2</v>
      </c>
      <c r="X399" s="21">
        <v>3.3799957331145012</v>
      </c>
      <c r="Y399" s="21">
        <f t="shared" si="75"/>
        <v>60.559948797374012</v>
      </c>
      <c r="Z399" s="2">
        <f t="shared" si="76"/>
        <v>1.610652344587267E-2</v>
      </c>
    </row>
    <row r="400" spans="1:26">
      <c r="A400" s="1">
        <v>59.7</v>
      </c>
      <c r="B400" s="1">
        <f t="shared" si="66"/>
        <v>332.84999999999997</v>
      </c>
      <c r="C400" s="4">
        <f>ROUND(10000*EXP(($AB$4)+($AC$4/B400)+($AD$4/(B400^2))+($AE$4/(B400^3))),6)</f>
        <v>2517.0793130000002</v>
      </c>
      <c r="D400" s="4">
        <f>((C400+2*$AC$5)*$AC$6)/((C400+2*$AC$5)+$AC$6)</f>
        <v>1308.0027503299339</v>
      </c>
      <c r="E400" s="4">
        <f t="shared" si="67"/>
        <v>1.3080027503299338</v>
      </c>
      <c r="F400" s="24">
        <v>9.9990399102947171E-4</v>
      </c>
      <c r="G400" s="6">
        <v>1.3056632108581121</v>
      </c>
      <c r="H400" s="2">
        <f t="shared" si="68"/>
        <v>1.7886349789643934E-3</v>
      </c>
      <c r="I400" s="5">
        <f>G400/F400</f>
        <v>1305.7885782752398</v>
      </c>
      <c r="J400" s="2">
        <f>ABS(D400-I400)/I400</f>
        <v>1.6956589232987645E-3</v>
      </c>
      <c r="K400" s="1">
        <f>$AD$10*B400+$AD$11</f>
        <v>1317.2207704785496</v>
      </c>
      <c r="L400" s="2">
        <f>ABS(K400-D400)/D400</f>
        <v>7.0474011971997782E-3</v>
      </c>
      <c r="M400" s="21">
        <f>K400*F400</f>
        <v>1.3170943054684174</v>
      </c>
      <c r="N400" s="2">
        <f>ABS(M400-G400)/M400</f>
        <v>8.6790251562434105E-3</v>
      </c>
      <c r="O400" s="21">
        <f t="shared" si="69"/>
        <v>1.1431094610305339E-2</v>
      </c>
      <c r="P400" s="25">
        <f>$AD$18*B400+$AD$19</f>
        <v>3.3083333333333336</v>
      </c>
      <c r="Q400" s="25">
        <f>$AD$29*G400+$AD$30</f>
        <v>3.3488883480158957</v>
      </c>
      <c r="R400" s="25">
        <f t="shared" si="70"/>
        <v>4.0555014682562174E-2</v>
      </c>
      <c r="S400" s="26">
        <v>3.3846140535912403</v>
      </c>
      <c r="T400" s="26">
        <f t="shared" si="71"/>
        <v>7.6280720257906776E-2</v>
      </c>
      <c r="U400" s="27">
        <f t="shared" si="72"/>
        <v>2.3057144662339577E-2</v>
      </c>
      <c r="V400" s="28">
        <f t="shared" si="73"/>
        <v>60.615368643094882</v>
      </c>
      <c r="W400" s="27">
        <f t="shared" si="74"/>
        <v>1.5332808092041532E-2</v>
      </c>
      <c r="X400" s="21">
        <v>3.3888936938466849</v>
      </c>
      <c r="Y400" s="21">
        <f t="shared" si="75"/>
        <v>60.666724326160221</v>
      </c>
      <c r="Z400" s="2">
        <f t="shared" si="76"/>
        <v>1.6193037289115881E-2</v>
      </c>
    </row>
    <row r="401" spans="1:26">
      <c r="A401" s="1">
        <v>59.8</v>
      </c>
      <c r="B401" s="1">
        <f t="shared" si="66"/>
        <v>332.95</v>
      </c>
      <c r="C401" s="4">
        <f>ROUND(10000*EXP(($AB$4)+($AC$4/B401)+($AD$4/(B401^2))+($AE$4/(B401^3))),6)</f>
        <v>2508.0152360000002</v>
      </c>
      <c r="D401" s="4">
        <f>((C401+2*$AC$5)*$AC$6)/((C401+2*$AC$5)+$AC$6)</f>
        <v>1305.5893736113819</v>
      </c>
      <c r="E401" s="4">
        <f t="shared" si="67"/>
        <v>1.3055893736113819</v>
      </c>
      <c r="F401" s="24">
        <v>9.9990399102947171E-4</v>
      </c>
      <c r="G401" s="6">
        <v>1.3032293781980901</v>
      </c>
      <c r="H401" s="2">
        <f t="shared" si="68"/>
        <v>1.8076092383961628E-3</v>
      </c>
      <c r="I401" s="5">
        <f>G401/F401</f>
        <v>1303.3545119230132</v>
      </c>
      <c r="J401" s="2">
        <f>ABS(D401-I401)/I401</f>
        <v>1.7146997750223151E-3</v>
      </c>
      <c r="K401" s="1">
        <f>$AD$10*B401+$AD$11</f>
        <v>1314.8716585596749</v>
      </c>
      <c r="L401" s="2">
        <f>ABS(K401-D401)/D401</f>
        <v>7.1096511168877614E-3</v>
      </c>
      <c r="M401" s="21">
        <f>K401*F401</f>
        <v>1.3147454190853598</v>
      </c>
      <c r="N401" s="2">
        <f>ABS(M401-G401)/M401</f>
        <v>8.7591412908524253E-3</v>
      </c>
      <c r="O401" s="21">
        <f t="shared" si="69"/>
        <v>1.1516040887269652E-2</v>
      </c>
      <c r="P401" s="25">
        <f>$AD$18*B401+$AD$19</f>
        <v>3.3166666666666664</v>
      </c>
      <c r="Q401" s="25">
        <f>$AD$29*G401+$AD$30</f>
        <v>3.3575230520951624</v>
      </c>
      <c r="R401" s="25">
        <f t="shared" si="70"/>
        <v>4.0856385428496012E-2</v>
      </c>
      <c r="S401" s="26">
        <v>3.3935900560628083</v>
      </c>
      <c r="T401" s="26">
        <f t="shared" si="71"/>
        <v>7.692338939614185E-2</v>
      </c>
      <c r="U401" s="27">
        <f t="shared" si="72"/>
        <v>2.3192981727479956E-2</v>
      </c>
      <c r="V401" s="28">
        <f t="shared" si="73"/>
        <v>60.723080672753703</v>
      </c>
      <c r="W401" s="27">
        <f t="shared" si="74"/>
        <v>1.5436131651399763E-2</v>
      </c>
      <c r="X401" s="21">
        <v>3.3983724185809887</v>
      </c>
      <c r="Y401" s="21">
        <f t="shared" si="75"/>
        <v>60.780469022971872</v>
      </c>
      <c r="Z401" s="2">
        <f t="shared" si="76"/>
        <v>1.6395803059730343E-2</v>
      </c>
    </row>
    <row r="402" spans="1:26">
      <c r="A402" s="1">
        <v>59.9</v>
      </c>
      <c r="B402" s="1">
        <f t="shared" si="66"/>
        <v>333.04999999999995</v>
      </c>
      <c r="C402" s="4">
        <f>ROUND(10000*EXP(($AB$4)+($AC$4/B402)+($AD$4/(B402^2))+($AE$4/(B402^3))),6)</f>
        <v>2498.9886080000001</v>
      </c>
      <c r="D402" s="4">
        <f>((C402+2*$AC$5)*$AC$6)/((C402+2*$AC$5)+$AC$6)</f>
        <v>1303.1776369801958</v>
      </c>
      <c r="E402" s="4">
        <f t="shared" si="67"/>
        <v>1.3031776369801957</v>
      </c>
      <c r="F402" s="24">
        <v>9.9990399102947171E-4</v>
      </c>
      <c r="G402" s="6">
        <v>1.3007916085224687</v>
      </c>
      <c r="H402" s="2">
        <f t="shared" si="68"/>
        <v>1.8309310949013186E-3</v>
      </c>
      <c r="I402" s="5">
        <f>G402/F402</f>
        <v>1300.9165081771621</v>
      </c>
      <c r="J402" s="2">
        <f>ABS(D402-I402)/I402</f>
        <v>1.7381044739004454E-3</v>
      </c>
      <c r="K402" s="1">
        <f>$AD$10*B402+$AD$11</f>
        <v>1312.5225466408019</v>
      </c>
      <c r="L402" s="2">
        <f>ABS(K402-D402)/D402</f>
        <v>7.1708640444911017E-3</v>
      </c>
      <c r="M402" s="21">
        <f>K402*F402</f>
        <v>1.3123965327023037</v>
      </c>
      <c r="N402" s="2">
        <f>ABS(M402-G402)/M402</f>
        <v>8.8425440715999247E-3</v>
      </c>
      <c r="O402" s="21">
        <f t="shared" si="69"/>
        <v>1.1604924179835052E-2</v>
      </c>
      <c r="P402" s="25">
        <f>$AD$18*B402+$AD$19</f>
        <v>3.3249999999999993</v>
      </c>
      <c r="Q402" s="25">
        <f>$AD$29*G402+$AD$30</f>
        <v>3.3661717238416466</v>
      </c>
      <c r="R402" s="25">
        <f t="shared" si="70"/>
        <v>4.1171723841647356E-2</v>
      </c>
      <c r="S402" s="26">
        <v>3.4025805777837941</v>
      </c>
      <c r="T402" s="26">
        <f t="shared" si="71"/>
        <v>7.7580577783794791E-2</v>
      </c>
      <c r="U402" s="27">
        <f t="shared" si="72"/>
        <v>2.3332504596630017E-2</v>
      </c>
      <c r="V402" s="28">
        <f t="shared" si="73"/>
        <v>60.830966933405527</v>
      </c>
      <c r="W402" s="27">
        <f t="shared" si="74"/>
        <v>1.5542018921628192E-2</v>
      </c>
      <c r="X402" s="21">
        <v>3.4072981272248115</v>
      </c>
      <c r="Y402" s="21">
        <f t="shared" si="75"/>
        <v>60.88757752669774</v>
      </c>
      <c r="Z402" s="2">
        <f t="shared" si="76"/>
        <v>1.648710395154827E-2</v>
      </c>
    </row>
    <row r="403" spans="1:26">
      <c r="A403" s="1">
        <v>60</v>
      </c>
      <c r="B403" s="1">
        <f t="shared" si="66"/>
        <v>333.15</v>
      </c>
      <c r="C403" s="4">
        <f>ROUND(10000*EXP(($AB$4)+($AC$4/B403)+($AD$4/(B403^2))+($AE$4/(B403^3))),6)</f>
        <v>2489.9992539999998</v>
      </c>
      <c r="D403" s="4">
        <f>((C403+2*$AC$5)*$AC$6)/((C403+2*$AC$5)+$AC$6)</f>
        <v>1300.7675539678685</v>
      </c>
      <c r="E403" s="4">
        <f t="shared" si="67"/>
        <v>1.3007675539678685</v>
      </c>
      <c r="F403" s="24">
        <v>9.9990399102947171E-4</v>
      </c>
      <c r="G403" s="6">
        <v>1.2985043491268036</v>
      </c>
      <c r="H403" s="2">
        <f t="shared" si="68"/>
        <v>1.7398995186812668E-3</v>
      </c>
      <c r="I403" s="5">
        <f>G403/F403</f>
        <v>1298.6290291629916</v>
      </c>
      <c r="J403" s="2">
        <f>ABS(D403-I403)/I403</f>
        <v>1.6467557376683626E-3</v>
      </c>
      <c r="K403" s="1">
        <f>$AD$10*B403+$AD$11</f>
        <v>1310.1734347219272</v>
      </c>
      <c r="L403" s="2">
        <f>ABS(K403-D403)/D403</f>
        <v>7.2310235025212005E-3</v>
      </c>
      <c r="M403" s="21">
        <f>K403*F403</f>
        <v>1.3100476463192461</v>
      </c>
      <c r="N403" s="2">
        <f>ABS(M403-G403)/M403</f>
        <v>8.8113567662023214E-3</v>
      </c>
      <c r="O403" s="21">
        <f t="shared" si="69"/>
        <v>1.1543297192442514E-2</v>
      </c>
      <c r="P403" s="25">
        <f>$AD$18*B403+$AD$19</f>
        <v>3.3333333333333321</v>
      </c>
      <c r="Q403" s="25">
        <f>$AD$29*G403+$AD$30</f>
        <v>3.3742864181501337</v>
      </c>
      <c r="R403" s="25">
        <f t="shared" si="70"/>
        <v>4.0953084816801599E-2</v>
      </c>
      <c r="S403" s="26">
        <v>3.411016016017907</v>
      </c>
      <c r="T403" s="26">
        <f t="shared" si="71"/>
        <v>7.76826826845749E-2</v>
      </c>
      <c r="U403" s="27">
        <f t="shared" si="72"/>
        <v>2.3304804805372479E-2</v>
      </c>
      <c r="V403" s="28">
        <f t="shared" si="73"/>
        <v>60.932192192214877</v>
      </c>
      <c r="W403" s="27">
        <f t="shared" si="74"/>
        <v>1.5536536536914624E-2</v>
      </c>
      <c r="X403" s="21">
        <v>3.4156738978944134</v>
      </c>
      <c r="Y403" s="21">
        <f t="shared" si="75"/>
        <v>60.988086774732963</v>
      </c>
      <c r="Z403" s="2">
        <f t="shared" si="76"/>
        <v>1.6468112912216053E-2</v>
      </c>
    </row>
    <row r="404" spans="1:26">
      <c r="A404" s="1">
        <v>60.1</v>
      </c>
      <c r="B404" s="1">
        <f t="shared" si="66"/>
        <v>333.25</v>
      </c>
      <c r="C404" s="4">
        <f>ROUND(10000*EXP(($AB$4)+($AC$4/B404)+($AD$4/(B404^2))+($AE$4/(B404^3))),6)</f>
        <v>2481.0470019999998</v>
      </c>
      <c r="D404" s="4">
        <f>((C404+2*$AC$5)*$AC$6)/((C404+2*$AC$5)+$AC$6)</f>
        <v>1298.3591386125297</v>
      </c>
      <c r="E404" s="4">
        <f t="shared" si="67"/>
        <v>1.2983591386125297</v>
      </c>
      <c r="F404" s="24">
        <v>9.9990399102947171E-4</v>
      </c>
      <c r="G404" s="6">
        <v>1.2960585144343055</v>
      </c>
      <c r="H404" s="2">
        <f t="shared" si="68"/>
        <v>1.7719474603018629E-3</v>
      </c>
      <c r="I404" s="5">
        <f>G404/F404</f>
        <v>1296.1829596258756</v>
      </c>
      <c r="J404" s="2">
        <f>ABS(D404-I404)/I404</f>
        <v>1.6789134361728105E-3</v>
      </c>
      <c r="K404" s="1">
        <f>$AD$10*B404+$AD$11</f>
        <v>1307.8243228030533</v>
      </c>
      <c r="L404" s="2">
        <f>ABS(K404-D404)/D404</f>
        <v>7.2901125035700074E-3</v>
      </c>
      <c r="M404" s="21">
        <f>K404*F404</f>
        <v>1.3076987599361891</v>
      </c>
      <c r="N404" s="2">
        <f>ABS(M404-G404)/M404</f>
        <v>8.9013202875955818E-3</v>
      </c>
      <c r="O404" s="21">
        <f t="shared" si="69"/>
        <v>1.1640245501883584E-2</v>
      </c>
      <c r="P404" s="25">
        <f>$AD$18*B404+$AD$19</f>
        <v>3.3416666666666686</v>
      </c>
      <c r="Q404" s="25">
        <f>$AD$29*G404+$AD$30</f>
        <v>3.3829637028063164</v>
      </c>
      <c r="R404" s="25">
        <f t="shared" si="70"/>
        <v>4.1297036139647858E-2</v>
      </c>
      <c r="S404" s="26">
        <v>3.4200362822010488</v>
      </c>
      <c r="T404" s="26">
        <f t="shared" si="71"/>
        <v>7.8369615534380266E-2</v>
      </c>
      <c r="U404" s="27">
        <f t="shared" si="72"/>
        <v>2.3452254025250939E-2</v>
      </c>
      <c r="V404" s="28">
        <f t="shared" si="73"/>
        <v>61.040435386412589</v>
      </c>
      <c r="W404" s="27">
        <f t="shared" si="74"/>
        <v>1.5647843367929917E-2</v>
      </c>
      <c r="X404" s="21">
        <v>3.4246290126368875</v>
      </c>
      <c r="Y404" s="21">
        <f t="shared" si="75"/>
        <v>61.095548151642653</v>
      </c>
      <c r="Z404" s="2">
        <f t="shared" si="76"/>
        <v>1.6564861092223819E-2</v>
      </c>
    </row>
    <row r="405" spans="1:26">
      <c r="A405" s="1">
        <v>60.2</v>
      </c>
      <c r="B405" s="1">
        <f t="shared" si="66"/>
        <v>333.34999999999997</v>
      </c>
      <c r="C405" s="4">
        <f>ROUND(10000*EXP(($AB$4)+($AC$4/B405)+($AD$4/(B405^2))+($AE$4/(B405^3))),6)</f>
        <v>2472.1316820000002</v>
      </c>
      <c r="D405" s="4">
        <f>((C405+2*$AC$5)*$AC$6)/((C405+2*$AC$5)+$AC$6)</f>
        <v>1295.9524051994181</v>
      </c>
      <c r="E405" s="4">
        <f t="shared" si="67"/>
        <v>1.295952405199418</v>
      </c>
      <c r="F405" s="24">
        <v>9.9990399102947171E-4</v>
      </c>
      <c r="G405" s="6">
        <v>1.2936075308917863</v>
      </c>
      <c r="H405" s="2">
        <f t="shared" si="68"/>
        <v>1.8093830438710645E-3</v>
      </c>
      <c r="I405" s="5">
        <f>G405/F405</f>
        <v>1293.731740744355</v>
      </c>
      <c r="J405" s="2">
        <f>ABS(D405-I405)/I405</f>
        <v>1.7164798428656045E-3</v>
      </c>
      <c r="K405" s="1">
        <f>$AD$10*B405+$AD$11</f>
        <v>1305.4752108841803</v>
      </c>
      <c r="L405" s="2">
        <f>ABS(K405-D405)/D405</f>
        <v>7.3481137475082774E-3</v>
      </c>
      <c r="M405" s="21">
        <f>K405*F405</f>
        <v>1.3053498735531333</v>
      </c>
      <c r="N405" s="2">
        <f>ABS(M405-G405)/M405</f>
        <v>8.9955519966341269E-3</v>
      </c>
      <c r="O405" s="21">
        <f t="shared" si="69"/>
        <v>1.1742342661346992E-2</v>
      </c>
      <c r="P405" s="25">
        <f>$AD$18*B405+$AD$19</f>
        <v>3.3499999999999979</v>
      </c>
      <c r="Q405" s="25">
        <f>$AD$29*G405+$AD$30</f>
        <v>3.3916592544522608</v>
      </c>
      <c r="R405" s="25">
        <f t="shared" si="70"/>
        <v>4.1659254452262928E-2</v>
      </c>
      <c r="S405" s="26">
        <v>3.4290755374608399</v>
      </c>
      <c r="T405" s="26">
        <f t="shared" si="71"/>
        <v>7.907553746084206E-2</v>
      </c>
      <c r="U405" s="27">
        <f t="shared" si="72"/>
        <v>2.360463804801257E-2</v>
      </c>
      <c r="V405" s="28">
        <f t="shared" si="73"/>
        <v>61.148906449530081</v>
      </c>
      <c r="W405" s="27">
        <f t="shared" si="74"/>
        <v>1.5762565606811926E-2</v>
      </c>
      <c r="X405" s="21">
        <v>3.4335981206390938</v>
      </c>
      <c r="Y405" s="21">
        <f t="shared" si="75"/>
        <v>61.203177447669127</v>
      </c>
      <c r="Z405" s="2">
        <f t="shared" si="76"/>
        <v>1.6664077203806044E-2</v>
      </c>
    </row>
    <row r="406" spans="1:26">
      <c r="A406" s="1">
        <v>60.3</v>
      </c>
      <c r="B406" s="1">
        <f t="shared" si="66"/>
        <v>333.45</v>
      </c>
      <c r="C406" s="4">
        <f>ROUND(10000*EXP(($AB$4)+($AC$4/B406)+($AD$4/(B406^2))+($AE$4/(B406^3))),6)</f>
        <v>2463.253123</v>
      </c>
      <c r="D406" s="4">
        <f>((C406+2*$AC$5)*$AC$6)/((C406+2*$AC$5)+$AC$6)</f>
        <v>1293.5473674531561</v>
      </c>
      <c r="E406" s="4">
        <f t="shared" si="67"/>
        <v>1.2935473674531561</v>
      </c>
      <c r="F406" s="24">
        <v>9.9990399102947171E-4</v>
      </c>
      <c r="G406" s="6">
        <v>1.2913075982271796</v>
      </c>
      <c r="H406" s="2">
        <f t="shared" si="68"/>
        <v>1.7314937839395998E-3</v>
      </c>
      <c r="I406" s="5">
        <f>G406/F406</f>
        <v>1291.4315872443785</v>
      </c>
      <c r="J406" s="2">
        <f>ABS(D406-I406)/I406</f>
        <v>1.6383215570033756E-3</v>
      </c>
      <c r="K406" s="1">
        <f>$AD$10*B406+$AD$11</f>
        <v>1303.1260989653056</v>
      </c>
      <c r="L406" s="2">
        <f>ABS(K406-D406)/D406</f>
        <v>7.4050102479114423E-3</v>
      </c>
      <c r="M406" s="21">
        <f>K406*F406</f>
        <v>1.3030009871700754</v>
      </c>
      <c r="N406" s="2">
        <f>ABS(M406-G406)/M406</f>
        <v>8.9741980689455568E-3</v>
      </c>
      <c r="O406" s="21">
        <f t="shared" si="69"/>
        <v>1.1693388942895845E-2</v>
      </c>
      <c r="P406" s="25">
        <f>$AD$18*B406+$AD$19</f>
        <v>3.3583333333333343</v>
      </c>
      <c r="Q406" s="25">
        <f>$AD$29*G406+$AD$30</f>
        <v>3.3998189107373156</v>
      </c>
      <c r="R406" s="25">
        <f t="shared" si="70"/>
        <v>4.1485577403981289E-2</v>
      </c>
      <c r="S406" s="26">
        <v>3.4375577154043229</v>
      </c>
      <c r="T406" s="26">
        <f t="shared" si="71"/>
        <v>7.9224382070988586E-2</v>
      </c>
      <c r="U406" s="27">
        <f t="shared" si="72"/>
        <v>2.3590386720889894E-2</v>
      </c>
      <c r="V406" s="28">
        <f t="shared" si="73"/>
        <v>61.250692584851876</v>
      </c>
      <c r="W406" s="27">
        <f t="shared" si="74"/>
        <v>1.5766046183281576E-2</v>
      </c>
      <c r="X406" s="21">
        <v>3.4425811040953125</v>
      </c>
      <c r="Y406" s="21">
        <f t="shared" si="75"/>
        <v>61.310973249143757</v>
      </c>
      <c r="Z406" s="2">
        <f t="shared" si="76"/>
        <v>1.6765725524772134E-2</v>
      </c>
    </row>
    <row r="407" spans="1:26">
      <c r="A407" s="1">
        <v>60.4</v>
      </c>
      <c r="B407" s="1">
        <f t="shared" si="66"/>
        <v>333.54999999999995</v>
      </c>
      <c r="C407" s="4">
        <f>ROUND(10000*EXP(($AB$4)+($AC$4/B407)+($AD$4/(B407^2))+($AE$4/(B407^3))),6)</f>
        <v>2454.4111539999999</v>
      </c>
      <c r="D407" s="4">
        <f>((C407+2*$AC$5)*$AC$6)/((C407+2*$AC$5)+$AC$6)</f>
        <v>1291.1440388024489</v>
      </c>
      <c r="E407" s="4">
        <f t="shared" si="67"/>
        <v>1.2911440388024489</v>
      </c>
      <c r="F407" s="24">
        <v>9.9990399102947171E-4</v>
      </c>
      <c r="G407" s="6">
        <v>1.2890020130400999</v>
      </c>
      <c r="H407" s="2">
        <f t="shared" si="68"/>
        <v>1.659013787753505E-3</v>
      </c>
      <c r="I407" s="5">
        <f>G407/F407</f>
        <v>1289.1257806791843</v>
      </c>
      <c r="J407" s="2">
        <f>ABS(D407-I407)/I407</f>
        <v>1.5656021728160819E-3</v>
      </c>
      <c r="K407" s="1">
        <f>$AD$10*B407+$AD$11</f>
        <v>1300.7769870464326</v>
      </c>
      <c r="L407" s="2">
        <f>ABS(K407-D407)/D407</f>
        <v>7.4607851289143472E-3</v>
      </c>
      <c r="M407" s="21">
        <f>K407*F407</f>
        <v>1.3006521007870193</v>
      </c>
      <c r="N407" s="2">
        <f>ABS(M407-G407)/M407</f>
        <v>8.957112928099701E-3</v>
      </c>
      <c r="O407" s="21">
        <f t="shared" si="69"/>
        <v>1.1650087746919446E-2</v>
      </c>
      <c r="P407" s="25">
        <f>$AD$18*B407+$AD$19</f>
        <v>3.3666666666666636</v>
      </c>
      <c r="Q407" s="25">
        <f>$AD$29*G407+$AD$30</f>
        <v>3.4079986209314397</v>
      </c>
      <c r="R407" s="25">
        <f t="shared" si="70"/>
        <v>4.1331954264776094E-2</v>
      </c>
      <c r="S407" s="26">
        <v>3.4460607396250982</v>
      </c>
      <c r="T407" s="26">
        <f t="shared" si="71"/>
        <v>7.9394072958434592E-2</v>
      </c>
      <c r="U407" s="27">
        <f t="shared" si="72"/>
        <v>2.3582397908445941E-2</v>
      </c>
      <c r="V407" s="28">
        <f t="shared" si="73"/>
        <v>61.352728875501171</v>
      </c>
      <c r="W407" s="27">
        <f t="shared" si="74"/>
        <v>1.5773656879158486E-2</v>
      </c>
      <c r="X407" s="21">
        <v>3.4510179285902933</v>
      </c>
      <c r="Y407" s="21">
        <f t="shared" si="75"/>
        <v>61.412215143083522</v>
      </c>
      <c r="Z407" s="2">
        <f t="shared" si="76"/>
        <v>1.6758528858998728E-2</v>
      </c>
    </row>
    <row r="408" spans="1:26">
      <c r="A408" s="1">
        <v>60.5</v>
      </c>
      <c r="B408" s="1">
        <f t="shared" si="66"/>
        <v>333.65</v>
      </c>
      <c r="C408" s="4">
        <f>ROUND(10000*EXP(($AB$4)+($AC$4/B408)+($AD$4/(B408^2))+($AE$4/(B408^3))),6)</f>
        <v>2445.6056079999998</v>
      </c>
      <c r="D408" s="4">
        <f>((C408+2*$AC$5)*$AC$6)/((C408+2*$AC$5)+$AC$6)</f>
        <v>1288.7424334699615</v>
      </c>
      <c r="E408" s="4">
        <f t="shared" si="67"/>
        <v>1.2887424334699615</v>
      </c>
      <c r="F408" s="24">
        <v>9.9990399102947171E-4</v>
      </c>
      <c r="G408" s="6">
        <v>1.2865404309097559</v>
      </c>
      <c r="H408" s="2">
        <f t="shared" si="68"/>
        <v>1.7086444141337924E-3</v>
      </c>
      <c r="I408" s="5">
        <f>G408/F408</f>
        <v>1286.6639621921818</v>
      </c>
      <c r="J408" s="2">
        <f>ABS(D408-I408)/I408</f>
        <v>1.615395580240303E-3</v>
      </c>
      <c r="K408" s="1">
        <f>$AD$10*B408+$AD$11</f>
        <v>1298.4278751275579</v>
      </c>
      <c r="L408" s="2">
        <f>ABS(K408-D408)/D408</f>
        <v>7.5154207745904171E-3</v>
      </c>
      <c r="M408" s="21">
        <f>K408*F408</f>
        <v>1.2983032144039617</v>
      </c>
      <c r="N408" s="2">
        <f>ABS(M408-G408)/M408</f>
        <v>9.0601204431323586E-3</v>
      </c>
      <c r="O408" s="21">
        <f t="shared" si="69"/>
        <v>1.1762783494205786E-2</v>
      </c>
      <c r="P408" s="25">
        <f>$AD$18*B408+$AD$19</f>
        <v>3.375</v>
      </c>
      <c r="Q408" s="25">
        <f>$AD$29*G408+$AD$30</f>
        <v>3.4167317740407173</v>
      </c>
      <c r="R408" s="25">
        <f t="shared" si="70"/>
        <v>4.1731774040717262E-2</v>
      </c>
      <c r="S408" s="26">
        <v>3.4551390822844925</v>
      </c>
      <c r="T408" s="26">
        <f t="shared" si="71"/>
        <v>8.0139082284492513E-2</v>
      </c>
      <c r="U408" s="27">
        <f t="shared" si="72"/>
        <v>2.3744913269479265E-2</v>
      </c>
      <c r="V408" s="28">
        <f t="shared" si="73"/>
        <v>61.461668987413908</v>
      </c>
      <c r="W408" s="27">
        <f t="shared" si="74"/>
        <v>1.5895355163866254E-2</v>
      </c>
      <c r="X408" s="21">
        <v>3.4594705154986198</v>
      </c>
      <c r="Y408" s="21">
        <f t="shared" si="75"/>
        <v>61.51364618598344</v>
      </c>
      <c r="Z408" s="2">
        <f t="shared" si="76"/>
        <v>1.6754482412949419E-2</v>
      </c>
    </row>
    <row r="409" spans="1:26">
      <c r="A409" s="1">
        <v>60.6</v>
      </c>
      <c r="B409" s="1">
        <f t="shared" si="66"/>
        <v>333.75</v>
      </c>
      <c r="C409" s="4">
        <f>ROUND(10000*EXP(($AB$4)+($AC$4/B409)+($AD$4/(B409^2))+($AE$4/(B409^3))),6)</f>
        <v>2436.8363159999999</v>
      </c>
      <c r="D409" s="4">
        <f>((C409+2*$AC$5)*$AC$6)/((C409+2*$AC$5)+$AC$6)</f>
        <v>1286.3425648432003</v>
      </c>
      <c r="E409" s="4">
        <f t="shared" si="67"/>
        <v>1.2863425648432003</v>
      </c>
      <c r="F409" s="24">
        <v>9.9990399102947171E-4</v>
      </c>
      <c r="G409" s="6">
        <v>1.2840738226324306</v>
      </c>
      <c r="H409" s="2">
        <f t="shared" si="68"/>
        <v>1.763715415143881E-3</v>
      </c>
      <c r="I409" s="5">
        <f>G409/F409</f>
        <v>1284.1971170755965</v>
      </c>
      <c r="J409" s="2">
        <f>ABS(D409-I409)/I409</f>
        <v>1.670653001066938E-3</v>
      </c>
      <c r="K409" s="1">
        <f>$AD$10*B409+$AD$11</f>
        <v>1296.0787632086831</v>
      </c>
      <c r="L409" s="2">
        <f>ABS(K409-D409)/D409</f>
        <v>7.5689000982950283E-3</v>
      </c>
      <c r="M409" s="21">
        <f>K409*F409</f>
        <v>1.2959543280209038</v>
      </c>
      <c r="N409" s="2">
        <f>ABS(M409-G409)/M409</f>
        <v>9.1673796920114532E-3</v>
      </c>
      <c r="O409" s="21">
        <f t="shared" si="69"/>
        <v>1.1880505388473184E-2</v>
      </c>
      <c r="P409" s="25">
        <f>$AD$18*B409+$AD$19</f>
        <v>3.3833333333333364</v>
      </c>
      <c r="Q409" s="25">
        <f>$AD$29*G409+$AD$30</f>
        <v>3.4254827588163019</v>
      </c>
      <c r="R409" s="25">
        <f t="shared" si="70"/>
        <v>4.2149425482965519E-2</v>
      </c>
      <c r="S409" s="26">
        <v>3.4642359615070353</v>
      </c>
      <c r="T409" s="26">
        <f t="shared" si="71"/>
        <v>8.0902628173698865E-2</v>
      </c>
      <c r="U409" s="27">
        <f t="shared" si="72"/>
        <v>2.3912106849369102E-2</v>
      </c>
      <c r="V409" s="28">
        <f t="shared" si="73"/>
        <v>61.570831538084427</v>
      </c>
      <c r="W409" s="27">
        <f t="shared" si="74"/>
        <v>1.6020322410634082E-2</v>
      </c>
      <c r="X409" s="21">
        <v>3.4684965379926584</v>
      </c>
      <c r="Y409" s="21">
        <f t="shared" si="75"/>
        <v>61.621958455911908</v>
      </c>
      <c r="Z409" s="2">
        <f t="shared" si="76"/>
        <v>1.686400092263873E-2</v>
      </c>
    </row>
    <row r="410" spans="1:26">
      <c r="A410" s="1">
        <v>60.7</v>
      </c>
      <c r="B410" s="1">
        <f t="shared" si="66"/>
        <v>333.84999999999997</v>
      </c>
      <c r="C410" s="4">
        <f>ROUND(10000*EXP(($AB$4)+($AC$4/B410)+($AD$4/(B410^2))+($AE$4/(B410^3))),6)</f>
        <v>2428.10311</v>
      </c>
      <c r="D410" s="4">
        <f>((C410+2*$AC$5)*$AC$6)/((C410+2*$AC$5)+$AC$6)</f>
        <v>1283.9444462875181</v>
      </c>
      <c r="E410" s="4">
        <f t="shared" si="67"/>
        <v>1.283944446287518</v>
      </c>
      <c r="F410" s="24">
        <v>9.9990399102947171E-4</v>
      </c>
      <c r="G410" s="6">
        <v>1.2817572609805832</v>
      </c>
      <c r="H410" s="2">
        <f t="shared" si="68"/>
        <v>1.703489051460925E-3</v>
      </c>
      <c r="I410" s="5">
        <f>G410/F410</f>
        <v>1281.8803329916941</v>
      </c>
      <c r="J410" s="2">
        <f>ABS(D410-I410)/I410</f>
        <v>1.6102230783170512E-3</v>
      </c>
      <c r="K410" s="1">
        <f>$AD$10*B410+$AD$11</f>
        <v>1293.7296512898101</v>
      </c>
      <c r="L410" s="2">
        <f>ABS(K410-D410)/D410</f>
        <v>7.6212059101043259E-3</v>
      </c>
      <c r="M410" s="21">
        <f>K410*F410</f>
        <v>1.293605441637848</v>
      </c>
      <c r="N410" s="2">
        <f>ABS(M410-G410)/M410</f>
        <v>9.1590374281849598E-3</v>
      </c>
      <c r="O410" s="21">
        <f t="shared" si="69"/>
        <v>1.1848180657264784E-2</v>
      </c>
      <c r="P410" s="25">
        <f>$AD$18*B410+$AD$19</f>
        <v>3.3916666666666657</v>
      </c>
      <c r="Q410" s="25">
        <f>$AD$29*G410+$AD$30</f>
        <v>3.4337014110982143</v>
      </c>
      <c r="R410" s="25">
        <f t="shared" si="70"/>
        <v>4.2034744431548532E-2</v>
      </c>
      <c r="S410" s="26">
        <v>3.4727794666945635</v>
      </c>
      <c r="T410" s="26">
        <f t="shared" si="71"/>
        <v>8.111280002789778E-2</v>
      </c>
      <c r="U410" s="27">
        <f t="shared" si="72"/>
        <v>2.3915321875547263E-2</v>
      </c>
      <c r="V410" s="28">
        <f t="shared" si="73"/>
        <v>61.673353600334764</v>
      </c>
      <c r="W410" s="27">
        <f t="shared" si="74"/>
        <v>1.6035479412434283E-2</v>
      </c>
      <c r="X410" s="21">
        <v>3.4769792288384576</v>
      </c>
      <c r="Y410" s="21">
        <f t="shared" si="75"/>
        <v>61.723750746061498</v>
      </c>
      <c r="Z410" s="2">
        <f t="shared" si="76"/>
        <v>1.6865745404637478E-2</v>
      </c>
    </row>
    <row r="411" spans="1:26">
      <c r="A411" s="1">
        <v>60.8</v>
      </c>
      <c r="B411" s="1">
        <f t="shared" si="66"/>
        <v>333.95</v>
      </c>
      <c r="C411" s="4">
        <f>ROUND(10000*EXP(($AB$4)+($AC$4/B411)+($AD$4/(B411^2))+($AE$4/(B411^3))),6)</f>
        <v>2419.4058260000002</v>
      </c>
      <c r="D411" s="4">
        <f>((C411+2*$AC$5)*$AC$6)/((C411+2*$AC$5)+$AC$6)</f>
        <v>1281.5480919758759</v>
      </c>
      <c r="E411" s="4">
        <f t="shared" si="67"/>
        <v>1.2815480919758759</v>
      </c>
      <c r="F411" s="24">
        <v>9.9990399102947171E-4</v>
      </c>
      <c r="G411" s="6">
        <v>1.2792830325161442</v>
      </c>
      <c r="H411" s="2">
        <f t="shared" si="68"/>
        <v>1.7674400780695824E-3</v>
      </c>
      <c r="I411" s="5">
        <f>G411/F411</f>
        <v>1279.4058669563185</v>
      </c>
      <c r="J411" s="2">
        <f>ABS(D411-I411)/I411</f>
        <v>1.674390492403856E-3</v>
      </c>
      <c r="K411" s="1">
        <f>$AD$10*B411+$AD$11</f>
        <v>1291.3805393709363</v>
      </c>
      <c r="L411" s="2">
        <f>ABS(K411-D411)/D411</f>
        <v>7.6723202637685225E-3</v>
      </c>
      <c r="M411" s="21">
        <f>K411*F411</f>
        <v>1.291256555254791</v>
      </c>
      <c r="N411" s="2">
        <f>ABS(M411-G411)/M411</f>
        <v>9.2727682116465274E-3</v>
      </c>
      <c r="O411" s="21">
        <f t="shared" si="69"/>
        <v>1.1973522738646823E-2</v>
      </c>
      <c r="P411" s="25">
        <f>$AD$18*B411+$AD$19</f>
        <v>3.4000000000000021</v>
      </c>
      <c r="Q411" s="25">
        <f>$AD$29*G411+$AD$30</f>
        <v>3.4424794306251343</v>
      </c>
      <c r="R411" s="25">
        <f t="shared" si="70"/>
        <v>4.2479430625132153E-2</v>
      </c>
      <c r="S411" s="26">
        <v>3.4819044494441944</v>
      </c>
      <c r="T411" s="26">
        <f t="shared" si="71"/>
        <v>8.1904449444192284E-2</v>
      </c>
      <c r="U411" s="27">
        <f t="shared" si="72"/>
        <v>2.4089543954174186E-2</v>
      </c>
      <c r="V411" s="28">
        <f t="shared" si="73"/>
        <v>61.782853393330335</v>
      </c>
      <c r="W411" s="27">
        <f t="shared" si="74"/>
        <v>1.6165351863985818E-2</v>
      </c>
      <c r="X411" s="21">
        <v>3.4865886756775031</v>
      </c>
      <c r="Y411" s="21">
        <f t="shared" si="75"/>
        <v>61.839064108130039</v>
      </c>
      <c r="Z411" s="2">
        <f t="shared" si="76"/>
        <v>1.7089870199507265E-2</v>
      </c>
    </row>
    <row r="412" spans="1:26">
      <c r="A412" s="1">
        <v>60.9</v>
      </c>
      <c r="B412" s="1">
        <f t="shared" si="66"/>
        <v>334.04999999999995</v>
      </c>
      <c r="C412" s="4">
        <f>ROUND(10000*EXP(($AB$4)+($AC$4/B412)+($AD$4/(B412^2))+($AE$4/(B412^3))),6)</f>
        <v>2410.7442970000002</v>
      </c>
      <c r="D412" s="4">
        <f>((C412+2*$AC$5)*$AC$6)/((C412+2*$AC$5)+$AC$6)</f>
        <v>1279.1535149661347</v>
      </c>
      <c r="E412" s="4">
        <f t="shared" si="67"/>
        <v>1.2791535149661348</v>
      </c>
      <c r="F412" s="24">
        <v>9.9990399102947171E-4</v>
      </c>
      <c r="G412" s="6">
        <v>1.2769583451633379</v>
      </c>
      <c r="H412" s="2">
        <f t="shared" si="68"/>
        <v>1.716111301038795E-3</v>
      </c>
      <c r="I412" s="5">
        <f>G412/F412</f>
        <v>1277.0809563912424</v>
      </c>
      <c r="J412" s="2">
        <f>ABS(D412-I412)/I412</f>
        <v>1.6228873858936572E-3</v>
      </c>
      <c r="K412" s="1">
        <f>$AD$10*B412+$AD$11</f>
        <v>1289.0314274520624</v>
      </c>
      <c r="L412" s="2">
        <f>ABS(K412-D412)/D412</f>
        <v>7.7222259645584636E-3</v>
      </c>
      <c r="M412" s="21">
        <f>K412*F412</f>
        <v>1.2889076688717342</v>
      </c>
      <c r="N412" s="2">
        <f>ABS(M412-G412)/M412</f>
        <v>9.2708919319692829E-3</v>
      </c>
      <c r="O412" s="21">
        <f t="shared" si="69"/>
        <v>1.1949323708396298E-2</v>
      </c>
      <c r="P412" s="25">
        <f>$AD$18*B412+$AD$19</f>
        <v>3.4083333333333314</v>
      </c>
      <c r="Q412" s="25">
        <f>$AD$29*G412+$AD$30</f>
        <v>3.4507269111105492</v>
      </c>
      <c r="R412" s="25">
        <f t="shared" si="70"/>
        <v>4.239357777721775E-2</v>
      </c>
      <c r="S412" s="26">
        <v>3.4904779225418241</v>
      </c>
      <c r="T412" s="26">
        <f t="shared" si="71"/>
        <v>8.2144589208492658E-2</v>
      </c>
      <c r="U412" s="27">
        <f t="shared" si="72"/>
        <v>2.4101101968261918E-2</v>
      </c>
      <c r="V412" s="28">
        <f t="shared" si="73"/>
        <v>61.885735070501887</v>
      </c>
      <c r="W412" s="27">
        <f t="shared" si="74"/>
        <v>1.6186125952411968E-2</v>
      </c>
      <c r="X412" s="21">
        <v>3.4950999356364849</v>
      </c>
      <c r="Y412" s="21">
        <f t="shared" si="75"/>
        <v>61.941199227637817</v>
      </c>
      <c r="Z412" s="2">
        <f t="shared" si="76"/>
        <v>1.7096867448896859E-2</v>
      </c>
    </row>
    <row r="413" spans="1:26">
      <c r="A413" s="1">
        <v>61</v>
      </c>
      <c r="B413" s="1">
        <f t="shared" si="66"/>
        <v>334.15</v>
      </c>
      <c r="C413" s="4">
        <f>ROUND(10000*EXP(($AB$4)+($AC$4/B413)+($AD$4/(B413^2))+($AE$4/(B413^3))),6)</f>
        <v>2402.1183590000001</v>
      </c>
      <c r="D413" s="4">
        <f>((C413+2*$AC$5)*$AC$6)/((C413+2*$AC$5)+$AC$6)</f>
        <v>1276.7607288514046</v>
      </c>
      <c r="E413" s="4">
        <f t="shared" si="67"/>
        <v>1.2767607288514047</v>
      </c>
      <c r="F413" s="24">
        <v>9.9990399102947171E-4</v>
      </c>
      <c r="G413" s="6">
        <v>1.2744766245440307</v>
      </c>
      <c r="H413" s="2">
        <f t="shared" si="68"/>
        <v>1.7889838367983347E-3</v>
      </c>
      <c r="I413" s="5">
        <f>G413/F413</f>
        <v>1274.5989974816152</v>
      </c>
      <c r="J413" s="2">
        <f>ABS(D413-I413)/I413</f>
        <v>1.6960089989561623E-3</v>
      </c>
      <c r="K413" s="1">
        <f>$AD$10*B413+$AD$11</f>
        <v>1286.6823155331886</v>
      </c>
      <c r="L413" s="2">
        <f>ABS(K413-D413)/D413</f>
        <v>7.7709052742479159E-3</v>
      </c>
      <c r="M413" s="21">
        <f>K413*F413</f>
        <v>1.2865587824886773</v>
      </c>
      <c r="N413" s="2">
        <f>ABS(M413-G413)/M413</f>
        <v>9.3910656155759085E-3</v>
      </c>
      <c r="O413" s="21">
        <f t="shared" si="69"/>
        <v>1.2082157944646621E-2</v>
      </c>
      <c r="P413" s="25">
        <f>$AD$18*B413+$AD$19</f>
        <v>3.4166666666666679</v>
      </c>
      <c r="Q413" s="25">
        <f>$AD$29*G413+$AD$30</f>
        <v>3.4595315111584997</v>
      </c>
      <c r="R413" s="25">
        <f t="shared" si="70"/>
        <v>4.2864844491831811E-2</v>
      </c>
      <c r="S413" s="26">
        <v>3.4996305364972056</v>
      </c>
      <c r="T413" s="26">
        <f t="shared" si="71"/>
        <v>8.2963869830537718E-2</v>
      </c>
      <c r="U413" s="27">
        <f t="shared" si="72"/>
        <v>2.4282108243084202E-2</v>
      </c>
      <c r="V413" s="28">
        <f t="shared" si="73"/>
        <v>61.99556643796646</v>
      </c>
      <c r="W413" s="27">
        <f t="shared" si="74"/>
        <v>1.6320761278138685E-2</v>
      </c>
      <c r="X413" s="21">
        <v>3.5041799242989868</v>
      </c>
      <c r="Y413" s="21">
        <f t="shared" si="75"/>
        <v>62.050159091587844</v>
      </c>
      <c r="Z413" s="2">
        <f t="shared" si="76"/>
        <v>1.7215722812915474E-2</v>
      </c>
    </row>
    <row r="414" spans="1:26">
      <c r="A414" s="1">
        <v>61.1</v>
      </c>
      <c r="B414" s="1">
        <f t="shared" si="66"/>
        <v>334.25</v>
      </c>
      <c r="C414" s="4">
        <f>ROUND(10000*EXP(($AB$4)+($AC$4/B414)+($AD$4/(B414^2))+($AE$4/(B414^3))),6)</f>
        <v>2393.5278480000002</v>
      </c>
      <c r="D414" s="4">
        <f>((C414+2*$AC$5)*$AC$6)/((C414+2*$AC$5)+$AC$6)</f>
        <v>1274.3697469348367</v>
      </c>
      <c r="E414" s="4">
        <f t="shared" si="67"/>
        <v>1.2743697469348367</v>
      </c>
      <c r="F414" s="24">
        <v>9.9990399102947171E-4</v>
      </c>
      <c r="G414" s="6">
        <v>1.2721439401411576</v>
      </c>
      <c r="H414" s="2">
        <f t="shared" si="68"/>
        <v>1.7465941882508712E-3</v>
      </c>
      <c r="I414" s="5">
        <f>G414/F414</f>
        <v>1272.2660890986101</v>
      </c>
      <c r="J414" s="2">
        <f>ABS(D414-I414)/I414</f>
        <v>1.6534731643417665E-3</v>
      </c>
      <c r="K414" s="1">
        <f>$AD$10*B414+$AD$11</f>
        <v>1284.3332036143138</v>
      </c>
      <c r="L414" s="2">
        <f>ABS(K414-D414)/D414</f>
        <v>7.8183405588853373E-3</v>
      </c>
      <c r="M414" s="21">
        <f>K414*F414</f>
        <v>1.2842098961056194</v>
      </c>
      <c r="N414" s="2">
        <f>ABS(M414-G414)/M414</f>
        <v>9.3956260585220126E-3</v>
      </c>
      <c r="O414" s="21">
        <f t="shared" si="69"/>
        <v>1.2065955964461804E-2</v>
      </c>
      <c r="P414" s="25">
        <f>$AD$18*B414+$AD$19</f>
        <v>3.4250000000000007</v>
      </c>
      <c r="Q414" s="25">
        <f>$AD$29*G414+$AD$30</f>
        <v>3.4678073634222901</v>
      </c>
      <c r="R414" s="25">
        <f t="shared" si="70"/>
        <v>4.2807363422289413E-2</v>
      </c>
      <c r="S414" s="26">
        <v>3.5082335028663532</v>
      </c>
      <c r="T414" s="26">
        <f t="shared" si="71"/>
        <v>8.3233502866352449E-2</v>
      </c>
      <c r="U414" s="27">
        <f t="shared" si="72"/>
        <v>2.4301752661708739E-2</v>
      </c>
      <c r="V414" s="28">
        <f t="shared" si="73"/>
        <v>62.098802034396236</v>
      </c>
      <c r="W414" s="27">
        <f t="shared" si="74"/>
        <v>1.6347005472933464E-2</v>
      </c>
      <c r="X414" s="21">
        <v>3.5127203385722798</v>
      </c>
      <c r="Y414" s="21">
        <f t="shared" si="75"/>
        <v>62.15264406286736</v>
      </c>
      <c r="Z414" s="2">
        <f t="shared" si="76"/>
        <v>1.7228217068205536E-2</v>
      </c>
    </row>
    <row r="415" spans="1:26">
      <c r="A415" s="1">
        <v>61.2</v>
      </c>
      <c r="B415" s="1">
        <f t="shared" si="66"/>
        <v>334.34999999999997</v>
      </c>
      <c r="C415" s="4">
        <f>ROUND(10000*EXP(($AB$4)+($AC$4/B415)+($AD$4/(B415^2))+($AE$4/(B415^3))),6)</f>
        <v>2384.9726009999999</v>
      </c>
      <c r="D415" s="4">
        <f>((C415+2*$AC$5)*$AC$6)/((C415+2*$AC$5)+$AC$6)</f>
        <v>1271.9805825065584</v>
      </c>
      <c r="E415" s="4">
        <f t="shared" si="67"/>
        <v>1.2719805825065584</v>
      </c>
      <c r="F415" s="24">
        <v>9.9990399102947171E-4</v>
      </c>
      <c r="G415" s="6">
        <v>1.2696548546215092</v>
      </c>
      <c r="H415" s="2">
        <f t="shared" si="68"/>
        <v>1.8284303369365815E-3</v>
      </c>
      <c r="I415" s="5">
        <f>G415/F415</f>
        <v>1269.7767645814774</v>
      </c>
      <c r="J415" s="2">
        <f>ABS(D415-I415)/I415</f>
        <v>1.7355947805576654E-3</v>
      </c>
      <c r="K415" s="1">
        <f>$AD$10*B415+$AD$11</f>
        <v>1281.9840916954408</v>
      </c>
      <c r="L415" s="2">
        <f>ABS(K415-D415)/D415</f>
        <v>7.8645140707804869E-3</v>
      </c>
      <c r="M415" s="21">
        <f>K415*F415</f>
        <v>1.2818610097225636</v>
      </c>
      <c r="N415" s="2">
        <f>ABS(M415-G415)/M415</f>
        <v>9.5222141936403791E-3</v>
      </c>
      <c r="O415" s="21">
        <f t="shared" si="69"/>
        <v>1.2206155101054383E-2</v>
      </c>
      <c r="P415" s="25">
        <f>$AD$18*B415+$AD$19</f>
        <v>3.4333333333333336</v>
      </c>
      <c r="Q415" s="25">
        <f>$AD$29*G415+$AD$30</f>
        <v>3.4766380925201403</v>
      </c>
      <c r="R415" s="25">
        <f t="shared" si="70"/>
        <v>4.3304759186806763E-2</v>
      </c>
      <c r="S415" s="26">
        <v>3.5174132780801255</v>
      </c>
      <c r="T415" s="26">
        <f t="shared" si="71"/>
        <v>8.4079944746791924E-2</v>
      </c>
      <c r="U415" s="27">
        <f t="shared" si="72"/>
        <v>2.4489304295182111E-2</v>
      </c>
      <c r="V415" s="28">
        <f t="shared" si="73"/>
        <v>62.208959336961499</v>
      </c>
      <c r="W415" s="27">
        <f t="shared" si="74"/>
        <v>1.6486263675841436E-2</v>
      </c>
      <c r="X415" s="21">
        <v>3.5218271328161612</v>
      </c>
      <c r="Y415" s="21">
        <f t="shared" si="75"/>
        <v>62.261925593793933</v>
      </c>
      <c r="Z415" s="2">
        <f t="shared" si="76"/>
        <v>1.7351725388789707E-2</v>
      </c>
    </row>
    <row r="416" spans="1:26">
      <c r="A416" s="1">
        <v>61.3</v>
      </c>
      <c r="B416" s="1">
        <f t="shared" si="66"/>
        <v>334.45</v>
      </c>
      <c r="C416" s="4">
        <f>ROUND(10000*EXP(($AB$4)+($AC$4/B416)+($AD$4/(B416^2))+($AE$4/(B416^3))),6)</f>
        <v>2376.4524569999999</v>
      </c>
      <c r="D416" s="4">
        <f>((C416+2*$AC$5)*$AC$6)/((C416+2*$AC$5)+$AC$6)</f>
        <v>1269.5932491262324</v>
      </c>
      <c r="E416" s="4">
        <f t="shared" si="67"/>
        <v>1.2695932491262325</v>
      </c>
      <c r="F416" s="24">
        <v>9.9990399102947171E-4</v>
      </c>
      <c r="G416" s="6">
        <v>1.2673143014439097</v>
      </c>
      <c r="H416" s="2">
        <f t="shared" si="68"/>
        <v>1.7950218968880564E-3</v>
      </c>
      <c r="I416" s="5">
        <f>G416/F416</f>
        <v>1267.4359866682003</v>
      </c>
      <c r="J416" s="2">
        <f>ABS(D416-I416)/I416</f>
        <v>1.7020681760055707E-3</v>
      </c>
      <c r="K416" s="1">
        <f>$AD$10*B416+$AD$11</f>
        <v>1279.6349797765661</v>
      </c>
      <c r="L416" s="2">
        <f>ABS(K416-D416)/D416</f>
        <v>7.9094077234930418E-3</v>
      </c>
      <c r="M416" s="21">
        <f>K416*F416</f>
        <v>1.2795121233395057</v>
      </c>
      <c r="N416" s="2">
        <f>ABS(M416-G416)/M416</f>
        <v>9.5331819629500061E-3</v>
      </c>
      <c r="O416" s="21">
        <f t="shared" si="69"/>
        <v>1.2197821895596039E-2</v>
      </c>
      <c r="P416" s="25">
        <f>$AD$18*B416+$AD$19</f>
        <v>3.4416666666666664</v>
      </c>
      <c r="Q416" s="25">
        <f>$AD$29*G416+$AD$30</f>
        <v>3.4849418614695535</v>
      </c>
      <c r="R416" s="25">
        <f t="shared" si="70"/>
        <v>4.3275194802887107E-2</v>
      </c>
      <c r="S416" s="26">
        <v>3.5260452653987349</v>
      </c>
      <c r="T416" s="26">
        <f t="shared" si="71"/>
        <v>8.4378598732068433E-2</v>
      </c>
      <c r="U416" s="27">
        <f t="shared" si="72"/>
        <v>2.4516784135225695E-2</v>
      </c>
      <c r="V416" s="28">
        <f t="shared" si="73"/>
        <v>62.312543184784822</v>
      </c>
      <c r="W416" s="27">
        <f t="shared" si="74"/>
        <v>1.6517833357011822E-2</v>
      </c>
      <c r="X416" s="21">
        <v>3.5303962268534925</v>
      </c>
      <c r="Y416" s="21">
        <f t="shared" si="75"/>
        <v>62.364754722241912</v>
      </c>
      <c r="Z416" s="2">
        <f t="shared" si="76"/>
        <v>1.7369571325316722E-2</v>
      </c>
    </row>
    <row r="417" spans="1:26">
      <c r="A417" s="1">
        <v>61.4</v>
      </c>
      <c r="B417" s="1">
        <f t="shared" si="66"/>
        <v>334.54999999999995</v>
      </c>
      <c r="C417" s="4">
        <f>ROUND(10000*EXP(($AB$4)+($AC$4/B417)+($AD$4/(B417^2))+($AE$4/(B417^3))),6)</f>
        <v>2367.9672529999998</v>
      </c>
      <c r="D417" s="4">
        <f>((C417+2*$AC$5)*$AC$6)/((C417+2*$AC$5)+$AC$6)</f>
        <v>1267.2077595032429</v>
      </c>
      <c r="E417" s="4">
        <f t="shared" si="67"/>
        <v>1.2672077595032429</v>
      </c>
      <c r="F417" s="24">
        <v>9.9990399102947171E-4</v>
      </c>
      <c r="G417" s="6">
        <v>1.2649683965289731</v>
      </c>
      <c r="H417" s="2">
        <f t="shared" si="68"/>
        <v>1.7671632433403856E-3</v>
      </c>
      <c r="I417" s="5">
        <f>G417/F417</f>
        <v>1265.0898565037219</v>
      </c>
      <c r="J417" s="2">
        <f>ABS(D417-I417)/I417</f>
        <v>1.674112703246358E-3</v>
      </c>
      <c r="K417" s="1">
        <f>$AD$10*B417+$AD$11</f>
        <v>1277.2858678576931</v>
      </c>
      <c r="L417" s="2">
        <f>ABS(K417-D417)/D417</f>
        <v>7.9530039797112376E-3</v>
      </c>
      <c r="M417" s="21">
        <f>K417*F417</f>
        <v>1.2771632369564498</v>
      </c>
      <c r="N417" s="2">
        <f>ABS(M417-G417)/M417</f>
        <v>9.5483804063588116E-3</v>
      </c>
      <c r="O417" s="21">
        <f t="shared" si="69"/>
        <v>1.2194840427476763E-2</v>
      </c>
      <c r="P417" s="25">
        <f>$AD$18*B417+$AD$19</f>
        <v>3.4499999999999993</v>
      </c>
      <c r="Q417" s="25">
        <f>$AD$29*G417+$AD$30</f>
        <v>3.4932646172083945</v>
      </c>
      <c r="R417" s="25">
        <f t="shared" si="70"/>
        <v>4.3264617208395251E-2</v>
      </c>
      <c r="S417" s="26">
        <v>3.5346969884161483</v>
      </c>
      <c r="T417" s="26">
        <f t="shared" si="71"/>
        <v>8.4696988416149033E-2</v>
      </c>
      <c r="U417" s="27">
        <f t="shared" si="72"/>
        <v>2.4549851714825811E-2</v>
      </c>
      <c r="V417" s="28">
        <f t="shared" si="73"/>
        <v>62.416363860993783</v>
      </c>
      <c r="W417" s="27">
        <f t="shared" si="74"/>
        <v>1.6553157345175651E-2</v>
      </c>
      <c r="X417" s="21">
        <v>3.5389800103673226</v>
      </c>
      <c r="Y417" s="21">
        <f t="shared" si="75"/>
        <v>62.467760124407874</v>
      </c>
      <c r="Z417" s="2">
        <f t="shared" si="76"/>
        <v>1.739023003921622E-2</v>
      </c>
    </row>
    <row r="418" spans="1:26">
      <c r="A418" s="1">
        <v>61.5</v>
      </c>
      <c r="B418" s="1">
        <f t="shared" si="66"/>
        <v>334.65</v>
      </c>
      <c r="C418" s="4">
        <f>ROUND(10000*EXP(($AB$4)+($AC$4/B418)+($AD$4/(B418^2))+($AE$4/(B418^3))),6)</f>
        <v>2359.5168290000001</v>
      </c>
      <c r="D418" s="4">
        <f>((C418+2*$AC$5)*$AC$6)/((C418+2*$AC$5)+$AC$6)</f>
        <v>1264.824126897287</v>
      </c>
      <c r="E418" s="4">
        <f t="shared" si="67"/>
        <v>1.2648241268972871</v>
      </c>
      <c r="F418" s="24">
        <v>9.9990399102947171E-4</v>
      </c>
      <c r="G418" s="6">
        <v>1.2624683600617506</v>
      </c>
      <c r="H418" s="2">
        <f t="shared" si="68"/>
        <v>1.8625252202576111E-3</v>
      </c>
      <c r="I418" s="5">
        <f>G418/F418</f>
        <v>1262.589579987525</v>
      </c>
      <c r="J418" s="2">
        <f>ABS(D418-I418)/I418</f>
        <v>1.7698125702764638E-3</v>
      </c>
      <c r="K418" s="1">
        <f>$AD$10*B418+$AD$11</f>
        <v>1274.9367559388184</v>
      </c>
      <c r="L418" s="2">
        <f>ABS(K418-D418)/D418</f>
        <v>7.9952847407634749E-3</v>
      </c>
      <c r="M418" s="21">
        <f>K418*F418</f>
        <v>1.274814350573392</v>
      </c>
      <c r="N418" s="2">
        <f>ABS(M418-G418)/M418</f>
        <v>9.6845399536712052E-3</v>
      </c>
      <c r="O418" s="21">
        <f t="shared" si="69"/>
        <v>1.2345990511641425E-2</v>
      </c>
      <c r="P418" s="25">
        <f>$AD$18*B418+$AD$19</f>
        <v>3.4583333333333321</v>
      </c>
      <c r="Q418" s="25">
        <f>$AD$29*G418+$AD$30</f>
        <v>3.5021341978646285</v>
      </c>
      <c r="R418" s="25">
        <f t="shared" si="70"/>
        <v>4.3800864531296391E-2</v>
      </c>
      <c r="S418" s="26">
        <v>3.5439171519273325</v>
      </c>
      <c r="T418" s="26">
        <f t="shared" si="71"/>
        <v>8.5583818594000327E-2</v>
      </c>
      <c r="U418" s="27">
        <f t="shared" si="72"/>
        <v>2.474712826814468E-2</v>
      </c>
      <c r="V418" s="28">
        <f t="shared" si="73"/>
        <v>62.527005823127993</v>
      </c>
      <c r="W418" s="27">
        <f t="shared" si="74"/>
        <v>1.6699281676877939E-2</v>
      </c>
      <c r="X418" s="21">
        <v>3.5481266572995716</v>
      </c>
      <c r="Y418" s="21">
        <f t="shared" si="75"/>
        <v>62.57751988759486</v>
      </c>
      <c r="Z418" s="2">
        <f t="shared" si="76"/>
        <v>1.7520648578778216E-2</v>
      </c>
    </row>
    <row r="419" spans="1:26">
      <c r="A419" s="1">
        <v>61.6</v>
      </c>
      <c r="B419" s="1">
        <f t="shared" si="66"/>
        <v>334.75</v>
      </c>
      <c r="C419" s="4">
        <f>ROUND(10000*EXP(($AB$4)+($AC$4/B419)+($AD$4/(B419^2))+($AE$4/(B419^3))),6)</f>
        <v>2351.1010259999998</v>
      </c>
      <c r="D419" s="4">
        <f>((C419+2*$AC$5)*$AC$6)/((C419+2*$AC$5)+$AC$6)</f>
        <v>1262.4423645627444</v>
      </c>
      <c r="E419" s="4">
        <f t="shared" si="67"/>
        <v>1.2624423645627445</v>
      </c>
      <c r="F419" s="24">
        <v>9.9990399102947171E-4</v>
      </c>
      <c r="G419" s="6">
        <v>1.2601161005556487</v>
      </c>
      <c r="H419" s="2">
        <f t="shared" si="68"/>
        <v>1.8426694733913718E-3</v>
      </c>
      <c r="I419" s="5">
        <f>G419/F419</f>
        <v>1260.237094621725</v>
      </c>
      <c r="J419" s="2">
        <f>ABS(D419-I419)/I419</f>
        <v>1.7498849624652268E-3</v>
      </c>
      <c r="K419" s="1">
        <f>$AD$10*B419+$AD$11</f>
        <v>1272.5876440199445</v>
      </c>
      <c r="L419" s="2">
        <f>ABS(K419-D419)/D419</f>
        <v>8.0362317852934149E-3</v>
      </c>
      <c r="M419" s="21">
        <f>K419*F419</f>
        <v>1.272465464190335</v>
      </c>
      <c r="N419" s="2">
        <f>ABS(M419-G419)/M419</f>
        <v>9.7050678248027412E-3</v>
      </c>
      <c r="O419" s="21">
        <f t="shared" si="69"/>
        <v>1.2349363634686306E-2</v>
      </c>
      <c r="P419" s="25">
        <f>$AD$18*B419+$AD$19</f>
        <v>3.4666666666666686</v>
      </c>
      <c r="Q419" s="25">
        <f>$AD$29*G419+$AD$30</f>
        <v>3.5104794982981637</v>
      </c>
      <c r="R419" s="25">
        <f t="shared" si="70"/>
        <v>4.3812831631495186E-2</v>
      </c>
      <c r="S419" s="26">
        <v>3.5525923114338038</v>
      </c>
      <c r="T419" s="26">
        <f t="shared" si="71"/>
        <v>8.5925644767135267E-2</v>
      </c>
      <c r="U419" s="27">
        <f t="shared" si="72"/>
        <v>2.4786243682827468E-2</v>
      </c>
      <c r="V419" s="28">
        <f t="shared" si="73"/>
        <v>62.631107737205639</v>
      </c>
      <c r="W419" s="27">
        <f t="shared" si="74"/>
        <v>1.6738761967623982E-2</v>
      </c>
      <c r="X419" s="21">
        <v>3.5567384103173869</v>
      </c>
      <c r="Y419" s="21">
        <f t="shared" si="75"/>
        <v>62.680860923808645</v>
      </c>
      <c r="Z419" s="2">
        <f t="shared" si="76"/>
        <v>1.7546443568322131E-2</v>
      </c>
    </row>
    <row r="420" spans="1:26">
      <c r="A420" s="1">
        <v>61.7</v>
      </c>
      <c r="B420" s="1">
        <f t="shared" si="66"/>
        <v>334.84999999999997</v>
      </c>
      <c r="C420" s="4">
        <f>ROUND(10000*EXP(($AB$4)+($AC$4/B420)+($AD$4/(B420^2))+($AE$4/(B420^3))),6)</f>
        <v>2342.719685</v>
      </c>
      <c r="D420" s="4">
        <f>((C420+2*$AC$5)*$AC$6)/((C420+2*$AC$5)+$AC$6)</f>
        <v>1260.0624854662481</v>
      </c>
      <c r="E420" s="4">
        <f t="shared" si="67"/>
        <v>1.2600624854662481</v>
      </c>
      <c r="F420" s="24">
        <v>9.9990399102947171E-4</v>
      </c>
      <c r="G420" s="6">
        <v>1.2577585825112094</v>
      </c>
      <c r="H420" s="2">
        <f t="shared" si="68"/>
        <v>1.8284037352212686E-3</v>
      </c>
      <c r="I420" s="5">
        <f>G420/F420</f>
        <v>1257.8793502126721</v>
      </c>
      <c r="J420" s="2">
        <f>ABS(D420-I420)/I420</f>
        <v>1.7355680838602497E-3</v>
      </c>
      <c r="K420" s="1">
        <f>$AD$10*B420+$AD$11</f>
        <v>1270.2385321010706</v>
      </c>
      <c r="L420" s="2">
        <f>ABS(K420-D420)/D420</f>
        <v>8.0758269944503826E-3</v>
      </c>
      <c r="M420" s="21">
        <f>K420*F420</f>
        <v>1.2701165778072783</v>
      </c>
      <c r="N420" s="2">
        <f>ABS(M420-G420)/M420</f>
        <v>9.7298118235757663E-3</v>
      </c>
      <c r="O420" s="21">
        <f t="shared" si="69"/>
        <v>1.2357995296068847E-2</v>
      </c>
      <c r="P420" s="25">
        <f>$AD$18*B420+$AD$19</f>
        <v>3.4749999999999979</v>
      </c>
      <c r="Q420" s="25">
        <f>$AD$29*G420+$AD$30</f>
        <v>3.5188434548715302</v>
      </c>
      <c r="R420" s="25">
        <f t="shared" si="70"/>
        <v>4.3843454871532295E-2</v>
      </c>
      <c r="S420" s="26">
        <v>3.5612868646904072</v>
      </c>
      <c r="T420" s="26">
        <f t="shared" si="71"/>
        <v>8.6286864690409359E-2</v>
      </c>
      <c r="U420" s="27">
        <f t="shared" si="72"/>
        <v>2.4830752428894796E-2</v>
      </c>
      <c r="V420" s="28">
        <f t="shared" si="73"/>
        <v>62.73544237628488</v>
      </c>
      <c r="W420" s="27">
        <f t="shared" si="74"/>
        <v>1.678188616345019E-2</v>
      </c>
      <c r="X420" s="21">
        <v>3.5659106889637755</v>
      </c>
      <c r="Y420" s="21">
        <f t="shared" si="75"/>
        <v>62.790928267565313</v>
      </c>
      <c r="Z420" s="2">
        <f t="shared" si="76"/>
        <v>1.7681171273343763E-2</v>
      </c>
    </row>
    <row r="421" spans="1:26">
      <c r="A421" s="1">
        <v>61.8</v>
      </c>
      <c r="B421" s="1">
        <f t="shared" si="66"/>
        <v>334.95</v>
      </c>
      <c r="C421" s="4">
        <f>ROUND(10000*EXP(($AB$4)+($AC$4/B421)+($AD$4/(B421^2))+($AE$4/(B421^3))),6)</f>
        <v>2334.372648</v>
      </c>
      <c r="D421" s="4">
        <f>((C421+2*$AC$5)*$AC$6)/((C421+2*$AC$5)+$AC$6)</f>
        <v>1257.6845025693483</v>
      </c>
      <c r="E421" s="4">
        <f t="shared" si="67"/>
        <v>1.2576845025693484</v>
      </c>
      <c r="F421" s="24">
        <v>9.9990399102947171E-4</v>
      </c>
      <c r="G421" s="6">
        <v>1.255545105663205</v>
      </c>
      <c r="H421" s="2">
        <f t="shared" si="68"/>
        <v>1.7010600844431032E-3</v>
      </c>
      <c r="I421" s="5">
        <f>G421/F421</f>
        <v>1255.6656608306291</v>
      </c>
      <c r="J421" s="2">
        <f>ABS(D421-I421)/I421</f>
        <v>1.6077860545964926E-3</v>
      </c>
      <c r="K421" s="1">
        <f>$AD$10*B421+$AD$11</f>
        <v>1267.8894201821968</v>
      </c>
      <c r="L421" s="2">
        <f>ABS(K421-D421)/D421</f>
        <v>8.1140521267461362E-3</v>
      </c>
      <c r="M421" s="21">
        <f>K421*F421</f>
        <v>1.2677676914242213</v>
      </c>
      <c r="N421" s="2">
        <f>ABS(M421-G421)/M421</f>
        <v>9.6410295385311127E-3</v>
      </c>
      <c r="O421" s="21">
        <f t="shared" si="69"/>
        <v>1.2222585761016314E-2</v>
      </c>
      <c r="P421" s="25">
        <f>$AD$18*B421+$AD$19</f>
        <v>3.4833333333333343</v>
      </c>
      <c r="Q421" s="25">
        <f>$AD$29*G421+$AD$30</f>
        <v>3.5266963848953443</v>
      </c>
      <c r="R421" s="25">
        <f t="shared" si="70"/>
        <v>4.3363051562010035E-2</v>
      </c>
      <c r="S421" s="26">
        <v>3.5694501921873489</v>
      </c>
      <c r="T421" s="26">
        <f t="shared" si="71"/>
        <v>8.6116858854014655E-2</v>
      </c>
      <c r="U421" s="27">
        <f t="shared" si="72"/>
        <v>2.4722543211678841E-2</v>
      </c>
      <c r="V421" s="28">
        <f t="shared" si="73"/>
        <v>62.833402306248189</v>
      </c>
      <c r="W421" s="27">
        <f t="shared" si="74"/>
        <v>1.6721720165828347E-2</v>
      </c>
      <c r="X421" s="21">
        <v>3.5740047973738931</v>
      </c>
      <c r="Y421" s="21">
        <f t="shared" si="75"/>
        <v>62.888057568486715</v>
      </c>
      <c r="Z421" s="2">
        <f t="shared" si="76"/>
        <v>1.7606109522438806E-2</v>
      </c>
    </row>
    <row r="422" spans="1:26">
      <c r="A422" s="1">
        <v>61.9</v>
      </c>
      <c r="B422" s="1">
        <f t="shared" si="66"/>
        <v>335.04999999999995</v>
      </c>
      <c r="C422" s="4">
        <f>ROUND(10000*EXP(($AB$4)+($AC$4/B422)+($AD$4/(B422^2))+($AE$4/(B422^3))),6)</f>
        <v>2326.059757</v>
      </c>
      <c r="D422" s="4">
        <f>((C422+2*$AC$5)*$AC$6)/((C422+2*$AC$5)+$AC$6)</f>
        <v>1255.3084285442401</v>
      </c>
      <c r="E422" s="4">
        <f t="shared" si="67"/>
        <v>1.2553084285442402</v>
      </c>
      <c r="F422" s="24">
        <v>9.9990399102947171E-4</v>
      </c>
      <c r="G422" s="6">
        <v>1.2531795207791339</v>
      </c>
      <c r="H422" s="2">
        <f t="shared" si="68"/>
        <v>1.6959240587392397E-3</v>
      </c>
      <c r="I422" s="5">
        <f>G422/F422</f>
        <v>1253.2998488073811</v>
      </c>
      <c r="J422" s="2">
        <f>ABS(D422-I422)/I422</f>
        <v>1.6026330321274272E-3</v>
      </c>
      <c r="K422" s="1">
        <f>$AD$10*B422+$AD$11</f>
        <v>1265.5403082633229</v>
      </c>
      <c r="L422" s="2">
        <f>ABS(K422-D422)/D422</f>
        <v>8.1508890456097414E-3</v>
      </c>
      <c r="M422" s="21">
        <f>K422*F422</f>
        <v>1.2654188050411646</v>
      </c>
      <c r="N422" s="2">
        <f>ABS(M422-G422)/M422</f>
        <v>9.6721213666747605E-3</v>
      </c>
      <c r="O422" s="21">
        <f t="shared" si="69"/>
        <v>1.223928426203069E-2</v>
      </c>
      <c r="P422" s="25">
        <f>$AD$18*B422+$AD$19</f>
        <v>3.4916666666666636</v>
      </c>
      <c r="Q422" s="25">
        <f>$AD$29*G422+$AD$30</f>
        <v>3.5350889608451457</v>
      </c>
      <c r="R422" s="25">
        <f t="shared" si="70"/>
        <v>4.342229417848209E-2</v>
      </c>
      <c r="S422" s="26">
        <v>3.5781744962193271</v>
      </c>
      <c r="T422" s="26">
        <f t="shared" si="71"/>
        <v>8.6507829552663562E-2</v>
      </c>
      <c r="U422" s="27">
        <f t="shared" si="72"/>
        <v>2.4775512043722282E-2</v>
      </c>
      <c r="V422" s="28">
        <f t="shared" si="73"/>
        <v>62.938093954631924</v>
      </c>
      <c r="W422" s="27">
        <f t="shared" si="74"/>
        <v>1.6770500074829168E-2</v>
      </c>
      <c r="X422" s="21">
        <v>3.5826591943666073</v>
      </c>
      <c r="Y422" s="21">
        <f t="shared" si="75"/>
        <v>62.991910332399286</v>
      </c>
      <c r="Z422" s="2">
        <f t="shared" si="76"/>
        <v>1.7639908439406903E-2</v>
      </c>
    </row>
    <row r="423" spans="1:26">
      <c r="A423" s="1">
        <v>62</v>
      </c>
      <c r="B423" s="1">
        <f t="shared" si="66"/>
        <v>335.15</v>
      </c>
      <c r="C423" s="4">
        <f>ROUND(10000*EXP(($AB$4)+($AC$4/B423)+($AD$4/(B423^2))+($AE$4/(B423^3))),6)</f>
        <v>2317.7808559999999</v>
      </c>
      <c r="D423" s="4">
        <f>((C423+2*$AC$5)*$AC$6)/((C423+2*$AC$5)+$AC$6)</f>
        <v>1252.9342763455847</v>
      </c>
      <c r="E423" s="4">
        <f t="shared" si="67"/>
        <v>1.2529342763455849</v>
      </c>
      <c r="F423" s="24">
        <v>9.9990399102947171E-4</v>
      </c>
      <c r="G423" s="6">
        <v>1.2508101077037619</v>
      </c>
      <c r="H423" s="2">
        <f t="shared" si="68"/>
        <v>1.6953552009276154E-3</v>
      </c>
      <c r="I423" s="5">
        <f>G423/F423</f>
        <v>1250.9302082252564</v>
      </c>
      <c r="J423" s="2">
        <f>ABS(D423-I423)/I423</f>
        <v>1.6020622950433292E-3</v>
      </c>
      <c r="K423" s="1">
        <f>$AD$10*B423+$AD$11</f>
        <v>1263.1911963444491</v>
      </c>
      <c r="L423" s="2">
        <f>ABS(K423-D423)/D423</f>
        <v>8.1863192607201356E-3</v>
      </c>
      <c r="M423" s="21">
        <f>K423*F423</f>
        <v>1.2630699186581076</v>
      </c>
      <c r="N423" s="2">
        <f>ABS(M423-G423)/M423</f>
        <v>9.7063596981001535E-3</v>
      </c>
      <c r="O423" s="21">
        <f t="shared" si="69"/>
        <v>1.2259810954345694E-2</v>
      </c>
      <c r="P423" s="25">
        <f>$AD$18*B423+$AD$19</f>
        <v>3.5</v>
      </c>
      <c r="Q423" s="25">
        <f>$AD$29*G423+$AD$30</f>
        <v>3.5434951183774386</v>
      </c>
      <c r="R423" s="25">
        <f t="shared" si="70"/>
        <v>4.349511837743858E-2</v>
      </c>
      <c r="S423" s="26">
        <v>3.586912917954602</v>
      </c>
      <c r="T423" s="26">
        <f t="shared" si="71"/>
        <v>8.6912917954601987E-2</v>
      </c>
      <c r="U423" s="27">
        <f t="shared" si="72"/>
        <v>2.4832262272743426E-2</v>
      </c>
      <c r="V423" s="28">
        <f t="shared" si="73"/>
        <v>63.042955015455227</v>
      </c>
      <c r="W423" s="27">
        <f t="shared" si="74"/>
        <v>1.6821855087987538E-2</v>
      </c>
      <c r="X423" s="21">
        <v>3.5913275686970776</v>
      </c>
      <c r="Y423" s="21">
        <f t="shared" si="75"/>
        <v>63.095930824364935</v>
      </c>
      <c r="Z423" s="2">
        <f t="shared" si="76"/>
        <v>1.7676303618789267E-2</v>
      </c>
    </row>
    <row r="424" spans="1:26">
      <c r="A424" s="1">
        <v>62.1</v>
      </c>
      <c r="B424" s="1">
        <f t="shared" si="66"/>
        <v>335.25</v>
      </c>
      <c r="C424" s="4">
        <f>ROUND(10000*EXP(($AB$4)+($AC$4/B424)+($AD$4/(B424^2))+($AE$4/(B424^3))),6)</f>
        <v>2309.5357899999999</v>
      </c>
      <c r="D424" s="4">
        <f>((C424+2*$AC$5)*$AC$6)/((C424+2*$AC$5)+$AC$6)</f>
        <v>1250.5620589291004</v>
      </c>
      <c r="E424" s="4">
        <f t="shared" si="67"/>
        <v>1.2505620589291004</v>
      </c>
      <c r="F424" s="24">
        <v>9.9990399102947171E-4</v>
      </c>
      <c r="G424" s="6">
        <v>1.2482884680182793</v>
      </c>
      <c r="H424" s="2">
        <f t="shared" si="68"/>
        <v>1.8180552453095269E-3</v>
      </c>
      <c r="I424" s="5">
        <f>G424/F424</f>
        <v>1248.4083264164974</v>
      </c>
      <c r="J424" s="2">
        <f>ABS(D424-I424)/I424</f>
        <v>1.7251827523333053E-3</v>
      </c>
      <c r="K424" s="1">
        <f>$AD$10*B424+$AD$11</f>
        <v>1260.8420844255743</v>
      </c>
      <c r="L424" s="2">
        <f>ABS(K424-D424)/D424</f>
        <v>8.2203241519073402E-3</v>
      </c>
      <c r="M424" s="21">
        <f>K424*F424</f>
        <v>1.2607210322750499</v>
      </c>
      <c r="N424" s="2">
        <f>ABS(M424-G424)/M424</f>
        <v>9.8614712838853008E-3</v>
      </c>
      <c r="O424" s="21">
        <f t="shared" si="69"/>
        <v>1.2432564256770638E-2</v>
      </c>
      <c r="P424" s="25">
        <f>$AD$18*B424+$AD$19</f>
        <v>3.5083333333333364</v>
      </c>
      <c r="Q424" s="25">
        <f>$AD$29*G424+$AD$30</f>
        <v>3.5524413425103996</v>
      </c>
      <c r="R424" s="25">
        <f t="shared" si="70"/>
        <v>4.4108009177063146E-2</v>
      </c>
      <c r="S424" s="26">
        <v>3.5962127541431825</v>
      </c>
      <c r="T424" s="26">
        <f t="shared" si="71"/>
        <v>8.787942080984612E-2</v>
      </c>
      <c r="U424" s="27">
        <f t="shared" si="72"/>
        <v>2.5048766026559442E-2</v>
      </c>
      <c r="V424" s="28">
        <f t="shared" si="73"/>
        <v>63.154553049718189</v>
      </c>
      <c r="W424" s="27">
        <f t="shared" si="74"/>
        <v>1.6981530591275155E-2</v>
      </c>
      <c r="X424" s="21">
        <v>3.6005518006619641</v>
      </c>
      <c r="Y424" s="21">
        <f t="shared" si="75"/>
        <v>63.206621607943568</v>
      </c>
      <c r="Z424" s="2">
        <f t="shared" si="76"/>
        <v>1.7819993686691887E-2</v>
      </c>
    </row>
    <row r="425" spans="1:26">
      <c r="A425" s="1">
        <v>62.2</v>
      </c>
      <c r="B425" s="1">
        <f t="shared" si="66"/>
        <v>335.34999999999997</v>
      </c>
      <c r="C425" s="4">
        <f>ROUND(10000*EXP(($AB$4)+($AC$4/B425)+($AD$4/(B425^2))+($AE$4/(B425^3))),6)</f>
        <v>2301.324404</v>
      </c>
      <c r="D425" s="4">
        <f>((C425+2*$AC$5)*$AC$6)/((C425+2*$AC$5)+$AC$6)</f>
        <v>1248.1917889645276</v>
      </c>
      <c r="E425" s="4">
        <f t="shared" si="67"/>
        <v>1.2481917889645278</v>
      </c>
      <c r="F425" s="24">
        <v>9.9990399102947171E-4</v>
      </c>
      <c r="G425" s="6">
        <v>1.2459117583043682</v>
      </c>
      <c r="H425" s="2">
        <f t="shared" si="68"/>
        <v>1.8266669275649097E-3</v>
      </c>
      <c r="I425" s="5">
        <f>G425/F425</f>
        <v>1246.0313884952236</v>
      </c>
      <c r="J425" s="2">
        <f>ABS(D425-I425)/I425</f>
        <v>1.7338250779645619E-3</v>
      </c>
      <c r="K425" s="1">
        <f>$AD$10*B425+$AD$11</f>
        <v>1258.4929725067013</v>
      </c>
      <c r="L425" s="2">
        <f>ABS(K425-D425)/D425</f>
        <v>8.2528852002137724E-3</v>
      </c>
      <c r="M425" s="21">
        <f>K425*F425</f>
        <v>1.2583721458919939</v>
      </c>
      <c r="N425" s="2">
        <f>ABS(M425-G425)/M425</f>
        <v>9.9019893505296677E-3</v>
      </c>
      <c r="O425" s="21">
        <f t="shared" si="69"/>
        <v>1.2460387587625689E-2</v>
      </c>
      <c r="P425" s="25">
        <f>$AD$18*B425+$AD$19</f>
        <v>3.5166666666666657</v>
      </c>
      <c r="Q425" s="25">
        <f>$AD$29*G425+$AD$30</f>
        <v>3.5608733869147002</v>
      </c>
      <c r="R425" s="25">
        <f t="shared" si="70"/>
        <v>4.4206720248034514E-2</v>
      </c>
      <c r="S425" s="26">
        <v>3.6049780858302283</v>
      </c>
      <c r="T425" s="26">
        <f t="shared" si="71"/>
        <v>8.8311419163562555E-2</v>
      </c>
      <c r="U425" s="27">
        <f t="shared" si="72"/>
        <v>2.5112251894851917E-2</v>
      </c>
      <c r="V425" s="28">
        <f t="shared" si="73"/>
        <v>63.259737029962743</v>
      </c>
      <c r="W425" s="27">
        <f t="shared" si="74"/>
        <v>1.7037572828982956E-2</v>
      </c>
      <c r="X425" s="21">
        <v>3.609246729423214</v>
      </c>
      <c r="Y425" s="21">
        <f t="shared" si="75"/>
        <v>63.310960753078575</v>
      </c>
      <c r="Z425" s="2">
        <f t="shared" si="76"/>
        <v>1.7861105354960969E-2</v>
      </c>
    </row>
    <row r="426" spans="1:26">
      <c r="A426" s="1">
        <v>62.3</v>
      </c>
      <c r="B426" s="1">
        <f t="shared" si="66"/>
        <v>335.45</v>
      </c>
      <c r="C426" s="4">
        <f>ROUND(10000*EXP(($AB$4)+($AC$4/B426)+($AD$4/(B426^2))+($AE$4/(B426^3))),6)</f>
        <v>2293.1465429999998</v>
      </c>
      <c r="D426" s="4">
        <f>((C426+2*$AC$5)*$AC$6)/((C426+2*$AC$5)+$AC$6)</f>
        <v>1245.8234788330224</v>
      </c>
      <c r="E426" s="4">
        <f t="shared" si="67"/>
        <v>1.2458234788330225</v>
      </c>
      <c r="F426" s="24">
        <v>9.9990399102947171E-4</v>
      </c>
      <c r="G426" s="6">
        <v>1.2436791623446188</v>
      </c>
      <c r="H426" s="2">
        <f t="shared" si="68"/>
        <v>1.7212041070314688E-3</v>
      </c>
      <c r="I426" s="5">
        <f>G426/F426</f>
        <v>1243.798578165653</v>
      </c>
      <c r="J426" s="2">
        <f>ABS(D426-I426)/I426</f>
        <v>1.6279972520596361E-3</v>
      </c>
      <c r="K426" s="1">
        <f>$AD$10*B426+$AD$11</f>
        <v>1256.1438605878266</v>
      </c>
      <c r="L426" s="2">
        <f>ABS(K426-D426)/D426</f>
        <v>8.2839839914330606E-3</v>
      </c>
      <c r="M426" s="21">
        <f>K426*F426</f>
        <v>1.256023259508936</v>
      </c>
      <c r="N426" s="2">
        <f>ABS(M426-G426)/M426</f>
        <v>9.8279208373444511E-3</v>
      </c>
      <c r="O426" s="21">
        <f t="shared" si="69"/>
        <v>1.2344097164317169E-2</v>
      </c>
      <c r="P426" s="25">
        <f>$AD$18*B426+$AD$19</f>
        <v>3.5250000000000021</v>
      </c>
      <c r="Q426" s="25">
        <f>$AD$29*G426+$AD$30</f>
        <v>3.5687941473505589</v>
      </c>
      <c r="R426" s="25">
        <f t="shared" si="70"/>
        <v>4.3794147350556756E-2</v>
      </c>
      <c r="S426" s="26">
        <v>3.6132119253349901</v>
      </c>
      <c r="T426" s="26">
        <f t="shared" si="71"/>
        <v>8.8211925334988006E-2</v>
      </c>
      <c r="U426" s="27">
        <f t="shared" si="72"/>
        <v>2.502465966950013E-2</v>
      </c>
      <c r="V426" s="28">
        <f t="shared" si="73"/>
        <v>63.35854310401988</v>
      </c>
      <c r="W426" s="27">
        <f t="shared" si="74"/>
        <v>1.6991061059709194E-2</v>
      </c>
      <c r="X426" s="21">
        <v>3.6179552822254895</v>
      </c>
      <c r="Y426" s="21">
        <f t="shared" si="75"/>
        <v>63.415463386705881</v>
      </c>
      <c r="Z426" s="2">
        <f t="shared" si="76"/>
        <v>1.7904709256916267E-2</v>
      </c>
    </row>
    <row r="427" spans="1:26">
      <c r="A427" s="1">
        <v>62.4</v>
      </c>
      <c r="B427" s="1">
        <f t="shared" si="66"/>
        <v>335.54999999999995</v>
      </c>
      <c r="C427" s="4">
        <f>ROUND(10000*EXP(($AB$4)+($AC$4/B427)+($AD$4/(B427^2))+($AE$4/(B427^3))),6)</f>
        <v>2285.0020549999999</v>
      </c>
      <c r="D427" s="4">
        <f>((C427+2*$AC$5)*$AC$6)/((C427+2*$AC$5)+$AC$6)</f>
        <v>1243.4571414976172</v>
      </c>
      <c r="E427" s="4">
        <f t="shared" si="67"/>
        <v>1.2434571414976172</v>
      </c>
      <c r="F427" s="24">
        <v>9.9990399102947171E-4</v>
      </c>
      <c r="G427" s="6">
        <v>1.2412947179224454</v>
      </c>
      <c r="H427" s="2">
        <f t="shared" si="68"/>
        <v>1.7390415021199725E-3</v>
      </c>
      <c r="I427" s="5">
        <f>G427/F427</f>
        <v>1241.4139047934441</v>
      </c>
      <c r="J427" s="2">
        <f>ABS(D427-I427)/I427</f>
        <v>1.6458948109760684E-3</v>
      </c>
      <c r="K427" s="1">
        <f>$AD$10*B427+$AD$11</f>
        <v>1253.7947486689536</v>
      </c>
      <c r="L427" s="2">
        <f>ABS(K427-D427)/D427</f>
        <v>8.3136015117383673E-3</v>
      </c>
      <c r="M427" s="21">
        <f>K427*F427</f>
        <v>1.2536743731258801</v>
      </c>
      <c r="N427" s="2">
        <f>ABS(M427-G427)/M427</f>
        <v>9.8746975042391886E-3</v>
      </c>
      <c r="O427" s="21">
        <f t="shared" si="69"/>
        <v>1.2379655203434758E-2</v>
      </c>
      <c r="P427" s="25">
        <f>$AD$18*B427+$AD$19</f>
        <v>3.5333333333333314</v>
      </c>
      <c r="Q427" s="25">
        <f>$AD$29*G427+$AD$30</f>
        <v>3.5772536328020932</v>
      </c>
      <c r="R427" s="25">
        <f t="shared" si="70"/>
        <v>4.3920299468761748E-2</v>
      </c>
      <c r="S427" s="26">
        <v>3.6220057827723413</v>
      </c>
      <c r="T427" s="26">
        <f t="shared" si="71"/>
        <v>8.8672449439009871E-2</v>
      </c>
      <c r="U427" s="27">
        <f t="shared" si="72"/>
        <v>2.5095976256323562E-2</v>
      </c>
      <c r="V427" s="28">
        <f t="shared" si="73"/>
        <v>63.464069393268097</v>
      </c>
      <c r="W427" s="27">
        <f t="shared" si="74"/>
        <v>1.70523941228862E-2</v>
      </c>
      <c r="X427" s="21">
        <v>3.6261384781499664</v>
      </c>
      <c r="Y427" s="21">
        <f t="shared" si="75"/>
        <v>63.513661737799595</v>
      </c>
      <c r="Z427" s="2">
        <f t="shared" si="76"/>
        <v>1.7847143233967886E-2</v>
      </c>
    </row>
    <row r="428" spans="1:26">
      <c r="A428" s="1">
        <v>62.5</v>
      </c>
      <c r="B428" s="1">
        <f t="shared" si="66"/>
        <v>335.65</v>
      </c>
      <c r="C428" s="4">
        <f>ROUND(10000*EXP(($AB$4)+($AC$4/B428)+($AD$4/(B428^2))+($AE$4/(B428^3))),6)</f>
        <v>2276.8907859999999</v>
      </c>
      <c r="D428" s="4">
        <f>((C428+2*$AC$5)*$AC$6)/((C428+2*$AC$5)+$AC$6)</f>
        <v>1241.0927890550058</v>
      </c>
      <c r="E428" s="4">
        <f t="shared" si="67"/>
        <v>1.2410927890550059</v>
      </c>
      <c r="F428" s="24">
        <v>9.9990399102947171E-4</v>
      </c>
      <c r="G428" s="6">
        <v>1.2389065957055156</v>
      </c>
      <c r="H428" s="2">
        <f t="shared" si="68"/>
        <v>1.7615067694937065E-3</v>
      </c>
      <c r="I428" s="5">
        <f>G428/F428</f>
        <v>1239.0255532733436</v>
      </c>
      <c r="J428" s="2">
        <f>ABS(D428-I428)/I428</f>
        <v>1.6684367616155141E-3</v>
      </c>
      <c r="K428" s="1">
        <f>$AD$10*B428+$AD$11</f>
        <v>1251.4456367500788</v>
      </c>
      <c r="L428" s="2">
        <f>ABS(K428-D428)/D428</f>
        <v>8.341719318952695E-3</v>
      </c>
      <c r="M428" s="21">
        <f>K428*F428</f>
        <v>1.2513254867428223</v>
      </c>
      <c r="N428" s="2">
        <f>ABS(M428-G428)/M428</f>
        <v>9.924588901032292E-3</v>
      </c>
      <c r="O428" s="21">
        <f t="shared" si="69"/>
        <v>1.2418891037306645E-2</v>
      </c>
      <c r="P428" s="25">
        <f>$AD$18*B428+$AD$19</f>
        <v>3.5416666666666679</v>
      </c>
      <c r="Q428" s="25">
        <f>$AD$29*G428+$AD$30</f>
        <v>3.58572616626219</v>
      </c>
      <c r="R428" s="25">
        <f t="shared" si="70"/>
        <v>4.4059499595522134E-2</v>
      </c>
      <c r="S428" s="26">
        <v>3.6308132050849613</v>
      </c>
      <c r="T428" s="26">
        <f t="shared" si="71"/>
        <v>8.9146538418293453E-2</v>
      </c>
      <c r="U428" s="27">
        <f t="shared" si="72"/>
        <v>2.5170787318106378E-2</v>
      </c>
      <c r="V428" s="28">
        <f t="shared" si="73"/>
        <v>63.569758461019539</v>
      </c>
      <c r="W428" s="27">
        <f t="shared" si="74"/>
        <v>1.7116135376312628E-2</v>
      </c>
      <c r="X428" s="21">
        <v>3.6348749687877162</v>
      </c>
      <c r="Y428" s="21">
        <f t="shared" si="75"/>
        <v>63.618499625452593</v>
      </c>
      <c r="Z428" s="2">
        <f t="shared" si="76"/>
        <v>1.7895994007241484E-2</v>
      </c>
    </row>
    <row r="429" spans="1:26">
      <c r="A429" s="1">
        <v>62.6</v>
      </c>
      <c r="B429" s="1">
        <f t="shared" si="66"/>
        <v>335.75</v>
      </c>
      <c r="C429" s="4">
        <f>ROUND(10000*EXP(($AB$4)+($AC$4/B429)+($AD$4/(B429^2))+($AE$4/(B429^3))),6)</f>
        <v>2268.8125850000001</v>
      </c>
      <c r="D429" s="4">
        <f>((C429+2*$AC$5)*$AC$6)/((C429+2*$AC$5)+$AC$6)</f>
        <v>1238.7304341880786</v>
      </c>
      <c r="E429" s="4">
        <f t="shared" si="67"/>
        <v>1.2387304341880785</v>
      </c>
      <c r="F429" s="24">
        <v>9.9990399102947171E-4</v>
      </c>
      <c r="G429" s="6">
        <v>1.2365148269558468</v>
      </c>
      <c r="H429" s="2">
        <f t="shared" si="68"/>
        <v>1.7886112838455435E-3</v>
      </c>
      <c r="I429" s="5">
        <f>G429/F429</f>
        <v>1236.6335548703707</v>
      </c>
      <c r="J429" s="2">
        <f>ABS(D429-I429)/I429</f>
        <v>1.6956351454717083E-3</v>
      </c>
      <c r="K429" s="1">
        <f>$AD$10*B429+$AD$11</f>
        <v>1249.096524831205</v>
      </c>
      <c r="L429" s="2">
        <f>ABS(K429-D429)/D429</f>
        <v>8.3683183661511021E-3</v>
      </c>
      <c r="M429" s="21">
        <f>K429*F429</f>
        <v>1.2489766003597655</v>
      </c>
      <c r="N429" s="2">
        <f>ABS(M429-G429)/M429</f>
        <v>9.9775875707592519E-3</v>
      </c>
      <c r="O429" s="21">
        <f t="shared" si="69"/>
        <v>1.2461773403918743E-2</v>
      </c>
      <c r="P429" s="25">
        <f>$AD$18*B429+$AD$19</f>
        <v>3.5500000000000007</v>
      </c>
      <c r="Q429" s="25">
        <f>$AD$29*G429+$AD$30</f>
        <v>3.5942116368200718</v>
      </c>
      <c r="R429" s="25">
        <f t="shared" si="70"/>
        <v>4.4211636820071121E-2</v>
      </c>
      <c r="S429" s="26">
        <v>3.6396340751049547</v>
      </c>
      <c r="T429" s="26">
        <f t="shared" si="71"/>
        <v>8.9634075104954025E-2</v>
      </c>
      <c r="U429" s="27">
        <f t="shared" si="72"/>
        <v>2.5249035240832114E-2</v>
      </c>
      <c r="V429" s="28">
        <f t="shared" si="73"/>
        <v>63.675608901259459</v>
      </c>
      <c r="W429" s="27">
        <f t="shared" si="74"/>
        <v>1.7182250818841168E-2</v>
      </c>
      <c r="X429" s="21">
        <v>3.6441615076446321</v>
      </c>
      <c r="Y429" s="21">
        <f t="shared" si="75"/>
        <v>63.729938091735583</v>
      </c>
      <c r="Z429" s="2">
        <f t="shared" si="76"/>
        <v>1.8050129260951786E-2</v>
      </c>
    </row>
    <row r="430" spans="1:26">
      <c r="A430" s="1">
        <v>62.7</v>
      </c>
      <c r="B430" s="1">
        <f t="shared" si="66"/>
        <v>335.84999999999997</v>
      </c>
      <c r="C430" s="4">
        <f>ROUND(10000*EXP(($AB$4)+($AC$4/B430)+($AD$4/(B430^2))+($AE$4/(B430^3))),6)</f>
        <v>2260.7673009999999</v>
      </c>
      <c r="D430" s="4">
        <f>((C430+2*$AC$5)*$AC$6)/((C430+2*$AC$5)+$AC$6)</f>
        <v>1236.3700892960067</v>
      </c>
      <c r="E430" s="4">
        <f t="shared" si="67"/>
        <v>1.2363700892960068</v>
      </c>
      <c r="F430" s="24">
        <v>9.9990399102947171E-4</v>
      </c>
      <c r="G430" s="6">
        <v>1.2341194540996976</v>
      </c>
      <c r="H430" s="2">
        <f t="shared" si="68"/>
        <v>1.8203572019367688E-3</v>
      </c>
      <c r="I430" s="5">
        <f>G430/F430</f>
        <v>1234.2379520148575</v>
      </c>
      <c r="J430" s="2">
        <f>ABS(D430-I430)/I430</f>
        <v>1.7274928855238541E-3</v>
      </c>
      <c r="K430" s="1">
        <f>$AD$10*B430+$AD$11</f>
        <v>1246.7474129123311</v>
      </c>
      <c r="L430" s="2">
        <f>ABS(K430-D430)/D430</f>
        <v>8.3933797057751201E-3</v>
      </c>
      <c r="M430" s="21">
        <f>K430*F430</f>
        <v>1.2466277139767086</v>
      </c>
      <c r="N430" s="2">
        <f>ABS(M430-G430)/M430</f>
        <v>1.0033677044696829E-2</v>
      </c>
      <c r="O430" s="21">
        <f t="shared" si="69"/>
        <v>1.2508259877010985E-2</v>
      </c>
      <c r="P430" s="25">
        <f>$AD$18*B430+$AD$19</f>
        <v>3.5583333333333336</v>
      </c>
      <c r="Q430" s="25">
        <f>$AD$29*G430+$AD$30</f>
        <v>3.6027098939566864</v>
      </c>
      <c r="R430" s="25">
        <f t="shared" si="70"/>
        <v>4.4376560623352823E-2</v>
      </c>
      <c r="S430" s="26">
        <v>3.648468238249007</v>
      </c>
      <c r="T430" s="26">
        <f t="shared" si="71"/>
        <v>9.0134904915673442E-2</v>
      </c>
      <c r="U430" s="27">
        <f t="shared" si="72"/>
        <v>2.5330652435318061E-2</v>
      </c>
      <c r="V430" s="28">
        <f t="shared" si="73"/>
        <v>63.781618858988082</v>
      </c>
      <c r="W430" s="27">
        <f t="shared" si="74"/>
        <v>1.7250699505392018E-2</v>
      </c>
      <c r="X430" s="21">
        <v>3.6529233800713228</v>
      </c>
      <c r="Y430" s="21">
        <f t="shared" si="75"/>
        <v>63.835080560855872</v>
      </c>
      <c r="Z430" s="2">
        <f t="shared" si="76"/>
        <v>1.8103358227366327E-2</v>
      </c>
    </row>
    <row r="431" spans="1:26">
      <c r="A431" s="1">
        <v>62.8</v>
      </c>
      <c r="B431" s="1">
        <f t="shared" si="66"/>
        <v>335.95</v>
      </c>
      <c r="C431" s="4">
        <f>ROUND(10000*EXP(($AB$4)+($AC$4/B431)+($AD$4/(B431^2))+($AE$4/(B431^3))),6)</f>
        <v>2252.7547829999999</v>
      </c>
      <c r="D431" s="4">
        <f>((C431+2*$AC$5)*$AC$6)/((C431+2*$AC$5)+$AC$6)</f>
        <v>1234.0117664917238</v>
      </c>
      <c r="E431" s="4">
        <f t="shared" si="67"/>
        <v>1.2340117664917238</v>
      </c>
      <c r="F431" s="24">
        <v>9.9990399102947171E-4</v>
      </c>
      <c r="G431" s="6">
        <v>1.2317204876528023</v>
      </c>
      <c r="H431" s="2">
        <f t="shared" si="68"/>
        <v>1.8567722781409298E-3</v>
      </c>
      <c r="I431" s="5">
        <f>G431/F431</f>
        <v>1231.8387552235481</v>
      </c>
      <c r="J431" s="2">
        <f>ABS(D431-I431)/I431</f>
        <v>1.7640387258163464E-3</v>
      </c>
      <c r="K431" s="1">
        <f>$AD$10*B431+$AD$11</f>
        <v>1244.3983009934573</v>
      </c>
      <c r="L431" s="2">
        <f>ABS(K431-D431)/D431</f>
        <v>8.4168844931375147E-3</v>
      </c>
      <c r="M431" s="21">
        <f>K431*F431</f>
        <v>1.2442788275936518</v>
      </c>
      <c r="N431" s="2">
        <f>ABS(M431-G431)/M431</f>
        <v>1.0092866375566712E-2</v>
      </c>
      <c r="O431" s="21">
        <f t="shared" si="69"/>
        <v>1.2558339940849539E-2</v>
      </c>
      <c r="P431" s="25">
        <f>$AD$18*B431+$AD$19</f>
        <v>3.5666666666666664</v>
      </c>
      <c r="Q431" s="25">
        <f>$AD$29*G431+$AD$30</f>
        <v>3.6112209003645157</v>
      </c>
      <c r="R431" s="25">
        <f t="shared" si="70"/>
        <v>4.4554233697849277E-2</v>
      </c>
      <c r="S431" s="26">
        <v>3.6573156523523771</v>
      </c>
      <c r="T431" s="26">
        <f t="shared" si="71"/>
        <v>9.064898568571067E-2</v>
      </c>
      <c r="U431" s="27">
        <f t="shared" si="72"/>
        <v>2.5415603463283368E-2</v>
      </c>
      <c r="V431" s="28">
        <f t="shared" si="73"/>
        <v>63.887787828228518</v>
      </c>
      <c r="W431" s="27">
        <f t="shared" si="74"/>
        <v>1.7321462232938234E-2</v>
      </c>
      <c r="X431" s="21">
        <v>3.6616982888756255</v>
      </c>
      <c r="Y431" s="21">
        <f t="shared" si="75"/>
        <v>63.940379466507508</v>
      </c>
      <c r="Z431" s="2">
        <f t="shared" si="76"/>
        <v>1.8158908702348903E-2</v>
      </c>
    </row>
    <row r="432" spans="1:26">
      <c r="A432" s="1">
        <v>62.9</v>
      </c>
      <c r="B432" s="1">
        <f t="shared" si="66"/>
        <v>336.04999999999995</v>
      </c>
      <c r="C432" s="4">
        <f>ROUND(10000*EXP(($AB$4)+($AC$4/B432)+($AD$4/(B432^2))+($AE$4/(B432^3))),6)</f>
        <v>2244.774883</v>
      </c>
      <c r="D432" s="4">
        <f>((C432+2*$AC$5)*$AC$6)/((C432+2*$AC$5)+$AC$6)</f>
        <v>1231.6554784866769</v>
      </c>
      <c r="E432" s="4">
        <f t="shared" si="67"/>
        <v>1.2316554784866769</v>
      </c>
      <c r="F432" s="24">
        <v>9.9990399102947171E-4</v>
      </c>
      <c r="G432" s="6">
        <v>1.2294641356002101</v>
      </c>
      <c r="H432" s="2">
        <f t="shared" si="68"/>
        <v>1.7791849463937035E-3</v>
      </c>
      <c r="I432" s="5">
        <f>G432/F432</f>
        <v>1229.5821865201178</v>
      </c>
      <c r="J432" s="2">
        <f>ABS(D432-I432)/I432</f>
        <v>1.6861759948123094E-3</v>
      </c>
      <c r="K432" s="1">
        <f>$AD$10*B432+$AD$11</f>
        <v>1242.0491890745843</v>
      </c>
      <c r="L432" s="2">
        <f>ABS(K432-D432)/D432</f>
        <v>8.4388132634932028E-3</v>
      </c>
      <c r="M432" s="21">
        <f>K432*F432</f>
        <v>1.2419299412105957</v>
      </c>
      <c r="N432" s="2">
        <f>ABS(M432-G432)/M432</f>
        <v>1.0037446716385944E-2</v>
      </c>
      <c r="O432" s="21">
        <f t="shared" si="69"/>
        <v>1.2465805610385683E-2</v>
      </c>
      <c r="P432" s="25">
        <f>$AD$18*B432+$AD$19</f>
        <v>3.5749999999999993</v>
      </c>
      <c r="Q432" s="25">
        <f>$AD$29*G432+$AD$30</f>
        <v>3.61922594220359</v>
      </c>
      <c r="R432" s="25">
        <f t="shared" si="70"/>
        <v>4.4225942203590662E-2</v>
      </c>
      <c r="S432" s="26">
        <v>3.665637104927788</v>
      </c>
      <c r="T432" s="26">
        <f t="shared" si="71"/>
        <v>9.0637104927788759E-2</v>
      </c>
      <c r="U432" s="27">
        <f t="shared" si="72"/>
        <v>2.535303634343742E-2</v>
      </c>
      <c r="V432" s="28">
        <f t="shared" si="73"/>
        <v>63.987645259133458</v>
      </c>
      <c r="W432" s="27">
        <f t="shared" si="74"/>
        <v>1.7291657537892843E-2</v>
      </c>
      <c r="X432" s="21">
        <v>3.6699524590375083</v>
      </c>
      <c r="Y432" s="21">
        <f t="shared" si="75"/>
        <v>64.039429508450098</v>
      </c>
      <c r="Z432" s="2">
        <f t="shared" si="76"/>
        <v>1.8114936541337036E-2</v>
      </c>
    </row>
    <row r="433" spans="1:26">
      <c r="A433" s="1">
        <v>63</v>
      </c>
      <c r="B433" s="1">
        <f t="shared" si="66"/>
        <v>336.15</v>
      </c>
      <c r="C433" s="4">
        <f>ROUND(10000*EXP(($AB$4)+($AC$4/B433)+($AD$4/(B433^2))+($AE$4/(B433^3))),6)</f>
        <v>2236.8274510000001</v>
      </c>
      <c r="D433" s="4">
        <f>((C433+2*$AC$5)*$AC$6)/((C433+2*$AC$5)+$AC$6)</f>
        <v>1229.3012371190566</v>
      </c>
      <c r="E433" s="4">
        <f t="shared" si="67"/>
        <v>1.2293012371190566</v>
      </c>
      <c r="F433" s="24">
        <v>9.9990399102947171E-4</v>
      </c>
      <c r="G433" s="6">
        <v>1.2270564771243901</v>
      </c>
      <c r="H433" s="2">
        <f t="shared" si="68"/>
        <v>1.8260455020180238E-3</v>
      </c>
      <c r="I433" s="5">
        <f>G433/F433</f>
        <v>1227.1742968652909</v>
      </c>
      <c r="J433" s="2">
        <f>ABS(D433-I433)/I433</f>
        <v>1.7332014361764311E-3</v>
      </c>
      <c r="K433" s="1">
        <f>$AD$10*B433+$AD$11</f>
        <v>1239.7000771557096</v>
      </c>
      <c r="L433" s="2">
        <f>ABS(K433-D433)/D433</f>
        <v>8.4591471338817253E-3</v>
      </c>
      <c r="M433" s="21">
        <f>K433*F433</f>
        <v>1.2395810548275379</v>
      </c>
      <c r="N433" s="2">
        <f>ABS(M433-G433)/M433</f>
        <v>1.010387957638662E-2</v>
      </c>
      <c r="O433" s="21">
        <f t="shared" si="69"/>
        <v>1.2524577703147743E-2</v>
      </c>
      <c r="P433" s="25">
        <f>$AD$18*B433+$AD$19</f>
        <v>3.5833333333333321</v>
      </c>
      <c r="Q433" s="25">
        <f>$AD$29*G433+$AD$30</f>
        <v>3.6277677860222424</v>
      </c>
      <c r="R433" s="25">
        <f t="shared" si="70"/>
        <v>4.443445268891022E-2</v>
      </c>
      <c r="S433" s="26">
        <v>3.6745165758147325</v>
      </c>
      <c r="T433" s="26">
        <f t="shared" si="71"/>
        <v>9.1183242481400306E-2</v>
      </c>
      <c r="U433" s="27">
        <f t="shared" si="72"/>
        <v>2.5446486273879163E-2</v>
      </c>
      <c r="V433" s="28">
        <f t="shared" si="73"/>
        <v>64.094198909776793</v>
      </c>
      <c r="W433" s="27">
        <f t="shared" si="74"/>
        <v>1.7368236663123697E-2</v>
      </c>
      <c r="X433" s="21">
        <v>3.6787541277532938</v>
      </c>
      <c r="Y433" s="21">
        <f t="shared" si="75"/>
        <v>64.14504953303954</v>
      </c>
      <c r="Z433" s="2">
        <f t="shared" si="76"/>
        <v>1.817538941332603E-2</v>
      </c>
    </row>
    <row r="434" spans="1:26">
      <c r="A434" s="1">
        <v>63.1</v>
      </c>
      <c r="B434" s="1">
        <f t="shared" si="66"/>
        <v>336.25</v>
      </c>
      <c r="C434" s="4">
        <f>ROUND(10000*EXP(($AB$4)+($AC$4/B434)+($AD$4/(B434^2))+($AE$4/(B434^3))),6)</f>
        <v>2228.9123399999999</v>
      </c>
      <c r="D434" s="4">
        <f>((C434+2*$AC$5)*$AC$6)/((C434+2*$AC$5)+$AC$6)</f>
        <v>1226.9490548300962</v>
      </c>
      <c r="E434" s="4">
        <f t="shared" si="67"/>
        <v>1.2269490548300963</v>
      </c>
      <c r="F434" s="24">
        <v>9.9990399102947171E-4</v>
      </c>
      <c r="G434" s="6">
        <v>1.2246466811846455</v>
      </c>
      <c r="H434" s="2">
        <f t="shared" si="68"/>
        <v>1.8765030515220968E-3</v>
      </c>
      <c r="I434" s="5">
        <f>G434/F434</f>
        <v>1224.764269541304</v>
      </c>
      <c r="J434" s="2">
        <f>ABS(D434-I434)/I434</f>
        <v>1.7838414649461224E-3</v>
      </c>
      <c r="K434" s="1">
        <f>$AD$10*B434+$AD$11</f>
        <v>1237.3509652368348</v>
      </c>
      <c r="L434" s="2">
        <f>ABS(K434-D434)/D434</f>
        <v>8.4778665958375934E-3</v>
      </c>
      <c r="M434" s="21">
        <f>K434*F434</f>
        <v>1.2372321684444803</v>
      </c>
      <c r="N434" s="2">
        <f>ABS(M434-G434)/M434</f>
        <v>1.0172292299559243E-2</v>
      </c>
      <c r="O434" s="21">
        <f t="shared" si="69"/>
        <v>1.2585487259834771E-2</v>
      </c>
      <c r="P434" s="25">
        <f>$AD$18*B434+$AD$19</f>
        <v>3.5916666666666686</v>
      </c>
      <c r="Q434" s="25">
        <f>$AD$29*G434+$AD$30</f>
        <v>3.6363172130937516</v>
      </c>
      <c r="R434" s="25">
        <f t="shared" si="70"/>
        <v>4.4650546427082993E-2</v>
      </c>
      <c r="S434" s="26">
        <v>3.6834039307408255</v>
      </c>
      <c r="T434" s="26">
        <f t="shared" si="71"/>
        <v>9.1737264074156943E-2</v>
      </c>
      <c r="U434" s="27">
        <f t="shared" si="72"/>
        <v>2.5541697654057605E-2</v>
      </c>
      <c r="V434" s="28">
        <f t="shared" si="73"/>
        <v>64.200847168889908</v>
      </c>
      <c r="W434" s="27">
        <f t="shared" si="74"/>
        <v>1.7446072407130055E-2</v>
      </c>
      <c r="X434" s="21">
        <v>3.6875684814934004</v>
      </c>
      <c r="Y434" s="21">
        <f t="shared" si="75"/>
        <v>64.250821777920819</v>
      </c>
      <c r="Z434" s="2">
        <f t="shared" si="76"/>
        <v>1.8238063041534358E-2</v>
      </c>
    </row>
    <row r="435" spans="1:26">
      <c r="A435" s="1">
        <v>63.2</v>
      </c>
      <c r="B435" s="1">
        <f t="shared" si="66"/>
        <v>336.34999999999997</v>
      </c>
      <c r="C435" s="4">
        <f>ROUND(10000*EXP(($AB$4)+($AC$4/B435)+($AD$4/(B435^2))+($AE$4/(B435^3))),6)</f>
        <v>2221.0294020000001</v>
      </c>
      <c r="D435" s="4">
        <f>((C435+2*$AC$5)*$AC$6)/((C435+2*$AC$5)+$AC$6)</f>
        <v>1224.5989434814539</v>
      </c>
      <c r="E435" s="4">
        <f t="shared" si="67"/>
        <v>1.2245989434814539</v>
      </c>
      <c r="F435" s="24">
        <v>9.9990399102947171E-4</v>
      </c>
      <c r="G435" s="6">
        <v>1.2223787416868475</v>
      </c>
      <c r="H435" s="2">
        <f t="shared" si="68"/>
        <v>1.8130031929429744E-3</v>
      </c>
      <c r="I435" s="5">
        <f>G435/F435</f>
        <v>1222.4961122800623</v>
      </c>
      <c r="J435" s="2">
        <f>ABS(D435-I435)/I435</f>
        <v>1.7201127923995151E-3</v>
      </c>
      <c r="K435" s="1">
        <f>$AD$10*B435+$AD$11</f>
        <v>1235.0018533179618</v>
      </c>
      <c r="L435" s="2">
        <f>ABS(K435-D435)/D435</f>
        <v>8.4949524837356974E-3</v>
      </c>
      <c r="M435" s="21">
        <f>K435*F435</f>
        <v>1.2348832820614242</v>
      </c>
      <c r="N435" s="2">
        <f>ABS(M435-G435)/M435</f>
        <v>1.0126090907719265E-2</v>
      </c>
      <c r="O435" s="21">
        <f t="shared" si="69"/>
        <v>1.2504540374576711E-2</v>
      </c>
      <c r="P435" s="25">
        <f>$AD$18*B435+$AD$19</f>
        <v>3.5999999999999979</v>
      </c>
      <c r="Q435" s="25">
        <f>$AD$29*G435+$AD$30</f>
        <v>3.6443633646451037</v>
      </c>
      <c r="R435" s="25">
        <f t="shared" si="70"/>
        <v>4.4363364645105818E-2</v>
      </c>
      <c r="S435" s="26">
        <v>3.6917681171220411</v>
      </c>
      <c r="T435" s="26">
        <f t="shared" si="71"/>
        <v>9.1768117122043247E-2</v>
      </c>
      <c r="U435" s="27">
        <f t="shared" si="72"/>
        <v>2.5491143645012027E-2</v>
      </c>
      <c r="V435" s="28">
        <f t="shared" si="73"/>
        <v>64.301217405464499</v>
      </c>
      <c r="W435" s="27">
        <f t="shared" si="74"/>
        <v>1.7424326035830631E-2</v>
      </c>
      <c r="X435" s="21">
        <v>3.695864857744465</v>
      </c>
      <c r="Y435" s="21">
        <f t="shared" si="75"/>
        <v>64.350378292933584</v>
      </c>
      <c r="Z435" s="2">
        <f t="shared" si="76"/>
        <v>1.8202188179328817E-2</v>
      </c>
    </row>
    <row r="436" spans="1:26">
      <c r="A436" s="1">
        <v>63.3</v>
      </c>
      <c r="B436" s="1">
        <f t="shared" si="66"/>
        <v>336.45</v>
      </c>
      <c r="C436" s="4">
        <f>ROUND(10000*EXP(($AB$4)+($AC$4/B436)+($AD$4/(B436^2))+($AE$4/(B436^3))),6)</f>
        <v>2213.1784910000001</v>
      </c>
      <c r="D436" s="4">
        <f>((C436+2*$AC$5)*$AC$6)/((C436+2*$AC$5)+$AC$6)</f>
        <v>1222.2509152466828</v>
      </c>
      <c r="E436" s="4">
        <f t="shared" si="67"/>
        <v>1.2222509152466827</v>
      </c>
      <c r="F436" s="24">
        <v>9.9990399102947171E-4</v>
      </c>
      <c r="G436" s="6">
        <v>1.2201041301237445</v>
      </c>
      <c r="H436" s="2">
        <f t="shared" si="68"/>
        <v>1.756419321236443E-3</v>
      </c>
      <c r="I436" s="5">
        <f>G436/F436</f>
        <v>1220.2212823128762</v>
      </c>
      <c r="J436" s="2">
        <f>ABS(D436-I436)/I436</f>
        <v>1.663331858922788E-3</v>
      </c>
      <c r="K436" s="1">
        <f>$AD$10*B436+$AD$11</f>
        <v>1232.6527413990871</v>
      </c>
      <c r="L436" s="2">
        <f>ABS(K436-D436)/D436</f>
        <v>8.5103852430373651E-3</v>
      </c>
      <c r="M436" s="21">
        <f>K436*F436</f>
        <v>1.2325343956783665</v>
      </c>
      <c r="N436" s="2">
        <f>ABS(M436-G436)/M436</f>
        <v>1.0085126709815347E-2</v>
      </c>
      <c r="O436" s="21">
        <f t="shared" si="69"/>
        <v>1.2430265554622011E-2</v>
      </c>
      <c r="P436" s="25">
        <f>$AD$18*B436+$AD$19</f>
        <v>3.6083333333333343</v>
      </c>
      <c r="Q436" s="25">
        <f>$AD$29*G436+$AD$30</f>
        <v>3.6524331872197155</v>
      </c>
      <c r="R436" s="25">
        <f t="shared" si="70"/>
        <v>4.4099853886381268E-2</v>
      </c>
      <c r="S436" s="26">
        <v>3.7001569108061561</v>
      </c>
      <c r="T436" s="26">
        <f t="shared" si="71"/>
        <v>9.1823577472821771E-2</v>
      </c>
      <c r="U436" s="27">
        <f t="shared" si="72"/>
        <v>2.544764271764113E-2</v>
      </c>
      <c r="V436" s="28">
        <f t="shared" si="73"/>
        <v>64.401882929673874</v>
      </c>
      <c r="W436" s="27">
        <f t="shared" si="74"/>
        <v>1.7407313264990162E-2</v>
      </c>
      <c r="X436" s="21">
        <v>3.7041757571574028</v>
      </c>
      <c r="Y436" s="21">
        <f t="shared" si="75"/>
        <v>64.45010908588884</v>
      </c>
      <c r="Z436" s="2">
        <f t="shared" si="76"/>
        <v>1.8169179871861663E-2</v>
      </c>
    </row>
    <row r="437" spans="1:26">
      <c r="A437" s="1">
        <v>63.4</v>
      </c>
      <c r="B437" s="1">
        <f t="shared" si="66"/>
        <v>336.54999999999995</v>
      </c>
      <c r="C437" s="4">
        <f>ROUND(10000*EXP(($AB$4)+($AC$4/B437)+($AD$4/(B437^2))+($AE$4/(B437^3))),6)</f>
        <v>2205.3594600000001</v>
      </c>
      <c r="D437" s="4">
        <f>((C437+2*$AC$5)*$AC$6)/((C437+2*$AC$5)+$AC$6)</f>
        <v>1219.9049817168066</v>
      </c>
      <c r="E437" s="4">
        <f t="shared" si="67"/>
        <v>1.2199049817168066</v>
      </c>
      <c r="F437" s="24">
        <v>9.9990399102947171E-4</v>
      </c>
      <c r="G437" s="6">
        <v>1.2176834987762828</v>
      </c>
      <c r="H437" s="2">
        <f t="shared" si="68"/>
        <v>1.8210294849337093E-3</v>
      </c>
      <c r="I437" s="5">
        <f>G437/F437</f>
        <v>1217.8004185407758</v>
      </c>
      <c r="J437" s="2">
        <f>ABS(D437-I437)/I437</f>
        <v>1.7281675584842838E-3</v>
      </c>
      <c r="K437" s="1">
        <f>$AD$10*B437+$AD$11</f>
        <v>1230.3036294802141</v>
      </c>
      <c r="L437" s="2">
        <f>ABS(K437-D437)/D437</f>
        <v>8.5241456664708788E-3</v>
      </c>
      <c r="M437" s="21">
        <f>K437*F437</f>
        <v>1.2301855092953105</v>
      </c>
      <c r="N437" s="2">
        <f>ABS(M437-G437)/M437</f>
        <v>1.016270344965225E-2</v>
      </c>
      <c r="O437" s="21">
        <f t="shared" si="69"/>
        <v>1.2502010519027662E-2</v>
      </c>
      <c r="P437" s="25">
        <f>$AD$18*B437+$AD$19</f>
        <v>3.6166666666666636</v>
      </c>
      <c r="Q437" s="25">
        <f>$AD$29*G437+$AD$30</f>
        <v>3.661021055939556</v>
      </c>
      <c r="R437" s="25">
        <f t="shared" si="70"/>
        <v>4.4354389272892369E-2</v>
      </c>
      <c r="S437" s="26">
        <v>3.7090842265368185</v>
      </c>
      <c r="T437" s="26">
        <f t="shared" si="71"/>
        <v>9.2417559870154875E-2</v>
      </c>
      <c r="U437" s="27">
        <f t="shared" si="72"/>
        <v>2.5553242360411507E-2</v>
      </c>
      <c r="V437" s="28">
        <f t="shared" si="73"/>
        <v>64.509010718441814</v>
      </c>
      <c r="W437" s="27">
        <f t="shared" si="74"/>
        <v>1.7492282625265233E-2</v>
      </c>
      <c r="X437" s="21">
        <v>3.7135580097832888</v>
      </c>
      <c r="Y437" s="21">
        <f t="shared" si="75"/>
        <v>64.562696117399469</v>
      </c>
      <c r="Z437" s="2">
        <f t="shared" si="76"/>
        <v>1.8339055479486912E-2</v>
      </c>
    </row>
    <row r="438" spans="1:26">
      <c r="A438" s="1">
        <v>63.5</v>
      </c>
      <c r="B438" s="1">
        <f t="shared" si="66"/>
        <v>336.65</v>
      </c>
      <c r="C438" s="4">
        <f>ROUND(10000*EXP(($AB$4)+($AC$4/B438)+($AD$4/(B438^2))+($AE$4/(B438^3))),6)</f>
        <v>2197.5721659999999</v>
      </c>
      <c r="D438" s="4">
        <f>((C438+2*$AC$5)*$AC$6)/((C438+2*$AC$5)+$AC$6)</f>
        <v>1217.561155400439</v>
      </c>
      <c r="E438" s="4">
        <f t="shared" si="67"/>
        <v>1.2175611554004391</v>
      </c>
      <c r="F438" s="24">
        <v>9.9990399102947171E-4</v>
      </c>
      <c r="G438" s="6">
        <v>1.2154026332822039</v>
      </c>
      <c r="H438" s="2">
        <f t="shared" si="68"/>
        <v>1.7728243946196587E-3</v>
      </c>
      <c r="I438" s="5">
        <f>G438/F438</f>
        <v>1215.5193340421224</v>
      </c>
      <c r="J438" s="2">
        <f>ABS(D438-I438)/I438</f>
        <v>1.6797934028138246E-3</v>
      </c>
      <c r="K438" s="1">
        <f>$AD$10*B438+$AD$11</f>
        <v>1227.9545175613393</v>
      </c>
      <c r="L438" s="2">
        <f>ABS(K438-D438)/D438</f>
        <v>8.5362136553067767E-3</v>
      </c>
      <c r="M438" s="21">
        <f>K438*F438</f>
        <v>1.2278366229122528</v>
      </c>
      <c r="N438" s="2">
        <f>ABS(M438-G438)/M438</f>
        <v>1.0126746016548432E-2</v>
      </c>
      <c r="O438" s="21">
        <f t="shared" si="69"/>
        <v>1.2433989630048934E-2</v>
      </c>
      <c r="P438" s="25">
        <f>$AD$18*B438+$AD$19</f>
        <v>3.625</v>
      </c>
      <c r="Q438" s="25">
        <f>$AD$29*G438+$AD$30</f>
        <v>3.6691130660886042</v>
      </c>
      <c r="R438" s="25">
        <f t="shared" si="70"/>
        <v>4.4113066088604214E-2</v>
      </c>
      <c r="S438" s="26">
        <v>3.7174960838342455</v>
      </c>
      <c r="T438" s="26">
        <f t="shared" si="71"/>
        <v>9.2496083834245457E-2</v>
      </c>
      <c r="U438" s="27">
        <f t="shared" si="72"/>
        <v>2.5516161057722885E-2</v>
      </c>
      <c r="V438" s="28">
        <f t="shared" si="73"/>
        <v>64.609953006010954</v>
      </c>
      <c r="W438" s="27">
        <f t="shared" si="74"/>
        <v>1.7479574897810306E-2</v>
      </c>
      <c r="X438" s="21">
        <v>3.7218955292168885</v>
      </c>
      <c r="Y438" s="21">
        <f t="shared" si="75"/>
        <v>64.66274635060266</v>
      </c>
      <c r="Z438" s="2">
        <f t="shared" si="76"/>
        <v>1.8310966151222994E-2</v>
      </c>
    </row>
    <row r="439" spans="1:26">
      <c r="A439" s="1">
        <v>63.6</v>
      </c>
      <c r="B439" s="1">
        <f t="shared" si="66"/>
        <v>336.75</v>
      </c>
      <c r="C439" s="4">
        <f>ROUND(10000*EXP(($AB$4)+($AC$4/B439)+($AD$4/(B439^2))+($AE$4/(B439^3))),6)</f>
        <v>2189.8164630000001</v>
      </c>
      <c r="D439" s="4">
        <f>((C439+2*$AC$5)*$AC$6)/((C439+2*$AC$5)+$AC$6)</f>
        <v>1215.2194476235761</v>
      </c>
      <c r="E439" s="4">
        <f t="shared" si="67"/>
        <v>1.215219447623576</v>
      </c>
      <c r="F439" s="24">
        <v>9.9990399102947171E-4</v>
      </c>
      <c r="G439" s="6">
        <v>1.2131192342152737</v>
      </c>
      <c r="H439" s="2">
        <f t="shared" si="68"/>
        <v>1.7282585564355713E-3</v>
      </c>
      <c r="I439" s="5">
        <f>G439/F439</f>
        <v>1213.2357157273489</v>
      </c>
      <c r="J439" s="2">
        <f>ABS(D439-I439)/I439</f>
        <v>1.6350754189905995E-3</v>
      </c>
      <c r="K439" s="1">
        <f>$AD$10*B439+$AD$11</f>
        <v>1225.6054056424655</v>
      </c>
      <c r="L439" s="2">
        <f>ABS(K439-D439)/D439</f>
        <v>8.5465699542577617E-3</v>
      </c>
      <c r="M439" s="21">
        <f>K439*F439</f>
        <v>1.2254877365291958</v>
      </c>
      <c r="N439" s="2">
        <f>ABS(M439-G439)/M439</f>
        <v>1.0092718144166842E-2</v>
      </c>
      <c r="O439" s="21">
        <f t="shared" si="69"/>
        <v>1.2368502313922169E-2</v>
      </c>
      <c r="P439" s="25">
        <f>$AD$18*B439+$AD$19</f>
        <v>3.6333333333333364</v>
      </c>
      <c r="Q439" s="25">
        <f>$AD$29*G439+$AD$30</f>
        <v>3.6772140647980383</v>
      </c>
      <c r="R439" s="25">
        <f t="shared" si="70"/>
        <v>4.3880731464701839E-2</v>
      </c>
      <c r="S439" s="26">
        <v>3.7259172854011942</v>
      </c>
      <c r="T439" s="26">
        <f t="shared" si="71"/>
        <v>9.2583952067857744E-2</v>
      </c>
      <c r="U439" s="27">
        <f t="shared" si="72"/>
        <v>2.5481821670052567E-2</v>
      </c>
      <c r="V439" s="28">
        <f t="shared" si="73"/>
        <v>64.711007424814341</v>
      </c>
      <c r="W439" s="27">
        <f t="shared" si="74"/>
        <v>1.7468670201483318E-2</v>
      </c>
      <c r="X439" s="21">
        <v>3.7302472166499641</v>
      </c>
      <c r="Y439" s="21">
        <f t="shared" si="75"/>
        <v>64.762966599799583</v>
      </c>
      <c r="Z439" s="2">
        <f t="shared" si="76"/>
        <v>1.828563836162864E-2</v>
      </c>
    </row>
    <row r="440" spans="1:26">
      <c r="A440" s="1">
        <v>63.7</v>
      </c>
      <c r="B440" s="1">
        <f t="shared" si="66"/>
        <v>336.84999999999997</v>
      </c>
      <c r="C440" s="4">
        <f>ROUND(10000*EXP(($AB$4)+($AC$4/B440)+($AD$4/(B440^2))+($AE$4/(B440^3))),6)</f>
        <v>2182.092208</v>
      </c>
      <c r="D440" s="4">
        <f>((C440+2*$AC$5)*$AC$6)/((C440+2*$AC$5)+$AC$6)</f>
        <v>1212.8798703331122</v>
      </c>
      <c r="E440" s="4">
        <f t="shared" si="67"/>
        <v>1.2128798703331123</v>
      </c>
      <c r="F440" s="24">
        <v>9.9990399102947171E-4</v>
      </c>
      <c r="G440" s="6">
        <v>1.2106866965092071</v>
      </c>
      <c r="H440" s="2">
        <f t="shared" si="68"/>
        <v>1.808236642020296E-3</v>
      </c>
      <c r="I440" s="5">
        <f>G440/F440</f>
        <v>1210.8029444534168</v>
      </c>
      <c r="J440" s="2">
        <f>ABS(D440-I440)/I440</f>
        <v>1.7153293929533507E-3</v>
      </c>
      <c r="K440" s="1">
        <f>$AD$10*B440+$AD$11</f>
        <v>1223.2562937235925</v>
      </c>
      <c r="L440" s="2">
        <f>ABS(K440-D440)/D440</f>
        <v>8.5551946604823289E-3</v>
      </c>
      <c r="M440" s="21">
        <f>K440*F440</f>
        <v>1.22313885014614</v>
      </c>
      <c r="N440" s="2">
        <f>ABS(M440-G440)/M440</f>
        <v>1.0180490657659254E-2</v>
      </c>
      <c r="O440" s="21">
        <f t="shared" si="69"/>
        <v>1.2452153636932859E-2</v>
      </c>
      <c r="P440" s="25">
        <f>$AD$18*B440+$AD$19</f>
        <v>3.6416666666666657</v>
      </c>
      <c r="Q440" s="25">
        <f>$AD$29*G440+$AD$30</f>
        <v>3.6858441746648989</v>
      </c>
      <c r="R440" s="25">
        <f t="shared" si="70"/>
        <v>4.4177507998233168E-2</v>
      </c>
      <c r="S440" s="26">
        <v>3.7348885118326485</v>
      </c>
      <c r="T440" s="26">
        <f t="shared" si="71"/>
        <v>9.3221845165982753E-2</v>
      </c>
      <c r="U440" s="27">
        <f t="shared" si="72"/>
        <v>2.5598676018118841E-2</v>
      </c>
      <c r="V440" s="28">
        <f t="shared" si="73"/>
        <v>64.81866214199178</v>
      </c>
      <c r="W440" s="27">
        <f t="shared" si="74"/>
        <v>1.7561415101911726E-2</v>
      </c>
      <c r="X440" s="21">
        <v>3.7391383300963774</v>
      </c>
      <c r="Y440" s="21">
        <f t="shared" si="75"/>
        <v>64.869659961156543</v>
      </c>
      <c r="Z440" s="2">
        <f t="shared" si="76"/>
        <v>1.8362008809364842E-2</v>
      </c>
    </row>
    <row r="441" spans="1:26">
      <c r="A441" s="1">
        <v>63.8</v>
      </c>
      <c r="B441" s="1">
        <f t="shared" si="66"/>
        <v>336.95</v>
      </c>
      <c r="C441" s="4">
        <f>ROUND(10000*EXP(($AB$4)+($AC$4/B441)+($AD$4/(B441^2))+($AE$4/(B441^3))),6)</f>
        <v>2174.3992579999999</v>
      </c>
      <c r="D441" s="4">
        <f>((C441+2*$AC$5)*$AC$6)/((C441+2*$AC$5)+$AC$6)</f>
        <v>1210.5424351958336</v>
      </c>
      <c r="E441" s="4">
        <f t="shared" si="67"/>
        <v>1.2105424351958336</v>
      </c>
      <c r="F441" s="24">
        <v>9.9990399102947171E-4</v>
      </c>
      <c r="G441" s="6">
        <v>1.2083958947615843</v>
      </c>
      <c r="H441" s="2">
        <f t="shared" si="68"/>
        <v>1.7732054423206403E-3</v>
      </c>
      <c r="I441" s="5">
        <f>G441/F441</f>
        <v>1208.5119227471585</v>
      </c>
      <c r="J441" s="2">
        <f>ABS(D441-I441)/I441</f>
        <v>1.6801757686092536E-3</v>
      </c>
      <c r="K441" s="1">
        <f>$AD$10*B441+$AD$11</f>
        <v>1220.9071818047178</v>
      </c>
      <c r="L441" s="2">
        <f>ABS(K441-D441)/D441</f>
        <v>8.5620679684867227E-3</v>
      </c>
      <c r="M441" s="21">
        <f>K441*F441</f>
        <v>1.2207899637630821</v>
      </c>
      <c r="N441" s="2">
        <f>ABS(M441-G441)/M441</f>
        <v>1.0152499094351314E-2</v>
      </c>
      <c r="O441" s="21">
        <f t="shared" si="69"/>
        <v>1.2394069001497865E-2</v>
      </c>
      <c r="P441" s="25">
        <f>$AD$18*B441+$AD$19</f>
        <v>3.6500000000000021</v>
      </c>
      <c r="Q441" s="25">
        <f>$AD$29*G441+$AD$30</f>
        <v>3.6939714364606262</v>
      </c>
      <c r="R441" s="25">
        <f t="shared" si="70"/>
        <v>4.3971436460624069E-2</v>
      </c>
      <c r="S441" s="26">
        <v>3.743337015456548</v>
      </c>
      <c r="T441" s="26">
        <f t="shared" si="71"/>
        <v>9.3337015456545824E-2</v>
      </c>
      <c r="U441" s="27">
        <f t="shared" si="72"/>
        <v>2.5571785056587883E-2</v>
      </c>
      <c r="V441" s="28">
        <f t="shared" si="73"/>
        <v>64.920044185478574</v>
      </c>
      <c r="W441" s="27">
        <f t="shared" si="74"/>
        <v>1.7555551496529414E-2</v>
      </c>
      <c r="X441" s="21">
        <v>3.747516966065493</v>
      </c>
      <c r="Y441" s="21">
        <f t="shared" si="75"/>
        <v>64.970203592785921</v>
      </c>
      <c r="Z441" s="2">
        <f t="shared" si="76"/>
        <v>1.8341749103227653E-2</v>
      </c>
    </row>
    <row r="442" spans="1:26">
      <c r="A442" s="1">
        <v>63.9</v>
      </c>
      <c r="B442" s="1">
        <f t="shared" si="66"/>
        <v>337.04999999999995</v>
      </c>
      <c r="C442" s="4">
        <f>ROUND(10000*EXP(($AB$4)+($AC$4/B442)+($AD$4/(B442^2))+($AE$4/(B442^3))),6)</f>
        <v>2166.7374709999999</v>
      </c>
      <c r="D442" s="4">
        <f>((C442+2*$AC$5)*$AC$6)/((C442+2*$AC$5)+$AC$6)</f>
        <v>1208.2071539013518</v>
      </c>
      <c r="E442" s="4">
        <f t="shared" si="67"/>
        <v>1.2082071539013519</v>
      </c>
      <c r="F442" s="24">
        <v>9.9990399102947171E-4</v>
      </c>
      <c r="G442" s="6">
        <v>1.2059565843523266</v>
      </c>
      <c r="H442" s="2">
        <f t="shared" si="68"/>
        <v>1.8627348313227385E-3</v>
      </c>
      <c r="I442" s="5">
        <f>G442/F442</f>
        <v>1206.0723781197323</v>
      </c>
      <c r="J442" s="2">
        <f>ABS(D442-I442)/I442</f>
        <v>1.7700229441848479E-3</v>
      </c>
      <c r="K442" s="1">
        <f>$AD$10*B442+$AD$11</f>
        <v>1218.5580698858448</v>
      </c>
      <c r="L442" s="2">
        <f>ABS(K442-D442)/D442</f>
        <v>8.5671699187258085E-3</v>
      </c>
      <c r="M442" s="21">
        <f>K442*F442</f>
        <v>1.218441077380026</v>
      </c>
      <c r="N442" s="2">
        <f>ABS(M442-G442)/M442</f>
        <v>1.0246283763302277E-2</v>
      </c>
      <c r="O442" s="21">
        <f t="shared" si="69"/>
        <v>1.2484493027699495E-2</v>
      </c>
      <c r="P442" s="25">
        <f>$AD$18*B442+$AD$19</f>
        <v>3.6583333333333314</v>
      </c>
      <c r="Q442" s="25">
        <f>$AD$29*G442+$AD$30</f>
        <v>3.7026255743918783</v>
      </c>
      <c r="R442" s="25">
        <f t="shared" si="70"/>
        <v>4.42922410585469E-2</v>
      </c>
      <c r="S442" s="26">
        <v>3.7523332199829875</v>
      </c>
      <c r="T442" s="26">
        <f t="shared" si="71"/>
        <v>9.3999886649656084E-2</v>
      </c>
      <c r="U442" s="27">
        <f t="shared" si="72"/>
        <v>2.5694729835896893E-2</v>
      </c>
      <c r="V442" s="28">
        <f t="shared" si="73"/>
        <v>65.027998639795854</v>
      </c>
      <c r="W442" s="27">
        <f t="shared" si="74"/>
        <v>1.7652560873174575E-2</v>
      </c>
      <c r="X442" s="21">
        <v>3.756432732011362</v>
      </c>
      <c r="Y442" s="21">
        <f t="shared" si="75"/>
        <v>65.077192784136358</v>
      </c>
      <c r="Z442" s="2">
        <f t="shared" si="76"/>
        <v>1.8422422286953979E-2</v>
      </c>
    </row>
    <row r="443" spans="1:26">
      <c r="A443" s="1">
        <v>64</v>
      </c>
      <c r="B443" s="1">
        <f t="shared" si="66"/>
        <v>337.15</v>
      </c>
      <c r="C443" s="4">
        <f>ROUND(10000*EXP(($AB$4)+($AC$4/B443)+($AD$4/(B443^2))+($AE$4/(B443^3))),6)</f>
        <v>2159.1067050000001</v>
      </c>
      <c r="D443" s="4">
        <f>((C443+2*$AC$5)*$AC$6)/((C443+2*$AC$5)+$AC$6)</f>
        <v>1205.8740378583298</v>
      </c>
      <c r="E443" s="4">
        <f t="shared" si="67"/>
        <v>1.2058740378583297</v>
      </c>
      <c r="F443" s="24">
        <v>9.9990399102947171E-4</v>
      </c>
      <c r="G443" s="6">
        <v>1.2036571459030849</v>
      </c>
      <c r="H443" s="2">
        <f t="shared" si="68"/>
        <v>1.8384108834302801E-3</v>
      </c>
      <c r="I443" s="5">
        <f>G443/F443</f>
        <v>1203.772718882575</v>
      </c>
      <c r="J443" s="2">
        <f>ABS(D443-I443)/I443</f>
        <v>1.7456110632789411E-3</v>
      </c>
      <c r="K443" s="1">
        <f>$AD$10*B443+$AD$11</f>
        <v>1216.20895796697</v>
      </c>
      <c r="L443" s="2">
        <f>ABS(K443-D443)/D443</f>
        <v>8.5704806506950205E-3</v>
      </c>
      <c r="M443" s="21">
        <f>K443*F443</f>
        <v>1.2160921909969684</v>
      </c>
      <c r="N443" s="2">
        <f>ABS(M443-G443)/M443</f>
        <v>1.022541316023835E-2</v>
      </c>
      <c r="O443" s="21">
        <f t="shared" si="69"/>
        <v>1.243504509388349E-2</v>
      </c>
      <c r="P443" s="25">
        <f>$AD$18*B443+$AD$19</f>
        <v>3.6666666666666679</v>
      </c>
      <c r="Q443" s="25">
        <f>$AD$29*G443+$AD$30</f>
        <v>3.7107834773092918</v>
      </c>
      <c r="R443" s="25">
        <f t="shared" si="70"/>
        <v>4.411681064262396E-2</v>
      </c>
      <c r="S443" s="26">
        <v>3.7608135747810909</v>
      </c>
      <c r="T443" s="26">
        <f t="shared" si="71"/>
        <v>9.4146908114423056E-2</v>
      </c>
      <c r="U443" s="27">
        <f t="shared" si="72"/>
        <v>2.5676429485751735E-2</v>
      </c>
      <c r="V443" s="28">
        <f t="shared" si="73"/>
        <v>65.129762897373084</v>
      </c>
      <c r="W443" s="27">
        <f t="shared" si="74"/>
        <v>1.7652545271454434E-2</v>
      </c>
      <c r="X443" s="21">
        <v>3.7648378464800953</v>
      </c>
      <c r="Y443" s="21">
        <f t="shared" si="75"/>
        <v>65.178054157761153</v>
      </c>
      <c r="Z443" s="2">
        <f t="shared" si="76"/>
        <v>1.8407096215018015E-2</v>
      </c>
    </row>
    <row r="444" spans="1:26">
      <c r="A444" s="1">
        <v>64.099999999999994</v>
      </c>
      <c r="B444" s="1">
        <f t="shared" si="66"/>
        <v>337.25</v>
      </c>
      <c r="C444" s="4">
        <f>ROUND(10000*EXP(($AB$4)+($AC$4/B444)+($AD$4/(B444^2))+($AE$4/(B444^3))),6)</f>
        <v>2151.5068209999999</v>
      </c>
      <c r="D444" s="4">
        <f>((C444+2*$AC$5)*$AC$6)/((C444+2*$AC$5)+$AC$6)</f>
        <v>1203.5430991137271</v>
      </c>
      <c r="E444" s="4">
        <f t="shared" si="67"/>
        <v>1.203543099113727</v>
      </c>
      <c r="F444" s="24">
        <v>9.9990399102947171E-4</v>
      </c>
      <c r="G444" s="6">
        <v>1.20135533809884</v>
      </c>
      <c r="H444" s="2">
        <f t="shared" si="68"/>
        <v>1.8177670716554182E-3</v>
      </c>
      <c r="I444" s="5">
        <f>G444/F444</f>
        <v>1201.4706900629128</v>
      </c>
      <c r="J444" s="2">
        <f>ABS(D444-I444)/I444</f>
        <v>1.724893555835091E-3</v>
      </c>
      <c r="K444" s="1">
        <f>$AD$10*B444+$AD$11</f>
        <v>1213.8598460480953</v>
      </c>
      <c r="L444" s="2">
        <f>ABS(K444-D444)/D444</f>
        <v>8.5719796341031124E-3</v>
      </c>
      <c r="M444" s="21">
        <f>K444*F444</f>
        <v>1.2137433046139106</v>
      </c>
      <c r="N444" s="2">
        <f>ABS(M444-G444)/M444</f>
        <v>1.0206413883379697E-2</v>
      </c>
      <c r="O444" s="21">
        <f t="shared" si="69"/>
        <v>1.238796651507057E-2</v>
      </c>
      <c r="P444" s="25">
        <f>$AD$18*B444+$AD$19</f>
        <v>3.6750000000000007</v>
      </c>
      <c r="Q444" s="25">
        <f>$AD$29*G444+$AD$30</f>
        <v>3.7189497861782108</v>
      </c>
      <c r="R444" s="25">
        <f t="shared" si="70"/>
        <v>4.3949786178210104E-2</v>
      </c>
      <c r="S444" s="26">
        <v>3.7693026681423283</v>
      </c>
      <c r="T444" s="26">
        <f t="shared" si="71"/>
        <v>9.4302668142327573E-2</v>
      </c>
      <c r="U444" s="27">
        <f t="shared" si="72"/>
        <v>2.5660589970701374E-2</v>
      </c>
      <c r="V444" s="28">
        <f t="shared" si="73"/>
        <v>65.231632017707938</v>
      </c>
      <c r="W444" s="27">
        <f t="shared" si="74"/>
        <v>1.7654165642869632E-2</v>
      </c>
      <c r="X444" s="21">
        <v>3.7732565386316326</v>
      </c>
      <c r="Y444" s="21">
        <f t="shared" si="75"/>
        <v>65.279078463579594</v>
      </c>
      <c r="Z444" s="2">
        <f t="shared" si="76"/>
        <v>1.8394359806234013E-2</v>
      </c>
    </row>
    <row r="445" spans="1:26">
      <c r="A445" s="1">
        <v>64.2</v>
      </c>
      <c r="B445" s="1">
        <f t="shared" si="66"/>
        <v>337.34999999999997</v>
      </c>
      <c r="C445" s="4">
        <f>ROUND(10000*EXP(($AB$4)+($AC$4/B445)+($AD$4/(B445^2))+($AE$4/(B445^3))),6)</f>
        <v>2143.9376769999999</v>
      </c>
      <c r="D445" s="4">
        <f>((C445+2*$AC$5)*$AC$6)/((C445+2*$AC$5)+$AC$6)</f>
        <v>1201.2143485160036</v>
      </c>
      <c r="E445" s="4">
        <f t="shared" si="67"/>
        <v>1.2012143485160036</v>
      </c>
      <c r="F445" s="24">
        <v>9.9990399102947171E-4</v>
      </c>
      <c r="G445" s="6">
        <v>1.1990484812449647</v>
      </c>
      <c r="H445" s="2">
        <f t="shared" si="68"/>
        <v>1.803064768344383E-3</v>
      </c>
      <c r="I445" s="5">
        <f>G445/F445</f>
        <v>1199.1636117088199</v>
      </c>
      <c r="J445" s="2">
        <f>ABS(D445-I445)/I445</f>
        <v>1.7101392897182887E-3</v>
      </c>
      <c r="K445" s="1">
        <f>$AD$10*B445+$AD$11</f>
        <v>1211.5107341292223</v>
      </c>
      <c r="L445" s="2">
        <f>ABS(K445-D445)/D445</f>
        <v>8.5716472051295522E-3</v>
      </c>
      <c r="M445" s="21">
        <f>K445*F445</f>
        <v>1.2113944182308547</v>
      </c>
      <c r="N445" s="2">
        <f>ABS(M445-G445)/M445</f>
        <v>1.0191508892636552E-2</v>
      </c>
      <c r="O445" s="21">
        <f t="shared" si="69"/>
        <v>1.2345936985890038E-2</v>
      </c>
      <c r="P445" s="25">
        <f>$AD$18*B445+$AD$19</f>
        <v>3.6833333333333336</v>
      </c>
      <c r="Q445" s="25">
        <f>$AD$29*G445+$AD$30</f>
        <v>3.7271340079670097</v>
      </c>
      <c r="R445" s="25">
        <f t="shared" si="70"/>
        <v>4.3800674633676095E-2</v>
      </c>
      <c r="S445" s="26">
        <v>3.7778103817574262</v>
      </c>
      <c r="T445" s="26">
        <f t="shared" si="71"/>
        <v>9.4477048424092658E-2</v>
      </c>
      <c r="U445" s="27">
        <f t="shared" si="72"/>
        <v>2.5649877400206151E-2</v>
      </c>
      <c r="V445" s="28">
        <f t="shared" si="73"/>
        <v>65.333724581089115</v>
      </c>
      <c r="W445" s="27">
        <f t="shared" si="74"/>
        <v>1.7659261387680869E-2</v>
      </c>
      <c r="X445" s="21">
        <v>3.7822089254954521</v>
      </c>
      <c r="Y445" s="21">
        <f t="shared" si="75"/>
        <v>65.386507105945427</v>
      </c>
      <c r="Z445" s="2">
        <f t="shared" si="76"/>
        <v>1.8481419095723109E-2</v>
      </c>
    </row>
    <row r="446" spans="1:26">
      <c r="A446" s="1">
        <v>64.3</v>
      </c>
      <c r="B446" s="1">
        <f t="shared" si="66"/>
        <v>337.45</v>
      </c>
      <c r="C446" s="4">
        <f>ROUND(10000*EXP(($AB$4)+($AC$4/B446)+($AD$4/(B446^2))+($AE$4/(B446^3))),6)</f>
        <v>2136.3991339999998</v>
      </c>
      <c r="D446" s="4">
        <f>((C446+2*$AC$5)*$AC$6)/((C446+2*$AC$5)+$AC$6)</f>
        <v>1198.8877975530913</v>
      </c>
      <c r="E446" s="4">
        <f t="shared" si="67"/>
        <v>1.1988877975530914</v>
      </c>
      <c r="F446" s="24">
        <v>9.9990399102947171E-4</v>
      </c>
      <c r="G446" s="6">
        <v>1.1967379575907455</v>
      </c>
      <c r="H446" s="2">
        <f t="shared" si="68"/>
        <v>1.7931952987874607E-3</v>
      </c>
      <c r="I446" s="5">
        <f>G446/F446</f>
        <v>1196.8528662023034</v>
      </c>
      <c r="J446" s="2">
        <f>ABS(D446-I446)/I446</f>
        <v>1.7002351819943467E-3</v>
      </c>
      <c r="K446" s="1">
        <f>$AD$10*B446+$AD$11</f>
        <v>1209.1616222103476</v>
      </c>
      <c r="L446" s="2">
        <f>ABS(K446-D446)/D446</f>
        <v>8.5694630291716384E-3</v>
      </c>
      <c r="M446" s="21">
        <f>K446*F446</f>
        <v>1.2090455318477968</v>
      </c>
      <c r="N446" s="2">
        <f>ABS(M446-G446)/M446</f>
        <v>1.0179578794060401E-2</v>
      </c>
      <c r="O446" s="21">
        <f t="shared" si="69"/>
        <v>1.2307574257051311E-2</v>
      </c>
      <c r="P446" s="25">
        <f>$AD$18*B446+$AD$19</f>
        <v>3.6916666666666664</v>
      </c>
      <c r="Q446" s="25">
        <f>$AD$29*G446+$AD$30</f>
        <v>3.735331238758608</v>
      </c>
      <c r="R446" s="25">
        <f t="shared" si="70"/>
        <v>4.3664572091941523E-2</v>
      </c>
      <c r="S446" s="26">
        <v>3.7863316191841339</v>
      </c>
      <c r="T446" s="26">
        <f t="shared" si="71"/>
        <v>9.4664952517467427E-2</v>
      </c>
      <c r="U446" s="27">
        <f t="shared" si="72"/>
        <v>2.5642876528433615E-2</v>
      </c>
      <c r="V446" s="28">
        <f t="shared" si="73"/>
        <v>65.435979430209599</v>
      </c>
      <c r="W446" s="27">
        <f t="shared" si="74"/>
        <v>1.7666865166556796E-2</v>
      </c>
      <c r="X446" s="21">
        <v>3.7906533935827107</v>
      </c>
      <c r="Y446" s="21">
        <f t="shared" si="75"/>
        <v>65.48784072299253</v>
      </c>
      <c r="Z446" s="2">
        <f t="shared" si="76"/>
        <v>1.8473417153849658E-2</v>
      </c>
    </row>
    <row r="447" spans="1:26">
      <c r="A447" s="1">
        <v>64.400000000000006</v>
      </c>
      <c r="B447" s="1">
        <f t="shared" si="66"/>
        <v>337.54999999999995</v>
      </c>
      <c r="C447" s="4">
        <f>ROUND(10000*EXP(($AB$4)+($AC$4/B447)+($AD$4/(B447^2))+($AE$4/(B447^3))),6)</f>
        <v>2128.8910540000002</v>
      </c>
      <c r="D447" s="4">
        <f>((C447+2*$AC$5)*$AC$6)/((C447+2*$AC$5)+$AC$6)</f>
        <v>1196.5634577443736</v>
      </c>
      <c r="E447" s="4">
        <f t="shared" si="67"/>
        <v>1.1965634577443736</v>
      </c>
      <c r="F447" s="24">
        <v>9.9990399102947171E-4</v>
      </c>
      <c r="G447" s="6">
        <v>1.1942818104966113</v>
      </c>
      <c r="H447" s="2">
        <f t="shared" si="68"/>
        <v>1.9068334679577771E-3</v>
      </c>
      <c r="I447" s="5">
        <f>G447/F447</f>
        <v>1194.396483273373</v>
      </c>
      <c r="J447" s="2">
        <f>ABS(D447-I447)/I447</f>
        <v>1.8142840349478064E-3</v>
      </c>
      <c r="K447" s="1">
        <f>$AD$10*B447+$AD$11</f>
        <v>1206.8125102914746</v>
      </c>
      <c r="L447" s="2">
        <f>ABS(K447-D447)/D447</f>
        <v>8.56540660736985E-3</v>
      </c>
      <c r="M447" s="21">
        <f>K447*F447</f>
        <v>1.2066966454647408</v>
      </c>
      <c r="N447" s="2">
        <f>ABS(M447-G447)/M447</f>
        <v>1.0288281661169338E-2</v>
      </c>
      <c r="O447" s="21">
        <f t="shared" si="69"/>
        <v>1.2414834968129451E-2</v>
      </c>
      <c r="P447" s="25">
        <f>$AD$18*B447+$AD$19</f>
        <v>3.6999999999999993</v>
      </c>
      <c r="Q447" s="25">
        <f>$AD$29*G447+$AD$30</f>
        <v>3.7440451095523413</v>
      </c>
      <c r="R447" s="25">
        <f t="shared" si="70"/>
        <v>4.4045109552341977E-2</v>
      </c>
      <c r="S447" s="26">
        <v>3.7953899173841785</v>
      </c>
      <c r="T447" s="26">
        <f t="shared" si="71"/>
        <v>9.5389917384179235E-2</v>
      </c>
      <c r="U447" s="27">
        <f t="shared" si="72"/>
        <v>2.5781058752480879E-2</v>
      </c>
      <c r="V447" s="28">
        <f t="shared" si="73"/>
        <v>65.544679008610146</v>
      </c>
      <c r="W447" s="27">
        <f t="shared" si="74"/>
        <v>1.77745187672382E-2</v>
      </c>
      <c r="X447" s="21">
        <v>3.7996292732108059</v>
      </c>
      <c r="Y447" s="21">
        <f t="shared" si="75"/>
        <v>65.595551278529669</v>
      </c>
      <c r="Z447" s="2">
        <f t="shared" si="76"/>
        <v>1.8564460846733903E-2</v>
      </c>
    </row>
    <row r="448" spans="1:26">
      <c r="A448" s="1">
        <v>64.5</v>
      </c>
      <c r="B448" s="1">
        <f t="shared" si="66"/>
        <v>337.65</v>
      </c>
      <c r="C448" s="4">
        <f>ROUND(10000*EXP(($AB$4)+($AC$4/B448)+($AD$4/(B448^2))+($AE$4/(B448^3))),6)</f>
        <v>2121.4132989999998</v>
      </c>
      <c r="D448" s="4">
        <f>((C448+2*$AC$5)*$AC$6)/((C448+2*$AC$5)+$AC$6)</f>
        <v>1194.2413403322209</v>
      </c>
      <c r="E448" s="4">
        <f t="shared" si="67"/>
        <v>1.194241340332221</v>
      </c>
      <c r="F448" s="24">
        <v>9.9990399102947171E-4</v>
      </c>
      <c r="G448" s="6">
        <v>1.1919643251972039</v>
      </c>
      <c r="H448" s="2">
        <f t="shared" si="68"/>
        <v>1.9066624627009385E-3</v>
      </c>
      <c r="I448" s="5">
        <f>G448/F448</f>
        <v>1192.0787754532237</v>
      </c>
      <c r="J448" s="2">
        <f>ABS(D448-I448)/I448</f>
        <v>1.8141123921739772E-3</v>
      </c>
      <c r="K448" s="1">
        <f>$AD$10*B448+$AD$11</f>
        <v>1204.4633983726008</v>
      </c>
      <c r="L448" s="2">
        <f>ABS(K448-D448)/D448</f>
        <v>8.5594575360589814E-3</v>
      </c>
      <c r="M448" s="21">
        <f>K448*F448</f>
        <v>1.204347759081684</v>
      </c>
      <c r="N448" s="2">
        <f>ABS(M448-G448)/M448</f>
        <v>1.0282274194558665E-2</v>
      </c>
      <c r="O448" s="21">
        <f t="shared" si="69"/>
        <v>1.2383433884480157E-2</v>
      </c>
      <c r="P448" s="25">
        <f>$AD$18*B448+$AD$19</f>
        <v>3.7083333333333321</v>
      </c>
      <c r="Q448" s="25">
        <f>$AD$29*G448+$AD$30</f>
        <v>3.7522670387330663</v>
      </c>
      <c r="R448" s="25">
        <f t="shared" si="70"/>
        <v>4.393370539973418E-2</v>
      </c>
      <c r="S448" s="26">
        <v>3.8039368294861338</v>
      </c>
      <c r="T448" s="26">
        <f t="shared" si="71"/>
        <v>9.5603496152801615E-2</v>
      </c>
      <c r="U448" s="27">
        <f t="shared" si="72"/>
        <v>2.578071806367685E-2</v>
      </c>
      <c r="V448" s="28">
        <f t="shared" si="73"/>
        <v>65.647241953833614</v>
      </c>
      <c r="W448" s="27">
        <f t="shared" si="74"/>
        <v>1.7786696958660683E-2</v>
      </c>
      <c r="X448" s="21">
        <v>3.8080990513223361</v>
      </c>
      <c r="Y448" s="21">
        <f t="shared" si="75"/>
        <v>65.697188615868043</v>
      </c>
      <c r="Z448" s="2">
        <f t="shared" si="76"/>
        <v>1.8561063811907648E-2</v>
      </c>
    </row>
    <row r="449" spans="1:26">
      <c r="A449" s="1">
        <v>64.599999999999994</v>
      </c>
      <c r="B449" s="1">
        <f t="shared" si="66"/>
        <v>337.75</v>
      </c>
      <c r="C449" s="4">
        <f>ROUND(10000*EXP(($AB$4)+($AC$4/B449)+($AD$4/(B449^2))+($AE$4/(B449^3))),6)</f>
        <v>2113.9657320000001</v>
      </c>
      <c r="D449" s="4">
        <f>((C449+2*$AC$5)*$AC$6)/((C449+2*$AC$5)+$AC$6)</f>
        <v>1191.9214565917405</v>
      </c>
      <c r="E449" s="4">
        <f t="shared" si="67"/>
        <v>1.1919214565917404</v>
      </c>
      <c r="F449" s="24">
        <v>9.9990399102947171E-4</v>
      </c>
      <c r="G449" s="6">
        <v>1.1896432678646209</v>
      </c>
      <c r="H449" s="2">
        <f t="shared" si="68"/>
        <v>1.9113580970627835E-3</v>
      </c>
      <c r="I449" s="5">
        <f>G449/F449</f>
        <v>1189.7574952569189</v>
      </c>
      <c r="J449" s="2">
        <f>ABS(D449-I449)/I449</f>
        <v>1.8188255534833074E-3</v>
      </c>
      <c r="K449" s="1">
        <f>$AD$10*B449+$AD$11</f>
        <v>1202.114286453726</v>
      </c>
      <c r="L449" s="2">
        <f>ABS(K449-D449)/D449</f>
        <v>8.5515952461595567E-3</v>
      </c>
      <c r="M449" s="21">
        <f>K449*F449</f>
        <v>1.2019988726986262</v>
      </c>
      <c r="N449" s="2">
        <f>ABS(M449-G449)/M449</f>
        <v>1.0279214993160068E-2</v>
      </c>
      <c r="O449" s="21">
        <f t="shared" si="69"/>
        <v>1.2355604834005218E-2</v>
      </c>
      <c r="P449" s="25">
        <f>$AD$18*B449+$AD$19</f>
        <v>3.7166666666666686</v>
      </c>
      <c r="Q449" s="25">
        <f>$AD$29*G449+$AD$30</f>
        <v>3.7605016407034766</v>
      </c>
      <c r="R449" s="25">
        <f t="shared" si="70"/>
        <v>4.3834974036808028E-2</v>
      </c>
      <c r="S449" s="26">
        <v>3.8124969154006565</v>
      </c>
      <c r="T449" s="26">
        <f t="shared" si="71"/>
        <v>9.5830248733987933E-2</v>
      </c>
      <c r="U449" s="27">
        <f t="shared" si="72"/>
        <v>2.5783923426185081E-2</v>
      </c>
      <c r="V449" s="28">
        <f t="shared" si="73"/>
        <v>65.74996298480788</v>
      </c>
      <c r="W449" s="27">
        <f t="shared" si="74"/>
        <v>1.780128459454931E-2</v>
      </c>
      <c r="X449" s="21">
        <v>3.8165818214647791</v>
      </c>
      <c r="Y449" s="21">
        <f t="shared" si="75"/>
        <v>65.79898185757736</v>
      </c>
      <c r="Z449" s="2">
        <f t="shared" si="76"/>
        <v>1.8560090674572222E-2</v>
      </c>
    </row>
    <row r="450" spans="1:26">
      <c r="A450" s="1">
        <v>64.7</v>
      </c>
      <c r="B450" s="1">
        <f t="shared" si="66"/>
        <v>337.84999999999997</v>
      </c>
      <c r="C450" s="4">
        <f>ROUND(10000*EXP(($AB$4)+($AC$4/B450)+($AD$4/(B450^2))+($AE$4/(B450^3))),6)</f>
        <v>2106.5482160000001</v>
      </c>
      <c r="D450" s="4">
        <f>((C450+2*$AC$5)*$AC$6)/((C450+2*$AC$5)+$AC$6)</f>
        <v>1189.6038175204258</v>
      </c>
      <c r="E450" s="4">
        <f t="shared" si="67"/>
        <v>1.1896038175204258</v>
      </c>
      <c r="F450" s="24">
        <v>9.9990399102947171E-4</v>
      </c>
      <c r="G450" s="6">
        <v>1.1874598172966802</v>
      </c>
      <c r="H450" s="2">
        <f t="shared" si="68"/>
        <v>1.8022808872743042E-3</v>
      </c>
      <c r="I450" s="5">
        <f>G450/F450</f>
        <v>1187.5738350380084</v>
      </c>
      <c r="J450" s="2">
        <f>ABS(D450-I450)/I450</f>
        <v>1.7093526503574503E-3</v>
      </c>
      <c r="K450" s="1">
        <f>$AD$10*B450+$AD$11</f>
        <v>1199.765174534853</v>
      </c>
      <c r="L450" s="2">
        <f>ABS(K450-D450)/D450</f>
        <v>8.5417992652438626E-3</v>
      </c>
      <c r="M450" s="21">
        <f>K450*F450</f>
        <v>1.1996499863155703</v>
      </c>
      <c r="N450" s="2">
        <f>ABS(M450-G450)/M450</f>
        <v>1.0161438051051243E-2</v>
      </c>
      <c r="O450" s="21">
        <f t="shared" si="69"/>
        <v>1.2190169018890138E-2</v>
      </c>
      <c r="P450" s="25">
        <f>$AD$18*B450+$AD$19</f>
        <v>3.7249999999999979</v>
      </c>
      <c r="Q450" s="25">
        <f>$AD$29*G450+$AD$30</f>
        <v>3.7682480440760511</v>
      </c>
      <c r="R450" s="25">
        <f t="shared" si="70"/>
        <v>4.3248044076053205E-2</v>
      </c>
      <c r="S450" s="26">
        <v>3.8205495063849084</v>
      </c>
      <c r="T450" s="26">
        <f t="shared" si="71"/>
        <v>9.5549506384910554E-2</v>
      </c>
      <c r="U450" s="27">
        <f t="shared" si="72"/>
        <v>2.5650874197291437E-2</v>
      </c>
      <c r="V450" s="28">
        <f t="shared" si="73"/>
        <v>65.846594076618899</v>
      </c>
      <c r="W450" s="27">
        <f t="shared" si="74"/>
        <v>1.7721701338777377E-2</v>
      </c>
      <c r="X450" s="21">
        <v>3.8250774666170155</v>
      </c>
      <c r="Y450" s="21">
        <f t="shared" si="75"/>
        <v>65.900929599404193</v>
      </c>
      <c r="Z450" s="2">
        <f t="shared" si="76"/>
        <v>1.8561508491563995E-2</v>
      </c>
    </row>
    <row r="451" spans="1:26">
      <c r="A451" s="1">
        <v>64.8</v>
      </c>
      <c r="B451" s="1">
        <f t="shared" si="66"/>
        <v>337.95</v>
      </c>
      <c r="C451" s="4">
        <f>ROUND(10000*EXP(($AB$4)+($AC$4/B451)+($AD$4/(B451^2))+($AE$4/(B451^3))),6)</f>
        <v>2099.1606139999999</v>
      </c>
      <c r="D451" s="4">
        <f>((C451+2*$AC$5)*$AC$6)/((C451+2*$AC$5)+$AC$6)</f>
        <v>1187.2884338359593</v>
      </c>
      <c r="E451" s="4">
        <f t="shared" si="67"/>
        <v>1.1872884338359593</v>
      </c>
      <c r="F451" s="24">
        <v>9.9990399102947171E-4</v>
      </c>
      <c r="G451" s="6">
        <v>1.1851300779176128</v>
      </c>
      <c r="H451" s="2">
        <f t="shared" si="68"/>
        <v>1.8178867550938027E-3</v>
      </c>
      <c r="I451" s="5">
        <f>G451/F451</f>
        <v>1185.2438719615848</v>
      </c>
      <c r="J451" s="2">
        <f>ABS(D451-I451)/I451</f>
        <v>1.7250136640577891E-3</v>
      </c>
      <c r="K451" s="1">
        <f>$AD$10*B451+$AD$11</f>
        <v>1197.4160626159783</v>
      </c>
      <c r="L451" s="2">
        <f>ABS(K451-D451)/D451</f>
        <v>8.5300492208940943E-3</v>
      </c>
      <c r="M451" s="21">
        <f>K451*F451</f>
        <v>1.1973010999325124</v>
      </c>
      <c r="N451" s="2">
        <f>ABS(M451-G451)/M451</f>
        <v>1.0165381135610458E-2</v>
      </c>
      <c r="O451" s="21">
        <f t="shared" si="69"/>
        <v>1.2171022014899613E-2</v>
      </c>
      <c r="P451" s="25">
        <f>$AD$18*B451+$AD$19</f>
        <v>3.7333333333333343</v>
      </c>
      <c r="Q451" s="25">
        <f>$AD$29*G451+$AD$30</f>
        <v>3.7765134480417775</v>
      </c>
      <c r="R451" s="25">
        <f t="shared" si="70"/>
        <v>4.3180114708443185E-2</v>
      </c>
      <c r="S451" s="26">
        <v>3.829141610857111</v>
      </c>
      <c r="T451" s="26">
        <f t="shared" si="71"/>
        <v>9.5808277523776741E-2</v>
      </c>
      <c r="U451" s="27">
        <f t="shared" si="72"/>
        <v>2.566293147958305E-2</v>
      </c>
      <c r="V451" s="28">
        <f t="shared" si="73"/>
        <v>65.949699330285341</v>
      </c>
      <c r="W451" s="27">
        <f t="shared" si="74"/>
        <v>1.7742273615514569E-2</v>
      </c>
      <c r="X451" s="21">
        <v>3.8330717716177904</v>
      </c>
      <c r="Y451" s="21">
        <f t="shared" si="75"/>
        <v>65.996861259413492</v>
      </c>
      <c r="Z451" s="2">
        <f t="shared" si="76"/>
        <v>1.847008116378851E-2</v>
      </c>
    </row>
    <row r="452" spans="1:26">
      <c r="A452" s="1">
        <v>64.900000000000006</v>
      </c>
      <c r="B452" s="1">
        <f t="shared" ref="B452:B515" si="77">A452+273.15</f>
        <v>338.04999999999995</v>
      </c>
      <c r="C452" s="4">
        <f>ROUND(10000*EXP(($AB$4)+($AC$4/B452)+($AD$4/(B452^2))+($AE$4/(B452^3))),6)</f>
        <v>2091.8027929999998</v>
      </c>
      <c r="D452" s="4">
        <f>((C452+2*$AC$5)*$AC$6)/((C452+2*$AC$5)+$AC$6)</f>
        <v>1184.9753172334549</v>
      </c>
      <c r="E452" s="4">
        <f t="shared" ref="E452:E515" si="78">D452*0.001</f>
        <v>1.184975317233455</v>
      </c>
      <c r="F452" s="24">
        <v>9.9990399102947171E-4</v>
      </c>
      <c r="G452" s="6">
        <v>1.1827982174234726</v>
      </c>
      <c r="H452" s="2">
        <f t="shared" ref="H452:H515" si="79">ABS(E452-G452)/E452</f>
        <v>1.8372532982925066E-3</v>
      </c>
      <c r="I452" s="5">
        <f>G452/F452</f>
        <v>1182.9117875664226</v>
      </c>
      <c r="J452" s="2">
        <f>ABS(D452-I452)/I452</f>
        <v>1.7444493230366325E-3</v>
      </c>
      <c r="K452" s="1">
        <f>$AD$10*B452+$AD$11</f>
        <v>1195.0669506971053</v>
      </c>
      <c r="L452" s="2">
        <f>ABS(K452-D452)/D452</f>
        <v>8.5163237722210034E-3</v>
      </c>
      <c r="M452" s="21">
        <f>K452*F452</f>
        <v>1.1949522135494566</v>
      </c>
      <c r="N452" s="2">
        <f>ABS(M452-G452)/M452</f>
        <v>1.0171114784483366E-2</v>
      </c>
      <c r="O452" s="21">
        <f t="shared" ref="O452:O515" si="80">N452*M452</f>
        <v>1.2153996125984001E-2</v>
      </c>
      <c r="P452" s="25">
        <f>$AD$18*B452+$AD$19</f>
        <v>3.7416666666666636</v>
      </c>
      <c r="Q452" s="25">
        <f>$AD$29*G452+$AD$30</f>
        <v>3.7847863772582233</v>
      </c>
      <c r="R452" s="25">
        <f t="shared" ref="R452:R515" si="81">ABS(P452-Q452)</f>
        <v>4.3119710591559723E-2</v>
      </c>
      <c r="S452" s="26">
        <v>3.8377415383229914</v>
      </c>
      <c r="T452" s="26">
        <f t="shared" ref="T452:T515" si="82">ABS(P452-S452)</f>
        <v>9.6074871656327776E-2</v>
      </c>
      <c r="U452" s="27">
        <f t="shared" ref="U452:U515" si="83">IF(P452=0,ABS(P452-S452),ABS(P452-S452)/P452)</f>
        <v>2.5677025832426151E-2</v>
      </c>
      <c r="V452" s="28">
        <f t="shared" ref="V452:V515" si="84">(S452-$AD$21)/($AD$20)</f>
        <v>66.052898459875905</v>
      </c>
      <c r="W452" s="27">
        <f t="shared" ref="W452:W515" si="85">ABS(A452-V452)/A452</f>
        <v>1.7764228965730346E-2</v>
      </c>
      <c r="X452" s="21">
        <v>3.8415938356227968</v>
      </c>
      <c r="Y452" s="21">
        <f t="shared" ref="Y452:Y515" si="86">(X452+5/3)/(1/12)</f>
        <v>66.099126027473559</v>
      </c>
      <c r="Z452" s="2">
        <f t="shared" ref="Z452:Z515" si="87">ABS(A452-Y452)/A452</f>
        <v>1.8476518142889888E-2</v>
      </c>
    </row>
    <row r="453" spans="1:26">
      <c r="A453" s="1">
        <v>65</v>
      </c>
      <c r="B453" s="1">
        <f t="shared" si="77"/>
        <v>338.15</v>
      </c>
      <c r="C453" s="4">
        <f>ROUND(10000*EXP(($AB$4)+($AC$4/B453)+($AD$4/(B453^2))+($AE$4/(B453^3))),6)</f>
        <v>2084.474616</v>
      </c>
      <c r="D453" s="4">
        <f>((C453+2*$AC$5)*$AC$6)/((C453+2*$AC$5)+$AC$6)</f>
        <v>1182.6644778759719</v>
      </c>
      <c r="E453" s="4">
        <f t="shared" si="78"/>
        <v>1.1826644778759718</v>
      </c>
      <c r="F453" s="24">
        <v>9.9990399102947171E-4</v>
      </c>
      <c r="G453" s="6">
        <v>1.1806032302833509</v>
      </c>
      <c r="H453" s="2">
        <f t="shared" si="79"/>
        <v>1.742884504591595E-3</v>
      </c>
      <c r="I453" s="5">
        <f>G453/F453</f>
        <v>1180.7165896676106</v>
      </c>
      <c r="J453" s="2">
        <f>ABS(D453-I453)/I453</f>
        <v>1.6497508592723774E-3</v>
      </c>
      <c r="K453" s="1">
        <f>$AD$10*B453+$AD$11</f>
        <v>1192.7178387782305</v>
      </c>
      <c r="L453" s="2">
        <f>ABS(K453-D453)/D453</f>
        <v>8.5006027409516554E-3</v>
      </c>
      <c r="M453" s="21">
        <f>K453*F453</f>
        <v>1.1926033271663987</v>
      </c>
      <c r="N453" s="2">
        <f>ABS(M453-G453)/M453</f>
        <v>1.0062102469192169E-2</v>
      </c>
      <c r="O453" s="21">
        <f t="shared" si="80"/>
        <v>1.2000096883047817E-2</v>
      </c>
      <c r="P453" s="25">
        <f>$AD$18*B453+$AD$19</f>
        <v>3.75</v>
      </c>
      <c r="Q453" s="25">
        <f>$AD$29*G453+$AD$30</f>
        <v>3.7925737098567494</v>
      </c>
      <c r="R453" s="25">
        <f t="shared" si="81"/>
        <v>4.2573709856749353E-2</v>
      </c>
      <c r="S453" s="26">
        <v>3.845836675168496</v>
      </c>
      <c r="T453" s="26">
        <f t="shared" si="82"/>
        <v>9.5836675168496033E-2</v>
      </c>
      <c r="U453" s="27">
        <f t="shared" si="83"/>
        <v>2.5556446711598943E-2</v>
      </c>
      <c r="V453" s="28">
        <f t="shared" si="84"/>
        <v>66.150040102021961</v>
      </c>
      <c r="W453" s="27">
        <f t="shared" si="85"/>
        <v>1.7692924646491713E-2</v>
      </c>
      <c r="X453" s="21">
        <v>3.8501284237216207</v>
      </c>
      <c r="Y453" s="21">
        <f t="shared" si="86"/>
        <v>66.201541084659453</v>
      </c>
      <c r="Z453" s="2">
        <f t="shared" si="87"/>
        <v>1.8485247456299283E-2</v>
      </c>
    </row>
    <row r="454" spans="1:26">
      <c r="A454" s="1">
        <v>65.099999999999994</v>
      </c>
      <c r="B454" s="1">
        <f t="shared" si="77"/>
        <v>338.25</v>
      </c>
      <c r="C454" s="4">
        <f>ROUND(10000*EXP(($AB$4)+($AC$4/B454)+($AD$4/(B454^2))+($AE$4/(B454^3))),6)</f>
        <v>2077.1759510000002</v>
      </c>
      <c r="D454" s="4">
        <f>((C454+2*$AC$5)*$AC$6)/((C454+2*$AC$5)+$AC$6)</f>
        <v>1180.3559272241503</v>
      </c>
      <c r="E454" s="4">
        <f t="shared" si="78"/>
        <v>1.1803559272241504</v>
      </c>
      <c r="F454" s="24">
        <v>9.9990399102947171E-4</v>
      </c>
      <c r="G454" s="6">
        <v>1.1782642354112762</v>
      </c>
      <c r="H454" s="2">
        <f t="shared" si="79"/>
        <v>1.7720856604610839E-3</v>
      </c>
      <c r="I454" s="5">
        <f>G454/F454</f>
        <v>1178.3773702094838</v>
      </c>
      <c r="J454" s="2">
        <f>ABS(D454-I454)/I454</f>
        <v>1.6790521141072888E-3</v>
      </c>
      <c r="K454" s="1">
        <f>$AD$10*B454+$AD$11</f>
        <v>1190.3687268593558</v>
      </c>
      <c r="L454" s="2">
        <f>ABS(K454-D454)/D454</f>
        <v>8.4828647056931963E-3</v>
      </c>
      <c r="M454" s="21">
        <f>K454*F454</f>
        <v>1.1902544407833409</v>
      </c>
      <c r="N454" s="2">
        <f>ABS(M454-G454)/M454</f>
        <v>1.0073648928521143E-2</v>
      </c>
      <c r="O454" s="21">
        <f t="shared" si="80"/>
        <v>1.1990205372064635E-2</v>
      </c>
      <c r="P454" s="25">
        <f>$AD$18*B454+$AD$19</f>
        <v>3.7583333333333364</v>
      </c>
      <c r="Q454" s="25">
        <f>$AD$29*G454+$AD$30</f>
        <v>3.8008719502801913</v>
      </c>
      <c r="R454" s="25">
        <f t="shared" si="81"/>
        <v>4.2538616946854901E-2</v>
      </c>
      <c r="S454" s="26">
        <v>3.8544629159146515</v>
      </c>
      <c r="T454" s="26">
        <f t="shared" si="82"/>
        <v>9.6129582581315098E-2</v>
      </c>
      <c r="U454" s="27">
        <f t="shared" si="83"/>
        <v>2.5577715986159207E-2</v>
      </c>
      <c r="V454" s="28">
        <f t="shared" si="84"/>
        <v>66.253554990975829</v>
      </c>
      <c r="W454" s="27">
        <f t="shared" si="85"/>
        <v>1.7719738724667197E-2</v>
      </c>
      <c r="X454" s="21">
        <v>3.8586754196973354</v>
      </c>
      <c r="Y454" s="21">
        <f t="shared" si="86"/>
        <v>66.304105036368028</v>
      </c>
      <c r="Z454" s="2">
        <f t="shared" si="87"/>
        <v>1.8496237117788545E-2</v>
      </c>
    </row>
    <row r="455" spans="1:26">
      <c r="A455" s="1">
        <v>65.2</v>
      </c>
      <c r="B455" s="1">
        <f t="shared" si="77"/>
        <v>338.34999999999997</v>
      </c>
      <c r="C455" s="4">
        <f>ROUND(10000*EXP(($AB$4)+($AC$4/B455)+($AD$4/(B455^2))+($AE$4/(B455^3))),6)</f>
        <v>2069.906665</v>
      </c>
      <c r="D455" s="4">
        <f>((C455+2*$AC$5)*$AC$6)/((C455+2*$AC$5)+$AC$6)</f>
        <v>1178.0496761516749</v>
      </c>
      <c r="E455" s="4">
        <f t="shared" si="78"/>
        <v>1.178049676151675</v>
      </c>
      <c r="F455" s="24">
        <v>9.9990399102947171E-4</v>
      </c>
      <c r="G455" s="6">
        <v>1.1759218688119992</v>
      </c>
      <c r="H455" s="2">
        <f t="shared" si="79"/>
        <v>1.8062118964513106E-3</v>
      </c>
      <c r="I455" s="5">
        <f>G455/F455</f>
        <v>1176.0347787004077</v>
      </c>
      <c r="J455" s="2">
        <f>ABS(D455-I455)/I455</f>
        <v>1.7132975042572947E-3</v>
      </c>
      <c r="K455" s="1">
        <f>$AD$10*B455+$AD$11</f>
        <v>1188.0196149404828</v>
      </c>
      <c r="L455" s="2">
        <f>ABS(K455-D455)/D455</f>
        <v>8.4630886036797786E-3</v>
      </c>
      <c r="M455" s="21">
        <f>K455*F455</f>
        <v>1.187905554400285</v>
      </c>
      <c r="N455" s="2">
        <f>ABS(M455-G455)/M455</f>
        <v>1.0088079430132598E-2</v>
      </c>
      <c r="O455" s="21">
        <f t="shared" si="80"/>
        <v>1.1983685588285775E-2</v>
      </c>
      <c r="P455" s="25">
        <f>$AD$18*B455+$AD$19</f>
        <v>3.7666666666666657</v>
      </c>
      <c r="Q455" s="25">
        <f>$AD$29*G455+$AD$30</f>
        <v>3.8091821528516911</v>
      </c>
      <c r="R455" s="25">
        <f t="shared" si="81"/>
        <v>4.2515486185025431E-2</v>
      </c>
      <c r="S455" s="26">
        <v>3.8631015901640056</v>
      </c>
      <c r="T455" s="26">
        <f t="shared" si="82"/>
        <v>9.6434923497339842E-2</v>
      </c>
      <c r="U455" s="27">
        <f t="shared" si="83"/>
        <v>2.5602192078939788E-2</v>
      </c>
      <c r="V455" s="28">
        <f t="shared" si="84"/>
        <v>66.357219081968069</v>
      </c>
      <c r="W455" s="27">
        <f t="shared" si="85"/>
        <v>1.7748758925890576E-2</v>
      </c>
      <c r="X455" s="21">
        <v>3.8672347074413636</v>
      </c>
      <c r="Y455" s="21">
        <f t="shared" si="86"/>
        <v>66.406816489296361</v>
      </c>
      <c r="Z455" s="2">
        <f t="shared" si="87"/>
        <v>1.8509455357306102E-2</v>
      </c>
    </row>
    <row r="456" spans="1:26">
      <c r="A456" s="1">
        <v>65.3</v>
      </c>
      <c r="B456" s="1">
        <f t="shared" si="77"/>
        <v>338.45</v>
      </c>
      <c r="C456" s="4">
        <f>ROUND(10000*EXP(($AB$4)+($AC$4/B456)+($AD$4/(B456^2))+($AE$4/(B456^3))),6)</f>
        <v>2062.666624</v>
      </c>
      <c r="D456" s="4">
        <f>((C456+2*$AC$5)*$AC$6)/((C456+2*$AC$5)+$AC$6)</f>
        <v>1175.7457349383508</v>
      </c>
      <c r="E456" s="4">
        <f t="shared" si="78"/>
        <v>1.1757457349383509</v>
      </c>
      <c r="F456" s="24">
        <v>9.9990399102947171E-4</v>
      </c>
      <c r="G456" s="6">
        <v>1.1735761404569731</v>
      </c>
      <c r="H456" s="2">
        <f t="shared" si="79"/>
        <v>1.8452922404107455E-3</v>
      </c>
      <c r="I456" s="5">
        <f>G456/F456</f>
        <v>1173.6888251127928</v>
      </c>
      <c r="J456" s="2">
        <f>ABS(D456-I456)/I456</f>
        <v>1.7525171762288456E-3</v>
      </c>
      <c r="K456" s="1">
        <f>$AD$10*B456+$AD$11</f>
        <v>1185.670503021609</v>
      </c>
      <c r="L456" s="2">
        <f>ABS(K456-D456)/D456</f>
        <v>8.4412537407831494E-3</v>
      </c>
      <c r="M456" s="21">
        <f>K456*F456</f>
        <v>1.185556668017228</v>
      </c>
      <c r="N456" s="2">
        <f>ABS(M456-G456)/M456</f>
        <v>1.0105402705289175E-2</v>
      </c>
      <c r="O456" s="21">
        <f t="shared" si="80"/>
        <v>1.1980527560254917E-2</v>
      </c>
      <c r="P456" s="25">
        <f>$AD$18*B456+$AD$19</f>
        <v>3.7750000000000021</v>
      </c>
      <c r="Q456" s="25">
        <f>$AD$29*G456+$AD$30</f>
        <v>3.8175042821947223</v>
      </c>
      <c r="R456" s="25">
        <f t="shared" si="81"/>
        <v>4.2504282194720133E-2</v>
      </c>
      <c r="S456" s="26">
        <v>3.8717526631665149</v>
      </c>
      <c r="T456" s="26">
        <f t="shared" si="82"/>
        <v>9.6752663166512765E-2</v>
      </c>
      <c r="U456" s="27">
        <f t="shared" si="83"/>
        <v>2.5629844547420587E-2</v>
      </c>
      <c r="V456" s="28">
        <f t="shared" si="84"/>
        <v>66.461031957998188</v>
      </c>
      <c r="W456" s="27">
        <f t="shared" si="85"/>
        <v>1.7779968728915629E-2</v>
      </c>
      <c r="X456" s="21">
        <v>3.8758061712512215</v>
      </c>
      <c r="Y456" s="21">
        <f t="shared" si="86"/>
        <v>66.509674055014656</v>
      </c>
      <c r="Z456" s="2">
        <f t="shared" si="87"/>
        <v>1.8524870674037661E-2</v>
      </c>
    </row>
    <row r="457" spans="1:26">
      <c r="A457" s="1">
        <v>65.400000000000006</v>
      </c>
      <c r="B457" s="1">
        <f t="shared" si="77"/>
        <v>338.54999999999995</v>
      </c>
      <c r="C457" s="4">
        <f>ROUND(10000*EXP(($AB$4)+($AC$4/B457)+($AD$4/(B457^2))+($AE$4/(B457^3))),6)</f>
        <v>2055.4556969999999</v>
      </c>
      <c r="D457" s="4">
        <f>((C457+2*$AC$5)*$AC$6)/((C457+2*$AC$5)+$AC$6)</f>
        <v>1173.4441145418505</v>
      </c>
      <c r="E457" s="4">
        <f t="shared" si="78"/>
        <v>1.1734441145418506</v>
      </c>
      <c r="F457" s="24">
        <v>9.9990399102947171E-4</v>
      </c>
      <c r="G457" s="6">
        <v>1.1713649506013386</v>
      </c>
      <c r="H457" s="2">
        <f t="shared" si="79"/>
        <v>1.7718474316297265E-3</v>
      </c>
      <c r="I457" s="5">
        <f>G457/F457</f>
        <v>1171.4774229427126</v>
      </c>
      <c r="J457" s="2">
        <f>ABS(D457-I457)/I457</f>
        <v>1.6788130617128229E-3</v>
      </c>
      <c r="K457" s="1">
        <f>$AD$10*B457+$AD$11</f>
        <v>1183.3213911027351</v>
      </c>
      <c r="L457" s="2">
        <f>ABS(K457-D457)/D457</f>
        <v>8.4173387027818014E-3</v>
      </c>
      <c r="M457" s="21">
        <f>K457*F457</f>
        <v>1.1832077816341713</v>
      </c>
      <c r="N457" s="2">
        <f>ABS(M457-G457)/M457</f>
        <v>1.0009088189460785E-2</v>
      </c>
      <c r="O457" s="21">
        <f t="shared" si="80"/>
        <v>1.1842831032832679E-2</v>
      </c>
      <c r="P457" s="25">
        <f>$AD$18*B457+$AD$19</f>
        <v>3.7833333333333314</v>
      </c>
      <c r="Q457" s="25">
        <f>$AD$29*G457+$AD$30</f>
        <v>3.8253490984715777</v>
      </c>
      <c r="R457" s="25">
        <f t="shared" si="81"/>
        <v>4.201576513824623E-2</v>
      </c>
      <c r="S457" s="26">
        <v>3.8799075564026917</v>
      </c>
      <c r="T457" s="26">
        <f t="shared" si="82"/>
        <v>9.6574223069360254E-2</v>
      </c>
      <c r="U457" s="27">
        <f t="shared" si="83"/>
        <v>2.5526226361945455E-2</v>
      </c>
      <c r="V457" s="28">
        <f t="shared" si="84"/>
        <v>66.558890676832306</v>
      </c>
      <c r="W457" s="27">
        <f t="shared" si="85"/>
        <v>1.7720040930157489E-2</v>
      </c>
      <c r="X457" s="21">
        <v>3.8838816964515797</v>
      </c>
      <c r="Y457" s="21">
        <f t="shared" si="86"/>
        <v>66.606580357418963</v>
      </c>
      <c r="Z457" s="2">
        <f t="shared" si="87"/>
        <v>1.8449240939127785E-2</v>
      </c>
    </row>
    <row r="458" spans="1:26">
      <c r="A458" s="1">
        <v>65.5</v>
      </c>
      <c r="B458" s="1">
        <f t="shared" si="77"/>
        <v>338.65</v>
      </c>
      <c r="C458" s="4">
        <f>ROUND(10000*EXP(($AB$4)+($AC$4/B458)+($AD$4/(B458^2))+($AE$4/(B458^3))),6)</f>
        <v>2048.2737520000001</v>
      </c>
      <c r="D458" s="4">
        <f>((C458+2*$AC$5)*$AC$6)/((C458+2*$AC$5)+$AC$6)</f>
        <v>1171.1448253275539</v>
      </c>
      <c r="E458" s="4">
        <f t="shared" si="78"/>
        <v>1.171144825327554</v>
      </c>
      <c r="F458" s="24">
        <v>9.9990399102947171E-4</v>
      </c>
      <c r="G458" s="6">
        <v>1.1690123390175358</v>
      </c>
      <c r="H458" s="2">
        <f t="shared" si="79"/>
        <v>1.8208561946400172E-3</v>
      </c>
      <c r="I458" s="5">
        <f>G458/F458</f>
        <v>1169.1245854654055</v>
      </c>
      <c r="J458" s="2">
        <f>ABS(D458-I458)/I458</f>
        <v>1.7279936520573495E-3</v>
      </c>
      <c r="K458" s="1">
        <f>$AD$10*B458+$AD$11</f>
        <v>1180.9722791838612</v>
      </c>
      <c r="L458" s="2">
        <f>ABS(K458-D458)/D458</f>
        <v>8.3913224426011689E-3</v>
      </c>
      <c r="M458" s="21">
        <f>K458*F458</f>
        <v>1.1808588952511143</v>
      </c>
      <c r="N458" s="2">
        <f>ABS(M458-G458)/M458</f>
        <v>1.0032152259021038E-2</v>
      </c>
      <c r="O458" s="21">
        <f t="shared" si="80"/>
        <v>1.1846556233578553E-2</v>
      </c>
      <c r="P458" s="25">
        <f>$AD$18*B458+$AD$19</f>
        <v>3.7916666666666679</v>
      </c>
      <c r="Q458" s="25">
        <f>$AD$29*G458+$AD$30</f>
        <v>3.8336956479995177</v>
      </c>
      <c r="R458" s="25">
        <f t="shared" si="81"/>
        <v>4.2028981332849824E-2</v>
      </c>
      <c r="S458" s="26">
        <v>3.8885840137950165</v>
      </c>
      <c r="T458" s="26">
        <f t="shared" si="82"/>
        <v>9.6917347128348652E-2</v>
      </c>
      <c r="U458" s="27">
        <f t="shared" si="83"/>
        <v>2.5560619022861174E-2</v>
      </c>
      <c r="V458" s="28">
        <f t="shared" si="84"/>
        <v>66.663008165540191</v>
      </c>
      <c r="W458" s="27">
        <f t="shared" si="85"/>
        <v>1.7755849855575434E-2</v>
      </c>
      <c r="X458" s="21">
        <v>3.8924781778137167</v>
      </c>
      <c r="Y458" s="21">
        <f t="shared" si="86"/>
        <v>66.709738133764603</v>
      </c>
      <c r="Z458" s="2">
        <f t="shared" si="87"/>
        <v>1.8469284484955766E-2</v>
      </c>
    </row>
    <row r="459" spans="1:26">
      <c r="A459" s="1">
        <v>65.599999999999994</v>
      </c>
      <c r="B459" s="1">
        <f t="shared" si="77"/>
        <v>338.75</v>
      </c>
      <c r="C459" s="4">
        <f>ROUND(10000*EXP(($AB$4)+($AC$4/B459)+($AD$4/(B459^2))+($AE$4/(B459^3))),6)</f>
        <v>2041.12066</v>
      </c>
      <c r="D459" s="4">
        <f>((C459+2*$AC$5)*$AC$6)/((C459+2*$AC$5)+$AC$6)</f>
        <v>1168.8478783480357</v>
      </c>
      <c r="E459" s="4">
        <f t="shared" si="78"/>
        <v>1.1688478783480356</v>
      </c>
      <c r="F459" s="24">
        <v>9.9990399102947171E-4</v>
      </c>
      <c r="G459" s="6">
        <v>1.1666564817632712</v>
      </c>
      <c r="H459" s="2">
        <f t="shared" si="79"/>
        <v>1.8748347200335221E-3</v>
      </c>
      <c r="I459" s="5">
        <f>G459/F459</f>
        <v>1166.7685020059937</v>
      </c>
      <c r="J459" s="2">
        <f>ABS(D459-I459)/I459</f>
        <v>1.7821670181076886E-3</v>
      </c>
      <c r="K459" s="1">
        <f>$AD$10*B459+$AD$11</f>
        <v>1178.6231672649865</v>
      </c>
      <c r="L459" s="2">
        <f>ABS(K459-D459)/D459</f>
        <v>8.3631831806603146E-3</v>
      </c>
      <c r="M459" s="21">
        <f>K459*F459</f>
        <v>1.1785100088680567</v>
      </c>
      <c r="N459" s="2">
        <f>ABS(M459-G459)/M459</f>
        <v>1.0058062312233261E-2</v>
      </c>
      <c r="O459" s="21">
        <f t="shared" si="80"/>
        <v>1.1853527104785487E-2</v>
      </c>
      <c r="P459" s="25">
        <f>$AD$18*B459+$AD$19</f>
        <v>3.8000000000000007</v>
      </c>
      <c r="Q459" s="25">
        <f>$AD$29*G459+$AD$30</f>
        <v>3.8420537124538692</v>
      </c>
      <c r="R459" s="25">
        <f t="shared" si="81"/>
        <v>4.2053712453868464E-2</v>
      </c>
      <c r="S459" s="26">
        <v>3.8972724422155083</v>
      </c>
      <c r="T459" s="26">
        <f t="shared" si="82"/>
        <v>9.7272442215507571E-2</v>
      </c>
      <c r="U459" s="27">
        <f t="shared" si="83"/>
        <v>2.5598011109344093E-2</v>
      </c>
      <c r="V459" s="28">
        <f t="shared" si="84"/>
        <v>66.767269306586101</v>
      </c>
      <c r="W459" s="27">
        <f t="shared" si="85"/>
        <v>1.7793739429666264E-2</v>
      </c>
      <c r="X459" s="21">
        <v>3.9010864879744425</v>
      </c>
      <c r="Y459" s="21">
        <f t="shared" si="86"/>
        <v>66.813037855693324</v>
      </c>
      <c r="Z459" s="2">
        <f t="shared" si="87"/>
        <v>1.8491430727032462E-2</v>
      </c>
    </row>
    <row r="460" spans="1:26">
      <c r="A460" s="1">
        <v>65.7</v>
      </c>
      <c r="B460" s="1">
        <f t="shared" si="77"/>
        <v>338.84999999999997</v>
      </c>
      <c r="C460" s="4">
        <f>ROUND(10000*EXP(($AB$4)+($AC$4/B460)+($AD$4/(B460^2))+($AE$4/(B460^3))),6)</f>
        <v>2033.99629</v>
      </c>
      <c r="D460" s="4">
        <f>((C460+2*$AC$5)*$AC$6)/((C460+2*$AC$5)+$AC$6)</f>
        <v>1166.5532837426763</v>
      </c>
      <c r="E460" s="4">
        <f t="shared" si="78"/>
        <v>1.1665532837426764</v>
      </c>
      <c r="F460" s="24">
        <v>9.9990399102947171E-4</v>
      </c>
      <c r="G460" s="6">
        <v>1.1644344218123286</v>
      </c>
      <c r="H460" s="2">
        <f t="shared" si="79"/>
        <v>1.8163438909106996E-3</v>
      </c>
      <c r="I460" s="5">
        <f>G460/F460</f>
        <v>1164.5462286968784</v>
      </c>
      <c r="J460" s="2">
        <f>ABS(D460-I460)/I460</f>
        <v>1.7234653260985221E-3</v>
      </c>
      <c r="K460" s="1">
        <f>$AD$10*B460+$AD$11</f>
        <v>1176.2740553461135</v>
      </c>
      <c r="L460" s="2">
        <f>ABS(K460-D460)/D460</f>
        <v>8.3328997816969792E-3</v>
      </c>
      <c r="M460" s="21">
        <f>K460*F460</f>
        <v>1.1761611224850006</v>
      </c>
      <c r="N460" s="2">
        <f>ABS(M460-G460)/M460</f>
        <v>9.9703182229793162E-3</v>
      </c>
      <c r="O460" s="21">
        <f t="shared" si="80"/>
        <v>1.172670067267201E-2</v>
      </c>
      <c r="P460" s="25">
        <f>$AD$18*B460+$AD$19</f>
        <v>3.8083333333333336</v>
      </c>
      <c r="Q460" s="25">
        <f>$AD$29*G460+$AD$30</f>
        <v>3.8499370934430148</v>
      </c>
      <c r="R460" s="25">
        <f t="shared" si="81"/>
        <v>4.1603760109681254E-2</v>
      </c>
      <c r="S460" s="26">
        <v>3.9054674246604142</v>
      </c>
      <c r="T460" s="26">
        <f t="shared" si="82"/>
        <v>9.7134091327080618E-2</v>
      </c>
      <c r="U460" s="27">
        <f t="shared" si="83"/>
        <v>2.5505669495075871E-2</v>
      </c>
      <c r="V460" s="28">
        <f t="shared" si="84"/>
        <v>66.865609095924981</v>
      </c>
      <c r="W460" s="27">
        <f t="shared" si="85"/>
        <v>1.7741386543759178E-2</v>
      </c>
      <c r="X460" s="21">
        <v>3.9097065117456946</v>
      </c>
      <c r="Y460" s="21">
        <f t="shared" si="86"/>
        <v>66.916478140948342</v>
      </c>
      <c r="Z460" s="2">
        <f t="shared" si="87"/>
        <v>1.8515649025088881E-2</v>
      </c>
    </row>
    <row r="461" spans="1:26">
      <c r="A461" s="1">
        <v>65.8</v>
      </c>
      <c r="B461" s="1">
        <f t="shared" si="77"/>
        <v>338.95</v>
      </c>
      <c r="C461" s="4">
        <f>ROUND(10000*EXP(($AB$4)+($AC$4/B461)+($AD$4/(B461^2))+($AE$4/(B461^3))),6)</f>
        <v>2026.9005119999999</v>
      </c>
      <c r="D461" s="4">
        <f>((C461+2*$AC$5)*$AC$6)/((C461+2*$AC$5)+$AC$6)</f>
        <v>1164.2610516965474</v>
      </c>
      <c r="E461" s="4">
        <f t="shared" si="78"/>
        <v>1.1642610516965475</v>
      </c>
      <c r="F461" s="24">
        <v>9.9990399102947171E-4</v>
      </c>
      <c r="G461" s="6">
        <v>1.1620718700377271</v>
      </c>
      <c r="H461" s="2">
        <f t="shared" si="79"/>
        <v>1.880318555387881E-3</v>
      </c>
      <c r="I461" s="5">
        <f>G461/F461</f>
        <v>1162.1834500743337</v>
      </c>
      <c r="J461" s="2">
        <f>ABS(D461-I461)/I461</f>
        <v>1.7876709757661941E-3</v>
      </c>
      <c r="K461" s="1">
        <f>$AD$10*B461+$AD$11</f>
        <v>1173.9249434272388</v>
      </c>
      <c r="L461" s="2">
        <f>ABS(K461-D461)/D461</f>
        <v>8.3004509311801391E-3</v>
      </c>
      <c r="M461" s="21">
        <f>K461*F461</f>
        <v>1.1738122361019427</v>
      </c>
      <c r="N461" s="2">
        <f>ABS(M461-G461)/M461</f>
        <v>1.0001911466866041E-2</v>
      </c>
      <c r="O461" s="21">
        <f t="shared" si="80"/>
        <v>1.174036606421569E-2</v>
      </c>
      <c r="P461" s="25">
        <f>$AD$18*B461+$AD$19</f>
        <v>3.8166666666666664</v>
      </c>
      <c r="Q461" s="25">
        <f>$AD$29*G461+$AD$30</f>
        <v>3.8583189085861509</v>
      </c>
      <c r="R461" s="25">
        <f t="shared" si="81"/>
        <v>4.1652241919484467E-2</v>
      </c>
      <c r="S461" s="26">
        <v>3.9141805426278262</v>
      </c>
      <c r="T461" s="26">
        <f t="shared" si="82"/>
        <v>9.7513875961159791E-2</v>
      </c>
      <c r="U461" s="27">
        <f t="shared" si="83"/>
        <v>2.5549487151395579E-2</v>
      </c>
      <c r="V461" s="28">
        <f t="shared" si="84"/>
        <v>66.970166511533918</v>
      </c>
      <c r="W461" s="27">
        <f t="shared" si="85"/>
        <v>1.7783685585621902E-2</v>
      </c>
      <c r="X461" s="21">
        <v>3.9183381345110626</v>
      </c>
      <c r="Y461" s="21">
        <f t="shared" si="86"/>
        <v>67.020057614132753</v>
      </c>
      <c r="Z461" s="2">
        <f t="shared" si="87"/>
        <v>1.854190902937319E-2</v>
      </c>
    </row>
    <row r="462" spans="1:26">
      <c r="A462" s="1">
        <v>65.900000000000006</v>
      </c>
      <c r="B462" s="1">
        <f t="shared" si="77"/>
        <v>339.04999999999995</v>
      </c>
      <c r="C462" s="4">
        <f>ROUND(10000*EXP(($AB$4)+($AC$4/B462)+($AD$4/(B462^2))+($AE$4/(B462^3))),6)</f>
        <v>2019.833198</v>
      </c>
      <c r="D462" s="4">
        <f>((C462+2*$AC$5)*$AC$6)/((C462+2*$AC$5)+$AC$6)</f>
        <v>1161.9711927676997</v>
      </c>
      <c r="E462" s="4">
        <f t="shared" si="78"/>
        <v>1.1619711927676997</v>
      </c>
      <c r="F462" s="24">
        <v>9.9990399102947171E-4</v>
      </c>
      <c r="G462" s="6">
        <v>1.1598426297154543</v>
      </c>
      <c r="H462" s="2">
        <f t="shared" si="79"/>
        <v>1.8318552692992132E-3</v>
      </c>
      <c r="I462" s="5">
        <f>G462/F462</f>
        <v>1159.9539957044419</v>
      </c>
      <c r="J462" s="2">
        <f>ABS(D462-I462)/I462</f>
        <v>1.7390319536187357E-3</v>
      </c>
      <c r="K462" s="1">
        <f>$AD$10*B462+$AD$11</f>
        <v>1171.5758315083658</v>
      </c>
      <c r="L462" s="2">
        <f>ABS(K462-D462)/D462</f>
        <v>8.2658148501847453E-3</v>
      </c>
      <c r="M462" s="21">
        <f>K462*F462</f>
        <v>1.1714633497188869</v>
      </c>
      <c r="N462" s="2">
        <f>ABS(M462-G462)/M462</f>
        <v>9.9198323244352564E-3</v>
      </c>
      <c r="O462" s="21">
        <f t="shared" si="80"/>
        <v>1.1620720003432618E-2</v>
      </c>
      <c r="P462" s="25">
        <f>$AD$18*B462+$AD$19</f>
        <v>3.8249999999999993</v>
      </c>
      <c r="Q462" s="25">
        <f>$AD$29*G462+$AD$30</f>
        <v>3.8662277639567675</v>
      </c>
      <c r="R462" s="25">
        <f t="shared" si="81"/>
        <v>4.1227763956768193E-2</v>
      </c>
      <c r="S462" s="26">
        <v>3.9224020052147028</v>
      </c>
      <c r="T462" s="26">
        <f t="shared" si="82"/>
        <v>9.7402005214703546E-2</v>
      </c>
      <c r="U462" s="27">
        <f t="shared" si="83"/>
        <v>2.5464576526719886E-2</v>
      </c>
      <c r="V462" s="28">
        <f t="shared" si="84"/>
        <v>67.068824062576439</v>
      </c>
      <c r="W462" s="27">
        <f t="shared" si="85"/>
        <v>1.7736328718914014E-2</v>
      </c>
      <c r="X462" s="21">
        <v>3.9264782945199057</v>
      </c>
      <c r="Y462" s="21">
        <f t="shared" si="86"/>
        <v>67.117739534238879</v>
      </c>
      <c r="Z462" s="2">
        <f t="shared" si="87"/>
        <v>1.8478596877676379E-2</v>
      </c>
    </row>
    <row r="463" spans="1:26">
      <c r="A463" s="1">
        <v>66</v>
      </c>
      <c r="B463" s="1">
        <f t="shared" si="77"/>
        <v>339.15</v>
      </c>
      <c r="C463" s="4">
        <f>ROUND(10000*EXP(($AB$4)+($AC$4/B463)+($AD$4/(B463^2))+($AE$4/(B463^3))),6)</f>
        <v>2012.7942210000001</v>
      </c>
      <c r="D463" s="4">
        <f>((C463+2*$AC$5)*$AC$6)/((C463+2*$AC$5)+$AC$6)</f>
        <v>1159.6837175693468</v>
      </c>
      <c r="E463" s="4">
        <f t="shared" si="78"/>
        <v>1.1596837175693469</v>
      </c>
      <c r="F463" s="24">
        <v>9.9990399102947171E-4</v>
      </c>
      <c r="G463" s="6">
        <v>1.1574735086147954</v>
      </c>
      <c r="H463" s="2">
        <f t="shared" si="79"/>
        <v>1.9058721969331422E-3</v>
      </c>
      <c r="I463" s="5">
        <f>G463/F463</f>
        <v>1157.5846471250652</v>
      </c>
      <c r="J463" s="2">
        <f>ABS(D463-I463)/I463</f>
        <v>1.8133191810160282E-3</v>
      </c>
      <c r="K463" s="1">
        <f>$AD$10*B463+$AD$11</f>
        <v>1169.226719589491</v>
      </c>
      <c r="L463" s="2">
        <f>ABS(K463-D463)/D463</f>
        <v>8.2289695677939308E-3</v>
      </c>
      <c r="M463" s="21">
        <f>K463*F463</f>
        <v>1.169114463335829</v>
      </c>
      <c r="N463" s="2">
        <f>ABS(M463-G463)/M463</f>
        <v>9.9570701467661046E-3</v>
      </c>
      <c r="O463" s="21">
        <f t="shared" si="80"/>
        <v>1.1640954721033658E-2</v>
      </c>
      <c r="P463" s="25">
        <f>$AD$18*B463+$AD$19</f>
        <v>3.8333333333333321</v>
      </c>
      <c r="Q463" s="25">
        <f>$AD$29*G463+$AD$30</f>
        <v>3.8746328856268626</v>
      </c>
      <c r="R463" s="25">
        <f t="shared" si="81"/>
        <v>4.1299552293530439E-2</v>
      </c>
      <c r="S463" s="26">
        <v>3.931139351063615</v>
      </c>
      <c r="T463" s="26">
        <f t="shared" si="82"/>
        <v>9.7806017730282857E-2</v>
      </c>
      <c r="U463" s="27">
        <f t="shared" si="83"/>
        <v>2.5514613320943361E-2</v>
      </c>
      <c r="V463" s="28">
        <f t="shared" si="84"/>
        <v>67.173672212763378</v>
      </c>
      <c r="W463" s="27">
        <f t="shared" si="85"/>
        <v>1.7782912314596642E-2</v>
      </c>
      <c r="X463" s="21">
        <v>3.9351337781744622</v>
      </c>
      <c r="Y463" s="21">
        <f t="shared" si="86"/>
        <v>67.221605338093553</v>
      </c>
      <c r="Z463" s="2">
        <f t="shared" si="87"/>
        <v>1.8509171789296265E-2</v>
      </c>
    </row>
    <row r="464" spans="1:26">
      <c r="A464" s="1">
        <v>66.099999999999994</v>
      </c>
      <c r="B464" s="1">
        <f t="shared" si="77"/>
        <v>339.25</v>
      </c>
      <c r="C464" s="4">
        <f>ROUND(10000*EXP(($AB$4)+($AC$4/B464)+($AD$4/(B464^2))+($AE$4/(B464^3))),6)</f>
        <v>2005.7834519999999</v>
      </c>
      <c r="D464" s="4">
        <f>((C464+2*$AC$5)*$AC$6)/((C464+2*$AC$5)+$AC$6)</f>
        <v>1157.3986357934371</v>
      </c>
      <c r="E464" s="4">
        <f t="shared" si="78"/>
        <v>1.1573986357934372</v>
      </c>
      <c r="F464" s="24">
        <v>9.9990399102947171E-4</v>
      </c>
      <c r="G464" s="6">
        <v>1.1552372146762655</v>
      </c>
      <c r="H464" s="2">
        <f t="shared" si="79"/>
        <v>1.8674819982744566E-3</v>
      </c>
      <c r="I464" s="5">
        <f>G464/F464</f>
        <v>1155.3481384616409</v>
      </c>
      <c r="J464" s="2">
        <f>ABS(D464-I464)/I464</f>
        <v>1.7747874112874612E-3</v>
      </c>
      <c r="K464" s="1">
        <f>$AD$10*B464+$AD$11</f>
        <v>1166.8776076706172</v>
      </c>
      <c r="L464" s="2">
        <f>ABS(K464-D464)/D464</f>
        <v>8.1898937704224638E-3</v>
      </c>
      <c r="M464" s="21">
        <f>K464*F464</f>
        <v>1.1667655769527723</v>
      </c>
      <c r="N464" s="2">
        <f>ABS(M464-G464)/M464</f>
        <v>9.8806156988409458E-3</v>
      </c>
      <c r="O464" s="21">
        <f t="shared" si="80"/>
        <v>1.1528362276506776E-2</v>
      </c>
      <c r="P464" s="25">
        <f>$AD$18*B464+$AD$19</f>
        <v>3.8416666666666686</v>
      </c>
      <c r="Q464" s="25">
        <f>$AD$29*G464+$AD$30</f>
        <v>3.8825667656797709</v>
      </c>
      <c r="R464" s="25">
        <f t="shared" si="81"/>
        <v>4.090009901310232E-2</v>
      </c>
      <c r="S464" s="26">
        <v>3.9393868282467275</v>
      </c>
      <c r="T464" s="26">
        <f t="shared" si="82"/>
        <v>9.7720161580058917E-2</v>
      </c>
      <c r="U464" s="27">
        <f t="shared" si="83"/>
        <v>2.5436918415633544E-2</v>
      </c>
      <c r="V464" s="28">
        <f t="shared" si="84"/>
        <v>67.272641938960732</v>
      </c>
      <c r="W464" s="27">
        <f t="shared" si="85"/>
        <v>1.7740422677166977E-2</v>
      </c>
      <c r="X464" s="21">
        <v>3.9432995829260746</v>
      </c>
      <c r="Y464" s="21">
        <f t="shared" si="86"/>
        <v>67.319594995112894</v>
      </c>
      <c r="Z464" s="2">
        <f t="shared" si="87"/>
        <v>1.845075635571709E-2</v>
      </c>
    </row>
    <row r="465" spans="1:26">
      <c r="A465" s="1">
        <v>66.2</v>
      </c>
      <c r="B465" s="1">
        <f t="shared" si="77"/>
        <v>339.34999999999997</v>
      </c>
      <c r="C465" s="4">
        <f>ROUND(10000*EXP(($AB$4)+($AC$4/B465)+($AD$4/(B465^2))+($AE$4/(B465^3))),6)</f>
        <v>1998.8007660000001</v>
      </c>
      <c r="D465" s="4">
        <f>((C465+2*$AC$5)*$AC$6)/((C465+2*$AC$5)+$AC$6)</f>
        <v>1155.1159581633415</v>
      </c>
      <c r="E465" s="4">
        <f t="shared" si="78"/>
        <v>1.1551159581633414</v>
      </c>
      <c r="F465" s="24">
        <v>9.9990399102947171E-4</v>
      </c>
      <c r="G465" s="6">
        <v>1.1531357142352587</v>
      </c>
      <c r="H465" s="2">
        <f t="shared" si="79"/>
        <v>1.7143247949161257E-3</v>
      </c>
      <c r="I465" s="5">
        <f>G465/F465</f>
        <v>1153.2464362383673</v>
      </c>
      <c r="J465" s="2">
        <f>ABS(D465-I465)/I465</f>
        <v>1.6210949075829055E-3</v>
      </c>
      <c r="K465" s="1">
        <f>$AD$10*B465+$AD$11</f>
        <v>1164.5284957517433</v>
      </c>
      <c r="L465" s="2">
        <f>ABS(K465-D465)/D465</f>
        <v>8.1485651045527744E-3</v>
      </c>
      <c r="M465" s="21">
        <f>K465*F465</f>
        <v>1.1644166905697153</v>
      </c>
      <c r="N465" s="2">
        <f>ABS(M465-G465)/M465</f>
        <v>9.6880922661260697E-3</v>
      </c>
      <c r="O465" s="21">
        <f t="shared" si="80"/>
        <v>1.1280976334456572E-2</v>
      </c>
      <c r="P465" s="25">
        <f>$AD$18*B465+$AD$19</f>
        <v>3.8499999999999979</v>
      </c>
      <c r="Q465" s="25">
        <f>$AD$29*G465+$AD$30</f>
        <v>3.8900224279891003</v>
      </c>
      <c r="R465" s="25">
        <f t="shared" si="81"/>
        <v>4.0022427989102383E-2</v>
      </c>
      <c r="S465" s="26">
        <v>3.9471467741630275</v>
      </c>
      <c r="T465" s="26">
        <f t="shared" si="82"/>
        <v>9.7146774163029637E-2</v>
      </c>
      <c r="U465" s="27">
        <f t="shared" si="83"/>
        <v>2.5232928354033686E-2</v>
      </c>
      <c r="V465" s="28">
        <f t="shared" si="84"/>
        <v>67.365761289956339</v>
      </c>
      <c r="W465" s="27">
        <f t="shared" si="85"/>
        <v>1.7609687159461269E-2</v>
      </c>
      <c r="X465" s="21">
        <v>3.9519784667340971</v>
      </c>
      <c r="Y465" s="21">
        <f t="shared" si="86"/>
        <v>67.42374160080918</v>
      </c>
      <c r="Z465" s="2">
        <f t="shared" si="87"/>
        <v>1.848552267083349E-2</v>
      </c>
    </row>
    <row r="466" spans="1:26">
      <c r="A466" s="1">
        <v>66.3</v>
      </c>
      <c r="B466" s="1">
        <f t="shared" si="77"/>
        <v>339.45</v>
      </c>
      <c r="C466" s="4">
        <f>ROUND(10000*EXP(($AB$4)+($AC$4/B466)+($AD$4/(B466^2))+($AE$4/(B466^3))),6)</f>
        <v>1991.846035</v>
      </c>
      <c r="D466" s="4">
        <f>((C466+2*$AC$5)*$AC$6)/((C466+2*$AC$5)+$AC$6)</f>
        <v>1152.835694152727</v>
      </c>
      <c r="E466" s="4">
        <f t="shared" si="78"/>
        <v>1.1528356941527271</v>
      </c>
      <c r="F466" s="24">
        <v>9.9990399102947171E-4</v>
      </c>
      <c r="G466" s="6">
        <v>1.1507538209121122</v>
      </c>
      <c r="H466" s="2">
        <f t="shared" si="79"/>
        <v>1.8058716009352873E-3</v>
      </c>
      <c r="I466" s="5">
        <f>G466/F466</f>
        <v>1150.8643142101373</v>
      </c>
      <c r="J466" s="2">
        <f>ABS(D466-I466)/I466</f>
        <v>1.7129560090171814E-3</v>
      </c>
      <c r="K466" s="1">
        <f>$AD$10*B466+$AD$11</f>
        <v>1162.1793838328695</v>
      </c>
      <c r="L466" s="2">
        <f>ABS(K466-D466)/D466</f>
        <v>8.1049621620274143E-3</v>
      </c>
      <c r="M466" s="21">
        <f>K466*F466</f>
        <v>1.1620678041866586</v>
      </c>
      <c r="N466" s="2">
        <f>ABS(M466-G466)/M466</f>
        <v>9.7360784231218887E-3</v>
      </c>
      <c r="O466" s="21">
        <f t="shared" si="80"/>
        <v>1.1313983274546358E-2</v>
      </c>
      <c r="P466" s="25">
        <f>$AD$18*B466+$AD$19</f>
        <v>3.8583333333333343</v>
      </c>
      <c r="Q466" s="25">
        <f>$AD$29*G466+$AD$30</f>
        <v>3.8984728627012251</v>
      </c>
      <c r="R466" s="25">
        <f t="shared" si="81"/>
        <v>4.0139529367890781E-2</v>
      </c>
      <c r="S466" s="26">
        <v>3.9559216352844828</v>
      </c>
      <c r="T466" s="26">
        <f t="shared" si="82"/>
        <v>9.7588301951148537E-2</v>
      </c>
      <c r="U466" s="27">
        <f t="shared" si="83"/>
        <v>2.5292864436582768E-2</v>
      </c>
      <c r="V466" s="28">
        <f t="shared" si="84"/>
        <v>67.471059623413794</v>
      </c>
      <c r="W466" s="27">
        <f t="shared" si="85"/>
        <v>1.766304107713117E-2</v>
      </c>
      <c r="X466" s="21">
        <v>3.9596705279489512</v>
      </c>
      <c r="Y466" s="21">
        <f t="shared" si="86"/>
        <v>67.516046335387429</v>
      </c>
      <c r="Z466" s="2">
        <f t="shared" si="87"/>
        <v>1.8341573686084949E-2</v>
      </c>
    </row>
    <row r="467" spans="1:26">
      <c r="A467" s="1">
        <v>66.400000000000006</v>
      </c>
      <c r="B467" s="1">
        <f t="shared" si="77"/>
        <v>339.54999999999995</v>
      </c>
      <c r="C467" s="4">
        <f>ROUND(10000*EXP(($AB$4)+($AC$4/B467)+($AD$4/(B467^2))+($AE$4/(B467^3))),6)</f>
        <v>1984.9191350000001</v>
      </c>
      <c r="D467" s="4">
        <f>((C467+2*$AC$5)*$AC$6)/((C467+2*$AC$5)+$AC$6)</f>
        <v>1150.5578542743647</v>
      </c>
      <c r="E467" s="4">
        <f t="shared" si="78"/>
        <v>1.1505578542743646</v>
      </c>
      <c r="F467" s="24">
        <v>9.9990399102947171E-4</v>
      </c>
      <c r="G467" s="6">
        <v>1.1485067847207397</v>
      </c>
      <c r="H467" s="2">
        <f t="shared" si="79"/>
        <v>1.7826739837593442E-3</v>
      </c>
      <c r="I467" s="5">
        <f>G467/F467</f>
        <v>1148.6170622624188</v>
      </c>
      <c r="J467" s="2">
        <f>ABS(D467-I467)/I467</f>
        <v>1.6896771567393419E-3</v>
      </c>
      <c r="K467" s="1">
        <f>$AD$10*B467+$AD$11</f>
        <v>1159.8302719139965</v>
      </c>
      <c r="L467" s="2">
        <f>ABS(K467-D467)/D467</f>
        <v>8.0590624845021646E-3</v>
      </c>
      <c r="M467" s="21">
        <f>K467*F467</f>
        <v>1.1597189178036025</v>
      </c>
      <c r="N467" s="2">
        <f>ABS(M467-G467)/M467</f>
        <v>9.6679746365588692E-3</v>
      </c>
      <c r="O467" s="21">
        <f t="shared" si="80"/>
        <v>1.1212133082862728E-2</v>
      </c>
      <c r="P467" s="25">
        <f>$AD$18*B467+$AD$19</f>
        <v>3.8666666666666636</v>
      </c>
      <c r="Q467" s="25">
        <f>$AD$29*G467+$AD$30</f>
        <v>3.9064448539094165</v>
      </c>
      <c r="R467" s="25">
        <f t="shared" si="81"/>
        <v>3.9778187242752949E-2</v>
      </c>
      <c r="S467" s="26">
        <v>3.9642087308601002</v>
      </c>
      <c r="T467" s="26">
        <f t="shared" si="82"/>
        <v>9.7542064193436584E-2</v>
      </c>
      <c r="U467" s="27">
        <f t="shared" si="83"/>
        <v>2.5226395912095689E-2</v>
      </c>
      <c r="V467" s="28">
        <f t="shared" si="84"/>
        <v>67.570504770321207</v>
      </c>
      <c r="W467" s="27">
        <f t="shared" si="85"/>
        <v>1.7628083890379544E-2</v>
      </c>
      <c r="X467" s="21">
        <v>3.9683733541211548</v>
      </c>
      <c r="Y467" s="21">
        <f t="shared" si="86"/>
        <v>67.620480249453863</v>
      </c>
      <c r="Z467" s="2">
        <f t="shared" si="87"/>
        <v>1.8380726648401458E-2</v>
      </c>
    </row>
    <row r="468" spans="1:26">
      <c r="A468" s="1">
        <v>66.5</v>
      </c>
      <c r="B468" s="1">
        <f t="shared" si="77"/>
        <v>339.65</v>
      </c>
      <c r="C468" s="4">
        <f>ROUND(10000*EXP(($AB$4)+($AC$4/B468)+($AD$4/(B468^2))+($AE$4/(B468^3))),6)</f>
        <v>1978.0199399999999</v>
      </c>
      <c r="D468" s="4">
        <f>((C468+2*$AC$5)*$AC$6)/((C468+2*$AC$5)+$AC$6)</f>
        <v>1148.2824481157904</v>
      </c>
      <c r="E468" s="4">
        <f t="shared" si="78"/>
        <v>1.1482824481157905</v>
      </c>
      <c r="F468" s="24">
        <v>9.9990399102947171E-4</v>
      </c>
      <c r="G468" s="6">
        <v>1.1462562269971717</v>
      </c>
      <c r="H468" s="2">
        <f t="shared" si="79"/>
        <v>1.7645668293054947E-3</v>
      </c>
      <c r="I468" s="5">
        <f>G468/F468</f>
        <v>1146.3662884443736</v>
      </c>
      <c r="J468" s="2">
        <f>ABS(D468-I468)/I468</f>
        <v>1.671507345193373E-3</v>
      </c>
      <c r="K468" s="1">
        <f>$AD$10*B468+$AD$11</f>
        <v>1157.4811599951217</v>
      </c>
      <c r="L468" s="2">
        <f>ABS(K468-D468)/D468</f>
        <v>8.0108442782744118E-3</v>
      </c>
      <c r="M468" s="21">
        <f>K468*F468</f>
        <v>1.1573700314205446</v>
      </c>
      <c r="N468" s="2">
        <f>ABS(M468-G468)/M468</f>
        <v>9.6026371183397397E-3</v>
      </c>
      <c r="O468" s="21">
        <f t="shared" si="80"/>
        <v>1.1113804423372953E-2</v>
      </c>
      <c r="P468" s="25">
        <f>$AD$18*B468+$AD$19</f>
        <v>3.875</v>
      </c>
      <c r="Q468" s="25">
        <f>$AD$29*G468+$AD$30</f>
        <v>3.9144293387409022</v>
      </c>
      <c r="R468" s="25">
        <f t="shared" si="81"/>
        <v>3.9429338740902153E-2</v>
      </c>
      <c r="S468" s="26">
        <v>3.9725088128256925</v>
      </c>
      <c r="T468" s="26">
        <f t="shared" si="82"/>
        <v>9.7508812825692459E-2</v>
      </c>
      <c r="U468" s="27">
        <f t="shared" si="83"/>
        <v>2.5163564600178698E-2</v>
      </c>
      <c r="V468" s="28">
        <f t="shared" si="84"/>
        <v>67.670105753908302</v>
      </c>
      <c r="W468" s="27">
        <f t="shared" si="85"/>
        <v>1.759557524674139E-2</v>
      </c>
      <c r="X468" s="21">
        <v>3.9765900579257334</v>
      </c>
      <c r="Y468" s="21">
        <f t="shared" si="86"/>
        <v>67.719080695108815</v>
      </c>
      <c r="Z468" s="2">
        <f t="shared" si="87"/>
        <v>1.8332040527952103E-2</v>
      </c>
    </row>
    <row r="469" spans="1:26">
      <c r="A469" s="1">
        <v>66.599999999999994</v>
      </c>
      <c r="B469" s="1">
        <f t="shared" si="77"/>
        <v>339.75</v>
      </c>
      <c r="C469" s="4">
        <f>ROUND(10000*EXP(($AB$4)+($AC$4/B469)+($AD$4/(B469^2))+($AE$4/(B469^3))),6)</f>
        <v>1971.1483270000001</v>
      </c>
      <c r="D469" s="4">
        <f>((C469+2*$AC$5)*$AC$6)/((C469+2*$AC$5)+$AC$6)</f>
        <v>1146.0094859840062</v>
      </c>
      <c r="E469" s="4">
        <f t="shared" si="78"/>
        <v>1.1460094859840062</v>
      </c>
      <c r="F469" s="24">
        <v>9.9990399102947171E-4</v>
      </c>
      <c r="G469" s="6">
        <v>1.1440035477274639</v>
      </c>
      <c r="H469" s="2">
        <f t="shared" si="79"/>
        <v>1.7503679341885198E-3</v>
      </c>
      <c r="I469" s="5">
        <f>G469/F469</f>
        <v>1144.1133928764816</v>
      </c>
      <c r="J469" s="2">
        <f>ABS(D469-I469)/I469</f>
        <v>1.6572597780343638E-3</v>
      </c>
      <c r="K469" s="1">
        <f>$AD$10*B469+$AD$11</f>
        <v>1155.132048076247</v>
      </c>
      <c r="L469" s="2">
        <f>ABS(K469-D469)/D469</f>
        <v>7.960284974786026E-3</v>
      </c>
      <c r="M469" s="21">
        <f>K469*F469</f>
        <v>1.155021145037487</v>
      </c>
      <c r="N469" s="2">
        <f>ABS(M469-G469)/M469</f>
        <v>9.5388706582211266E-3</v>
      </c>
      <c r="O469" s="21">
        <f t="shared" si="80"/>
        <v>1.1017597310023053E-2</v>
      </c>
      <c r="P469" s="25">
        <f>$AD$18*B469+$AD$19</f>
        <v>3.8833333333333364</v>
      </c>
      <c r="Q469" s="25">
        <f>$AD$29*G469+$AD$30</f>
        <v>3.9224213503524359</v>
      </c>
      <c r="R469" s="25">
        <f t="shared" si="81"/>
        <v>3.9088017019099475E-2</v>
      </c>
      <c r="S469" s="26">
        <v>3.9808167185382755</v>
      </c>
      <c r="T469" s="26">
        <f t="shared" si="82"/>
        <v>9.7483385204939044E-2</v>
      </c>
      <c r="U469" s="27">
        <f t="shared" si="83"/>
        <v>2.5103017649340507E-2</v>
      </c>
      <c r="V469" s="28">
        <f t="shared" si="84"/>
        <v>67.769800622459314</v>
      </c>
      <c r="W469" s="27">
        <f t="shared" si="85"/>
        <v>1.7564573910800602E-2</v>
      </c>
      <c r="X469" s="21">
        <v>3.9853153649246367</v>
      </c>
      <c r="Y469" s="21">
        <f t="shared" si="86"/>
        <v>67.823784379095642</v>
      </c>
      <c r="Z469" s="2">
        <f t="shared" si="87"/>
        <v>1.8375140827261976E-2</v>
      </c>
    </row>
    <row r="470" spans="1:26">
      <c r="A470" s="1">
        <v>66.7</v>
      </c>
      <c r="B470" s="1">
        <f t="shared" si="77"/>
        <v>339.84999999999997</v>
      </c>
      <c r="C470" s="4">
        <f>ROUND(10000*EXP(($AB$4)+($AC$4/B470)+($AD$4/(B470^2))+($AE$4/(B470^3))),6)</f>
        <v>1964.304171</v>
      </c>
      <c r="D470" s="4">
        <f>((C470+2*$AC$5)*$AC$6)/((C470+2*$AC$5)+$AC$6)</f>
        <v>1143.7389772569488</v>
      </c>
      <c r="E470" s="4">
        <f t="shared" si="78"/>
        <v>1.1437389772569488</v>
      </c>
      <c r="F470" s="24">
        <v>9.9990399102947171E-4</v>
      </c>
      <c r="G470" s="6">
        <v>1.1416103674324851</v>
      </c>
      <c r="H470" s="2">
        <f t="shared" si="79"/>
        <v>1.8610975640340674E-3</v>
      </c>
      <c r="I470" s="5">
        <f>G470/F470</f>
        <v>1141.7199827926647</v>
      </c>
      <c r="J470" s="2">
        <f>ABS(D470-I470)/I470</f>
        <v>1.7683797206961499E-3</v>
      </c>
      <c r="K470" s="1">
        <f>$AD$10*B470+$AD$11</f>
        <v>1152.782936157374</v>
      </c>
      <c r="L470" s="2">
        <f>ABS(K470-D470)/D470</f>
        <v>7.9073626765046486E-3</v>
      </c>
      <c r="M470" s="21">
        <f>K470*F470</f>
        <v>1.1526722586544309</v>
      </c>
      <c r="N470" s="2">
        <f>ABS(M470-G470)/M470</f>
        <v>9.5967358795108482E-3</v>
      </c>
      <c r="O470" s="21">
        <f t="shared" si="80"/>
        <v>1.1061891221945785E-2</v>
      </c>
      <c r="P470" s="25">
        <f>$AD$18*B470+$AD$19</f>
        <v>3.8916666666666657</v>
      </c>
      <c r="Q470" s="25">
        <f>$AD$29*G470+$AD$30</f>
        <v>3.9309118287632598</v>
      </c>
      <c r="R470" s="25">
        <f t="shared" si="81"/>
        <v>3.9245162096594122E-2</v>
      </c>
      <c r="S470" s="26">
        <v>3.9896427953347851</v>
      </c>
      <c r="T470" s="26">
        <f t="shared" si="82"/>
        <v>9.7976128668119333E-2</v>
      </c>
      <c r="U470" s="27">
        <f t="shared" si="83"/>
        <v>2.517587888688292E-2</v>
      </c>
      <c r="V470" s="28">
        <f t="shared" si="84"/>
        <v>67.87571354401743</v>
      </c>
      <c r="W470" s="27">
        <f t="shared" si="85"/>
        <v>1.7626889715403698E-2</v>
      </c>
      <c r="X470" s="21">
        <v>3.9935563216980441</v>
      </c>
      <c r="Y470" s="21">
        <f t="shared" si="86"/>
        <v>67.922675860376543</v>
      </c>
      <c r="Z470" s="2">
        <f t="shared" si="87"/>
        <v>1.8330972419438388E-2</v>
      </c>
    </row>
    <row r="471" spans="1:26">
      <c r="A471" s="1">
        <v>66.8</v>
      </c>
      <c r="B471" s="1">
        <f t="shared" si="77"/>
        <v>339.95</v>
      </c>
      <c r="C471" s="4">
        <f>ROUND(10000*EXP(($AB$4)+($AC$4/B471)+($AD$4/(B471^2))+($AE$4/(B471^3))),6)</f>
        <v>1957.4873500000001</v>
      </c>
      <c r="D471" s="4">
        <f>((C471+2*$AC$5)*$AC$6)/((C471+2*$AC$5)+$AC$6)</f>
        <v>1141.4709320379029</v>
      </c>
      <c r="E471" s="4">
        <f t="shared" si="78"/>
        <v>1.1414709320379028</v>
      </c>
      <c r="F471" s="24">
        <v>9.9990399102947171E-4</v>
      </c>
      <c r="G471" s="6">
        <v>1.1393496945972066</v>
      </c>
      <c r="H471" s="2">
        <f t="shared" si="79"/>
        <v>1.8583368013665889E-3</v>
      </c>
      <c r="I471" s="5">
        <f>G471/F471</f>
        <v>1139.4590928916741</v>
      </c>
      <c r="J471" s="2">
        <f>ABS(D471-I471)/I471</f>
        <v>1.7656089268840963E-3</v>
      </c>
      <c r="K471" s="1">
        <f>$AD$10*B471+$AD$11</f>
        <v>1150.4338242384993</v>
      </c>
      <c r="L471" s="2">
        <f>ABS(K471-D471)/D471</f>
        <v>7.8520547033069151E-3</v>
      </c>
      <c r="M471" s="21">
        <f>K471*F471</f>
        <v>1.1503233722713733</v>
      </c>
      <c r="N471" s="2">
        <f>ABS(M471-G471)/M471</f>
        <v>9.5396459279955218E-3</v>
      </c>
      <c r="O471" s="21">
        <f t="shared" si="80"/>
        <v>1.0973677674166682E-2</v>
      </c>
      <c r="P471" s="25">
        <f>$AD$18*B471+$AD$19</f>
        <v>3.9000000000000021</v>
      </c>
      <c r="Q471" s="25">
        <f>$AD$29*G471+$AD$30</f>
        <v>3.9389321997909423</v>
      </c>
      <c r="R471" s="25">
        <f t="shared" si="81"/>
        <v>3.8932199790940203E-2</v>
      </c>
      <c r="S471" s="26">
        <v>3.9979801823877339</v>
      </c>
      <c r="T471" s="26">
        <f t="shared" si="82"/>
        <v>9.7980182387731762E-2</v>
      </c>
      <c r="U471" s="27">
        <f t="shared" si="83"/>
        <v>2.5123123689161978E-2</v>
      </c>
      <c r="V471" s="28">
        <f t="shared" si="84"/>
        <v>67.975762188652809</v>
      </c>
      <c r="W471" s="27">
        <f t="shared" si="85"/>
        <v>1.7601230369054064E-2</v>
      </c>
      <c r="X471" s="21">
        <v>4.0018097319800159</v>
      </c>
      <c r="Y471" s="21">
        <f t="shared" si="86"/>
        <v>68.021716783760198</v>
      </c>
      <c r="Z471" s="2">
        <f t="shared" si="87"/>
        <v>1.8289173409583841E-2</v>
      </c>
    </row>
    <row r="472" spans="1:26">
      <c r="A472" s="1">
        <v>66.900000000000006</v>
      </c>
      <c r="B472" s="1">
        <f t="shared" si="77"/>
        <v>340.04999999999995</v>
      </c>
      <c r="C472" s="4">
        <f>ROUND(10000*EXP(($AB$4)+($AC$4/B472)+($AD$4/(B472^2))+($AE$4/(B472^3))),6)</f>
        <v>1950.6977420000001</v>
      </c>
      <c r="D472" s="4">
        <f>((C472+2*$AC$5)*$AC$6)/((C472+2*$AC$5)+$AC$6)</f>
        <v>1139.2053601656503</v>
      </c>
      <c r="E472" s="4">
        <f t="shared" si="78"/>
        <v>1.1392053601656502</v>
      </c>
      <c r="F472" s="24">
        <v>9.9990399102947171E-4</v>
      </c>
      <c r="G472" s="6">
        <v>1.1370856371950717</v>
      </c>
      <c r="H472" s="2">
        <f t="shared" si="79"/>
        <v>1.8607031222801402E-3</v>
      </c>
      <c r="I472" s="5">
        <f>G472/F472</f>
        <v>1137.1948180988475</v>
      </c>
      <c r="J472" s="2">
        <f>ABS(D472-I472)/I472</f>
        <v>1.7679838448121266E-3</v>
      </c>
      <c r="K472" s="1">
        <f>$AD$10*B472+$AD$11</f>
        <v>1148.0847123196263</v>
      </c>
      <c r="L472" s="2">
        <f>ABS(K472-D472)/D472</f>
        <v>7.794338461227816E-3</v>
      </c>
      <c r="M472" s="21">
        <f>K472*F472</f>
        <v>1.1479744858883172</v>
      </c>
      <c r="N472" s="2">
        <f>ABS(M472-G472)/M472</f>
        <v>9.4852706459059837E-3</v>
      </c>
      <c r="O472" s="21">
        <f t="shared" si="80"/>
        <v>1.0888848693245468E-2</v>
      </c>
      <c r="P472" s="25">
        <f>$AD$18*B472+$AD$19</f>
        <v>3.9083333333333314</v>
      </c>
      <c r="Q472" s="25">
        <f>$AD$29*G472+$AD$30</f>
        <v>3.9469645785189567</v>
      </c>
      <c r="R472" s="25">
        <f t="shared" si="81"/>
        <v>3.8631245185625218E-2</v>
      </c>
      <c r="S472" s="26">
        <v>4.0063300515379323</v>
      </c>
      <c r="T472" s="26">
        <f t="shared" si="82"/>
        <v>9.7996718204600874E-2</v>
      </c>
      <c r="U472" s="27">
        <f t="shared" si="83"/>
        <v>2.5073787173885097E-2</v>
      </c>
      <c r="V472" s="28">
        <f t="shared" si="84"/>
        <v>68.075960618455198</v>
      </c>
      <c r="W472" s="27">
        <f t="shared" si="85"/>
        <v>1.7577886673470742E-2</v>
      </c>
      <c r="X472" s="21">
        <v>4.0100754798389682</v>
      </c>
      <c r="Y472" s="21">
        <f t="shared" si="86"/>
        <v>68.120905758067622</v>
      </c>
      <c r="Z472" s="2">
        <f t="shared" si="87"/>
        <v>1.8249712377692313E-2</v>
      </c>
    </row>
    <row r="473" spans="1:26">
      <c r="A473" s="1">
        <v>67</v>
      </c>
      <c r="B473" s="1">
        <f t="shared" si="77"/>
        <v>340.15</v>
      </c>
      <c r="C473" s="4">
        <f>ROUND(10000*EXP(($AB$4)+($AC$4/B473)+($AD$4/(B473^2))+($AE$4/(B473^3))),6)</f>
        <v>1943.935223</v>
      </c>
      <c r="D473" s="4">
        <f>((C473+2*$AC$5)*$AC$6)/((C473+2*$AC$5)+$AC$6)</f>
        <v>1136.9422705423367</v>
      </c>
      <c r="E473" s="4">
        <f t="shared" si="78"/>
        <v>1.1369422705423367</v>
      </c>
      <c r="F473" s="24">
        <v>9.9990399102947171E-4</v>
      </c>
      <c r="G473" s="6">
        <v>1.134818215225718</v>
      </c>
      <c r="H473" s="2">
        <f t="shared" si="79"/>
        <v>1.8682173859235888E-3</v>
      </c>
      <c r="I473" s="5">
        <f>G473/F473</f>
        <v>1134.9271784157422</v>
      </c>
      <c r="J473" s="2">
        <f>ABS(D473-I473)/I473</f>
        <v>1.7755254829718429E-3</v>
      </c>
      <c r="K473" s="1">
        <f>$AD$10*B473+$AD$11</f>
        <v>1145.7356004007515</v>
      </c>
      <c r="L473" s="2">
        <f>ABS(K473-D473)/D473</f>
        <v>7.7341920396893152E-3</v>
      </c>
      <c r="M473" s="21">
        <f>K473*F473</f>
        <v>1.1456255995052596</v>
      </c>
      <c r="N473" s="2">
        <f>ABS(M473-G473)/M473</f>
        <v>9.4336092735783136E-3</v>
      </c>
      <c r="O473" s="21">
        <f t="shared" si="80"/>
        <v>1.0807384279541532E-2</v>
      </c>
      <c r="P473" s="25">
        <f>$AD$18*B473+$AD$19</f>
        <v>3.9166666666666679</v>
      </c>
      <c r="Q473" s="25">
        <f>$AD$29*G473+$AD$30</f>
        <v>3.9550088939929804</v>
      </c>
      <c r="R473" s="25">
        <f t="shared" si="81"/>
        <v>3.8342227326312539E-2</v>
      </c>
      <c r="S473" s="26">
        <v>4.0146923288815426</v>
      </c>
      <c r="T473" s="26">
        <f t="shared" si="82"/>
        <v>9.8025662214874743E-2</v>
      </c>
      <c r="U473" s="27">
        <f t="shared" si="83"/>
        <v>2.502782865060631E-2</v>
      </c>
      <c r="V473" s="28">
        <f t="shared" si="84"/>
        <v>68.176307946578504</v>
      </c>
      <c r="W473" s="27">
        <f t="shared" si="85"/>
        <v>1.7556835023559762E-2</v>
      </c>
      <c r="X473" s="21">
        <v>4.0188453778028208</v>
      </c>
      <c r="Y473" s="21">
        <f t="shared" si="86"/>
        <v>68.226144533633857</v>
      </c>
      <c r="Z473" s="2">
        <f t="shared" si="87"/>
        <v>1.8300664681102339E-2</v>
      </c>
    </row>
    <row r="474" spans="1:26">
      <c r="A474" s="1">
        <v>67.099999999999994</v>
      </c>
      <c r="B474" s="1">
        <f t="shared" si="77"/>
        <v>340.25</v>
      </c>
      <c r="C474" s="4">
        <f>ROUND(10000*EXP(($AB$4)+($AC$4/B474)+($AD$4/(B474^2))+($AE$4/(B474^3))),6)</f>
        <v>1937.199674</v>
      </c>
      <c r="D474" s="4">
        <f>((C474+2*$AC$5)*$AC$6)/((C474+2*$AC$5)+$AC$6)</f>
        <v>1134.6816734746683</v>
      </c>
      <c r="E474" s="4">
        <f t="shared" si="78"/>
        <v>1.1346816734746683</v>
      </c>
      <c r="F474" s="24">
        <v>9.9990399102947171E-4</v>
      </c>
      <c r="G474" s="6">
        <v>1.132547459908688</v>
      </c>
      <c r="H474" s="2">
        <f t="shared" si="79"/>
        <v>1.8808918975881919E-3</v>
      </c>
      <c r="I474" s="5">
        <f>G474/F474</f>
        <v>1132.6562050648988</v>
      </c>
      <c r="J474" s="2">
        <f>ABS(D474-I474)/I474</f>
        <v>1.7882464252720167E-3</v>
      </c>
      <c r="K474" s="1">
        <f>$AD$10*B474+$AD$11</f>
        <v>1143.3864884818777</v>
      </c>
      <c r="L474" s="2">
        <f>ABS(K474-D474)/D474</f>
        <v>7.6715921396290397E-3</v>
      </c>
      <c r="M474" s="21">
        <f>K474*F474</f>
        <v>1.1432767131222026</v>
      </c>
      <c r="N474" s="2">
        <f>ABS(M474-G474)/M474</f>
        <v>9.384651231296233E-3</v>
      </c>
      <c r="O474" s="21">
        <f t="shared" si="80"/>
        <v>1.0729253213514589E-2</v>
      </c>
      <c r="P474" s="25">
        <f>$AD$18*B474+$AD$19</f>
        <v>3.9250000000000007</v>
      </c>
      <c r="Q474" s="25">
        <f>$AD$29*G474+$AD$30</f>
        <v>3.9630650354529271</v>
      </c>
      <c r="R474" s="25">
        <f t="shared" si="81"/>
        <v>3.8065035452926388E-2</v>
      </c>
      <c r="S474" s="26">
        <v>4.0230669000302788</v>
      </c>
      <c r="T474" s="26">
        <f t="shared" si="82"/>
        <v>9.806690003027807E-2</v>
      </c>
      <c r="U474" s="27">
        <f t="shared" si="83"/>
        <v>2.4985197459943452E-2</v>
      </c>
      <c r="V474" s="28">
        <f t="shared" si="84"/>
        <v>68.276802800363356</v>
      </c>
      <c r="W474" s="27">
        <f t="shared" si="85"/>
        <v>1.7538044714804201E-2</v>
      </c>
      <c r="X474" s="21">
        <v>4.0271344590744489</v>
      </c>
      <c r="Y474" s="21">
        <f t="shared" si="86"/>
        <v>68.325613508893397</v>
      </c>
      <c r="Z474" s="2">
        <f t="shared" si="87"/>
        <v>1.8265477032688573E-2</v>
      </c>
    </row>
    <row r="475" spans="1:26">
      <c r="A475" s="1">
        <v>67.2</v>
      </c>
      <c r="B475" s="1">
        <f t="shared" si="77"/>
        <v>340.34999999999997</v>
      </c>
      <c r="C475" s="4">
        <f>ROUND(10000*EXP(($AB$4)+($AC$4/B475)+($AD$4/(B475^2))+($AE$4/(B475^3))),6)</f>
        <v>1930.4909740000001</v>
      </c>
      <c r="D475" s="4">
        <f>((C475+2*$AC$5)*$AC$6)/((C475+2*$AC$5)+$AC$6)</f>
        <v>1132.4235783367849</v>
      </c>
      <c r="E475" s="4">
        <f t="shared" si="78"/>
        <v>1.1324235783367849</v>
      </c>
      <c r="F475" s="24">
        <v>9.9990399102947171E-4</v>
      </c>
      <c r="G475" s="6">
        <v>1.130273402674034</v>
      </c>
      <c r="H475" s="2">
        <f t="shared" si="79"/>
        <v>1.8987379845171503E-3</v>
      </c>
      <c r="I475" s="5">
        <f>G475/F475</f>
        <v>1130.3819294793871</v>
      </c>
      <c r="J475" s="2">
        <f>ABS(D475-I475)/I475</f>
        <v>1.8061584356166599E-3</v>
      </c>
      <c r="K475" s="1">
        <f>$AD$10*B475+$AD$11</f>
        <v>1141.0373765630047</v>
      </c>
      <c r="L475" s="2">
        <f>ABS(K475-D475)/D475</f>
        <v>7.6065161402512609E-3</v>
      </c>
      <c r="M475" s="21">
        <f>K475*F475</f>
        <v>1.1409278267391467</v>
      </c>
      <c r="N475" s="2">
        <f>ABS(M475-G475)/M475</f>
        <v>9.3383856677103309E-3</v>
      </c>
      <c r="O475" s="21">
        <f t="shared" si="80"/>
        <v>1.0654424065112744E-2</v>
      </c>
      <c r="P475" s="25">
        <f>$AD$18*B475+$AD$19</f>
        <v>3.9333333333333336</v>
      </c>
      <c r="Q475" s="25">
        <f>$AD$29*G475+$AD$30</f>
        <v>3.9711328913918713</v>
      </c>
      <c r="R475" s="25">
        <f t="shared" si="81"/>
        <v>3.7799558058537741E-2</v>
      </c>
      <c r="S475" s="26">
        <v>4.031453649670226</v>
      </c>
      <c r="T475" s="26">
        <f t="shared" si="82"/>
        <v>9.8120316336892444E-2</v>
      </c>
      <c r="U475" s="27">
        <f t="shared" si="83"/>
        <v>2.4945843136498079E-2</v>
      </c>
      <c r="V475" s="28">
        <f t="shared" si="84"/>
        <v>68.377443796042712</v>
      </c>
      <c r="W475" s="27">
        <f t="shared" si="85"/>
        <v>1.7521485060159363E-2</v>
      </c>
      <c r="X475" s="21">
        <v>4.0354355328034162</v>
      </c>
      <c r="Y475" s="21">
        <f t="shared" si="86"/>
        <v>68.425226393640997</v>
      </c>
      <c r="Z475" s="2">
        <f t="shared" si="87"/>
        <v>1.8232535619657656E-2</v>
      </c>
    </row>
    <row r="476" spans="1:26">
      <c r="A476" s="1">
        <v>67.3</v>
      </c>
      <c r="B476" s="1">
        <f t="shared" si="77"/>
        <v>340.45</v>
      </c>
      <c r="C476" s="4">
        <f>ROUND(10000*EXP(($AB$4)+($AC$4/B476)+($AD$4/(B476^2))+($AE$4/(B476^3))),6)</f>
        <v>1923.809002</v>
      </c>
      <c r="D476" s="4">
        <f>((C476+2*$AC$5)*$AC$6)/((C476+2*$AC$5)+$AC$6)</f>
        <v>1130.1679942348326</v>
      </c>
      <c r="E476" s="4">
        <f t="shared" si="78"/>
        <v>1.1301679942348326</v>
      </c>
      <c r="F476" s="24">
        <v>9.9990399102947171E-4</v>
      </c>
      <c r="G476" s="6">
        <v>1.1279960740670085</v>
      </c>
      <c r="H476" s="2">
        <f t="shared" si="79"/>
        <v>1.9217675415543472E-3</v>
      </c>
      <c r="I476" s="5">
        <f>G476/F476</f>
        <v>1128.1043822073927</v>
      </c>
      <c r="J476" s="2">
        <f>ABS(D476-I476)/I476</f>
        <v>1.8292740104438781E-3</v>
      </c>
      <c r="K476" s="1">
        <f>$AD$10*B476+$AD$11</f>
        <v>1138.68826464413</v>
      </c>
      <c r="L476" s="2">
        <f>ABS(K476-D476)/D476</f>
        <v>7.5389415137932072E-3</v>
      </c>
      <c r="M476" s="21">
        <f>K476*F476</f>
        <v>1.1385789403560889</v>
      </c>
      <c r="N476" s="2">
        <f>ABS(M476-G476)/M476</f>
        <v>9.2948024190317134E-3</v>
      </c>
      <c r="O476" s="21">
        <f t="shared" si="80"/>
        <v>1.0582866289080339E-2</v>
      </c>
      <c r="P476" s="25">
        <f>$AD$18*B476+$AD$19</f>
        <v>3.9416666666666664</v>
      </c>
      <c r="Q476" s="25">
        <f>$AD$29*G476+$AD$30</f>
        <v>3.9792123534419597</v>
      </c>
      <c r="R476" s="25">
        <f t="shared" si="81"/>
        <v>3.7545686775293241E-2</v>
      </c>
      <c r="S476" s="26">
        <v>4.039852462833383</v>
      </c>
      <c r="T476" s="26">
        <f t="shared" si="82"/>
        <v>9.8185796166716521E-2</v>
      </c>
      <c r="U476" s="27">
        <f t="shared" si="83"/>
        <v>2.4909715729399543E-2</v>
      </c>
      <c r="V476" s="28">
        <f t="shared" si="84"/>
        <v>68.478229554000606</v>
      </c>
      <c r="W476" s="27">
        <f t="shared" si="85"/>
        <v>1.7507125616650951E-2</v>
      </c>
      <c r="X476" s="21">
        <v>4.0437484839725473</v>
      </c>
      <c r="Y476" s="21">
        <f t="shared" si="86"/>
        <v>68.524981807670571</v>
      </c>
      <c r="Z476" s="2">
        <f t="shared" si="87"/>
        <v>1.8201809920810903E-2</v>
      </c>
    </row>
    <row r="477" spans="1:26">
      <c r="A477" s="1">
        <v>67.400000000000006</v>
      </c>
      <c r="B477" s="1">
        <f t="shared" si="77"/>
        <v>340.54999999999995</v>
      </c>
      <c r="C477" s="4">
        <f>ROUND(10000*EXP(($AB$4)+($AC$4/B477)+($AD$4/(B477^2))+($AE$4/(B477^3))),6)</f>
        <v>1917.1536390000001</v>
      </c>
      <c r="D477" s="4">
        <f>((C477+2*$AC$5)*$AC$6)/((C477+2*$AC$5)+$AC$6)</f>
        <v>1127.9149306831928</v>
      </c>
      <c r="E477" s="4">
        <f t="shared" si="78"/>
        <v>1.1279149306831928</v>
      </c>
      <c r="F477" s="24">
        <v>9.9990399102947171E-4</v>
      </c>
      <c r="G477" s="6">
        <v>1.1258493051611485</v>
      </c>
      <c r="H477" s="2">
        <f t="shared" si="79"/>
        <v>1.8313664141259229E-3</v>
      </c>
      <c r="I477" s="5">
        <f>G477/F477</f>
        <v>1125.9574071726697</v>
      </c>
      <c r="J477" s="2">
        <f>ABS(D477-I477)/I477</f>
        <v>1.738541349835329E-3</v>
      </c>
      <c r="K477" s="1">
        <f>$AD$10*B477+$AD$11</f>
        <v>1136.339152725257</v>
      </c>
      <c r="L477" s="2">
        <f>ABS(K477-D477)/D477</f>
        <v>7.4688452230715387E-3</v>
      </c>
      <c r="M477" s="21">
        <f>K477*F477</f>
        <v>1.1362300539730328</v>
      </c>
      <c r="N477" s="2">
        <f>ABS(M477-G477)/M477</f>
        <v>9.136132929758527E-3</v>
      </c>
      <c r="O477" s="21">
        <f t="shared" si="80"/>
        <v>1.0380748811884333E-2</v>
      </c>
      <c r="P477" s="25">
        <f>$AD$18*B477+$AD$19</f>
        <v>3.9499999999999993</v>
      </c>
      <c r="Q477" s="25">
        <f>$AD$29*G477+$AD$30</f>
        <v>3.9868286183286781</v>
      </c>
      <c r="R477" s="25">
        <f t="shared" si="81"/>
        <v>3.6828618328678786E-2</v>
      </c>
      <c r="S477" s="26">
        <v>4.0477697706992428</v>
      </c>
      <c r="T477" s="26">
        <f t="shared" si="82"/>
        <v>9.776977069924353E-2</v>
      </c>
      <c r="U477" s="27">
        <f t="shared" si="83"/>
        <v>2.4751840683352795E-2</v>
      </c>
      <c r="V477" s="28">
        <f t="shared" si="84"/>
        <v>68.573237248390924</v>
      </c>
      <c r="W477" s="27">
        <f t="shared" si="85"/>
        <v>1.7407080836660514E-2</v>
      </c>
      <c r="X477" s="21">
        <v>4.0515852421422265</v>
      </c>
      <c r="Y477" s="21">
        <f t="shared" si="86"/>
        <v>68.619022905706728</v>
      </c>
      <c r="Z477" s="2">
        <f t="shared" si="87"/>
        <v>1.808639325974366E-2</v>
      </c>
    </row>
    <row r="478" spans="1:26">
      <c r="A478" s="1">
        <v>67.5</v>
      </c>
      <c r="B478" s="1">
        <f t="shared" si="77"/>
        <v>340.65</v>
      </c>
      <c r="C478" s="4">
        <f>ROUND(10000*EXP(($AB$4)+($AC$4/B478)+($AD$4/(B478^2))+($AE$4/(B478^3))),6)</f>
        <v>1910.5247670000001</v>
      </c>
      <c r="D478" s="4">
        <f>((C478+2*$AC$5)*$AC$6)/((C478+2*$AC$5)+$AC$6)</f>
        <v>1125.6643972724055</v>
      </c>
      <c r="E478" s="4">
        <f t="shared" si="78"/>
        <v>1.1256643972724054</v>
      </c>
      <c r="F478" s="24">
        <v>9.9990399102947171E-4</v>
      </c>
      <c r="G478" s="6">
        <v>1.1235652593384544</v>
      </c>
      <c r="H478" s="2">
        <f t="shared" si="79"/>
        <v>1.8647990813580109E-3</v>
      </c>
      <c r="I478" s="5">
        <f>G478/F478</f>
        <v>1123.673142040032</v>
      </c>
      <c r="J478" s="2">
        <f>ABS(D478-I478)/I478</f>
        <v>1.7720947114197307E-3</v>
      </c>
      <c r="K478" s="1">
        <f>$AD$10*B478+$AD$11</f>
        <v>1133.9900408063822</v>
      </c>
      <c r="L478" s="2">
        <f>ABS(K478-D478)/D478</f>
        <v>7.3962040144030412E-3</v>
      </c>
      <c r="M478" s="21">
        <f>K478*F478</f>
        <v>1.1338811675899751</v>
      </c>
      <c r="N478" s="2">
        <f>ABS(M478-G478)/M478</f>
        <v>9.097874227373258E-3</v>
      </c>
      <c r="O478" s="21">
        <f t="shared" si="80"/>
        <v>1.0315908251520733E-2</v>
      </c>
      <c r="P478" s="25">
        <f>$AD$18*B478+$AD$19</f>
        <v>3.9583333333333321</v>
      </c>
      <c r="Q478" s="25">
        <f>$AD$29*G478+$AD$30</f>
        <v>3.9949319115856068</v>
      </c>
      <c r="R478" s="25">
        <f t="shared" si="81"/>
        <v>3.6598578252274638E-2</v>
      </c>
      <c r="S478" s="26">
        <v>4.0561933580276239</v>
      </c>
      <c r="T478" s="26">
        <f t="shared" si="82"/>
        <v>9.7860024694291781E-2</v>
      </c>
      <c r="U478" s="27">
        <f t="shared" si="83"/>
        <v>2.4722532554347403E-2</v>
      </c>
      <c r="V478" s="28">
        <f t="shared" si="84"/>
        <v>68.674320296331487</v>
      </c>
      <c r="W478" s="27">
        <f t="shared" si="85"/>
        <v>1.739733772342944E-2</v>
      </c>
      <c r="X478" s="21">
        <v>4.0599225945307129</v>
      </c>
      <c r="Y478" s="21">
        <f t="shared" si="86"/>
        <v>68.719071134368562</v>
      </c>
      <c r="Z478" s="2">
        <f t="shared" si="87"/>
        <v>1.8060313101756476E-2</v>
      </c>
    </row>
    <row r="479" spans="1:26">
      <c r="A479" s="1">
        <v>67.599999999999994</v>
      </c>
      <c r="B479" s="1">
        <f t="shared" si="77"/>
        <v>340.75</v>
      </c>
      <c r="C479" s="4">
        <f>ROUND(10000*EXP(($AB$4)+($AC$4/B479)+($AD$4/(B479^2))+($AE$4/(B479^3))),6)</f>
        <v>1903.9222669999999</v>
      </c>
      <c r="D479" s="4">
        <f>((C479+2*$AC$5)*$AC$6)/((C479+2*$AC$5)+$AC$6)</f>
        <v>1123.4164029903229</v>
      </c>
      <c r="E479" s="4">
        <f t="shared" si="78"/>
        <v>1.1234164029903229</v>
      </c>
      <c r="F479" s="24">
        <v>9.9990399102947171E-4</v>
      </c>
      <c r="G479" s="6">
        <v>1.1212766623781634</v>
      </c>
      <c r="H479" s="2">
        <f t="shared" si="79"/>
        <v>1.9046727522082679E-3</v>
      </c>
      <c r="I479" s="5">
        <f>G479/F479</f>
        <v>1121.384325332805</v>
      </c>
      <c r="J479" s="2">
        <f>ABS(D479-I479)/I479</f>
        <v>1.8121152682554409E-3</v>
      </c>
      <c r="K479" s="1">
        <f>$AD$10*B479+$AD$11</f>
        <v>1131.6409288875075</v>
      </c>
      <c r="L479" s="2">
        <f>ABS(K479-D479)/D479</f>
        <v>7.3209950249011942E-3</v>
      </c>
      <c r="M479" s="21">
        <f>K479*F479</f>
        <v>1.1315322812069173</v>
      </c>
      <c r="N479" s="2">
        <f>ABS(M479-G479)/M479</f>
        <v>9.0634787880864084E-3</v>
      </c>
      <c r="O479" s="21">
        <f t="shared" si="80"/>
        <v>1.0255618828753919E-2</v>
      </c>
      <c r="P479" s="25">
        <f>$AD$18*B479+$AD$19</f>
        <v>3.9666666666666686</v>
      </c>
      <c r="Q479" s="25">
        <f>$AD$29*G479+$AD$30</f>
        <v>4.0030513512798063</v>
      </c>
      <c r="R479" s="25">
        <f t="shared" si="81"/>
        <v>3.6384684613137708E-2</v>
      </c>
      <c r="S479" s="26">
        <v>4.0646337290282926</v>
      </c>
      <c r="T479" s="26">
        <f t="shared" si="82"/>
        <v>9.7967062361624002E-2</v>
      </c>
      <c r="U479" s="27">
        <f t="shared" si="83"/>
        <v>2.4697578746627889E-2</v>
      </c>
      <c r="V479" s="28">
        <f t="shared" si="84"/>
        <v>68.775604748339504</v>
      </c>
      <c r="W479" s="27">
        <f t="shared" si="85"/>
        <v>1.7390602786087419E-2</v>
      </c>
      <c r="X479" s="21">
        <v>4.0682714802271889</v>
      </c>
      <c r="Y479" s="21">
        <f t="shared" si="86"/>
        <v>68.819257762726281</v>
      </c>
      <c r="Z479" s="2">
        <f t="shared" si="87"/>
        <v>1.8036357436779386E-2</v>
      </c>
    </row>
    <row r="480" spans="1:26">
      <c r="A480" s="1">
        <v>67.7</v>
      </c>
      <c r="B480" s="1">
        <f t="shared" si="77"/>
        <v>340.84999999999997</v>
      </c>
      <c r="C480" s="4">
        <f>ROUND(10000*EXP(($AB$4)+($AC$4/B480)+($AD$4/(B480^2))+($AE$4/(B480^3))),6)</f>
        <v>1897.3460210000001</v>
      </c>
      <c r="D480" s="4">
        <f>((C480+2*$AC$5)*$AC$6)/((C480+2*$AC$5)+$AC$6)</f>
        <v>1121.1709568993551</v>
      </c>
      <c r="E480" s="4">
        <f t="shared" si="78"/>
        <v>1.1211709568993551</v>
      </c>
      <c r="F480" s="24">
        <v>9.9990399102947171E-4</v>
      </c>
      <c r="G480" s="6">
        <v>1.1189862912440582</v>
      </c>
      <c r="H480" s="2">
        <f t="shared" si="79"/>
        <v>1.94855712400777E-3</v>
      </c>
      <c r="I480" s="5">
        <f>G480/F480</f>
        <v>1119.0937342814113</v>
      </c>
      <c r="J480" s="2">
        <f>ABS(D480-I480)/I480</f>
        <v>1.856164997007698E-3</v>
      </c>
      <c r="K480" s="1">
        <f>$AD$10*B480+$AD$11</f>
        <v>1129.2918169686345</v>
      </c>
      <c r="L480" s="2">
        <f>ABS(K480-D480)/D480</f>
        <v>7.2431951784926391E-3</v>
      </c>
      <c r="M480" s="21">
        <f>K480*F480</f>
        <v>1.1291833948238614</v>
      </c>
      <c r="N480" s="2">
        <f>ABS(M480-G480)/M480</f>
        <v>9.0305114532735504E-3</v>
      </c>
      <c r="O480" s="21">
        <f t="shared" si="80"/>
        <v>1.0197103579803191E-2</v>
      </c>
      <c r="P480" s="25">
        <f>$AD$18*B480+$AD$19</f>
        <v>3.9749999999999979</v>
      </c>
      <c r="Q480" s="25">
        <f>$AD$29*G480+$AD$30</f>
        <v>4.0111770853532889</v>
      </c>
      <c r="R480" s="25">
        <f t="shared" si="81"/>
        <v>3.6177085353291005E-2</v>
      </c>
      <c r="S480" s="26">
        <v>4.0730806444810499</v>
      </c>
      <c r="T480" s="26">
        <f t="shared" si="82"/>
        <v>9.8080644481052026E-2</v>
      </c>
      <c r="U480" s="27">
        <f t="shared" si="83"/>
        <v>2.4674375970075994E-2</v>
      </c>
      <c r="V480" s="28">
        <f t="shared" si="84"/>
        <v>68.876967733772602</v>
      </c>
      <c r="W480" s="27">
        <f t="shared" si="85"/>
        <v>1.7385047766212695E-2</v>
      </c>
      <c r="X480" s="21">
        <v>4.0771167744436054</v>
      </c>
      <c r="Y480" s="21">
        <f t="shared" si="86"/>
        <v>68.925401293323276</v>
      </c>
      <c r="Z480" s="2">
        <f t="shared" si="87"/>
        <v>1.8100462235203441E-2</v>
      </c>
    </row>
    <row r="481" spans="1:26">
      <c r="A481" s="1">
        <v>67.8</v>
      </c>
      <c r="B481" s="1">
        <f t="shared" si="77"/>
        <v>340.95</v>
      </c>
      <c r="C481" s="4">
        <f>ROUND(10000*EXP(($AB$4)+($AC$4/B481)+($AD$4/(B481^2))+($AE$4/(B481^3))),6)</f>
        <v>1890.7959129999999</v>
      </c>
      <c r="D481" s="4">
        <f>((C481+2*$AC$5)*$AC$6)/((C481+2*$AC$5)+$AC$6)</f>
        <v>1118.9280684824794</v>
      </c>
      <c r="E481" s="4">
        <f t="shared" si="78"/>
        <v>1.1189280684824794</v>
      </c>
      <c r="F481" s="24">
        <v>9.9990399102947171E-4</v>
      </c>
      <c r="G481" s="6">
        <v>1.116956873915361</v>
      </c>
      <c r="H481" s="2">
        <f t="shared" si="79"/>
        <v>1.7616812220929887E-3</v>
      </c>
      <c r="I481" s="5">
        <f>G481/F481</f>
        <v>1117.0641220917371</v>
      </c>
      <c r="J481" s="2">
        <f>ABS(D481-I481)/I481</f>
        <v>1.6686118136638279E-3</v>
      </c>
      <c r="K481" s="1">
        <f>$AD$10*B481+$AD$11</f>
        <v>1126.9427050497598</v>
      </c>
      <c r="L481" s="2">
        <f>ABS(K481-D481)/D481</f>
        <v>7.1627808730815416E-3</v>
      </c>
      <c r="M481" s="21">
        <f>K481*F481</f>
        <v>1.1268345084408036</v>
      </c>
      <c r="N481" s="2">
        <f>ABS(M481-G481)/M481</f>
        <v>8.7658253731598881E-3</v>
      </c>
      <c r="O481" s="21">
        <f t="shared" si="80"/>
        <v>9.8776345254425468E-3</v>
      </c>
      <c r="P481" s="25">
        <f>$AD$18*B481+$AD$19</f>
        <v>3.9833333333333343</v>
      </c>
      <c r="Q481" s="25">
        <f>$AD$29*G481+$AD$30</f>
        <v>4.0183770126015643</v>
      </c>
      <c r="R481" s="25">
        <f t="shared" si="81"/>
        <v>3.5043679268230044E-2</v>
      </c>
      <c r="S481" s="26">
        <v>4.0805651582905336</v>
      </c>
      <c r="T481" s="26">
        <f t="shared" si="82"/>
        <v>9.7231824957199287E-2</v>
      </c>
      <c r="U481" s="27">
        <f t="shared" si="83"/>
        <v>2.4409663169171363E-2</v>
      </c>
      <c r="V481" s="28">
        <f t="shared" si="84"/>
        <v>68.966781899486406</v>
      </c>
      <c r="W481" s="27">
        <f t="shared" si="85"/>
        <v>1.7209172558796598E-2</v>
      </c>
      <c r="X481" s="21">
        <v>4.084519392237425</v>
      </c>
      <c r="Y481" s="21">
        <f t="shared" si="86"/>
        <v>69.014232706849114</v>
      </c>
      <c r="Z481" s="2">
        <f t="shared" si="87"/>
        <v>1.7909036974175768E-2</v>
      </c>
    </row>
    <row r="482" spans="1:26">
      <c r="A482" s="1">
        <v>67.900000000000006</v>
      </c>
      <c r="B482" s="1">
        <f t="shared" si="77"/>
        <v>341.04999999999995</v>
      </c>
      <c r="C482" s="4">
        <f>ROUND(10000*EXP(($AB$4)+($AC$4/B482)+($AD$4/(B482^2))+($AE$4/(B482^3))),6)</f>
        <v>1884.271825</v>
      </c>
      <c r="D482" s="4">
        <f>((C482+2*$AC$5)*$AC$6)/((C482+2*$AC$5)+$AC$6)</f>
        <v>1116.68774627571</v>
      </c>
      <c r="E482" s="4">
        <f t="shared" si="78"/>
        <v>1.1166877462757101</v>
      </c>
      <c r="F482" s="24">
        <v>9.9990399102947171E-4</v>
      </c>
      <c r="G482" s="6">
        <v>1.1146583919819015</v>
      </c>
      <c r="H482" s="2">
        <f t="shared" si="79"/>
        <v>1.8172978978024214E-3</v>
      </c>
      <c r="I482" s="5">
        <f>G482/F482</f>
        <v>1114.7654194622046</v>
      </c>
      <c r="J482" s="2">
        <f>ABS(D482-I482)/I482</f>
        <v>1.7244227170526739E-3</v>
      </c>
      <c r="K482" s="1">
        <f>$AD$10*B482+$AD$11</f>
        <v>1124.5935931308868</v>
      </c>
      <c r="L482" s="2">
        <f>ABS(K482-D482)/D482</f>
        <v>7.0797292094802663E-3</v>
      </c>
      <c r="M482" s="21">
        <f>K482*F482</f>
        <v>1.1244856220577475</v>
      </c>
      <c r="N482" s="2">
        <f>ABS(M482-G482)/M482</f>
        <v>8.7393114532337592E-3</v>
      </c>
      <c r="O482" s="21">
        <f t="shared" si="80"/>
        <v>9.8272300758459608E-3</v>
      </c>
      <c r="P482" s="25">
        <f>$AD$18*B482+$AD$19</f>
        <v>3.9916666666666636</v>
      </c>
      <c r="Q482" s="25">
        <f>$AD$29*G482+$AD$30</f>
        <v>4.0265315220109272</v>
      </c>
      <c r="R482" s="25">
        <f t="shared" si="81"/>
        <v>3.4864855344263646E-2</v>
      </c>
      <c r="S482" s="26">
        <v>4.0890419851833784</v>
      </c>
      <c r="T482" s="26">
        <f t="shared" si="82"/>
        <v>9.7375318516714771E-2</v>
      </c>
      <c r="U482" s="27">
        <f t="shared" si="83"/>
        <v>2.4394651820471361E-2</v>
      </c>
      <c r="V482" s="28">
        <f t="shared" si="84"/>
        <v>69.06850382220054</v>
      </c>
      <c r="W482" s="27">
        <f t="shared" si="85"/>
        <v>1.7209187366723631E-2</v>
      </c>
      <c r="X482" s="21">
        <v>4.0929031784983714</v>
      </c>
      <c r="Y482" s="21">
        <f t="shared" si="86"/>
        <v>69.114838141980471</v>
      </c>
      <c r="Z482" s="2">
        <f t="shared" si="87"/>
        <v>1.7891577937856628E-2</v>
      </c>
    </row>
    <row r="483" spans="1:26">
      <c r="A483" s="1">
        <v>68</v>
      </c>
      <c r="B483" s="1">
        <f t="shared" si="77"/>
        <v>341.15</v>
      </c>
      <c r="C483" s="4">
        <f>ROUND(10000*EXP(($AB$4)+($AC$4/B483)+($AD$4/(B483^2))+($AE$4/(B483^3))),6)</f>
        <v>1877.7736420000001</v>
      </c>
      <c r="D483" s="4">
        <f>((C483+2*$AC$5)*$AC$6)/((C483+2*$AC$5)+$AC$6)</f>
        <v>1114.4499995809058</v>
      </c>
      <c r="E483" s="4">
        <f t="shared" si="78"/>
        <v>1.1144499995809058</v>
      </c>
      <c r="F483" s="24">
        <v>9.9990399102947171E-4</v>
      </c>
      <c r="G483" s="6">
        <v>1.1124904119380066</v>
      </c>
      <c r="H483" s="2">
        <f t="shared" si="79"/>
        <v>1.7583450523901353E-3</v>
      </c>
      <c r="I483" s="5">
        <f>G483/F483</f>
        <v>1112.5972312527917</v>
      </c>
      <c r="J483" s="2">
        <f>ABS(D483-I483)/I483</f>
        <v>1.6652641909128457E-3</v>
      </c>
      <c r="K483" s="1">
        <f>$AD$10*B483+$AD$11</f>
        <v>1122.2444812120129</v>
      </c>
      <c r="L483" s="2">
        <f>ABS(K483-D483)/D483</f>
        <v>6.9940164511986163E-3</v>
      </c>
      <c r="M483" s="21">
        <f>K483*F483</f>
        <v>1.1221367356746907</v>
      </c>
      <c r="N483" s="2">
        <f>ABS(M483-G483)/M483</f>
        <v>8.5963888624359733E-3</v>
      </c>
      <c r="O483" s="21">
        <f t="shared" si="80"/>
        <v>9.646323736684172E-3</v>
      </c>
      <c r="P483" s="25">
        <f>$AD$18*B483+$AD$19</f>
        <v>4</v>
      </c>
      <c r="Q483" s="25">
        <f>$AD$29*G483+$AD$30</f>
        <v>4.0342230393597909</v>
      </c>
      <c r="R483" s="25">
        <f t="shared" si="81"/>
        <v>3.4223039359790874E-2</v>
      </c>
      <c r="S483" s="26">
        <v>4.0970375206707583</v>
      </c>
      <c r="T483" s="26">
        <f t="shared" si="82"/>
        <v>9.7037520670758326E-2</v>
      </c>
      <c r="U483" s="27">
        <f t="shared" si="83"/>
        <v>2.4259380167689581E-2</v>
      </c>
      <c r="V483" s="28">
        <f t="shared" si="84"/>
        <v>69.164450248049093</v>
      </c>
      <c r="W483" s="27">
        <f t="shared" si="85"/>
        <v>1.7124268353663128E-2</v>
      </c>
      <c r="X483" s="21">
        <v>4.1008160103986908</v>
      </c>
      <c r="Y483" s="21">
        <f t="shared" si="86"/>
        <v>69.2097921247843</v>
      </c>
      <c r="Z483" s="2">
        <f t="shared" si="87"/>
        <v>1.7791060658592654E-2</v>
      </c>
    </row>
    <row r="484" spans="1:26">
      <c r="A484" s="1">
        <v>68.099999999999994</v>
      </c>
      <c r="B484" s="1">
        <f t="shared" si="77"/>
        <v>341.25</v>
      </c>
      <c r="C484" s="4">
        <f>ROUND(10000*EXP(($AB$4)+($AC$4/B484)+($AD$4/(B484^2))+($AE$4/(B484^3))),6)</f>
        <v>1871.3012490000001</v>
      </c>
      <c r="D484" s="4">
        <f>((C484+2*$AC$5)*$AC$6)/((C484+2*$AC$5)+$AC$6)</f>
        <v>1112.2148374411752</v>
      </c>
      <c r="E484" s="4">
        <f t="shared" si="78"/>
        <v>1.1122148374411751</v>
      </c>
      <c r="F484" s="24">
        <v>9.9990399102947171E-4</v>
      </c>
      <c r="G484" s="6">
        <v>1.1101869715223067</v>
      </c>
      <c r="H484" s="2">
        <f t="shared" si="79"/>
        <v>1.8232681767973999E-3</v>
      </c>
      <c r="I484" s="5">
        <f>G484/F484</f>
        <v>1110.2935696649145</v>
      </c>
      <c r="J484" s="2">
        <f>ABS(D484-I484)/I484</f>
        <v>1.7304142154408377E-3</v>
      </c>
      <c r="K484" s="1">
        <f>$AD$10*B484+$AD$11</f>
        <v>1119.8953692931382</v>
      </c>
      <c r="L484" s="2">
        <f>ABS(K484-D484)/D484</f>
        <v>6.9056189446575498E-3</v>
      </c>
      <c r="M484" s="21">
        <f>K484*F484</f>
        <v>1.1197878492916329</v>
      </c>
      <c r="N484" s="2">
        <f>ABS(M484-G484)/M484</f>
        <v>8.5738363524837224E-3</v>
      </c>
      <c r="O484" s="21">
        <f t="shared" si="80"/>
        <v>9.600877769326166E-3</v>
      </c>
      <c r="P484" s="25">
        <f>$AD$18*B484+$AD$19</f>
        <v>4.0083333333333364</v>
      </c>
      <c r="Q484" s="25">
        <f>$AD$29*G484+$AD$30</f>
        <v>4.0423951403758123</v>
      </c>
      <c r="R484" s="25">
        <f t="shared" si="81"/>
        <v>3.4061807042475856E-2</v>
      </c>
      <c r="S484" s="26">
        <v>4.1055326353679744</v>
      </c>
      <c r="T484" s="26">
        <f t="shared" si="82"/>
        <v>9.7199302034638002E-2</v>
      </c>
      <c r="U484" s="27">
        <f t="shared" si="83"/>
        <v>2.4249306120907591E-2</v>
      </c>
      <c r="V484" s="28">
        <f t="shared" si="84"/>
        <v>69.266391624415704</v>
      </c>
      <c r="W484" s="27">
        <f t="shared" si="85"/>
        <v>1.7127630314474441E-2</v>
      </c>
      <c r="X484" s="21">
        <v>4.1092228205153196</v>
      </c>
      <c r="Y484" s="21">
        <f t="shared" si="86"/>
        <v>69.310673846183846</v>
      </c>
      <c r="Z484" s="2">
        <f t="shared" si="87"/>
        <v>1.7777883203874478E-2</v>
      </c>
    </row>
    <row r="485" spans="1:26">
      <c r="A485" s="1">
        <v>68.2</v>
      </c>
      <c r="B485" s="1">
        <f t="shared" si="77"/>
        <v>341.34999999999997</v>
      </c>
      <c r="C485" s="4">
        <f>ROUND(10000*EXP(($AB$4)+($AC$4/B485)+($AD$4/(B485^2))+($AE$4/(B485^3))),6)</f>
        <v>1864.8545300000001</v>
      </c>
      <c r="D485" s="4">
        <f>((C485+2*$AC$5)*$AC$6)/((C485+2*$AC$5)+$AC$6)</f>
        <v>1109.9822682923814</v>
      </c>
      <c r="E485" s="4">
        <f t="shared" si="78"/>
        <v>1.1099822682923814</v>
      </c>
      <c r="F485" s="24">
        <v>9.9990399102947171E-4</v>
      </c>
      <c r="G485" s="6">
        <v>1.1080108000211659</v>
      </c>
      <c r="H485" s="2">
        <f t="shared" si="79"/>
        <v>1.7761259143792196E-3</v>
      </c>
      <c r="I485" s="5">
        <f>G485/F485</f>
        <v>1108.1171892117268</v>
      </c>
      <c r="J485" s="2">
        <f>ABS(D485-I485)/I485</f>
        <v>1.683106352660537E-3</v>
      </c>
      <c r="K485" s="1">
        <f>$AD$10*B485+$AD$11</f>
        <v>1117.5462573742652</v>
      </c>
      <c r="L485" s="2">
        <f>ABS(K485-D485)/D485</f>
        <v>6.8145134367961005E-3</v>
      </c>
      <c r="M485" s="21">
        <f>K485*F485</f>
        <v>1.117438962908577</v>
      </c>
      <c r="N485" s="2">
        <f>ABS(M485-G485)/M485</f>
        <v>8.4372956379385432E-3</v>
      </c>
      <c r="O485" s="21">
        <f t="shared" si="80"/>
        <v>9.4281628874111068E-3</v>
      </c>
      <c r="P485" s="25">
        <f>$AD$18*B485+$AD$19</f>
        <v>4.0166666666666657</v>
      </c>
      <c r="Q485" s="25">
        <f>$AD$29*G485+$AD$30</f>
        <v>4.050115719217052</v>
      </c>
      <c r="R485" s="25">
        <f t="shared" si="81"/>
        <v>3.3449052550386327E-2</v>
      </c>
      <c r="S485" s="26">
        <v>4.1135583796466859</v>
      </c>
      <c r="T485" s="26">
        <f t="shared" si="82"/>
        <v>9.6891712980020195E-2</v>
      </c>
      <c r="U485" s="27">
        <f t="shared" si="83"/>
        <v>2.412241816929964E-2</v>
      </c>
      <c r="V485" s="28">
        <f t="shared" si="84"/>
        <v>69.362700555760242</v>
      </c>
      <c r="W485" s="27">
        <f t="shared" si="85"/>
        <v>1.7048395245751302E-2</v>
      </c>
      <c r="X485" s="21">
        <v>4.1171604147544647</v>
      </c>
      <c r="Y485" s="21">
        <f t="shared" si="86"/>
        <v>69.405924977053587</v>
      </c>
      <c r="Z485" s="2">
        <f t="shared" si="87"/>
        <v>1.7682184414275427E-2</v>
      </c>
    </row>
    <row r="486" spans="1:26">
      <c r="A486" s="1">
        <v>68.3</v>
      </c>
      <c r="B486" s="1">
        <f t="shared" si="77"/>
        <v>341.45</v>
      </c>
      <c r="C486" s="4">
        <f>ROUND(10000*EXP(($AB$4)+($AC$4/B486)+($AD$4/(B486^2))+($AE$4/(B486^3))),6)</f>
        <v>1858.433372</v>
      </c>
      <c r="D486" s="4">
        <f>((C486+2*$AC$5)*$AC$6)/((C486+2*$AC$5)+$AC$6)</f>
        <v>1107.7523013476759</v>
      </c>
      <c r="E486" s="4">
        <f t="shared" si="78"/>
        <v>1.107752301347676</v>
      </c>
      <c r="F486" s="24">
        <v>9.9990399102947171E-4</v>
      </c>
      <c r="G486" s="6">
        <v>1.1056997626946021</v>
      </c>
      <c r="H486" s="2">
        <f t="shared" si="79"/>
        <v>1.8528859299834228E-3</v>
      </c>
      <c r="I486" s="5">
        <f>G486/F486</f>
        <v>1105.8059299835438</v>
      </c>
      <c r="J486" s="2">
        <f>ABS(D486-I486)/I486</f>
        <v>1.7601382949366932E-3</v>
      </c>
      <c r="K486" s="1">
        <f>$AD$10*B486+$AD$11</f>
        <v>1115.1971454553905</v>
      </c>
      <c r="L486" s="2">
        <f>ABS(K486-D486)/D486</f>
        <v>6.7206758213521406E-3</v>
      </c>
      <c r="M486" s="21">
        <f>K486*F486</f>
        <v>1.1150900765255192</v>
      </c>
      <c r="N486" s="2">
        <f>ABS(M486-G486)/M486</f>
        <v>8.4211258162892825E-3</v>
      </c>
      <c r="O486" s="21">
        <f t="shared" si="80"/>
        <v>9.3903138309170409E-3</v>
      </c>
      <c r="P486" s="25">
        <f>$AD$18*B486+$AD$19</f>
        <v>4.0250000000000021</v>
      </c>
      <c r="Q486" s="25">
        <f>$AD$29*G486+$AD$30</f>
        <v>4.0583147724053834</v>
      </c>
      <c r="R486" s="25">
        <f t="shared" si="81"/>
        <v>3.3314772405381277E-2</v>
      </c>
      <c r="S486" s="26">
        <v>4.1220815114578313</v>
      </c>
      <c r="T486" s="26">
        <f t="shared" si="82"/>
        <v>9.7081511457829173E-2</v>
      </c>
      <c r="U486" s="27">
        <f t="shared" si="83"/>
        <v>2.4119630175858168E-2</v>
      </c>
      <c r="V486" s="28">
        <f t="shared" si="84"/>
        <v>69.464978137493986</v>
      </c>
      <c r="W486" s="27">
        <f t="shared" si="85"/>
        <v>1.7056780929633808E-2</v>
      </c>
      <c r="X486" s="21">
        <v>4.126068879039555</v>
      </c>
      <c r="Y486" s="21">
        <f t="shared" si="86"/>
        <v>69.512826548474663</v>
      </c>
      <c r="Z486" s="2">
        <f t="shared" si="87"/>
        <v>1.7757343315880914E-2</v>
      </c>
    </row>
    <row r="487" spans="1:26">
      <c r="A487" s="1">
        <v>68.400000000000006</v>
      </c>
      <c r="B487" s="1">
        <f t="shared" si="77"/>
        <v>341.54999999999995</v>
      </c>
      <c r="C487" s="4">
        <f>ROUND(10000*EXP(($AB$4)+($AC$4/B487)+($AD$4/(B487^2))+($AE$4/(B487^3))),6)</f>
        <v>1852.03766</v>
      </c>
      <c r="D487" s="4">
        <f>((C487+2*$AC$5)*$AC$6)/((C487+2*$AC$5)+$AC$6)</f>
        <v>1105.5249448667053</v>
      </c>
      <c r="E487" s="4">
        <f t="shared" si="78"/>
        <v>1.1055249448667053</v>
      </c>
      <c r="F487" s="24">
        <v>9.9990399102947171E-4</v>
      </c>
      <c r="G487" s="6">
        <v>1.1035182748177144</v>
      </c>
      <c r="H487" s="2">
        <f t="shared" si="79"/>
        <v>1.8151286936658473E-3</v>
      </c>
      <c r="I487" s="5">
        <f>G487/F487</f>
        <v>1103.6242326441406</v>
      </c>
      <c r="J487" s="2">
        <f>ABS(D487-I487)/I487</f>
        <v>1.7222458209446407E-3</v>
      </c>
      <c r="K487" s="1">
        <f>$AD$10*B487+$AD$11</f>
        <v>1112.8480335365175</v>
      </c>
      <c r="L487" s="2">
        <f>ABS(K487-D487)/D487</f>
        <v>6.624082707328875E-3</v>
      </c>
      <c r="M487" s="21">
        <f>K487*F487</f>
        <v>1.1127411901424633</v>
      </c>
      <c r="N487" s="2">
        <f>ABS(M487-G487)/M487</f>
        <v>8.2884640260042376E-3</v>
      </c>
      <c r="O487" s="21">
        <f t="shared" si="80"/>
        <v>9.2229153247489482E-3</v>
      </c>
      <c r="P487" s="25">
        <f>$AD$18*B487+$AD$19</f>
        <v>4.0333333333333314</v>
      </c>
      <c r="Q487" s="25">
        <f>$AD$29*G487+$AD$30</f>
        <v>4.0660542125808909</v>
      </c>
      <c r="R487" s="25">
        <f t="shared" si="81"/>
        <v>3.2720879247559509E-2</v>
      </c>
      <c r="S487" s="26">
        <v>4.1301268637255717</v>
      </c>
      <c r="T487" s="26">
        <f t="shared" si="82"/>
        <v>9.6793530392240257E-2</v>
      </c>
      <c r="U487" s="27">
        <f t="shared" si="83"/>
        <v>2.3998395965018255E-2</v>
      </c>
      <c r="V487" s="28">
        <f t="shared" si="84"/>
        <v>69.56152236470686</v>
      </c>
      <c r="W487" s="27">
        <f t="shared" si="85"/>
        <v>1.6981321121445243E-2</v>
      </c>
      <c r="X487" s="21">
        <v>4.1340297949208029</v>
      </c>
      <c r="Y487" s="21">
        <f t="shared" si="86"/>
        <v>69.608357539049649</v>
      </c>
      <c r="Z487" s="2">
        <f t="shared" si="87"/>
        <v>1.7666045892538645E-2</v>
      </c>
    </row>
    <row r="488" spans="1:26">
      <c r="A488" s="1">
        <v>68.5</v>
      </c>
      <c r="B488" s="1">
        <f t="shared" si="77"/>
        <v>341.65</v>
      </c>
      <c r="C488" s="4">
        <f>ROUND(10000*EXP(($AB$4)+($AC$4/B488)+($AD$4/(B488^2))+($AE$4/(B488^3))),6)</f>
        <v>1845.667283</v>
      </c>
      <c r="D488" s="4">
        <f>((C488+2*$AC$5)*$AC$6)/((C488+2*$AC$5)+$AC$6)</f>
        <v>1103.3002082425287</v>
      </c>
      <c r="E488" s="4">
        <f t="shared" si="78"/>
        <v>1.1033002082425287</v>
      </c>
      <c r="F488" s="24">
        <v>9.9990399102947171E-4</v>
      </c>
      <c r="G488" s="6">
        <v>1.1012011381654416</v>
      </c>
      <c r="H488" s="2">
        <f t="shared" si="79"/>
        <v>1.9025375517972122E-3</v>
      </c>
      <c r="I488" s="5">
        <f>G488/F488</f>
        <v>1101.3068735046024</v>
      </c>
      <c r="J488" s="2">
        <f>ABS(D488-I488)/I488</f>
        <v>1.8099721211972725E-3</v>
      </c>
      <c r="K488" s="1">
        <f>$AD$10*B488+$AD$11</f>
        <v>1110.4989216176427</v>
      </c>
      <c r="L488" s="2">
        <f>ABS(K488-D488)/D488</f>
        <v>6.5247095226973889E-3</v>
      </c>
      <c r="M488" s="21">
        <f>K488*F488</f>
        <v>1.1103923037594055</v>
      </c>
      <c r="N488" s="2">
        <f>ABS(M488-G488)/M488</f>
        <v>8.2774039074709951E-3</v>
      </c>
      <c r="O488" s="21">
        <f t="shared" si="80"/>
        <v>9.191165593963822E-3</v>
      </c>
      <c r="P488" s="25">
        <f>$AD$18*B488+$AD$19</f>
        <v>4.0416666666666679</v>
      </c>
      <c r="Q488" s="25">
        <f>$AD$29*G488+$AD$30</f>
        <v>4.0742749048381057</v>
      </c>
      <c r="R488" s="25">
        <f t="shared" si="81"/>
        <v>3.2608238171437876E-2</v>
      </c>
      <c r="S488" s="26">
        <v>4.1386724890621336</v>
      </c>
      <c r="T488" s="26">
        <f t="shared" si="82"/>
        <v>9.7005822395465735E-2</v>
      </c>
      <c r="U488" s="27">
        <f t="shared" si="83"/>
        <v>2.4001440592692547E-2</v>
      </c>
      <c r="V488" s="28">
        <f t="shared" si="84"/>
        <v>69.664069868745614</v>
      </c>
      <c r="W488" s="27">
        <f t="shared" si="85"/>
        <v>1.6993720711614799E-2</v>
      </c>
      <c r="X488" s="21">
        <v>4.1424803090526412</v>
      </c>
      <c r="Y488" s="21">
        <f t="shared" si="86"/>
        <v>69.709763708631698</v>
      </c>
      <c r="Z488" s="2">
        <f t="shared" si="87"/>
        <v>1.7660784067616026E-2</v>
      </c>
    </row>
    <row r="489" spans="1:26">
      <c r="A489" s="1">
        <v>68.599999999999994</v>
      </c>
      <c r="B489" s="1">
        <f t="shared" si="77"/>
        <v>341.75</v>
      </c>
      <c r="C489" s="4">
        <f>ROUND(10000*EXP(($AB$4)+($AC$4/B489)+($AD$4/(B489^2))+($AE$4/(B489^3))),6)</f>
        <v>1839.322126</v>
      </c>
      <c r="D489" s="4">
        <f>((C489+2*$AC$5)*$AC$6)/((C489+2*$AC$5)+$AC$6)</f>
        <v>1101.0780992139094</v>
      </c>
      <c r="E489" s="4">
        <f t="shared" si="78"/>
        <v>1.1010780992139093</v>
      </c>
      <c r="F489" s="24">
        <v>9.9990399102947171E-4</v>
      </c>
      <c r="G489" s="6">
        <v>1.0990130946123773</v>
      </c>
      <c r="H489" s="2">
        <f t="shared" si="79"/>
        <v>1.8754388112943966E-3</v>
      </c>
      <c r="I489" s="5">
        <f>G489/F489</f>
        <v>1099.1186198595585</v>
      </c>
      <c r="J489" s="2">
        <f>ABS(D489-I489)/I489</f>
        <v>1.7827733230478876E-3</v>
      </c>
      <c r="K489" s="1">
        <f>$AD$10*B489+$AD$11</f>
        <v>1108.149809698768</v>
      </c>
      <c r="L489" s="2">
        <f>ABS(K489-D489)/D489</f>
        <v>6.4225330518401071E-3</v>
      </c>
      <c r="M489" s="21">
        <f>K489*F489</f>
        <v>1.1080434173763476</v>
      </c>
      <c r="N489" s="2">
        <f>ABS(M489-G489)/M489</f>
        <v>8.1497914453140564E-3</v>
      </c>
      <c r="O489" s="21">
        <f t="shared" si="80"/>
        <v>9.030322763970311E-3</v>
      </c>
      <c r="P489" s="25">
        <f>$AD$18*B489+$AD$19</f>
        <v>4.0500000000000007</v>
      </c>
      <c r="Q489" s="25">
        <f>$AD$29*G489+$AD$30</f>
        <v>4.0820376031137897</v>
      </c>
      <c r="R489" s="25">
        <f t="shared" si="81"/>
        <v>3.2037603113789004E-2</v>
      </c>
      <c r="S489" s="26">
        <v>4.1467420191123017</v>
      </c>
      <c r="T489" s="26">
        <f t="shared" si="82"/>
        <v>9.6742019112300959E-2</v>
      </c>
      <c r="U489" s="27">
        <f t="shared" si="83"/>
        <v>2.3886918299333565E-2</v>
      </c>
      <c r="V489" s="28">
        <f t="shared" si="84"/>
        <v>69.760904229347631</v>
      </c>
      <c r="W489" s="27">
        <f t="shared" si="85"/>
        <v>1.6922802177079248E-2</v>
      </c>
      <c r="X489" s="21">
        <v>4.1504650714895979</v>
      </c>
      <c r="Y489" s="21">
        <f t="shared" si="86"/>
        <v>69.805580857875185</v>
      </c>
      <c r="Z489" s="2">
        <f t="shared" si="87"/>
        <v>1.7574064983603366E-2</v>
      </c>
    </row>
    <row r="490" spans="1:26">
      <c r="A490" s="1">
        <v>68.7</v>
      </c>
      <c r="B490" s="1">
        <f t="shared" si="77"/>
        <v>341.84999999999997</v>
      </c>
      <c r="C490" s="4">
        <f>ROUND(10000*EXP(($AB$4)+($AC$4/B490)+($AD$4/(B490^2))+($AE$4/(B490^3))),6)</f>
        <v>1833.002078</v>
      </c>
      <c r="D490" s="4">
        <f>((C490+2*$AC$5)*$AC$6)/((C490+2*$AC$5)+$AC$6)</f>
        <v>1098.8586266575389</v>
      </c>
      <c r="E490" s="4">
        <f t="shared" si="78"/>
        <v>1.0988586266575389</v>
      </c>
      <c r="F490" s="24">
        <v>9.9990399102947171E-4</v>
      </c>
      <c r="G490" s="6">
        <v>1.0968202921130068</v>
      </c>
      <c r="H490" s="2">
        <f t="shared" si="79"/>
        <v>1.8549561290993181E-3</v>
      </c>
      <c r="I490" s="5">
        <f>G490/F490</f>
        <v>1096.9256068112629</v>
      </c>
      <c r="J490" s="2">
        <f>ABS(D490-I490)/I490</f>
        <v>1.7622159919260653E-3</v>
      </c>
      <c r="K490" s="1">
        <f>$AD$10*B490+$AD$11</f>
        <v>1105.800697779895</v>
      </c>
      <c r="L490" s="2">
        <f>ABS(K490-D490)/D490</f>
        <v>6.3175288922035196E-3</v>
      </c>
      <c r="M490" s="21">
        <f>K490*F490</f>
        <v>1.1056945309932917</v>
      </c>
      <c r="N490" s="2">
        <f>ABS(M490-G490)/M490</f>
        <v>8.0259408286236476E-3</v>
      </c>
      <c r="O490" s="21">
        <f t="shared" si="80"/>
        <v>8.8742388802849348E-3</v>
      </c>
      <c r="P490" s="25">
        <f>$AD$18*B490+$AD$19</f>
        <v>4.0583333333333336</v>
      </c>
      <c r="Q490" s="25">
        <f>$AD$29*G490+$AD$30</f>
        <v>4.0898171850864351</v>
      </c>
      <c r="R490" s="25">
        <f t="shared" si="81"/>
        <v>3.1483851753101533E-2</v>
      </c>
      <c r="S490" s="26">
        <v>4.1548290988597261</v>
      </c>
      <c r="T490" s="26">
        <f t="shared" si="82"/>
        <v>9.6495765526392496E-2</v>
      </c>
      <c r="U490" s="27">
        <f t="shared" si="83"/>
        <v>2.3777190684121353E-2</v>
      </c>
      <c r="V490" s="28">
        <f t="shared" si="84"/>
        <v>69.857949186316716</v>
      </c>
      <c r="W490" s="27">
        <f t="shared" si="85"/>
        <v>1.6855155550461621E-2</v>
      </c>
      <c r="X490" s="21">
        <v>4.1584620741309548</v>
      </c>
      <c r="Y490" s="21">
        <f t="shared" si="86"/>
        <v>69.901544889571468</v>
      </c>
      <c r="Z490" s="2">
        <f t="shared" si="87"/>
        <v>1.7489736383864127E-2</v>
      </c>
    </row>
    <row r="491" spans="1:26">
      <c r="A491" s="1">
        <v>68.8</v>
      </c>
      <c r="B491" s="1">
        <f t="shared" si="77"/>
        <v>341.95</v>
      </c>
      <c r="C491" s="4">
        <f>ROUND(10000*EXP(($AB$4)+($AC$4/B491)+($AD$4/(B491^2))+($AE$4/(B491^3))),6)</f>
        <v>1826.707028</v>
      </c>
      <c r="D491" s="4">
        <f>((C491+2*$AC$5)*$AC$6)/((C491+2*$AC$5)+$AC$6)</f>
        <v>1096.6417991953365</v>
      </c>
      <c r="E491" s="4">
        <f t="shared" si="78"/>
        <v>1.0966417991953366</v>
      </c>
      <c r="F491" s="24">
        <v>9.9990399102947171E-4</v>
      </c>
      <c r="G491" s="6">
        <v>1.0946241624822719</v>
      </c>
      <c r="H491" s="2">
        <f t="shared" si="79"/>
        <v>1.8398320349863537E-3</v>
      </c>
      <c r="I491" s="5">
        <f>G491/F491</f>
        <v>1094.7292663121377</v>
      </c>
      <c r="J491" s="2">
        <f>ABS(D491-I491)/I491</f>
        <v>1.7470373196850739E-3</v>
      </c>
      <c r="K491" s="1">
        <f>$AD$10*B491+$AD$11</f>
        <v>1103.4515858610212</v>
      </c>
      <c r="L491" s="2">
        <f>ABS(K491-D491)/D491</f>
        <v>6.2096727214678172E-3</v>
      </c>
      <c r="M491" s="21">
        <f>K491*F491</f>
        <v>1.1033456446102348</v>
      </c>
      <c r="N491" s="2">
        <f>ABS(M491-G491)/M491</f>
        <v>7.9045783799181028E-3</v>
      </c>
      <c r="O491" s="21">
        <f t="shared" si="80"/>
        <v>8.7214821279628651E-3</v>
      </c>
      <c r="P491" s="25">
        <f>$AD$18*B491+$AD$19</f>
        <v>4.0666666666666664</v>
      </c>
      <c r="Q491" s="25">
        <f>$AD$29*G491+$AD$30</f>
        <v>4.0976085709908929</v>
      </c>
      <c r="R491" s="25">
        <f t="shared" si="81"/>
        <v>3.0941904324226499E-2</v>
      </c>
      <c r="S491" s="26">
        <v>4.162928449998101</v>
      </c>
      <c r="T491" s="26">
        <f t="shared" si="82"/>
        <v>9.6261783331434536E-2</v>
      </c>
      <c r="U491" s="27">
        <f t="shared" si="83"/>
        <v>2.3670930327401935E-2</v>
      </c>
      <c r="V491" s="28">
        <f t="shared" si="84"/>
        <v>69.955141399977222</v>
      </c>
      <c r="W491" s="27">
        <f t="shared" si="85"/>
        <v>1.6789845929901528E-2</v>
      </c>
      <c r="X491" s="21">
        <v>4.166471201876103</v>
      </c>
      <c r="Y491" s="21">
        <f t="shared" si="86"/>
        <v>69.99765442251325</v>
      </c>
      <c r="Z491" s="2">
        <f t="shared" si="87"/>
        <v>1.7407767769087978E-2</v>
      </c>
    </row>
    <row r="492" spans="1:26">
      <c r="A492" s="1">
        <v>68.900000000000006</v>
      </c>
      <c r="B492" s="1">
        <f t="shared" si="77"/>
        <v>342.04999999999995</v>
      </c>
      <c r="C492" s="4">
        <f>ROUND(10000*EXP(($AB$4)+($AC$4/B492)+($AD$4/(B492^2))+($AE$4/(B492^3))),6)</f>
        <v>1820.4368649999999</v>
      </c>
      <c r="D492" s="4">
        <f>((C492+2*$AC$5)*$AC$6)/((C492+2*$AC$5)+$AC$6)</f>
        <v>1094.4276251928459</v>
      </c>
      <c r="E492" s="4">
        <f t="shared" si="78"/>
        <v>1.094427625192846</v>
      </c>
      <c r="F492" s="24">
        <v>9.9990399102947171E-4</v>
      </c>
      <c r="G492" s="6">
        <v>1.0924247244901846</v>
      </c>
      <c r="H492" s="2">
        <f t="shared" si="79"/>
        <v>1.830089680264127E-3</v>
      </c>
      <c r="I492" s="5">
        <f>G492/F492</f>
        <v>1092.5296171339974</v>
      </c>
      <c r="J492" s="2">
        <f>ABS(D492-I492)/I492</f>
        <v>1.7372600514277223E-3</v>
      </c>
      <c r="K492" s="1">
        <f>$AD$10*B492+$AD$11</f>
        <v>1101.1024739421473</v>
      </c>
      <c r="L492" s="2">
        <f>ABS(K492-D492)/D492</f>
        <v>6.0989403005294778E-3</v>
      </c>
      <c r="M492" s="21">
        <f>K492*F492</f>
        <v>1.100996758227178</v>
      </c>
      <c r="N492" s="2">
        <f>ABS(M492-G492)/M492</f>
        <v>7.7857029759071323E-3</v>
      </c>
      <c r="O492" s="21">
        <f t="shared" si="80"/>
        <v>8.5720337369934452E-3</v>
      </c>
      <c r="P492" s="25">
        <f>$AD$18*B492+$AD$19</f>
        <v>4.0749999999999993</v>
      </c>
      <c r="Q492" s="25">
        <f>$AD$29*G492+$AD$30</f>
        <v>4.1054116942352827</v>
      </c>
      <c r="R492" s="25">
        <f t="shared" si="81"/>
        <v>3.0411694235283449E-2</v>
      </c>
      <c r="S492" s="26">
        <v>4.1710400019259328</v>
      </c>
      <c r="T492" s="26">
        <f t="shared" si="82"/>
        <v>9.6040001925933538E-2</v>
      </c>
      <c r="U492" s="27">
        <f t="shared" si="83"/>
        <v>2.3568098632130934E-2</v>
      </c>
      <c r="V492" s="28">
        <f t="shared" si="84"/>
        <v>70.052480023111187</v>
      </c>
      <c r="W492" s="27">
        <f t="shared" si="85"/>
        <v>1.6726850843413368E-2</v>
      </c>
      <c r="X492" s="21">
        <v>4.1749655669899424</v>
      </c>
      <c r="Y492" s="21">
        <f t="shared" si="86"/>
        <v>70.099586803879319</v>
      </c>
      <c r="Z492" s="2">
        <f t="shared" si="87"/>
        <v>1.7410548677493663E-2</v>
      </c>
    </row>
    <row r="493" spans="1:26">
      <c r="A493" s="1">
        <v>69</v>
      </c>
      <c r="B493" s="1">
        <f t="shared" si="77"/>
        <v>342.15</v>
      </c>
      <c r="C493" s="4">
        <f>ROUND(10000*EXP(($AB$4)+($AC$4/B493)+($AD$4/(B493^2))+($AE$4/(B493^3))),6)</f>
        <v>1814.191478</v>
      </c>
      <c r="D493" s="4">
        <f>((C493+2*$AC$5)*$AC$6)/((C493+2*$AC$5)+$AC$6)</f>
        <v>1092.2161127576449</v>
      </c>
      <c r="E493" s="4">
        <f t="shared" si="78"/>
        <v>1.0922161127576449</v>
      </c>
      <c r="F493" s="24">
        <v>9.9990399102947171E-4</v>
      </c>
      <c r="G493" s="6">
        <v>1.0900924789566231</v>
      </c>
      <c r="H493" s="2">
        <f t="shared" si="79"/>
        <v>1.9443348035399128E-3</v>
      </c>
      <c r="I493" s="5">
        <f>G493/F493</f>
        <v>1090.1971476624431</v>
      </c>
      <c r="J493" s="2">
        <f>ABS(D493-I493)/I493</f>
        <v>1.851926598350378E-3</v>
      </c>
      <c r="K493" s="1">
        <f>$AD$10*B493+$AD$11</f>
        <v>1098.7533620232734</v>
      </c>
      <c r="L493" s="2">
        <f>ABS(K493-D493)/D493</f>
        <v>5.9853074764876302E-3</v>
      </c>
      <c r="M493" s="21">
        <f>K493*F493</f>
        <v>1.098647871844121</v>
      </c>
      <c r="N493" s="2">
        <f>ABS(M493-G493)/M493</f>
        <v>7.7872019841420306E-3</v>
      </c>
      <c r="O493" s="21">
        <f t="shared" si="80"/>
        <v>8.555392887497959E-3</v>
      </c>
      <c r="P493" s="25">
        <f>$AD$18*B493+$AD$19</f>
        <v>4.0833333333333321</v>
      </c>
      <c r="Q493" s="25">
        <f>$AD$29*G493+$AD$30</f>
        <v>4.1136859894870828</v>
      </c>
      <c r="R493" s="25">
        <f t="shared" si="81"/>
        <v>3.0352656153750601E-2</v>
      </c>
      <c r="S493" s="26">
        <v>4.1796413499481622</v>
      </c>
      <c r="T493" s="26">
        <f t="shared" si="82"/>
        <v>9.6308016614830017E-2</v>
      </c>
      <c r="U493" s="27">
        <f t="shared" si="83"/>
        <v>2.3585636721999193E-2</v>
      </c>
      <c r="V493" s="28">
        <f t="shared" si="84"/>
        <v>70.155696199377957</v>
      </c>
      <c r="W493" s="27">
        <f t="shared" si="85"/>
        <v>1.6749220280839951E-2</v>
      </c>
      <c r="X493" s="21">
        <v>4.1834698843066587</v>
      </c>
      <c r="Y493" s="21">
        <f t="shared" si="86"/>
        <v>70.201638611679911</v>
      </c>
      <c r="Z493" s="2">
        <f t="shared" si="87"/>
        <v>1.7415052343187118E-2</v>
      </c>
    </row>
    <row r="494" spans="1:26">
      <c r="A494" s="1">
        <v>69.099999999999994</v>
      </c>
      <c r="B494" s="1">
        <f t="shared" si="77"/>
        <v>342.25</v>
      </c>
      <c r="C494" s="4">
        <f>ROUND(10000*EXP(($AB$4)+($AC$4/B494)+($AD$4/(B494^2))+($AE$4/(B494^3))),6)</f>
        <v>1807.970757</v>
      </c>
      <c r="D494" s="4">
        <f>((C494+2*$AC$5)*$AC$6)/((C494+2*$AC$5)+$AC$6)</f>
        <v>1090.0072700933301</v>
      </c>
      <c r="E494" s="4">
        <f t="shared" si="78"/>
        <v>1.0900072700933301</v>
      </c>
      <c r="F494" s="24">
        <v>9.9990399102947171E-4</v>
      </c>
      <c r="G494" s="6">
        <v>1.0878867808331987</v>
      </c>
      <c r="H494" s="2">
        <f t="shared" si="79"/>
        <v>1.9453900155637091E-3</v>
      </c>
      <c r="I494" s="5">
        <f>G494/F494</f>
        <v>1087.991237751879</v>
      </c>
      <c r="J494" s="2">
        <f>ABS(D494-I494)/I494</f>
        <v>1.8529858251587329E-3</v>
      </c>
      <c r="K494" s="1">
        <f>$AD$10*B494+$AD$11</f>
        <v>1096.4042501043987</v>
      </c>
      <c r="L494" s="2">
        <f>ABS(K494-D494)/D494</f>
        <v>5.8687498575315045E-3</v>
      </c>
      <c r="M494" s="21">
        <f>K494*F494</f>
        <v>1.0962989854610634</v>
      </c>
      <c r="N494" s="2">
        <f>ABS(M494-G494)/M494</f>
        <v>7.6732759397080642E-3</v>
      </c>
      <c r="O494" s="21">
        <f t="shared" si="80"/>
        <v>8.4122046278647389E-3</v>
      </c>
      <c r="P494" s="25">
        <f>$AD$18*B494+$AD$19</f>
        <v>4.0916666666666686</v>
      </c>
      <c r="Q494" s="25">
        <f>$AD$29*G494+$AD$30</f>
        <v>4.1215113223034283</v>
      </c>
      <c r="R494" s="25">
        <f t="shared" si="81"/>
        <v>2.9844655636759754E-2</v>
      </c>
      <c r="S494" s="26">
        <v>4.1877759891184754</v>
      </c>
      <c r="T494" s="26">
        <f t="shared" si="82"/>
        <v>9.6109322451806811E-2</v>
      </c>
      <c r="U494" s="27">
        <f t="shared" si="83"/>
        <v>2.3489040110421206E-2</v>
      </c>
      <c r="V494" s="28">
        <f t="shared" si="84"/>
        <v>70.253311869421708</v>
      </c>
      <c r="W494" s="27">
        <f t="shared" si="85"/>
        <v>1.6690475679040719E-2</v>
      </c>
      <c r="X494" s="21">
        <v>4.1915127573436717</v>
      </c>
      <c r="Y494" s="21">
        <f t="shared" si="86"/>
        <v>70.298153088124067</v>
      </c>
      <c r="Z494" s="2">
        <f t="shared" si="87"/>
        <v>1.7339407932331012E-2</v>
      </c>
    </row>
    <row r="495" spans="1:26">
      <c r="A495" s="1">
        <v>69.2</v>
      </c>
      <c r="B495" s="1">
        <f t="shared" si="77"/>
        <v>342.34999999999997</v>
      </c>
      <c r="C495" s="4">
        <f>ROUND(10000*EXP(($AB$4)+($AC$4/B495)+($AD$4/(B495^2))+($AE$4/(B495^3))),6)</f>
        <v>1801.774594</v>
      </c>
      <c r="D495" s="4">
        <f>((C495+2*$AC$5)*$AC$6)/((C495+2*$AC$5)+$AC$6)</f>
        <v>1087.801105859369</v>
      </c>
      <c r="E495" s="4">
        <f t="shared" si="78"/>
        <v>1.0878011058593691</v>
      </c>
      <c r="F495" s="24">
        <v>9.9990399102947171E-4</v>
      </c>
      <c r="G495" s="6">
        <v>1.0856778670518201</v>
      </c>
      <c r="H495" s="2">
        <f t="shared" si="79"/>
        <v>1.9518630713944469E-3</v>
      </c>
      <c r="I495" s="5">
        <f>G495/F495</f>
        <v>1085.7821118745992</v>
      </c>
      <c r="J495" s="2">
        <f>ABS(D495-I495)/I495</f>
        <v>1.8594835581552023E-3</v>
      </c>
      <c r="K495" s="1">
        <f>$AD$10*B495+$AD$11</f>
        <v>1094.0551381855257</v>
      </c>
      <c r="L495" s="2">
        <f>ABS(K495-D495)/D495</f>
        <v>5.7492424786753224E-3</v>
      </c>
      <c r="M495" s="21">
        <f>K495*F495</f>
        <v>1.0939500990780073</v>
      </c>
      <c r="N495" s="2">
        <f>ABS(M495-G495)/M495</f>
        <v>7.561800152638712E-3</v>
      </c>
      <c r="O495" s="21">
        <f t="shared" si="80"/>
        <v>8.2722320261872095E-3</v>
      </c>
      <c r="P495" s="25">
        <f>$AD$18*B495+$AD$19</f>
        <v>4.0999999999999979</v>
      </c>
      <c r="Q495" s="25">
        <f>$AD$29*G495+$AD$30</f>
        <v>4.1293480635683952</v>
      </c>
      <c r="R495" s="25">
        <f t="shared" si="81"/>
        <v>2.9348063568397365E-2</v>
      </c>
      <c r="S495" s="26">
        <v>4.1959224885202353</v>
      </c>
      <c r="T495" s="26">
        <f t="shared" si="82"/>
        <v>9.5922488520237437E-2</v>
      </c>
      <c r="U495" s="27">
        <f t="shared" si="83"/>
        <v>2.3395728907374996E-2</v>
      </c>
      <c r="V495" s="28">
        <f t="shared" si="84"/>
        <v>70.351069862242824</v>
      </c>
      <c r="W495" s="27">
        <f t="shared" si="85"/>
        <v>1.6633957546861571E-2</v>
      </c>
      <c r="X495" s="21">
        <v>4.1995673004697718</v>
      </c>
      <c r="Y495" s="21">
        <f t="shared" si="86"/>
        <v>70.394807605637268</v>
      </c>
      <c r="Z495" s="2">
        <f t="shared" si="87"/>
        <v>1.7266005861810197E-2</v>
      </c>
    </row>
    <row r="496" spans="1:26">
      <c r="A496" s="1">
        <v>69.3</v>
      </c>
      <c r="B496" s="1">
        <f t="shared" si="77"/>
        <v>342.45</v>
      </c>
      <c r="C496" s="4">
        <f>ROUND(10000*EXP(($AB$4)+($AC$4/B496)+($AD$4/(B496^2))+($AE$4/(B496^3))),6)</f>
        <v>1795.6028779999999</v>
      </c>
      <c r="D496" s="4">
        <f>((C496+2*$AC$5)*$AC$6)/((C496+2*$AC$5)+$AC$6)</f>
        <v>1085.5976273917149</v>
      </c>
      <c r="E496" s="4">
        <f t="shared" si="78"/>
        <v>1.0855976273917149</v>
      </c>
      <c r="F496" s="24">
        <v>9.9990399102947171E-4</v>
      </c>
      <c r="G496" s="6">
        <v>1.0835931312023577</v>
      </c>
      <c r="H496" s="2">
        <f t="shared" si="79"/>
        <v>1.8464448878479304E-3</v>
      </c>
      <c r="I496" s="5">
        <f>G496/F496</f>
        <v>1083.6971758525756</v>
      </c>
      <c r="J496" s="2">
        <f>ABS(D496-I496)/I496</f>
        <v>1.7536739796744419E-3</v>
      </c>
      <c r="K496" s="1">
        <f>$AD$10*B496+$AD$11</f>
        <v>1091.706026266651</v>
      </c>
      <c r="L496" s="2">
        <f>ABS(K496-D496)/D496</f>
        <v>5.6267614453176604E-3</v>
      </c>
      <c r="M496" s="21">
        <f>K496*F496</f>
        <v>1.0916012126949495</v>
      </c>
      <c r="N496" s="2">
        <f>ABS(M496-G496)/M496</f>
        <v>7.3360870246941346E-3</v>
      </c>
      <c r="O496" s="21">
        <f t="shared" si="80"/>
        <v>8.0080814925918009E-3</v>
      </c>
      <c r="P496" s="25">
        <f>$AD$18*B496+$AD$19</f>
        <v>4.1083333333333343</v>
      </c>
      <c r="Q496" s="25">
        <f>$AD$29*G496+$AD$30</f>
        <v>4.1367442487865631</v>
      </c>
      <c r="R496" s="25">
        <f t="shared" si="81"/>
        <v>2.8410915453228824E-2</v>
      </c>
      <c r="S496" s="26">
        <v>4.203611018502345</v>
      </c>
      <c r="T496" s="26">
        <f t="shared" si="82"/>
        <v>9.5277685169010695E-2</v>
      </c>
      <c r="U496" s="27">
        <f t="shared" si="83"/>
        <v>2.3191322962030997E-2</v>
      </c>
      <c r="V496" s="28">
        <f t="shared" si="84"/>
        <v>70.443332222028133</v>
      </c>
      <c r="W496" s="27">
        <f t="shared" si="85"/>
        <v>1.6498300462166458E-2</v>
      </c>
      <c r="X496" s="21">
        <v>4.2076334000333553</v>
      </c>
      <c r="Y496" s="21">
        <f t="shared" si="86"/>
        <v>70.491600800400278</v>
      </c>
      <c r="Z496" s="2">
        <f t="shared" si="87"/>
        <v>1.7194816744592792E-2</v>
      </c>
    </row>
    <row r="497" spans="1:26">
      <c r="A497" s="1">
        <v>69.400000000000006</v>
      </c>
      <c r="B497" s="1">
        <f t="shared" si="77"/>
        <v>342.54999999999995</v>
      </c>
      <c r="C497" s="4">
        <f>ROUND(10000*EXP(($AB$4)+($AC$4/B497)+($AD$4/(B497^2))+($AE$4/(B497^3))),6)</f>
        <v>1789.4555029999999</v>
      </c>
      <c r="D497" s="4">
        <f>((C497+2*$AC$5)*$AC$6)/((C497+2*$AC$5)+$AC$6)</f>
        <v>1083.396843554573</v>
      </c>
      <c r="E497" s="4">
        <f t="shared" si="78"/>
        <v>1.0833968435545731</v>
      </c>
      <c r="F497" s="24">
        <v>9.9990399102947171E-4</v>
      </c>
      <c r="G497" s="6">
        <v>1.0815060936768479</v>
      </c>
      <c r="H497" s="2">
        <f t="shared" si="79"/>
        <v>1.7452052670946828E-3</v>
      </c>
      <c r="I497" s="5">
        <f>G497/F497</f>
        <v>1081.6099379335021</v>
      </c>
      <c r="J497" s="2">
        <f>ABS(D497-I497)/I497</f>
        <v>1.6520795144365254E-3</v>
      </c>
      <c r="K497" s="1">
        <f>$AD$10*B497+$AD$11</f>
        <v>1089.356914347778</v>
      </c>
      <c r="L497" s="2">
        <f>ABS(K497-D497)/D497</f>
        <v>5.5012812974886199E-3</v>
      </c>
      <c r="M497" s="21">
        <f>K497*F497</f>
        <v>1.0892523263118936</v>
      </c>
      <c r="N497" s="2">
        <f>ABS(M497-G497)/M497</f>
        <v>7.1115135106240446E-3</v>
      </c>
      <c r="O497" s="21">
        <f t="shared" si="80"/>
        <v>7.7462326350457023E-3</v>
      </c>
      <c r="P497" s="25">
        <f>$AD$18*B497+$AD$19</f>
        <v>4.1166666666666636</v>
      </c>
      <c r="Q497" s="25">
        <f>$AD$29*G497+$AD$30</f>
        <v>4.1441485998461545</v>
      </c>
      <c r="R497" s="25">
        <f t="shared" si="81"/>
        <v>2.7481933179490881E-2</v>
      </c>
      <c r="S497" s="26">
        <v>4.2113080355661126</v>
      </c>
      <c r="T497" s="26">
        <f t="shared" si="82"/>
        <v>9.4641368899448963E-2</v>
      </c>
      <c r="U497" s="27">
        <f t="shared" si="83"/>
        <v>2.2989806210392479E-2</v>
      </c>
      <c r="V497" s="28">
        <f t="shared" si="84"/>
        <v>70.535696426793351</v>
      </c>
      <c r="W497" s="27">
        <f t="shared" si="85"/>
        <v>1.6364501826993443E-2</v>
      </c>
      <c r="X497" s="21">
        <v>4.215242563756421</v>
      </c>
      <c r="Y497" s="21">
        <f t="shared" si="86"/>
        <v>70.58291076507706</v>
      </c>
      <c r="Z497" s="2">
        <f t="shared" si="87"/>
        <v>1.7044823704280312E-2</v>
      </c>
    </row>
    <row r="498" spans="1:26">
      <c r="A498" s="1">
        <v>69.5</v>
      </c>
      <c r="B498" s="1">
        <f t="shared" si="77"/>
        <v>342.65</v>
      </c>
      <c r="C498" s="4">
        <f>ROUND(10000*EXP(($AB$4)+($AC$4/B498)+($AD$4/(B498^2))+($AE$4/(B498^3))),6)</f>
        <v>1783.332361</v>
      </c>
      <c r="D498" s="4">
        <f>((C498+2*$AC$5)*$AC$6)/((C498+2*$AC$5)+$AC$6)</f>
        <v>1081.1987622469867</v>
      </c>
      <c r="E498" s="4">
        <f t="shared" si="78"/>
        <v>1.0811987622469867</v>
      </c>
      <c r="F498" s="24">
        <v>9.9990399102947171E-4</v>
      </c>
      <c r="G498" s="6">
        <v>1.0792871925154239</v>
      </c>
      <c r="H498" s="2">
        <f t="shared" si="79"/>
        <v>1.7680095448778708E-3</v>
      </c>
      <c r="I498" s="5">
        <f>G498/F498</f>
        <v>1079.3908237172068</v>
      </c>
      <c r="J498" s="2">
        <f>ABS(D498-I498)/I498</f>
        <v>1.6749619230166546E-3</v>
      </c>
      <c r="K498" s="1">
        <f>$AD$10*B498+$AD$11</f>
        <v>1087.0078024289032</v>
      </c>
      <c r="L498" s="2">
        <f>ABS(K498-D498)/D498</f>
        <v>5.3727773141767059E-3</v>
      </c>
      <c r="M498" s="21">
        <f>K498*F498</f>
        <v>1.0869034399288358</v>
      </c>
      <c r="N498" s="2">
        <f>ABS(M498-G498)/M498</f>
        <v>7.007289823197628E-3</v>
      </c>
      <c r="O498" s="21">
        <f t="shared" si="80"/>
        <v>7.6162474134118252E-3</v>
      </c>
      <c r="P498" s="25">
        <f>$AD$18*B498+$AD$19</f>
        <v>4.125</v>
      </c>
      <c r="Q498" s="25">
        <f>$AD$29*G498+$AD$30</f>
        <v>4.1520207741434065</v>
      </c>
      <c r="R498" s="25">
        <f t="shared" si="81"/>
        <v>2.7020774143406534E-2</v>
      </c>
      <c r="S498" s="26">
        <v>4.2194913682542836</v>
      </c>
      <c r="T498" s="26">
        <f t="shared" si="82"/>
        <v>9.4491368254283614E-2</v>
      </c>
      <c r="U498" s="27">
        <f t="shared" si="83"/>
        <v>2.2906998364674816E-2</v>
      </c>
      <c r="V498" s="28">
        <f t="shared" si="84"/>
        <v>70.633896419051396</v>
      </c>
      <c r="W498" s="27">
        <f t="shared" si="85"/>
        <v>1.6315056389228724E-2</v>
      </c>
      <c r="X498" s="21">
        <v>4.2233324015312235</v>
      </c>
      <c r="Y498" s="21">
        <f t="shared" si="86"/>
        <v>70.679988818374696</v>
      </c>
      <c r="Z498" s="2">
        <f t="shared" si="87"/>
        <v>1.6978256379492025E-2</v>
      </c>
    </row>
    <row r="499" spans="1:26">
      <c r="A499" s="1">
        <v>69.599999999999994</v>
      </c>
      <c r="B499" s="1">
        <f t="shared" si="77"/>
        <v>342.75</v>
      </c>
      <c r="C499" s="4">
        <f>ROUND(10000*EXP(($AB$4)+($AC$4/B499)+($AD$4/(B499^2))+($AE$4/(B499^3))),6)</f>
        <v>1777.2333430000001</v>
      </c>
      <c r="D499" s="4">
        <f>((C499+2*$AC$5)*$AC$6)/((C499+2*$AC$5)+$AC$6)</f>
        <v>1079.0033907520108</v>
      </c>
      <c r="E499" s="4">
        <f t="shared" si="78"/>
        <v>1.0790033907520109</v>
      </c>
      <c r="F499" s="24">
        <v>9.9990399102947171E-4</v>
      </c>
      <c r="G499" s="6">
        <v>1.0770651989017477</v>
      </c>
      <c r="H499" s="2">
        <f t="shared" si="79"/>
        <v>1.7962796659169022E-3</v>
      </c>
      <c r="I499" s="5">
        <f>G499/F499</f>
        <v>1077.1686167517273</v>
      </c>
      <c r="J499" s="2">
        <f>ABS(D499-I499)/I499</f>
        <v>1.7033303530661164E-3</v>
      </c>
      <c r="K499" s="1">
        <f>$AD$10*B499+$AD$11</f>
        <v>1084.6586905100294</v>
      </c>
      <c r="L499" s="2">
        <f>ABS(K499-D499)/D499</f>
        <v>5.241225195851463E-3</v>
      </c>
      <c r="M499" s="21">
        <f>K499*F499</f>
        <v>1.084554553545779</v>
      </c>
      <c r="N499" s="2">
        <f>ABS(M499-G499)/M499</f>
        <v>6.9054660455263178E-3</v>
      </c>
      <c r="O499" s="21">
        <f t="shared" si="80"/>
        <v>7.4893546440313319E-3</v>
      </c>
      <c r="P499" s="25">
        <f>$AD$18*B499+$AD$19</f>
        <v>4.1333333333333364</v>
      </c>
      <c r="Q499" s="25">
        <f>$AD$29*G499+$AD$30</f>
        <v>4.1599039197824919</v>
      </c>
      <c r="R499" s="25">
        <f t="shared" si="81"/>
        <v>2.6570586449155442E-2</v>
      </c>
      <c r="S499" s="26">
        <v>4.2276861061112783</v>
      </c>
      <c r="T499" s="26">
        <f t="shared" si="82"/>
        <v>9.4352772777941851E-2</v>
      </c>
      <c r="U499" s="27">
        <f t="shared" si="83"/>
        <v>2.2827283736598817E-2</v>
      </c>
      <c r="V499" s="28">
        <f t="shared" si="84"/>
        <v>70.732233273335339</v>
      </c>
      <c r="W499" s="27">
        <f t="shared" si="85"/>
        <v>1.6267719444473347E-2</v>
      </c>
      <c r="X499" s="21">
        <v>4.2314334547854582</v>
      </c>
      <c r="Y499" s="21">
        <f t="shared" si="86"/>
        <v>70.777201457425505</v>
      </c>
      <c r="Z499" s="2">
        <f t="shared" si="87"/>
        <v>1.6913814043469987E-2</v>
      </c>
    </row>
    <row r="500" spans="1:26">
      <c r="A500" s="1">
        <v>69.7</v>
      </c>
      <c r="B500" s="1">
        <f t="shared" si="77"/>
        <v>342.84999999999997</v>
      </c>
      <c r="C500" s="4">
        <f>ROUND(10000*EXP(($AB$4)+($AC$4/B500)+($AD$4/(B500^2))+($AE$4/(B500^3))),6)</f>
        <v>1771.1583450000001</v>
      </c>
      <c r="D500" s="4">
        <f>((C500+2*$AC$5)*$AC$6)/((C500+2*$AC$5)+$AC$6)</f>
        <v>1076.8107378988439</v>
      </c>
      <c r="E500" s="4">
        <f t="shared" si="78"/>
        <v>1.0768107378988439</v>
      </c>
      <c r="F500" s="24">
        <v>9.9990399102947171E-4</v>
      </c>
      <c r="G500" s="6">
        <v>1.0748401433206805</v>
      </c>
      <c r="H500" s="2">
        <f t="shared" si="79"/>
        <v>1.8300287216754304E-3</v>
      </c>
      <c r="I500" s="5">
        <f>G500/F500</f>
        <v>1074.9433475248525</v>
      </c>
      <c r="J500" s="2">
        <f>ABS(D500-I500)/I500</f>
        <v>1.737198874983698E-3</v>
      </c>
      <c r="K500" s="1">
        <f>$AD$10*B500+$AD$11</f>
        <v>1082.3095785911555</v>
      </c>
      <c r="L500" s="2">
        <f>ABS(K500-D500)/D500</f>
        <v>5.1065990510471898E-3</v>
      </c>
      <c r="M500" s="21">
        <f>K500*F500</f>
        <v>1.082205667162722</v>
      </c>
      <c r="N500" s="2">
        <f>ABS(M500-G500)/M500</f>
        <v>6.8060296351544584E-3</v>
      </c>
      <c r="O500" s="21">
        <f t="shared" si="80"/>
        <v>7.3655238420415881E-3</v>
      </c>
      <c r="P500" s="25">
        <f>$AD$18*B500+$AD$19</f>
        <v>4.1416666666666657</v>
      </c>
      <c r="Q500" s="25">
        <f>$AD$29*G500+$AD$30</f>
        <v>4.1677979286098132</v>
      </c>
      <c r="R500" s="25">
        <f t="shared" si="81"/>
        <v>2.6131261943147521E-2</v>
      </c>
      <c r="S500" s="26">
        <v>4.2358921362541224</v>
      </c>
      <c r="T500" s="26">
        <f t="shared" si="82"/>
        <v>9.4225469587456701E-2</v>
      </c>
      <c r="U500" s="27">
        <f t="shared" si="83"/>
        <v>2.2750616399385928E-2</v>
      </c>
      <c r="V500" s="28">
        <f t="shared" si="84"/>
        <v>70.830705635049469</v>
      </c>
      <c r="W500" s="27">
        <f t="shared" si="85"/>
        <v>1.6222462482775698E-2</v>
      </c>
      <c r="X500" s="21">
        <v>4.239545610370131</v>
      </c>
      <c r="Y500" s="21">
        <f t="shared" si="86"/>
        <v>70.874547324441579</v>
      </c>
      <c r="Z500" s="2">
        <f t="shared" si="87"/>
        <v>1.6851468069463072E-2</v>
      </c>
    </row>
    <row r="501" spans="1:26">
      <c r="A501" s="1">
        <v>69.8</v>
      </c>
      <c r="B501" s="1">
        <f t="shared" si="77"/>
        <v>342.95</v>
      </c>
      <c r="C501" s="4">
        <f>ROUND(10000*EXP(($AB$4)+($AC$4/B501)+($AD$4/(B501^2))+($AE$4/(B501^3))),6)</f>
        <v>1765.107258</v>
      </c>
      <c r="D501" s="4">
        <f>((C501+2*$AC$5)*$AC$6)/((C501+2*$AC$5)+$AC$6)</f>
        <v>1074.6208104617863</v>
      </c>
      <c r="E501" s="4">
        <f t="shared" si="78"/>
        <v>1.0746208104617863</v>
      </c>
      <c r="F501" s="24">
        <v>9.9990399102947171E-4</v>
      </c>
      <c r="G501" s="6">
        <v>1.0726120563370485</v>
      </c>
      <c r="H501" s="2">
        <f t="shared" si="79"/>
        <v>1.8692678433005359E-3</v>
      </c>
      <c r="I501" s="5">
        <f>G501/F501</f>
        <v>1072.7150466043431</v>
      </c>
      <c r="J501" s="2">
        <f>ABS(D501-I501)/I501</f>
        <v>1.7765797762190597E-3</v>
      </c>
      <c r="K501" s="1">
        <f>$AD$10*B501+$AD$11</f>
        <v>1079.9604666722817</v>
      </c>
      <c r="L501" s="2">
        <f>ABS(K501-D501)/D501</f>
        <v>4.9688747495973198E-3</v>
      </c>
      <c r="M501" s="21">
        <f>K501*F501</f>
        <v>1.0798567807796653</v>
      </c>
      <c r="N501" s="2">
        <f>ABS(M501-G501)/M501</f>
        <v>6.708967866448051E-3</v>
      </c>
      <c r="O501" s="21">
        <f t="shared" si="80"/>
        <v>7.2447244426168123E-3</v>
      </c>
      <c r="P501" s="25">
        <f>$AD$18*B501+$AD$19</f>
        <v>4.1500000000000021</v>
      </c>
      <c r="Q501" s="25">
        <f>$AD$29*G501+$AD$30</f>
        <v>4.175702692188076</v>
      </c>
      <c r="R501" s="25">
        <f t="shared" si="81"/>
        <v>2.5702692188073861E-2</v>
      </c>
      <c r="S501" s="26">
        <v>4.2441093470175737</v>
      </c>
      <c r="T501" s="26">
        <f t="shared" si="82"/>
        <v>9.4109347017571565E-2</v>
      </c>
      <c r="U501" s="27">
        <f t="shared" si="83"/>
        <v>2.267695108857145E-2</v>
      </c>
      <c r="V501" s="28">
        <f t="shared" si="84"/>
        <v>70.929312164210884</v>
      </c>
      <c r="W501" s="27">
        <f t="shared" si="85"/>
        <v>1.6179257366918155E-2</v>
      </c>
      <c r="X501" s="21">
        <v>4.2476687561702047</v>
      </c>
      <c r="Y501" s="21">
        <f t="shared" si="86"/>
        <v>70.972025074042463</v>
      </c>
      <c r="Z501" s="2">
        <f t="shared" si="87"/>
        <v>1.6791190172528166E-2</v>
      </c>
    </row>
    <row r="502" spans="1:26">
      <c r="A502" s="1">
        <v>69.900000000000006</v>
      </c>
      <c r="B502" s="1">
        <f t="shared" si="77"/>
        <v>343.04999999999995</v>
      </c>
      <c r="C502" s="4">
        <f>ROUND(10000*EXP(($AB$4)+($AC$4/B502)+($AD$4/(B502^2))+($AE$4/(B502^3))),6)</f>
        <v>1759.0799790000001</v>
      </c>
      <c r="D502" s="4">
        <f>((C502+2*$AC$5)*$AC$6)/((C502+2*$AC$5)+$AC$6)</f>
        <v>1072.4336171314435</v>
      </c>
      <c r="E502" s="4">
        <f t="shared" si="78"/>
        <v>1.0724336171314435</v>
      </c>
      <c r="F502" s="24">
        <v>9.9990399102947171E-4</v>
      </c>
      <c r="G502" s="6">
        <v>1.0705067718810368</v>
      </c>
      <c r="H502" s="2">
        <f t="shared" si="79"/>
        <v>1.7967035158414709E-3</v>
      </c>
      <c r="I502" s="5">
        <f>G502/F502</f>
        <v>1070.6095600027304</v>
      </c>
      <c r="J502" s="2">
        <f>ABS(D502-I502)/I502</f>
        <v>1.703755689150059E-3</v>
      </c>
      <c r="K502" s="1">
        <f>$AD$10*B502+$AD$11</f>
        <v>1077.6113547534087</v>
      </c>
      <c r="L502" s="2">
        <f>ABS(K502-D502)/D502</f>
        <v>4.8280262192961394E-3</v>
      </c>
      <c r="M502" s="21">
        <f>K502*F502</f>
        <v>1.0775078943966092</v>
      </c>
      <c r="N502" s="2">
        <f>ABS(M502-G502)/M502</f>
        <v>6.4975138947756189E-3</v>
      </c>
      <c r="O502" s="21">
        <f t="shared" si="80"/>
        <v>7.0011225155723888E-3</v>
      </c>
      <c r="P502" s="25">
        <f>$AD$18*B502+$AD$19</f>
        <v>4.1583333333333314</v>
      </c>
      <c r="Q502" s="25">
        <f>$AD$29*G502+$AD$30</f>
        <v>4.1831717793520955</v>
      </c>
      <c r="R502" s="25">
        <f t="shared" si="81"/>
        <v>2.483844601876406E-2</v>
      </c>
      <c r="S502" s="26">
        <v>4.2518736589138886</v>
      </c>
      <c r="T502" s="26">
        <f t="shared" si="82"/>
        <v>9.3540325580557138E-2</v>
      </c>
      <c r="U502" s="27">
        <f t="shared" si="83"/>
        <v>2.2494667474282286E-2</v>
      </c>
      <c r="V502" s="28">
        <f t="shared" si="84"/>
        <v>71.022483906966656</v>
      </c>
      <c r="W502" s="27">
        <f t="shared" si="85"/>
        <v>1.6058424992369813E-2</v>
      </c>
      <c r="X502" s="21">
        <v>4.2553392200218143</v>
      </c>
      <c r="Y502" s="21">
        <f t="shared" si="86"/>
        <v>71.064070640261775</v>
      </c>
      <c r="Z502" s="2">
        <f t="shared" si="87"/>
        <v>1.6653371105318591E-2</v>
      </c>
    </row>
    <row r="503" spans="1:26">
      <c r="A503" s="1">
        <v>70</v>
      </c>
      <c r="B503" s="1">
        <f t="shared" si="77"/>
        <v>343.15</v>
      </c>
      <c r="C503" s="4">
        <f>ROUND(10000*EXP(($AB$4)+($AC$4/B503)+($AD$4/(B503^2))+($AE$4/(B503^3))),6)</f>
        <v>1753.076401</v>
      </c>
      <c r="D503" s="4">
        <f>((C503+2*$AC$5)*$AC$6)/((C503+2*$AC$5)+$AC$6)</f>
        <v>1070.2491648990729</v>
      </c>
      <c r="E503" s="4">
        <f t="shared" si="78"/>
        <v>1.0702491648990728</v>
      </c>
      <c r="F503" s="24">
        <v>9.9990399102947171E-4</v>
      </c>
      <c r="G503" s="6">
        <v>1.0682724521591136</v>
      </c>
      <c r="H503" s="2">
        <f t="shared" si="79"/>
        <v>1.8469649916948649E-3</v>
      </c>
      <c r="I503" s="5">
        <f>G503/F503</f>
        <v>1068.3750257454735</v>
      </c>
      <c r="J503" s="2">
        <f>ABS(D503-I503)/I503</f>
        <v>1.7541959596927472E-3</v>
      </c>
      <c r="K503" s="1">
        <f>$AD$10*B503+$AD$11</f>
        <v>1075.2622428345339</v>
      </c>
      <c r="L503" s="2">
        <f>ABS(K503-D503)/D503</f>
        <v>4.6840288223292522E-3</v>
      </c>
      <c r="M503" s="21">
        <f>K503*F503</f>
        <v>1.0751590080135514</v>
      </c>
      <c r="N503" s="2">
        <f>ABS(M503-G503)/M503</f>
        <v>6.4051510549693134E-3</v>
      </c>
      <c r="O503" s="21">
        <f t="shared" si="80"/>
        <v>6.8865558544377592E-3</v>
      </c>
      <c r="P503" s="25">
        <f>$AD$18*B503+$AD$19</f>
        <v>4.1666666666666679</v>
      </c>
      <c r="Q503" s="25">
        <f>$AD$29*G503+$AD$30</f>
        <v>4.1910986553178011</v>
      </c>
      <c r="R503" s="25">
        <f t="shared" si="81"/>
        <v>2.4431988651133274E-2</v>
      </c>
      <c r="S503" s="26">
        <v>4.2601138556794105</v>
      </c>
      <c r="T503" s="26">
        <f t="shared" si="82"/>
        <v>9.3447189012742626E-2</v>
      </c>
      <c r="U503" s="27">
        <f t="shared" si="83"/>
        <v>2.2427325363058224E-2</v>
      </c>
      <c r="V503" s="28">
        <f t="shared" si="84"/>
        <v>71.121366268152926</v>
      </c>
      <c r="W503" s="27">
        <f t="shared" si="85"/>
        <v>1.6019518116470368E-2</v>
      </c>
      <c r="X503" s="21">
        <v>4.263947569409801</v>
      </c>
      <c r="Y503" s="21">
        <f t="shared" si="86"/>
        <v>71.167370832917626</v>
      </c>
      <c r="Z503" s="2">
        <f t="shared" si="87"/>
        <v>1.667672618453752E-2</v>
      </c>
    </row>
    <row r="504" spans="1:26">
      <c r="A504" s="1">
        <v>70.099999999999994</v>
      </c>
      <c r="B504" s="1">
        <f t="shared" si="77"/>
        <v>343.25</v>
      </c>
      <c r="C504" s="4">
        <f>ROUND(10000*EXP(($AB$4)+($AC$4/B504)+($AD$4/(B504^2))+($AE$4/(B504^3))),6)</f>
        <v>1747.0964200000001</v>
      </c>
      <c r="D504" s="4">
        <f>((C504+2*$AC$5)*$AC$6)/((C504+2*$AC$5)+$AC$6)</f>
        <v>1068.0674615928706</v>
      </c>
      <c r="E504" s="4">
        <f t="shared" si="78"/>
        <v>1.0680674615928707</v>
      </c>
      <c r="F504" s="24">
        <v>9.9990399102947171E-4</v>
      </c>
      <c r="G504" s="6">
        <v>1.0660351920316842</v>
      </c>
      <c r="H504" s="2">
        <f t="shared" si="79"/>
        <v>1.9027539310631897E-3</v>
      </c>
      <c r="I504" s="5">
        <f>G504/F504</f>
        <v>1066.137550800378</v>
      </c>
      <c r="J504" s="2">
        <f>ABS(D504-I504)/I504</f>
        <v>1.8101893053515997E-3</v>
      </c>
      <c r="K504" s="1">
        <f>$AD$10*B504+$AD$11</f>
        <v>1072.9131309156592</v>
      </c>
      <c r="L504" s="2">
        <f>ABS(K504-D504)/D504</f>
        <v>4.5368569842601089E-3</v>
      </c>
      <c r="M504" s="21">
        <f>K504*F504</f>
        <v>1.0728101216304937</v>
      </c>
      <c r="N504" s="2">
        <f>ABS(M504-G504)/M504</f>
        <v>6.315124607990062E-3</v>
      </c>
      <c r="O504" s="21">
        <f t="shared" si="80"/>
        <v>6.7749295988095426E-3</v>
      </c>
      <c r="P504" s="25">
        <f>$AD$18*B504+$AD$19</f>
        <v>4.1750000000000007</v>
      </c>
      <c r="Q504" s="25">
        <f>$AD$29*G504+$AD$30</f>
        <v>4.1990359631968568</v>
      </c>
      <c r="R504" s="25">
        <f t="shared" si="81"/>
        <v>2.4035963196856081E-2</v>
      </c>
      <c r="S504" s="26">
        <v>4.2683648962719127</v>
      </c>
      <c r="T504" s="26">
        <f t="shared" si="82"/>
        <v>9.3364896271912023E-2</v>
      </c>
      <c r="U504" s="27">
        <f t="shared" si="83"/>
        <v>2.2362849406445989E-2</v>
      </c>
      <c r="V504" s="28">
        <f t="shared" si="84"/>
        <v>71.220378755262956</v>
      </c>
      <c r="W504" s="27">
        <f t="shared" si="85"/>
        <v>1.5982578534421713E-2</v>
      </c>
      <c r="X504" s="21">
        <v>4.2721030134116686</v>
      </c>
      <c r="Y504" s="21">
        <f t="shared" si="86"/>
        <v>71.265236160940034</v>
      </c>
      <c r="Z504" s="2">
        <f t="shared" si="87"/>
        <v>1.6622484464194582E-2</v>
      </c>
    </row>
    <row r="505" spans="1:26">
      <c r="A505" s="1">
        <v>70.2</v>
      </c>
      <c r="B505" s="1">
        <f t="shared" si="77"/>
        <v>343.34999999999997</v>
      </c>
      <c r="C505" s="4">
        <f>ROUND(10000*EXP(($AB$4)+($AC$4/B505)+($AD$4/(B505^2))+($AE$4/(B505^3))),6)</f>
        <v>1741.1399329999999</v>
      </c>
      <c r="D505" s="4">
        <f>((C505+2*$AC$5)*$AC$6)/((C505+2*$AC$5)+$AC$6)</f>
        <v>1065.8885151585762</v>
      </c>
      <c r="E505" s="4">
        <f t="shared" si="78"/>
        <v>1.0658885151585762</v>
      </c>
      <c r="F505" s="24">
        <v>9.9990399102947171E-4</v>
      </c>
      <c r="G505" s="6">
        <v>1.0639200449172308</v>
      </c>
      <c r="H505" s="2">
        <f t="shared" si="79"/>
        <v>1.8467881146580619E-3</v>
      </c>
      <c r="I505" s="5">
        <f>G505/F505</f>
        <v>1064.022200593329</v>
      </c>
      <c r="J505" s="2">
        <f>ABS(D505-I505)/I505</f>
        <v>1.7540184445460668E-3</v>
      </c>
      <c r="K505" s="1">
        <f>$AD$10*B505+$AD$11</f>
        <v>1070.5640189967862</v>
      </c>
      <c r="L505" s="2">
        <f>ABS(K505-D505)/D505</f>
        <v>4.3864848637706188E-3</v>
      </c>
      <c r="M505" s="21">
        <f>K505*F505</f>
        <v>1.0704612352474376</v>
      </c>
      <c r="N505" s="2">
        <f>ABS(M505-G505)/M505</f>
        <v>6.1106279375869573E-3</v>
      </c>
      <c r="O505" s="21">
        <f t="shared" si="80"/>
        <v>6.5411903302068364E-3</v>
      </c>
      <c r="P505" s="25">
        <f>$AD$18*B505+$AD$19</f>
        <v>4.1833333333333336</v>
      </c>
      <c r="Q505" s="25">
        <f>$AD$29*G505+$AD$30</f>
        <v>4.2065400409082869</v>
      </c>
      <c r="R505" s="25">
        <f t="shared" si="81"/>
        <v>2.3206707574953356E-2</v>
      </c>
      <c r="S505" s="26">
        <v>4.2761655818169588</v>
      </c>
      <c r="T505" s="26">
        <f t="shared" si="82"/>
        <v>9.2832248483625257E-2</v>
      </c>
      <c r="U505" s="27">
        <f t="shared" si="83"/>
        <v>2.2190975733137511E-2</v>
      </c>
      <c r="V505" s="28">
        <f t="shared" si="84"/>
        <v>71.313986981803509</v>
      </c>
      <c r="W505" s="27">
        <f t="shared" si="85"/>
        <v>1.5868760424551376E-2</v>
      </c>
      <c r="X505" s="21">
        <v>4.2798083148477017</v>
      </c>
      <c r="Y505" s="21">
        <f t="shared" si="86"/>
        <v>71.357699778172432</v>
      </c>
      <c r="Z505" s="2">
        <f t="shared" si="87"/>
        <v>1.649144983151608E-2</v>
      </c>
    </row>
    <row r="506" spans="1:26">
      <c r="A506" s="1">
        <v>70.3</v>
      </c>
      <c r="B506" s="1">
        <f t="shared" si="77"/>
        <v>343.45</v>
      </c>
      <c r="C506" s="4">
        <f>ROUND(10000*EXP(($AB$4)+($AC$4/B506)+($AD$4/(B506^2))+($AE$4/(B506^3))),6)</f>
        <v>1735.2068340000001</v>
      </c>
      <c r="D506" s="4">
        <f>((C506+2*$AC$5)*$AC$6)/((C506+2*$AC$5)+$AC$6)</f>
        <v>1063.7123321938232</v>
      </c>
      <c r="E506" s="4">
        <f t="shared" si="78"/>
        <v>1.0637123321938231</v>
      </c>
      <c r="F506" s="24">
        <v>9.9990399102947171E-4</v>
      </c>
      <c r="G506" s="6">
        <v>1.0616767353917305</v>
      </c>
      <c r="H506" s="2">
        <f t="shared" si="79"/>
        <v>1.9136722781942224E-3</v>
      </c>
      <c r="I506" s="5">
        <f>G506/F506</f>
        <v>1061.7786756693104</v>
      </c>
      <c r="J506" s="2">
        <f>ABS(D506-I506)/I506</f>
        <v>1.8211483888522107E-3</v>
      </c>
      <c r="K506" s="1">
        <f>$AD$10*B506+$AD$11</f>
        <v>1068.2149070779114</v>
      </c>
      <c r="L506" s="2">
        <f>ABS(K506-D506)/D506</f>
        <v>4.2328877346021572E-3</v>
      </c>
      <c r="M506" s="21">
        <f>K506*F506</f>
        <v>1.06811234886438</v>
      </c>
      <c r="N506" s="2">
        <f>ABS(M506-G506)/M506</f>
        <v>6.0252214848858354E-3</v>
      </c>
      <c r="O506" s="21">
        <f t="shared" si="80"/>
        <v>6.4356134726495373E-3</v>
      </c>
      <c r="P506" s="25">
        <f>$AD$18*B506+$AD$19</f>
        <v>4.1916666666666664</v>
      </c>
      <c r="Q506" s="25">
        <f>$AD$29*G506+$AD$30</f>
        <v>4.2144988107239243</v>
      </c>
      <c r="R506" s="25">
        <f t="shared" si="81"/>
        <v>2.2832144057257864E-2</v>
      </c>
      <c r="S506" s="26">
        <v>4.2844389343616447</v>
      </c>
      <c r="T506" s="26">
        <f t="shared" si="82"/>
        <v>9.2772267694978261E-2</v>
      </c>
      <c r="U506" s="27">
        <f t="shared" si="83"/>
        <v>2.2132548953076325E-2</v>
      </c>
      <c r="V506" s="28">
        <f t="shared" si="84"/>
        <v>71.413267212339747</v>
      </c>
      <c r="W506" s="27">
        <f t="shared" si="85"/>
        <v>1.5835948966426028E-2</v>
      </c>
      <c r="X506" s="21">
        <v>4.287985689050255</v>
      </c>
      <c r="Y506" s="21">
        <f t="shared" si="86"/>
        <v>71.455828268603071</v>
      </c>
      <c r="Z506" s="2">
        <f t="shared" si="87"/>
        <v>1.6441369396914277E-2</v>
      </c>
    </row>
    <row r="507" spans="1:26">
      <c r="A507" s="1">
        <v>70.400000000000006</v>
      </c>
      <c r="B507" s="1">
        <f t="shared" si="77"/>
        <v>343.54999999999995</v>
      </c>
      <c r="C507" s="4">
        <f>ROUND(10000*EXP(($AB$4)+($AC$4/B507)+($AD$4/(B507^2))+($AE$4/(B507^3))),6)</f>
        <v>1729.2970230000001</v>
      </c>
      <c r="D507" s="4">
        <f>((C507+2*$AC$5)*$AC$6)/((C507+2*$AC$5)+$AC$6)</f>
        <v>1061.5389212463463</v>
      </c>
      <c r="E507" s="4">
        <f t="shared" si="78"/>
        <v>1.0615389212463462</v>
      </c>
      <c r="F507" s="24">
        <v>9.9990399102947171E-4</v>
      </c>
      <c r="G507" s="6">
        <v>1.0595550802057123</v>
      </c>
      <c r="H507" s="2">
        <f t="shared" si="79"/>
        <v>1.868834953601754E-3</v>
      </c>
      <c r="I507" s="5">
        <f>G507/F507</f>
        <v>1059.6568167658033</v>
      </c>
      <c r="J507" s="2">
        <f>ABS(D507-I507)/I507</f>
        <v>1.7761453055030818E-3</v>
      </c>
      <c r="K507" s="1">
        <f>$AD$10*B507+$AD$11</f>
        <v>1065.8657951590385</v>
      </c>
      <c r="L507" s="2">
        <f>ABS(K507-D507)/D507</f>
        <v>4.0760388772293713E-3</v>
      </c>
      <c r="M507" s="21">
        <f>K507*F507</f>
        <v>1.0657634624813239</v>
      </c>
      <c r="N507" s="2">
        <f>ABS(M507-G507)/M507</f>
        <v>5.8252909713729234E-3</v>
      </c>
      <c r="O507" s="21">
        <f t="shared" si="80"/>
        <v>6.2083822756116014E-3</v>
      </c>
      <c r="P507" s="25">
        <f>$AD$18*B507+$AD$19</f>
        <v>4.1999999999999993</v>
      </c>
      <c r="Q507" s="25">
        <f>$AD$29*G507+$AD$30</f>
        <v>4.2220259776448188</v>
      </c>
      <c r="R507" s="25">
        <f t="shared" si="81"/>
        <v>2.2025977644819505E-2</v>
      </c>
      <c r="S507" s="26">
        <v>4.2922636222557387</v>
      </c>
      <c r="T507" s="26">
        <f t="shared" si="82"/>
        <v>9.2263622255739364E-2</v>
      </c>
      <c r="U507" s="27">
        <f t="shared" si="83"/>
        <v>2.1967529108509375E-2</v>
      </c>
      <c r="V507" s="28">
        <f t="shared" si="84"/>
        <v>71.507163467068864</v>
      </c>
      <c r="W507" s="27">
        <f t="shared" si="85"/>
        <v>1.5726753793591734E-2</v>
      </c>
      <c r="X507" s="21">
        <v>4.2957146088844418</v>
      </c>
      <c r="Y507" s="21">
        <f t="shared" si="86"/>
        <v>71.548575306613316</v>
      </c>
      <c r="Z507" s="2">
        <f t="shared" si="87"/>
        <v>1.6314990150757241E-2</v>
      </c>
    </row>
    <row r="508" spans="1:26">
      <c r="A508" s="1">
        <v>70.5</v>
      </c>
      <c r="B508" s="1">
        <f t="shared" si="77"/>
        <v>343.65</v>
      </c>
      <c r="C508" s="4">
        <f>ROUND(10000*EXP(($AB$4)+($AC$4/B508)+($AD$4/(B508^2))+($AE$4/(B508^3))),6)</f>
        <v>1723.4103950000001</v>
      </c>
      <c r="D508" s="4">
        <f>((C508+2*$AC$5)*$AC$6)/((C508+2*$AC$5)+$AC$6)</f>
        <v>1059.368288780357</v>
      </c>
      <c r="E508" s="4">
        <f t="shared" si="78"/>
        <v>1.059368288780357</v>
      </c>
      <c r="F508" s="24">
        <v>9.9990399102947171E-4</v>
      </c>
      <c r="G508" s="6">
        <v>1.0574314549086292</v>
      </c>
      <c r="H508" s="2">
        <f t="shared" si="79"/>
        <v>1.8282913432850537E-3</v>
      </c>
      <c r="I508" s="5">
        <f>G508/F508</f>
        <v>1057.5329875620648</v>
      </c>
      <c r="J508" s="2">
        <f>ABS(D508-I508)/I508</f>
        <v>1.7354552906412341E-3</v>
      </c>
      <c r="K508" s="1">
        <f>$AD$10*B508+$AD$11</f>
        <v>1063.5166832401637</v>
      </c>
      <c r="L508" s="2">
        <f>ABS(K508-D508)/D508</f>
        <v>3.9159133832321067E-3</v>
      </c>
      <c r="M508" s="21">
        <f>K508*F508</f>
        <v>1.0634145760982663</v>
      </c>
      <c r="N508" s="2">
        <f>ABS(M508-G508)/M508</f>
        <v>5.6263298661839911E-3</v>
      </c>
      <c r="O508" s="21">
        <f t="shared" si="80"/>
        <v>5.983121189637064E-3</v>
      </c>
      <c r="P508" s="25">
        <f>$AD$18*B508+$AD$19</f>
        <v>4.2083333333333321</v>
      </c>
      <c r="Q508" s="25">
        <f>$AD$29*G508+$AD$30</f>
        <v>4.2295601340873539</v>
      </c>
      <c r="R508" s="25">
        <f t="shared" si="81"/>
        <v>2.1226800754021724E-2</v>
      </c>
      <c r="S508" s="26">
        <v>4.3000955753927101</v>
      </c>
      <c r="T508" s="26">
        <f t="shared" si="82"/>
        <v>9.1762242059377996E-2</v>
      </c>
      <c r="U508" s="27">
        <f t="shared" si="83"/>
        <v>2.180488920222844E-2</v>
      </c>
      <c r="V508" s="28">
        <f t="shared" si="84"/>
        <v>71.601146904712522</v>
      </c>
      <c r="W508" s="27">
        <f t="shared" si="85"/>
        <v>1.5619105031383288E-2</v>
      </c>
      <c r="X508" s="21">
        <v>4.3039134648603588</v>
      </c>
      <c r="Y508" s="21">
        <f t="shared" si="86"/>
        <v>71.646961578324309</v>
      </c>
      <c r="Z508" s="2">
        <f t="shared" si="87"/>
        <v>1.6268958557791612E-2</v>
      </c>
    </row>
    <row r="509" spans="1:26">
      <c r="A509" s="1">
        <v>70.599999999999994</v>
      </c>
      <c r="B509" s="1">
        <f t="shared" si="77"/>
        <v>343.75</v>
      </c>
      <c r="C509" s="4">
        <f>ROUND(10000*EXP(($AB$4)+($AC$4/B509)+($AD$4/(B509^2))+($AE$4/(B509^3))),6)</f>
        <v>1717.546848</v>
      </c>
      <c r="D509" s="4">
        <f>((C509+2*$AC$5)*$AC$6)/((C509+2*$AC$5)+$AC$6)</f>
        <v>1057.2004421123804</v>
      </c>
      <c r="E509" s="4">
        <f t="shared" si="78"/>
        <v>1.0572004421123804</v>
      </c>
      <c r="F509" s="24">
        <v>9.9990399102947171E-4</v>
      </c>
      <c r="G509" s="6">
        <v>1.0551778005403512</v>
      </c>
      <c r="H509" s="2">
        <f t="shared" si="79"/>
        <v>1.9132053785257898E-3</v>
      </c>
      <c r="I509" s="5">
        <f>G509/F509</f>
        <v>1055.2791168019753</v>
      </c>
      <c r="J509" s="2">
        <f>ABS(D509-I509)/I509</f>
        <v>1.8206797422730091E-3</v>
      </c>
      <c r="K509" s="1">
        <f>$AD$10*B509+$AD$11</f>
        <v>1061.1675713212899</v>
      </c>
      <c r="L509" s="2">
        <f>ABS(K509-D509)/D509</f>
        <v>3.7524853858202879E-3</v>
      </c>
      <c r="M509" s="21">
        <f>K509*F509</f>
        <v>1.0610656897152093</v>
      </c>
      <c r="N509" s="2">
        <f>ABS(M509-G509)/M509</f>
        <v>5.5490336101985125E-3</v>
      </c>
      <c r="O509" s="21">
        <f t="shared" si="80"/>
        <v>5.887889174858163E-3</v>
      </c>
      <c r="P509" s="25">
        <f>$AD$18*B509+$AD$19</f>
        <v>4.2166666666666686</v>
      </c>
      <c r="Q509" s="25">
        <f>$AD$29*G509+$AD$30</f>
        <v>4.2375556051345917</v>
      </c>
      <c r="R509" s="25">
        <f t="shared" si="81"/>
        <v>2.0888938467923168E-2</v>
      </c>
      <c r="S509" s="26">
        <v>4.3084070783966206</v>
      </c>
      <c r="T509" s="26">
        <f t="shared" si="82"/>
        <v>9.1740411729952065E-2</v>
      </c>
      <c r="U509" s="27">
        <f t="shared" si="83"/>
        <v>2.1756619382597316E-2</v>
      </c>
      <c r="V509" s="28">
        <f t="shared" si="84"/>
        <v>71.700884940759451</v>
      </c>
      <c r="W509" s="27">
        <f t="shared" si="85"/>
        <v>1.5593271115573043E-2</v>
      </c>
      <c r="X509" s="21">
        <v>4.3121224184563642</v>
      </c>
      <c r="Y509" s="21">
        <f t="shared" si="86"/>
        <v>71.745469021476381</v>
      </c>
      <c r="Z509" s="2">
        <f t="shared" si="87"/>
        <v>1.6224773675302936E-2</v>
      </c>
    </row>
    <row r="510" spans="1:26">
      <c r="A510" s="1">
        <v>70.7</v>
      </c>
      <c r="B510" s="1">
        <f t="shared" si="77"/>
        <v>343.84999999999997</v>
      </c>
      <c r="C510" s="4">
        <f>ROUND(10000*EXP(($AB$4)+($AC$4/B510)+($AD$4/(B510^2))+($AE$4/(B510^3))),6)</f>
        <v>1711.7062820000001</v>
      </c>
      <c r="D510" s="4">
        <f>((C510+2*$AC$5)*$AC$6)/((C510+2*$AC$5)+$AC$6)</f>
        <v>1055.0353890533399</v>
      </c>
      <c r="E510" s="4">
        <f t="shared" si="78"/>
        <v>1.0550353890533399</v>
      </c>
      <c r="F510" s="24">
        <v>9.9990399102947171E-4</v>
      </c>
      <c r="G510" s="6">
        <v>1.0530464834509341</v>
      </c>
      <c r="H510" s="2">
        <f t="shared" si="79"/>
        <v>1.8851553445903212E-3</v>
      </c>
      <c r="I510" s="5">
        <f>G510/F510</f>
        <v>1053.1475950673509</v>
      </c>
      <c r="J510" s="2">
        <f>ABS(D510-I510)/I510</f>
        <v>1.7925255632077514E-3</v>
      </c>
      <c r="K510" s="1">
        <f>$AD$10*B510+$AD$11</f>
        <v>1058.8184594024169</v>
      </c>
      <c r="L510" s="2">
        <f>ABS(K510-D510)/D510</f>
        <v>3.585728391984505E-3</v>
      </c>
      <c r="M510" s="21">
        <f>K510*F510</f>
        <v>1.0587168033321535</v>
      </c>
      <c r="N510" s="2">
        <f>ABS(M510-G510)/M510</f>
        <v>5.3558419620552611E-3</v>
      </c>
      <c r="O510" s="21">
        <f t="shared" si="80"/>
        <v>5.6703198812193545E-3</v>
      </c>
      <c r="P510" s="25">
        <f>$AD$18*B510+$AD$19</f>
        <v>4.2249999999999979</v>
      </c>
      <c r="Q510" s="25">
        <f>$AD$29*G510+$AD$30</f>
        <v>4.2451170503680675</v>
      </c>
      <c r="R510" s="25">
        <f t="shared" si="81"/>
        <v>2.0117050368069656E-2</v>
      </c>
      <c r="S510" s="26">
        <v>4.3162674000355681</v>
      </c>
      <c r="T510" s="26">
        <f t="shared" si="82"/>
        <v>9.1267400035570212E-2</v>
      </c>
      <c r="U510" s="27">
        <f t="shared" si="83"/>
        <v>2.1601751487708938E-2</v>
      </c>
      <c r="V510" s="28">
        <f t="shared" si="84"/>
        <v>71.795208800426821</v>
      </c>
      <c r="W510" s="27">
        <f t="shared" si="85"/>
        <v>1.5490930699106332E-2</v>
      </c>
      <c r="X510" s="21">
        <v>4.3198854412528149</v>
      </c>
      <c r="Y510" s="21">
        <f t="shared" si="86"/>
        <v>71.838625295033793</v>
      </c>
      <c r="Z510" s="2">
        <f t="shared" si="87"/>
        <v>1.6105025389445408E-2</v>
      </c>
    </row>
    <row r="511" spans="1:26">
      <c r="A511" s="1">
        <v>70.8</v>
      </c>
      <c r="B511" s="1">
        <f t="shared" si="77"/>
        <v>343.95</v>
      </c>
      <c r="C511" s="4">
        <f>ROUND(10000*EXP(($AB$4)+($AC$4/B511)+($AD$4/(B511^2))+($AE$4/(B511^3))),6)</f>
        <v>1705.8885949999999</v>
      </c>
      <c r="D511" s="4">
        <f>((C511+2*$AC$5)*$AC$6)/((C511+2*$AC$5)+$AC$6)</f>
        <v>1052.8731364283242</v>
      </c>
      <c r="E511" s="4">
        <f t="shared" si="78"/>
        <v>1.0528731364283241</v>
      </c>
      <c r="F511" s="24">
        <v>9.9990399102947171E-4</v>
      </c>
      <c r="G511" s="6">
        <v>1.0510381274912246</v>
      </c>
      <c r="H511" s="2">
        <f t="shared" si="79"/>
        <v>1.7428585397519607E-3</v>
      </c>
      <c r="I511" s="5">
        <f>G511/F511</f>
        <v>1051.139046268939</v>
      </c>
      <c r="J511" s="2">
        <f>ABS(D511-I511)/I511</f>
        <v>1.6497248061904429E-3</v>
      </c>
      <c r="K511" s="1">
        <f>$AD$10*B511+$AD$11</f>
        <v>1056.4693474835422</v>
      </c>
      <c r="L511" s="2">
        <f>ABS(K511-D511)/D511</f>
        <v>3.4156166880821362E-3</v>
      </c>
      <c r="M511" s="21">
        <f>K511*F511</f>
        <v>1.0563679169490956</v>
      </c>
      <c r="N511" s="2">
        <f>ABS(M511-G511)/M511</f>
        <v>5.0453912622261373E-3</v>
      </c>
      <c r="O511" s="21">
        <f t="shared" si="80"/>
        <v>5.3297894578709926E-3</v>
      </c>
      <c r="P511" s="25">
        <f>$AD$18*B511+$AD$19</f>
        <v>4.2333333333333343</v>
      </c>
      <c r="Q511" s="25">
        <f>$AD$29*G511+$AD$30</f>
        <v>4.2522422565019058</v>
      </c>
      <c r="R511" s="25">
        <f t="shared" si="81"/>
        <v>1.8908923168571512E-2</v>
      </c>
      <c r="S511" s="26">
        <v>4.3236827188372384</v>
      </c>
      <c r="T511" s="26">
        <f t="shared" si="82"/>
        <v>9.0349385503904145E-2</v>
      </c>
      <c r="U511" s="27">
        <f t="shared" si="83"/>
        <v>2.1342374528481291E-2</v>
      </c>
      <c r="V511" s="28">
        <f t="shared" si="84"/>
        <v>71.884192626046854</v>
      </c>
      <c r="W511" s="27">
        <f t="shared" si="85"/>
        <v>1.5313455170153346E-2</v>
      </c>
      <c r="X511" s="21">
        <v>4.3276602411631337</v>
      </c>
      <c r="Y511" s="21">
        <f t="shared" si="86"/>
        <v>71.931922893957619</v>
      </c>
      <c r="Z511" s="2">
        <f t="shared" si="87"/>
        <v>1.5987611496576584E-2</v>
      </c>
    </row>
    <row r="512" spans="1:26">
      <c r="A512" s="1">
        <v>70.900000000000006</v>
      </c>
      <c r="B512" s="1">
        <f t="shared" si="77"/>
        <v>344.04999999999995</v>
      </c>
      <c r="C512" s="4">
        <f>ROUND(10000*EXP(($AB$4)+($AC$4/B512)+($AD$4/(B512^2))+($AE$4/(B512^3))),6)</f>
        <v>1700.0936859999999</v>
      </c>
      <c r="D512" s="4">
        <f>((C512+2*$AC$5)*$AC$6)/((C512+2*$AC$5)+$AC$6)</f>
        <v>1050.7136911848704</v>
      </c>
      <c r="E512" s="4">
        <f t="shared" si="78"/>
        <v>1.0507136911848705</v>
      </c>
      <c r="F512" s="24">
        <v>9.9990399102947171E-4</v>
      </c>
      <c r="G512" s="6">
        <v>1.0487741307621157</v>
      </c>
      <c r="H512" s="2">
        <f t="shared" si="79"/>
        <v>1.8459457024563714E-3</v>
      </c>
      <c r="I512" s="5">
        <f>G512/F512</f>
        <v>1048.874832154964</v>
      </c>
      <c r="J512" s="2">
        <f>ABS(D512-I512)/I512</f>
        <v>1.7531729940820407E-3</v>
      </c>
      <c r="K512" s="1">
        <f>$AD$10*B512+$AD$11</f>
        <v>1054.1202355646692</v>
      </c>
      <c r="L512" s="2">
        <f>ABS(K512-D512)/D512</f>
        <v>3.242124289783729E-3</v>
      </c>
      <c r="M512" s="21">
        <f>K512*F512</f>
        <v>1.0540190305660395</v>
      </c>
      <c r="N512" s="2">
        <f>ABS(M512-G512)/M512</f>
        <v>4.9760959259978208E-3</v>
      </c>
      <c r="O512" s="21">
        <f t="shared" si="80"/>
        <v>5.2448998039238415E-3</v>
      </c>
      <c r="P512" s="25">
        <f>$AD$18*B512+$AD$19</f>
        <v>4.2416666666666636</v>
      </c>
      <c r="Q512" s="25">
        <f>$AD$29*G512+$AD$30</f>
        <v>4.2602744199753415</v>
      </c>
      <c r="R512" s="25">
        <f t="shared" si="81"/>
        <v>1.8607753308677921E-2</v>
      </c>
      <c r="S512" s="26">
        <v>4.3320238855650981</v>
      </c>
      <c r="T512" s="26">
        <f t="shared" si="82"/>
        <v>9.035721889843451E-2</v>
      </c>
      <c r="U512" s="27">
        <f t="shared" si="83"/>
        <v>2.1302291292361785E-2</v>
      </c>
      <c r="V512" s="28">
        <f t="shared" si="84"/>
        <v>71.98428662678117</v>
      </c>
      <c r="W512" s="27">
        <f t="shared" si="85"/>
        <v>1.5293182324134898E-2</v>
      </c>
      <c r="X512" s="21">
        <v>4.335446704598656</v>
      </c>
      <c r="Y512" s="21">
        <f t="shared" si="86"/>
        <v>72.025360455183886</v>
      </c>
      <c r="Z512" s="2">
        <f t="shared" si="87"/>
        <v>1.5872502893989851E-2</v>
      </c>
    </row>
    <row r="513" spans="1:26">
      <c r="A513" s="1">
        <v>71</v>
      </c>
      <c r="B513" s="1">
        <f t="shared" si="77"/>
        <v>344.15</v>
      </c>
      <c r="C513" s="4">
        <f>ROUND(10000*EXP(($AB$4)+($AC$4/B513)+($AD$4/(B513^2))+($AE$4/(B513^3))),6)</f>
        <v>1694.3214559999999</v>
      </c>
      <c r="D513" s="4">
        <f>((C513+2*$AC$5)*$AC$6)/((C513+2*$AC$5)+$AC$6)</f>
        <v>1048.55706077061</v>
      </c>
      <c r="E513" s="4">
        <f t="shared" si="78"/>
        <v>1.0485570607706101</v>
      </c>
      <c r="F513" s="24">
        <v>9.9990399102947171E-4</v>
      </c>
      <c r="G513" s="6">
        <v>1.0466331686763068</v>
      </c>
      <c r="H513" s="2">
        <f t="shared" si="79"/>
        <v>1.8347996177616691E-3</v>
      </c>
      <c r="I513" s="5">
        <f>G513/F513</f>
        <v>1046.7336644978525</v>
      </c>
      <c r="J513" s="2">
        <f>ABS(D513-I513)/I513</f>
        <v>1.7419868440289421E-3</v>
      </c>
      <c r="K513" s="1">
        <f>$AD$10*B513+$AD$11</f>
        <v>1051.7711236457944</v>
      </c>
      <c r="L513" s="2">
        <f>ABS(K513-D513)/D513</f>
        <v>3.0652245790251881E-3</v>
      </c>
      <c r="M513" s="21">
        <f>K513*F513</f>
        <v>1.0516701441829819</v>
      </c>
      <c r="N513" s="2">
        <f>ABS(M513-G513)/M513</f>
        <v>4.789501284728534E-3</v>
      </c>
      <c r="O513" s="21">
        <f t="shared" si="80"/>
        <v>5.0369755066750344E-3</v>
      </c>
      <c r="P513" s="25">
        <f>$AD$18*B513+$AD$19</f>
        <v>4.25</v>
      </c>
      <c r="Q513" s="25">
        <f>$AD$29*G513+$AD$30</f>
        <v>4.2678700835390488</v>
      </c>
      <c r="R513" s="25">
        <f t="shared" si="81"/>
        <v>1.7870083539048842E-2</v>
      </c>
      <c r="S513" s="26">
        <v>4.3399197765457389</v>
      </c>
      <c r="T513" s="26">
        <f t="shared" si="82"/>
        <v>8.9919776545738905E-2</v>
      </c>
      <c r="U513" s="27">
        <f t="shared" si="83"/>
        <v>2.1157594481350329E-2</v>
      </c>
      <c r="V513" s="28">
        <f t="shared" si="84"/>
        <v>72.07903731854887</v>
      </c>
      <c r="W513" s="27">
        <f t="shared" si="85"/>
        <v>1.5197708711955922E-2</v>
      </c>
      <c r="X513" s="21">
        <v>4.3436977897586635</v>
      </c>
      <c r="Y513" s="21">
        <f t="shared" si="86"/>
        <v>72.124373477103973</v>
      </c>
      <c r="Z513" s="2">
        <f t="shared" si="87"/>
        <v>1.5836246156393979E-2</v>
      </c>
    </row>
    <row r="514" spans="1:26">
      <c r="A514" s="1">
        <v>71.099999999999994</v>
      </c>
      <c r="B514" s="1">
        <f t="shared" si="77"/>
        <v>344.25</v>
      </c>
      <c r="C514" s="4">
        <f>ROUND(10000*EXP(($AB$4)+($AC$4/B514)+($AD$4/(B514^2))+($AE$4/(B514^3))),6)</f>
        <v>1688.5718039999999</v>
      </c>
      <c r="D514" s="4">
        <f>((C514+2*$AC$5)*$AC$6)/((C514+2*$AC$5)+$AC$6)</f>
        <v>1046.4032516413561</v>
      </c>
      <c r="E514" s="4">
        <f t="shared" si="78"/>
        <v>1.0464032516413562</v>
      </c>
      <c r="F514" s="24">
        <v>9.9990399102947171E-4</v>
      </c>
      <c r="G514" s="6">
        <v>1.0444890533536935</v>
      </c>
      <c r="H514" s="2">
        <f t="shared" si="79"/>
        <v>1.8293122509512008E-3</v>
      </c>
      <c r="I514" s="5">
        <f>G514/F514</f>
        <v>1044.5893433011686</v>
      </c>
      <c r="J514" s="2">
        <f>ABS(D514-I514)/I514</f>
        <v>1.7364798442755203E-3</v>
      </c>
      <c r="K514" s="1">
        <f>$AD$10*B514+$AD$11</f>
        <v>1049.4220117269197</v>
      </c>
      <c r="L514" s="2">
        <f>ABS(K514-D514)/D514</f>
        <v>2.8848917287178388E-3</v>
      </c>
      <c r="M514" s="21">
        <f>K514*F514</f>
        <v>1.049321257799924</v>
      </c>
      <c r="N514" s="2">
        <f>ABS(M514-G514)/M514</f>
        <v>4.6050762912800197E-3</v>
      </c>
      <c r="O514" s="21">
        <f t="shared" si="80"/>
        <v>4.8322044462305591E-3</v>
      </c>
      <c r="P514" s="25">
        <f>$AD$18*B514+$AD$19</f>
        <v>4.2583333333333364</v>
      </c>
      <c r="Q514" s="25">
        <f>$AD$29*G514+$AD$30</f>
        <v>4.2754769340948391</v>
      </c>
      <c r="R514" s="25">
        <f t="shared" si="81"/>
        <v>1.7143600761502675E-2</v>
      </c>
      <c r="S514" s="26">
        <v>4.3478272989800129</v>
      </c>
      <c r="T514" s="26">
        <f t="shared" si="82"/>
        <v>8.9493965646676443E-2</v>
      </c>
      <c r="U514" s="27">
        <f t="shared" si="83"/>
        <v>2.1016195455188191E-2</v>
      </c>
      <c r="V514" s="28">
        <f t="shared" si="84"/>
        <v>72.173927587760147</v>
      </c>
      <c r="W514" s="27">
        <f t="shared" si="85"/>
        <v>1.5104466775810871E-2</v>
      </c>
      <c r="X514" s="21">
        <v>4.3515062949055716</v>
      </c>
      <c r="Y514" s="21">
        <f t="shared" si="86"/>
        <v>72.21807553886687</v>
      </c>
      <c r="Z514" s="2">
        <f t="shared" si="87"/>
        <v>1.5725394358183906E-2</v>
      </c>
    </row>
    <row r="515" spans="1:26">
      <c r="A515" s="1">
        <v>71.2</v>
      </c>
      <c r="B515" s="1">
        <f t="shared" si="77"/>
        <v>344.34999999999997</v>
      </c>
      <c r="C515" s="4">
        <f>ROUND(10000*EXP(($AB$4)+($AC$4/B515)+($AD$4/(B515^2))+($AE$4/(B515^3))),6)</f>
        <v>1682.844632</v>
      </c>
      <c r="D515" s="4">
        <f>((C515+2*$AC$5)*$AC$6)/((C515+2*$AC$5)+$AC$6)</f>
        <v>1044.2522711303341</v>
      </c>
      <c r="E515" s="4">
        <f t="shared" si="78"/>
        <v>1.0442522711303341</v>
      </c>
      <c r="F515" s="24">
        <v>9.9990399102947171E-4</v>
      </c>
      <c r="G515" s="6">
        <v>1.0423418147654295</v>
      </c>
      <c r="H515" s="2">
        <f t="shared" si="79"/>
        <v>1.8294969690002862E-3</v>
      </c>
      <c r="I515" s="5">
        <f>G515/F515</f>
        <v>1042.4418985389439</v>
      </c>
      <c r="J515" s="2">
        <f>ABS(D515-I515)/I515</f>
        <v>1.7366652222321173E-3</v>
      </c>
      <c r="K515" s="1">
        <f>$AD$10*B515+$AD$11</f>
        <v>1047.0728998080467</v>
      </c>
      <c r="L515" s="2">
        <f>ABS(K515-D515)/D515</f>
        <v>2.7010989161263721E-3</v>
      </c>
      <c r="M515" s="21">
        <f>K515*F515</f>
        <v>1.0469723714168682</v>
      </c>
      <c r="N515" s="2">
        <f>ABS(M515-G515)/M515</f>
        <v>4.422806921993652E-3</v>
      </c>
      <c r="O515" s="21">
        <f t="shared" si="80"/>
        <v>4.6305566514386332E-3</v>
      </c>
      <c r="P515" s="25">
        <f>$AD$18*B515+$AD$19</f>
        <v>4.2666666666666657</v>
      </c>
      <c r="Q515" s="25">
        <f>$AD$29*G515+$AD$30</f>
        <v>4.2830948653116359</v>
      </c>
      <c r="R515" s="25">
        <f t="shared" si="81"/>
        <v>1.6428198644970138E-2</v>
      </c>
      <c r="S515" s="26">
        <v>4.3557463399865304</v>
      </c>
      <c r="T515" s="26">
        <f t="shared" si="82"/>
        <v>8.9079673319864661E-2</v>
      </c>
      <c r="U515" s="27">
        <f t="shared" si="83"/>
        <v>2.0878048434343283E-2</v>
      </c>
      <c r="V515" s="28">
        <f t="shared" si="84"/>
        <v>72.268956079838375</v>
      </c>
      <c r="W515" s="27">
        <f t="shared" si="85"/>
        <v>1.5013428087617589E-2</v>
      </c>
      <c r="X515" s="21">
        <v>4.359326125996148</v>
      </c>
      <c r="Y515" s="21">
        <f t="shared" si="86"/>
        <v>72.31191351195379</v>
      </c>
      <c r="Z515" s="2">
        <f t="shared" si="87"/>
        <v>1.5616762808339709E-2</v>
      </c>
    </row>
    <row r="516" spans="1:26">
      <c r="A516" s="1">
        <v>71.3</v>
      </c>
      <c r="B516" s="1">
        <f t="shared" ref="B516:B579" si="88">A516+273.15</f>
        <v>344.45</v>
      </c>
      <c r="C516" s="4">
        <f>ROUND(10000*EXP(($AB$4)+($AC$4/B516)+($AD$4/(B516^2))+($AE$4/(B516^3))),6)</f>
        <v>1677.1398409999999</v>
      </c>
      <c r="D516" s="4">
        <f>((C516+2*$AC$5)*$AC$6)/((C516+2*$AC$5)+$AC$6)</f>
        <v>1042.1041259533597</v>
      </c>
      <c r="E516" s="4">
        <f t="shared" ref="E516:E579" si="89">D516*0.001</f>
        <v>1.0421041259533597</v>
      </c>
      <c r="F516" s="24">
        <v>9.9990399102947171E-4</v>
      </c>
      <c r="G516" s="6">
        <v>1.0401914829609868</v>
      </c>
      <c r="H516" s="2">
        <f t="shared" ref="H516:H579" si="90">ABS(E516-G516)/E516</f>
        <v>1.8353664904867837E-3</v>
      </c>
      <c r="I516" s="5">
        <f>G516/F516</f>
        <v>1040.2913602635351</v>
      </c>
      <c r="J516" s="2">
        <f>ABS(D516-I516)/I516</f>
        <v>1.7425557483870177E-3</v>
      </c>
      <c r="K516" s="1">
        <f>$AD$10*B516+$AD$11</f>
        <v>1044.7237878891719</v>
      </c>
      <c r="L516" s="2">
        <f>ABS(K516-D516)/D516</f>
        <v>2.5138197523358538E-3</v>
      </c>
      <c r="M516" s="21">
        <f>K516*F516</f>
        <v>1.0446234850338103</v>
      </c>
      <c r="N516" s="2">
        <f>ABS(M516-G516)/M516</f>
        <v>4.2426789521011138E-3</v>
      </c>
      <c r="O516" s="21">
        <f t="shared" ref="O516:O579" si="91">N516*M516</f>
        <v>4.4320020728234599E-3</v>
      </c>
      <c r="P516" s="25">
        <f>$AD$18*B516+$AD$19</f>
        <v>4.2750000000000021</v>
      </c>
      <c r="Q516" s="25">
        <f>$AD$29*G516+$AD$30</f>
        <v>4.2907237705805095</v>
      </c>
      <c r="R516" s="25">
        <f t="shared" ref="R516:R579" si="92">ABS(P516-Q516)</f>
        <v>1.5723770580507335E-2</v>
      </c>
      <c r="S516" s="26">
        <v>4.3636767876672184</v>
      </c>
      <c r="T516" s="26">
        <f t="shared" ref="T516:T579" si="93">ABS(P516-S516)</f>
        <v>8.8676787667216317E-2</v>
      </c>
      <c r="U516" s="27">
        <f t="shared" ref="U516:U579" si="94">IF(P516=0,ABS(P516-S516),ABS(P516-S516)/P516)</f>
        <v>2.0743108226249422E-2</v>
      </c>
      <c r="V516" s="28">
        <f t="shared" ref="V516:V579" si="95">(S516-$AD$21)/($AD$20)</f>
        <v>72.364121452006614</v>
      </c>
      <c r="W516" s="27">
        <f t="shared" ref="W516:W579" si="96">ABS(A516-V516)/A516</f>
        <v>1.492456454427233E-2</v>
      </c>
      <c r="X516" s="21">
        <v>4.3671571711917627</v>
      </c>
      <c r="Y516" s="21">
        <f t="shared" ref="Y516:Y579" si="97">(X516+5/3)/(1/12)</f>
        <v>72.405886054301163</v>
      </c>
      <c r="Z516" s="2">
        <f t="shared" ref="Z516:Z579" si="98">ABS(A516-Y516)/A516</f>
        <v>1.5510323342232344E-2</v>
      </c>
    </row>
    <row r="517" spans="1:26">
      <c r="A517" s="1">
        <v>71.400000000000006</v>
      </c>
      <c r="B517" s="1">
        <f t="shared" si="88"/>
        <v>344.54999999999995</v>
      </c>
      <c r="C517" s="4">
        <f>ROUND(10000*EXP(($AB$4)+($AC$4/B517)+($AD$4/(B517^2))+($AE$4/(B517^3))),6)</f>
        <v>1671.4573330000001</v>
      </c>
      <c r="D517" s="4">
        <f>((C517+2*$AC$5)*$AC$6)/((C517+2*$AC$5)+$AC$6)</f>
        <v>1039.9588229586927</v>
      </c>
      <c r="E517" s="4">
        <f t="shared" si="89"/>
        <v>1.0399588229586927</v>
      </c>
      <c r="F517" s="24">
        <v>9.9990399102947171E-4</v>
      </c>
      <c r="G517" s="6">
        <v>1.0380380887259322</v>
      </c>
      <c r="H517" s="2">
        <f t="shared" si="90"/>
        <v>1.8469329653803075E-3</v>
      </c>
      <c r="I517" s="5">
        <f>G517/F517</f>
        <v>1038.1377592634656</v>
      </c>
      <c r="J517" s="2">
        <f>ABS(D517-I517)/I517</f>
        <v>1.7541638178339347E-3</v>
      </c>
      <c r="K517" s="1">
        <f>$AD$10*B517+$AD$11</f>
        <v>1042.374675970299</v>
      </c>
      <c r="L517" s="2">
        <f>ABS(K517-D517)/D517</f>
        <v>2.3230275644309977E-3</v>
      </c>
      <c r="M517" s="21">
        <f>K517*F517</f>
        <v>1.0422745986507542</v>
      </c>
      <c r="N517" s="2">
        <f>ABS(M517-G517)/M517</f>
        <v>4.0646773223738742E-3</v>
      </c>
      <c r="O517" s="21">
        <f t="shared" si="91"/>
        <v>4.2365099248220517E-3</v>
      </c>
      <c r="P517" s="25">
        <f>$AD$18*B517+$AD$19</f>
        <v>4.2833333333333314</v>
      </c>
      <c r="Q517" s="25">
        <f>$AD$29*G517+$AD$30</f>
        <v>4.2983635406810272</v>
      </c>
      <c r="R517" s="25">
        <f t="shared" si="92"/>
        <v>1.5030207347695779E-2</v>
      </c>
      <c r="S517" s="26">
        <v>4.3716185297776038</v>
      </c>
      <c r="T517" s="26">
        <f t="shared" si="93"/>
        <v>8.8285196444272351E-2</v>
      </c>
      <c r="U517" s="27">
        <f t="shared" si="94"/>
        <v>2.0611329909168651E-2</v>
      </c>
      <c r="V517" s="28">
        <f t="shared" si="95"/>
        <v>72.459422357331249</v>
      </c>
      <c r="W517" s="27">
        <f t="shared" si="96"/>
        <v>1.4837848141894164E-2</v>
      </c>
      <c r="X517" s="21">
        <v>4.3749993180478519</v>
      </c>
      <c r="Y517" s="21">
        <f t="shared" si="97"/>
        <v>72.499991816574237</v>
      </c>
      <c r="Z517" s="2">
        <f t="shared" si="98"/>
        <v>1.5406047851179713E-2</v>
      </c>
    </row>
    <row r="518" spans="1:26">
      <c r="A518" s="1">
        <v>71.5</v>
      </c>
      <c r="B518" s="1">
        <f t="shared" si="88"/>
        <v>344.65</v>
      </c>
      <c r="C518" s="4">
        <f>ROUND(10000*EXP(($AB$4)+($AC$4/B518)+($AD$4/(B518^2))+($AE$4/(B518^3))),6)</f>
        <v>1665.7970089999999</v>
      </c>
      <c r="D518" s="4">
        <f>((C518+2*$AC$5)*$AC$6)/((C518+2*$AC$5)+$AC$6)</f>
        <v>1037.8163683726477</v>
      </c>
      <c r="E518" s="4">
        <f t="shared" si="89"/>
        <v>1.0378163683726478</v>
      </c>
      <c r="F518" s="24">
        <v>9.9990399102947171E-4</v>
      </c>
      <c r="G518" s="6">
        <v>1.0358816617887854</v>
      </c>
      <c r="H518" s="2">
        <f t="shared" si="90"/>
        <v>1.8642089707027224E-3</v>
      </c>
      <c r="I518" s="5">
        <f>G518/F518</f>
        <v>1035.9811252701093</v>
      </c>
      <c r="J518" s="2">
        <f>ABS(D518-I518)/I518</f>
        <v>1.77150245093507E-3</v>
      </c>
      <c r="K518" s="1">
        <f>$AD$10*B518+$AD$11</f>
        <v>1040.0255640514251</v>
      </c>
      <c r="L518" s="2">
        <f>ABS(K518-D518)/D518</f>
        <v>2.1286961220717145E-3</v>
      </c>
      <c r="M518" s="21">
        <f>K518*F518</f>
        <v>1.0399257122676975</v>
      </c>
      <c r="N518" s="2">
        <f>ABS(M518-G518)/M518</f>
        <v>3.8887878539838232E-3</v>
      </c>
      <c r="O518" s="21">
        <f t="shared" si="91"/>
        <v>4.0440504789120979E-3</v>
      </c>
      <c r="P518" s="25">
        <f>$AD$18*B518+$AD$19</f>
        <v>4.2916666666666679</v>
      </c>
      <c r="Q518" s="25">
        <f>$AD$29*G518+$AD$30</f>
        <v>4.3060140701429219</v>
      </c>
      <c r="R518" s="25">
        <f t="shared" si="92"/>
        <v>1.4347403476254073E-2</v>
      </c>
      <c r="S518" s="26">
        <v>4.3795714557515257</v>
      </c>
      <c r="T518" s="26">
        <f t="shared" si="93"/>
        <v>8.7904789084857882E-2</v>
      </c>
      <c r="U518" s="27">
        <f t="shared" si="94"/>
        <v>2.0482669301326101E-2</v>
      </c>
      <c r="V518" s="28">
        <f t="shared" si="95"/>
        <v>72.554857469018302</v>
      </c>
      <c r="W518" s="27">
        <f t="shared" si="96"/>
        <v>1.4753251314941282E-2</v>
      </c>
      <c r="X518" s="21">
        <v>4.3833008106340143</v>
      </c>
      <c r="Y518" s="21">
        <f t="shared" si="97"/>
        <v>72.599609727608183</v>
      </c>
      <c r="Z518" s="2">
        <f t="shared" si="98"/>
        <v>1.5379157029485072E-2</v>
      </c>
    </row>
    <row r="519" spans="1:26">
      <c r="A519" s="1">
        <v>71.599999999999994</v>
      </c>
      <c r="B519" s="1">
        <f t="shared" si="88"/>
        <v>344.75</v>
      </c>
      <c r="C519" s="4">
        <f>ROUND(10000*EXP(($AB$4)+($AC$4/B519)+($AD$4/(B519^2))+($AE$4/(B519^3))),6)</f>
        <v>1660.158774</v>
      </c>
      <c r="D519" s="4">
        <f>((C519+2*$AC$5)*$AC$6)/((C519+2*$AC$5)+$AC$6)</f>
        <v>1035.6767696932807</v>
      </c>
      <c r="E519" s="4">
        <f t="shared" si="89"/>
        <v>1.0356767696932807</v>
      </c>
      <c r="F519" s="24">
        <v>9.9990399102947171E-4</v>
      </c>
      <c r="G519" s="6">
        <v>1.033722233112458</v>
      </c>
      <c r="H519" s="2">
        <f t="shared" si="90"/>
        <v>1.8872071267964398E-3</v>
      </c>
      <c r="I519" s="5">
        <f>G519/F519</f>
        <v>1033.8214892493509</v>
      </c>
      <c r="J519" s="2">
        <f>ABS(D519-I519)/I519</f>
        <v>1.7945849096993698E-3</v>
      </c>
      <c r="K519" s="1">
        <f>$AD$10*B519+$AD$11</f>
        <v>1037.6764521325504</v>
      </c>
      <c r="L519" s="2">
        <f>ABS(K519-D519)/D519</f>
        <v>1.930797810461563E-3</v>
      </c>
      <c r="M519" s="21">
        <f>K519*F519</f>
        <v>1.0375768258846396</v>
      </c>
      <c r="N519" s="2">
        <f>ABS(M519-G519)/M519</f>
        <v>3.7149950500245171E-3</v>
      </c>
      <c r="O519" s="21">
        <f t="shared" si="91"/>
        <v>3.8545927721815865E-3</v>
      </c>
      <c r="P519" s="25">
        <f>$AD$18*B519+$AD$19</f>
        <v>4.3000000000000007</v>
      </c>
      <c r="Q519" s="25">
        <f>$AD$29*G519+$AD$30</f>
        <v>4.3136752491165833</v>
      </c>
      <c r="R519" s="25">
        <f t="shared" si="92"/>
        <v>1.3675249116582577E-2</v>
      </c>
      <c r="S519" s="26">
        <v>4.3875354538648867</v>
      </c>
      <c r="T519" s="26">
        <f t="shared" si="93"/>
        <v>8.7535453864886037E-2</v>
      </c>
      <c r="U519" s="27">
        <f t="shared" si="94"/>
        <v>2.0357082294159539E-2</v>
      </c>
      <c r="V519" s="28">
        <f t="shared" si="95"/>
        <v>72.650425446378634</v>
      </c>
      <c r="W519" s="27">
        <f t="shared" si="96"/>
        <v>1.467074645780223E-2</v>
      </c>
      <c r="X519" s="21">
        <v>4.3911638866705509</v>
      </c>
      <c r="Y519" s="21">
        <f t="shared" si="97"/>
        <v>72.693966640046625</v>
      </c>
      <c r="Z519" s="2">
        <f t="shared" si="98"/>
        <v>1.5278863687802107E-2</v>
      </c>
    </row>
    <row r="520" spans="1:26">
      <c r="A520" s="1">
        <v>71.7</v>
      </c>
      <c r="B520" s="1">
        <f t="shared" si="88"/>
        <v>344.84999999999997</v>
      </c>
      <c r="C520" s="4">
        <f>ROUND(10000*EXP(($AB$4)+($AC$4/B520)+($AD$4/(B520^2))+($AE$4/(B520^3))),6)</f>
        <v>1654.5425290000001</v>
      </c>
      <c r="D520" s="4">
        <f>((C520+2*$AC$5)*$AC$6)/((C520+2*$AC$5)+$AC$6)</f>
        <v>1033.5400326610929</v>
      </c>
      <c r="E520" s="4">
        <f t="shared" si="89"/>
        <v>1.0335400326610931</v>
      </c>
      <c r="F520" s="24">
        <v>9.9990399102947171E-4</v>
      </c>
      <c r="G520" s="6">
        <v>1.0316823662574888</v>
      </c>
      <c r="H520" s="2">
        <f t="shared" si="90"/>
        <v>1.7973821476670773E-3</v>
      </c>
      <c r="I520" s="5">
        <f>G520/F520</f>
        <v>1031.7814265300601</v>
      </c>
      <c r="J520" s="2">
        <f>ABS(D520-I520)/I520</f>
        <v>1.704436701237309E-3</v>
      </c>
      <c r="K520" s="1">
        <f>$AD$10*B520+$AD$11</f>
        <v>1035.3273402136774</v>
      </c>
      <c r="L520" s="2">
        <f>ABS(K520-D520)/D520</f>
        <v>1.7293065542731173E-3</v>
      </c>
      <c r="M520" s="21">
        <f>K520*F520</f>
        <v>1.0352279395015838</v>
      </c>
      <c r="N520" s="2">
        <f>ABS(M520-G520)/M520</f>
        <v>3.4249203569621839E-3</v>
      </c>
      <c r="O520" s="21">
        <f t="shared" si="91"/>
        <v>3.5455732440949905E-3</v>
      </c>
      <c r="P520" s="25">
        <f>$AD$18*B520+$AD$19</f>
        <v>4.3083333333333336</v>
      </c>
      <c r="Q520" s="25">
        <f>$AD$29*G520+$AD$30</f>
        <v>4.3209122489905214</v>
      </c>
      <c r="R520" s="25">
        <f t="shared" si="92"/>
        <v>1.2578915657187828E-2</v>
      </c>
      <c r="S520" s="26">
        <v>4.3950585072273958</v>
      </c>
      <c r="T520" s="26">
        <f t="shared" si="93"/>
        <v>8.6725173894062202E-2</v>
      </c>
      <c r="U520" s="27">
        <f t="shared" si="94"/>
        <v>2.0129634172703026E-2</v>
      </c>
      <c r="V520" s="28">
        <f t="shared" si="95"/>
        <v>72.74070208672876</v>
      </c>
      <c r="W520" s="27">
        <f t="shared" si="96"/>
        <v>1.451467345507332E-2</v>
      </c>
      <c r="X520" s="21">
        <v>4.3990377315560751</v>
      </c>
      <c r="Y520" s="21">
        <f t="shared" si="97"/>
        <v>72.788452778672905</v>
      </c>
      <c r="Z520" s="2">
        <f t="shared" si="98"/>
        <v>1.5180652422216211E-2</v>
      </c>
    </row>
    <row r="521" spans="1:26">
      <c r="A521" s="1">
        <v>71.8</v>
      </c>
      <c r="B521" s="1">
        <f t="shared" si="88"/>
        <v>344.95</v>
      </c>
      <c r="C521" s="4">
        <f>ROUND(10000*EXP(($AB$4)+($AC$4/B521)+($AD$4/(B521^2))+($AE$4/(B521^3))),6)</f>
        <v>1648.9481800000001</v>
      </c>
      <c r="D521" s="4">
        <f>((C521+2*$AC$5)*$AC$6)/((C521+2*$AC$5)+$AC$6)</f>
        <v>1031.4061646755445</v>
      </c>
      <c r="E521" s="4">
        <f t="shared" si="89"/>
        <v>1.0314061646755446</v>
      </c>
      <c r="F521" s="24">
        <v>9.9990399102947171E-4</v>
      </c>
      <c r="G521" s="6">
        <v>1.0295167683853252</v>
      </c>
      <c r="H521" s="2">
        <f t="shared" si="90"/>
        <v>1.8318644535285423E-3</v>
      </c>
      <c r="I521" s="5">
        <f>G521/F521</f>
        <v>1029.6156207211104</v>
      </c>
      <c r="J521" s="2">
        <f>ABS(D521-I521)/I521</f>
        <v>1.7390411707040748E-3</v>
      </c>
      <c r="K521" s="1">
        <f>$AD$10*B521+$AD$11</f>
        <v>1032.9782282948026</v>
      </c>
      <c r="L521" s="2">
        <f>ABS(K521-D521)/D521</f>
        <v>1.524194515312715E-3</v>
      </c>
      <c r="M521" s="21">
        <f>K521*F521</f>
        <v>1.0328790531185259</v>
      </c>
      <c r="N521" s="2">
        <f>ABS(M521-G521)/M521</f>
        <v>3.2552550301500091E-3</v>
      </c>
      <c r="O521" s="21">
        <f t="shared" si="91"/>
        <v>3.36228473320066E-3</v>
      </c>
      <c r="P521" s="25">
        <f>$AD$18*B521+$AD$19</f>
        <v>4.3166666666666664</v>
      </c>
      <c r="Q521" s="25">
        <f>$AD$29*G521+$AD$30</f>
        <v>4.3285953149169405</v>
      </c>
      <c r="R521" s="25">
        <f t="shared" si="92"/>
        <v>1.1928648250274065E-2</v>
      </c>
      <c r="S521" s="26">
        <v>4.4030452556747264</v>
      </c>
      <c r="T521" s="26">
        <f t="shared" si="93"/>
        <v>8.6378589008059947E-2</v>
      </c>
      <c r="U521" s="27">
        <f t="shared" si="94"/>
        <v>2.0010483940091108E-2</v>
      </c>
      <c r="V521" s="28">
        <f t="shared" si="95"/>
        <v>72.836543068096717</v>
      </c>
      <c r="W521" s="27">
        <f t="shared" si="96"/>
        <v>1.443653298184846E-2</v>
      </c>
      <c r="X521" s="21">
        <v>4.4064766929377859</v>
      </c>
      <c r="Y521" s="21">
        <f t="shared" si="97"/>
        <v>72.877720315253441</v>
      </c>
      <c r="Z521" s="2">
        <f t="shared" si="98"/>
        <v>1.5010032245869694E-2</v>
      </c>
    </row>
    <row r="522" spans="1:26">
      <c r="A522" s="1">
        <v>71.900000000000006</v>
      </c>
      <c r="B522" s="1">
        <f t="shared" si="88"/>
        <v>345.04999999999995</v>
      </c>
      <c r="C522" s="4">
        <f>ROUND(10000*EXP(($AB$4)+($AC$4/B522)+($AD$4/(B522^2))+($AE$4/(B522^3))),6)</f>
        <v>1643.3756289999999</v>
      </c>
      <c r="D522" s="4">
        <f>((C522+2*$AC$5)*$AC$6)/((C522+2*$AC$5)+$AC$6)</f>
        <v>1029.2751713721411</v>
      </c>
      <c r="E522" s="4">
        <f t="shared" si="89"/>
        <v>1.0292751713721411</v>
      </c>
      <c r="F522" s="24">
        <v>9.9990399102947171E-4</v>
      </c>
      <c r="G522" s="6">
        <v>1.0273482590856018</v>
      </c>
      <c r="H522" s="2">
        <f t="shared" si="90"/>
        <v>1.8721060607830475E-3</v>
      </c>
      <c r="I522" s="5">
        <f>G522/F522</f>
        <v>1027.4469032050511</v>
      </c>
      <c r="J522" s="2">
        <f>ABS(D522-I522)/I522</f>
        <v>1.7794283688888585E-3</v>
      </c>
      <c r="K522" s="1">
        <f>$AD$10*B522+$AD$11</f>
        <v>1030.6291163759297</v>
      </c>
      <c r="L522" s="2">
        <f>ABS(K522-D522)/D522</f>
        <v>1.3154354068247893E-3</v>
      </c>
      <c r="M522" s="21">
        <f>K522*F522</f>
        <v>1.03053016673547</v>
      </c>
      <c r="N522" s="2">
        <f>ABS(M522-G522)/M522</f>
        <v>3.0876414418298417E-3</v>
      </c>
      <c r="O522" s="21">
        <f t="shared" si="91"/>
        <v>3.1819076498682537E-3</v>
      </c>
      <c r="P522" s="25">
        <f>$AD$18*B522+$AD$19</f>
        <v>4.3249999999999993</v>
      </c>
      <c r="Q522" s="25">
        <f>$AD$29*G522+$AD$30</f>
        <v>4.3362887099493186</v>
      </c>
      <c r="R522" s="25">
        <f t="shared" si="92"/>
        <v>1.1288709949319298E-2</v>
      </c>
      <c r="S522" s="26">
        <v>4.4110427431750381</v>
      </c>
      <c r="T522" s="26">
        <f t="shared" si="93"/>
        <v>8.6042743175038794E-2</v>
      </c>
      <c r="U522" s="27">
        <f t="shared" si="94"/>
        <v>1.9894275878621689E-2</v>
      </c>
      <c r="V522" s="28">
        <f t="shared" si="95"/>
        <v>72.932512918100457</v>
      </c>
      <c r="W522" s="27">
        <f t="shared" si="96"/>
        <v>1.436040219889362E-2</v>
      </c>
      <c r="X522" s="21">
        <v>4.414372678189622</v>
      </c>
      <c r="Y522" s="21">
        <f t="shared" si="97"/>
        <v>72.972472138275478</v>
      </c>
      <c r="Z522" s="2">
        <f t="shared" si="98"/>
        <v>1.4916163258351491E-2</v>
      </c>
    </row>
    <row r="523" spans="1:26">
      <c r="A523" s="1">
        <v>72</v>
      </c>
      <c r="B523" s="1">
        <f t="shared" si="88"/>
        <v>345.15</v>
      </c>
      <c r="C523" s="4">
        <f>ROUND(10000*EXP(($AB$4)+($AC$4/B523)+($AD$4/(B523^2))+($AE$4/(B523^3))),6)</f>
        <v>1637.824781</v>
      </c>
      <c r="D523" s="4">
        <f>((C523+2*$AC$5)*$AC$6)/((C523+2*$AC$5)+$AC$6)</f>
        <v>1027.1470592887981</v>
      </c>
      <c r="E523" s="4">
        <f t="shared" si="89"/>
        <v>1.0271470592887981</v>
      </c>
      <c r="F523" s="24">
        <v>9.9990399102947171E-4</v>
      </c>
      <c r="G523" s="6">
        <v>1.0251755002623253</v>
      </c>
      <c r="H523" s="2">
        <f t="shared" si="90"/>
        <v>1.9194515611405762E-3</v>
      </c>
      <c r="I523" s="5">
        <f>G523/F523</f>
        <v>1025.2739357574069</v>
      </c>
      <c r="J523" s="2">
        <f>ABS(D523-I523)/I523</f>
        <v>1.8269493313584388E-3</v>
      </c>
      <c r="K523" s="1">
        <f>$AD$10*B523+$AD$11</f>
        <v>1028.2800044570549</v>
      </c>
      <c r="L523" s="2">
        <f>ABS(K523-D523)/D523</f>
        <v>1.1030019100101087E-3</v>
      </c>
      <c r="M523" s="21">
        <f>K523*F523</f>
        <v>1.0281812803524122</v>
      </c>
      <c r="N523" s="2">
        <f>ABS(M523-G523)/M523</f>
        <v>2.9233950739276792E-3</v>
      </c>
      <c r="O523" s="21">
        <f t="shared" si="91"/>
        <v>3.0057800900868958E-3</v>
      </c>
      <c r="P523" s="25">
        <f>$AD$18*B523+$AD$19</f>
        <v>4.3333333333333321</v>
      </c>
      <c r="Q523" s="25">
        <f>$AD$29*G523+$AD$30</f>
        <v>4.3439971813585396</v>
      </c>
      <c r="R523" s="25">
        <f t="shared" si="92"/>
        <v>1.0663848025207479E-2</v>
      </c>
      <c r="S523" s="26">
        <v>4.4190559018571589</v>
      </c>
      <c r="T523" s="26">
        <f t="shared" si="93"/>
        <v>8.5722568523826759E-2</v>
      </c>
      <c r="U523" s="27">
        <f t="shared" si="94"/>
        <v>1.9782131197806179E-2</v>
      </c>
      <c r="V523" s="28">
        <f t="shared" si="95"/>
        <v>73.028670822285918</v>
      </c>
      <c r="W523" s="27">
        <f t="shared" si="96"/>
        <v>1.4287094753971077E-2</v>
      </c>
      <c r="X523" s="21">
        <v>4.4227227711117836</v>
      </c>
      <c r="Y523" s="21">
        <f t="shared" si="97"/>
        <v>73.072673253341407</v>
      </c>
      <c r="Z523" s="2">
        <f t="shared" si="98"/>
        <v>1.4898239629741758E-2</v>
      </c>
    </row>
    <row r="524" spans="1:26">
      <c r="A524" s="1">
        <v>72.099999999999994</v>
      </c>
      <c r="B524" s="1">
        <f t="shared" si="88"/>
        <v>345.25</v>
      </c>
      <c r="C524" s="4">
        <f>ROUND(10000*EXP(($AB$4)+($AC$4/B524)+($AD$4/(B524^2))+($AE$4/(B524^3))),6)</f>
        <v>1632.295543</v>
      </c>
      <c r="D524" s="4">
        <f>((C524+2*$AC$5)*$AC$6)/((C524+2*$AC$5)+$AC$6)</f>
        <v>1025.02183549441</v>
      </c>
      <c r="E524" s="4">
        <f t="shared" si="89"/>
        <v>1.0250218354944101</v>
      </c>
      <c r="F524" s="24">
        <v>9.9990399102947171E-4</v>
      </c>
      <c r="G524" s="6">
        <v>1.023122774681323</v>
      </c>
      <c r="H524" s="2">
        <f t="shared" si="90"/>
        <v>1.852702788688507E-3</v>
      </c>
      <c r="I524" s="5">
        <f>G524/F524</f>
        <v>1023.2210130774114</v>
      </c>
      <c r="J524" s="2">
        <f>ABS(D524-I524)/I524</f>
        <v>1.7599544907531573E-3</v>
      </c>
      <c r="K524" s="1">
        <f>$AD$10*B524+$AD$11</f>
        <v>1025.9308925381802</v>
      </c>
      <c r="L524" s="2">
        <f>ABS(K524-D524)/D524</f>
        <v>8.8686602791414142E-4</v>
      </c>
      <c r="M524" s="21">
        <f>K524*F524</f>
        <v>1.0258323939693543</v>
      </c>
      <c r="N524" s="2">
        <f>ABS(M524-G524)/M524</f>
        <v>2.6413859651543818E-3</v>
      </c>
      <c r="O524" s="21">
        <f t="shared" si="91"/>
        <v>2.709619288031373E-3</v>
      </c>
      <c r="P524" s="25">
        <f>$AD$18*B524+$AD$19</f>
        <v>4.3416666666666686</v>
      </c>
      <c r="Q524" s="25">
        <f>$AD$29*G524+$AD$30</f>
        <v>4.351279801170099</v>
      </c>
      <c r="R524" s="25">
        <f t="shared" si="92"/>
        <v>9.6131345034304871E-3</v>
      </c>
      <c r="S524" s="26">
        <v>4.4266263762771176</v>
      </c>
      <c r="T524" s="26">
        <f t="shared" si="93"/>
        <v>8.4959709610449075E-2</v>
      </c>
      <c r="U524" s="27">
        <f t="shared" si="94"/>
        <v>1.956845518858711E-2</v>
      </c>
      <c r="V524" s="28">
        <f t="shared" si="95"/>
        <v>73.119516515325415</v>
      </c>
      <c r="W524" s="27">
        <f t="shared" si="96"/>
        <v>1.4140312279132051E-2</v>
      </c>
      <c r="X524" s="21">
        <v>4.43019584531379</v>
      </c>
      <c r="Y524" s="21">
        <f t="shared" si="97"/>
        <v>73.162350143765494</v>
      </c>
      <c r="Z524" s="2">
        <f t="shared" si="98"/>
        <v>1.4734398665263515E-2</v>
      </c>
    </row>
    <row r="525" spans="1:26">
      <c r="A525" s="1">
        <v>72.2</v>
      </c>
      <c r="B525" s="1">
        <f t="shared" si="88"/>
        <v>345.34999999999997</v>
      </c>
      <c r="C525" s="4">
        <f>ROUND(10000*EXP(($AB$4)+($AC$4/B525)+($AD$4/(B525^2))+($AE$4/(B525^3))),6)</f>
        <v>1626.787818</v>
      </c>
      <c r="D525" s="4">
        <f>((C525+2*$AC$5)*$AC$6)/((C525+2*$AC$5)+$AC$6)</f>
        <v>1022.8995052824546</v>
      </c>
      <c r="E525" s="4">
        <f t="shared" si="89"/>
        <v>1.0228995052824545</v>
      </c>
      <c r="F525" s="24">
        <v>9.9990399102947171E-4</v>
      </c>
      <c r="G525" s="6">
        <v>1.0209440883470891</v>
      </c>
      <c r="H525" s="2">
        <f t="shared" si="90"/>
        <v>1.9116412954228023E-3</v>
      </c>
      <c r="I525" s="5">
        <f>G525/F525</f>
        <v>1021.042117549661</v>
      </c>
      <c r="J525" s="2">
        <f>ABS(D525-I525)/I525</f>
        <v>1.8191098103288591E-3</v>
      </c>
      <c r="K525" s="1">
        <f>$AD$10*B525+$AD$11</f>
        <v>1023.5817806193072</v>
      </c>
      <c r="L525" s="2">
        <f>ABS(K525-D525)/D525</f>
        <v>6.6700133623021822E-4</v>
      </c>
      <c r="M525" s="21">
        <f>K525*F525</f>
        <v>1.0234835075862985</v>
      </c>
      <c r="N525" s="2">
        <f>ABS(M525-G525)/M525</f>
        <v>2.4811530624447289E-3</v>
      </c>
      <c r="O525" s="21">
        <f t="shared" si="91"/>
        <v>2.5394192392094173E-3</v>
      </c>
      <c r="P525" s="25">
        <f>$AD$18*B525+$AD$19</f>
        <v>4.3499999999999979</v>
      </c>
      <c r="Q525" s="25">
        <f>$AD$29*G525+$AD$30</f>
        <v>4.359009302087177</v>
      </c>
      <c r="R525" s="25">
        <f t="shared" si="92"/>
        <v>9.0093020871790941E-3</v>
      </c>
      <c r="S525" s="26">
        <v>4.4346613958452235</v>
      </c>
      <c r="T525" s="26">
        <f t="shared" si="93"/>
        <v>8.4661395845225584E-2</v>
      </c>
      <c r="U525" s="27">
        <f t="shared" si="94"/>
        <v>1.9462389849477155E-2</v>
      </c>
      <c r="V525" s="28">
        <f t="shared" si="95"/>
        <v>73.215936750142674</v>
      </c>
      <c r="W525" s="27">
        <f t="shared" si="96"/>
        <v>1.4071146123859716E-2</v>
      </c>
      <c r="X525" s="21">
        <v>4.4381228073844001</v>
      </c>
      <c r="Y525" s="21">
        <f t="shared" si="97"/>
        <v>73.257473688612805</v>
      </c>
      <c r="Z525" s="2">
        <f t="shared" si="98"/>
        <v>1.4646449980786734E-2</v>
      </c>
    </row>
    <row r="526" spans="1:26">
      <c r="A526" s="1">
        <v>72.3</v>
      </c>
      <c r="B526" s="1">
        <f t="shared" si="88"/>
        <v>345.45</v>
      </c>
      <c r="C526" s="4">
        <f>ROUND(10000*EXP(($AB$4)+($AC$4/B526)+($AD$4/(B526^2))+($AE$4/(B526^3))),6)</f>
        <v>1621.301514</v>
      </c>
      <c r="D526" s="4">
        <f>((C526+2*$AC$5)*$AC$6)/((C526+2*$AC$5)+$AC$6)</f>
        <v>1020.7800756314849</v>
      </c>
      <c r="E526" s="4">
        <f t="shared" si="89"/>
        <v>1.0207800756314849</v>
      </c>
      <c r="F526" s="24">
        <v>9.9990399102947171E-4</v>
      </c>
      <c r="G526" s="6">
        <v>1.0188849891067051</v>
      </c>
      <c r="H526" s="2">
        <f t="shared" si="90"/>
        <v>1.8565081451138324E-3</v>
      </c>
      <c r="I526" s="5">
        <f>G526/F526</f>
        <v>1018.9828205982967</v>
      </c>
      <c r="J526" s="2">
        <f>ABS(D526-I526)/I526</f>
        <v>1.7637736347046044E-3</v>
      </c>
      <c r="K526" s="1">
        <f>$AD$10*B526+$AD$11</f>
        <v>1021.2326687004334</v>
      </c>
      <c r="L526" s="2">
        <f>ABS(K526-D526)/D526</f>
        <v>4.433796071778181E-4</v>
      </c>
      <c r="M526" s="21">
        <f>K526*F526</f>
        <v>1.0211346212032415</v>
      </c>
      <c r="N526" s="2">
        <f>ABS(M526-G526)/M526</f>
        <v>2.2030710249404382E-3</v>
      </c>
      <c r="O526" s="21">
        <f t="shared" si="91"/>
        <v>2.2496320965363914E-3</v>
      </c>
      <c r="P526" s="25">
        <f>$AD$18*B526+$AD$19</f>
        <v>4.3583333333333343</v>
      </c>
      <c r="Q526" s="25">
        <f>$AD$29*G526+$AD$30</f>
        <v>4.3663145342432763</v>
      </c>
      <c r="R526" s="25">
        <f t="shared" si="92"/>
        <v>7.9812009099420322E-3</v>
      </c>
      <c r="S526" s="26">
        <v>4.4422553770095128</v>
      </c>
      <c r="T526" s="26">
        <f t="shared" si="93"/>
        <v>8.3922043676178504E-2</v>
      </c>
      <c r="U526" s="27">
        <f t="shared" si="94"/>
        <v>1.9255535833922408E-2</v>
      </c>
      <c r="V526" s="28">
        <f t="shared" si="95"/>
        <v>73.307064524114153</v>
      </c>
      <c r="W526" s="27">
        <f t="shared" si="96"/>
        <v>1.3928969904760115E-2</v>
      </c>
      <c r="X526" s="21">
        <v>4.4456189984368697</v>
      </c>
      <c r="Y526" s="21">
        <f t="shared" si="97"/>
        <v>73.347427981242447</v>
      </c>
      <c r="Z526" s="2">
        <f t="shared" si="98"/>
        <v>1.448724732008921E-2</v>
      </c>
    </row>
    <row r="527" spans="1:26">
      <c r="A527" s="1">
        <v>72.400000000000006</v>
      </c>
      <c r="B527" s="1">
        <f t="shared" si="88"/>
        <v>345.54999999999995</v>
      </c>
      <c r="C527" s="4">
        <f>ROUND(10000*EXP(($AB$4)+($AC$4/B527)+($AD$4/(B527^2))+($AE$4/(B527^3))),6)</f>
        <v>1615.836536</v>
      </c>
      <c r="D527" s="4">
        <f>((C527+2*$AC$5)*$AC$6)/((C527+2*$AC$5)+$AC$6)</f>
        <v>1018.6635521261267</v>
      </c>
      <c r="E527" s="4">
        <f t="shared" si="89"/>
        <v>1.0186635521261267</v>
      </c>
      <c r="F527" s="24">
        <v>9.9990399102947171E-4</v>
      </c>
      <c r="G527" s="6">
        <v>1.0168226225007921</v>
      </c>
      <c r="H527" s="2">
        <f t="shared" si="90"/>
        <v>1.8072008382868073E-3</v>
      </c>
      <c r="I527" s="5">
        <f>G527/F527</f>
        <v>1016.920255967677</v>
      </c>
      <c r="J527" s="2">
        <f>ABS(D527-I527)/I527</f>
        <v>1.7142899339641666E-3</v>
      </c>
      <c r="K527" s="1">
        <f>$AD$10*B527+$AD$11</f>
        <v>1018.8835567815595</v>
      </c>
      <c r="L527" s="2">
        <f>ABS(K527-D527)/D527</f>
        <v>2.1597381684427926E-4</v>
      </c>
      <c r="M527" s="21">
        <f>K527*F527</f>
        <v>1.0187857348201848</v>
      </c>
      <c r="N527" s="2">
        <f>ABS(M527-G527)/M527</f>
        <v>1.9269138272132373E-3</v>
      </c>
      <c r="O527" s="21">
        <f t="shared" si="91"/>
        <v>1.9631123193926125E-3</v>
      </c>
      <c r="P527" s="25">
        <f>$AD$18*B527+$AD$19</f>
        <v>4.3666666666666636</v>
      </c>
      <c r="Q527" s="25">
        <f>$AD$29*G527+$AD$30</f>
        <v>4.3736313582951238</v>
      </c>
      <c r="R527" s="25">
        <f t="shared" si="92"/>
        <v>6.9646916284602511E-3</v>
      </c>
      <c r="S527" s="26">
        <v>4.4498678091912707</v>
      </c>
      <c r="T527" s="26">
        <f t="shared" si="93"/>
        <v>8.3201142524607086E-2</v>
      </c>
      <c r="U527" s="27">
        <f t="shared" si="94"/>
        <v>1.9053696761360414E-2</v>
      </c>
      <c r="V527" s="28">
        <f t="shared" si="95"/>
        <v>73.398413710295259</v>
      </c>
      <c r="W527" s="27">
        <f t="shared" si="96"/>
        <v>1.3790244617337749E-2</v>
      </c>
      <c r="X527" s="21">
        <v>4.4540069417300252</v>
      </c>
      <c r="Y527" s="21">
        <f t="shared" si="97"/>
        <v>73.448083300760317</v>
      </c>
      <c r="Z527" s="2">
        <f t="shared" si="98"/>
        <v>1.4476288684534681E-2</v>
      </c>
    </row>
    <row r="528" spans="1:26">
      <c r="A528" s="1">
        <v>72.5</v>
      </c>
      <c r="B528" s="1">
        <f t="shared" si="88"/>
        <v>345.65</v>
      </c>
      <c r="C528" s="4">
        <f>ROUND(10000*EXP(($AB$4)+($AC$4/B528)+($AD$4/(B528^2))+($AE$4/(B528^3))),6)</f>
        <v>1610.3927920000001</v>
      </c>
      <c r="D528" s="4">
        <f>((C528+2*$AC$5)*$AC$6)/((C528+2*$AC$5)+$AC$6)</f>
        <v>1016.5499412737798</v>
      </c>
      <c r="E528" s="4">
        <f t="shared" si="89"/>
        <v>1.01654994127378</v>
      </c>
      <c r="F528" s="24">
        <v>9.9990399102947171E-4</v>
      </c>
      <c r="G528" s="6">
        <v>1.0147542719047804</v>
      </c>
      <c r="H528" s="2">
        <f t="shared" si="90"/>
        <v>1.7664349739172709E-3</v>
      </c>
      <c r="I528" s="5">
        <f>G528/F528</f>
        <v>1014.8517067723865</v>
      </c>
      <c r="J528" s="2">
        <f>ABS(D528-I528)/I528</f>
        <v>1.6733819237437046E-3</v>
      </c>
      <c r="K528" s="1">
        <f>$AD$10*B528+$AD$11</f>
        <v>1016.5344448626856</v>
      </c>
      <c r="L528" s="2">
        <f>ABS(K528-D528)/D528</f>
        <v>1.5244121774073369E-5</v>
      </c>
      <c r="M528" s="21">
        <f>K528*F528</f>
        <v>1.0164368484371278</v>
      </c>
      <c r="N528" s="2">
        <f>ABS(M528-G528)/M528</f>
        <v>1.6553675075185511E-3</v>
      </c>
      <c r="O528" s="21">
        <f t="shared" si="91"/>
        <v>1.6825765323473796E-3</v>
      </c>
      <c r="P528" s="25">
        <f>$AD$18*B528+$AD$19</f>
        <v>4.375</v>
      </c>
      <c r="Q528" s="25">
        <f>$AD$29*G528+$AD$30</f>
        <v>4.3809694122304244</v>
      </c>
      <c r="R528" s="25">
        <f t="shared" si="92"/>
        <v>5.9694122304243535E-3</v>
      </c>
      <c r="S528" s="26">
        <v>4.4574895090747058</v>
      </c>
      <c r="T528" s="26">
        <f t="shared" si="93"/>
        <v>8.2489509074705758E-2</v>
      </c>
      <c r="U528" s="27">
        <f t="shared" si="94"/>
        <v>1.8854744931361318E-2</v>
      </c>
      <c r="V528" s="28">
        <f t="shared" si="95"/>
        <v>73.489874108896473</v>
      </c>
      <c r="W528" s="27">
        <f t="shared" si="96"/>
        <v>1.3653435984778932E-2</v>
      </c>
      <c r="X528" s="21">
        <v>4.4610858528690676</v>
      </c>
      <c r="Y528" s="21">
        <f t="shared" si="97"/>
        <v>73.533030234428821</v>
      </c>
      <c r="Z528" s="2">
        <f t="shared" si="98"/>
        <v>1.4248692888673397E-2</v>
      </c>
    </row>
    <row r="529" spans="1:26">
      <c r="A529" s="1">
        <v>72.599999999999994</v>
      </c>
      <c r="B529" s="1">
        <f t="shared" si="88"/>
        <v>345.75</v>
      </c>
      <c r="C529" s="4">
        <f>ROUND(10000*EXP(($AB$4)+($AC$4/B529)+($AD$4/(B529^2))+($AE$4/(B529^3))),6)</f>
        <v>1604.9701889999999</v>
      </c>
      <c r="D529" s="4">
        <f>((C529+2*$AC$5)*$AC$6)/((C529+2*$AC$5)+$AC$6)</f>
        <v>1014.4392489591793</v>
      </c>
      <c r="E529" s="4">
        <f t="shared" si="89"/>
        <v>1.0144392489591794</v>
      </c>
      <c r="F529" s="24">
        <v>9.9990399102947171E-4</v>
      </c>
      <c r="G529" s="6">
        <v>1.0125638384535227</v>
      </c>
      <c r="H529" s="2">
        <f t="shared" si="90"/>
        <v>1.8487164288850532E-3</v>
      </c>
      <c r="I529" s="5">
        <f>G529/F529</f>
        <v>1012.6610629996754</v>
      </c>
      <c r="J529" s="2">
        <f>ABS(D529-I529)/I529</f>
        <v>1.7559537188450327E-3</v>
      </c>
      <c r="K529" s="1">
        <f>$AD$10*B529+$AD$11</f>
        <v>1014.1853329438109</v>
      </c>
      <c r="L529" s="2">
        <f>ABS(K529-D529)/D529</f>
        <v>2.5030184471759869E-4</v>
      </c>
      <c r="M529" s="21">
        <f>K529*F529</f>
        <v>1.0140879620540701</v>
      </c>
      <c r="N529" s="2">
        <f>ABS(M529-G529)/M529</f>
        <v>1.5029500966171302E-3</v>
      </c>
      <c r="O529" s="21">
        <f t="shared" si="91"/>
        <v>1.5241236005474335E-3</v>
      </c>
      <c r="P529" s="25">
        <f>$AD$18*B529+$AD$19</f>
        <v>4.3833333333333364</v>
      </c>
      <c r="Q529" s="25">
        <f>$AD$29*G529+$AD$30</f>
        <v>4.3887405893403439</v>
      </c>
      <c r="R529" s="25">
        <f t="shared" si="92"/>
        <v>5.4072560070075326E-3</v>
      </c>
      <c r="S529" s="26">
        <v>4.4655678524603939</v>
      </c>
      <c r="T529" s="26">
        <f t="shared" si="93"/>
        <v>8.2234519127057482E-2</v>
      </c>
      <c r="U529" s="27">
        <f t="shared" si="94"/>
        <v>1.8760726797047322E-2</v>
      </c>
      <c r="V529" s="28">
        <f t="shared" si="95"/>
        <v>73.58681422952472</v>
      </c>
      <c r="W529" s="27">
        <f t="shared" si="96"/>
        <v>1.3592482500340571E-2</v>
      </c>
      <c r="X529" s="21">
        <v>4.4690544378456609</v>
      </c>
      <c r="Y529" s="21">
        <f t="shared" si="97"/>
        <v>73.628653254147935</v>
      </c>
      <c r="Z529" s="2">
        <f t="shared" si="98"/>
        <v>1.4168777605343531E-2</v>
      </c>
    </row>
    <row r="530" spans="1:26">
      <c r="A530" s="1">
        <v>72.7</v>
      </c>
      <c r="B530" s="1">
        <f t="shared" si="88"/>
        <v>345.84999999999997</v>
      </c>
      <c r="C530" s="4">
        <f>ROUND(10000*EXP(($AB$4)+($AC$4/B530)+($AD$4/(B530^2))+($AE$4/(B530^3))),6)</f>
        <v>1599.568634</v>
      </c>
      <c r="D530" s="4">
        <f>((C530+2*$AC$5)*$AC$6)/((C530+2*$AC$5)+$AC$6)</f>
        <v>1012.3314808290646</v>
      </c>
      <c r="E530" s="4">
        <f t="shared" si="89"/>
        <v>1.0123314808290647</v>
      </c>
      <c r="F530" s="24">
        <v>9.9990399102947171E-4</v>
      </c>
      <c r="G530" s="6">
        <v>1.0104921025306264</v>
      </c>
      <c r="H530" s="2">
        <f t="shared" si="90"/>
        <v>1.8169723388745051E-3</v>
      </c>
      <c r="I530" s="5">
        <f>G530/F530</f>
        <v>1010.5891281524474</v>
      </c>
      <c r="J530" s="2">
        <f>ABS(D530-I530)/I530</f>
        <v>1.724096003093324E-3</v>
      </c>
      <c r="K530" s="1">
        <f>$AD$10*B530+$AD$11</f>
        <v>1011.8362210249379</v>
      </c>
      <c r="L530" s="2">
        <f>ABS(K530-D530)/D530</f>
        <v>4.8922691184225854E-4</v>
      </c>
      <c r="M530" s="21">
        <f>K530*F530</f>
        <v>1.0117390756710141</v>
      </c>
      <c r="N530" s="2">
        <f>ABS(M530-G530)/M530</f>
        <v>1.2325046747459645E-3</v>
      </c>
      <c r="O530" s="21">
        <f t="shared" si="91"/>
        <v>1.246973140387686E-3</v>
      </c>
      <c r="P530" s="25">
        <f>$AD$18*B530+$AD$19</f>
        <v>4.3916666666666657</v>
      </c>
      <c r="Q530" s="25">
        <f>$AD$29*G530+$AD$30</f>
        <v>4.39609065367239</v>
      </c>
      <c r="R530" s="25">
        <f t="shared" si="92"/>
        <v>4.423987005724328E-3</v>
      </c>
      <c r="S530" s="26">
        <v>4.4732084374579273</v>
      </c>
      <c r="T530" s="26">
        <f t="shared" si="93"/>
        <v>8.154177079126157E-2</v>
      </c>
      <c r="U530" s="27">
        <f t="shared" si="94"/>
        <v>1.8567386138427684E-2</v>
      </c>
      <c r="V530" s="28">
        <f t="shared" si="95"/>
        <v>73.678501249495127</v>
      </c>
      <c r="W530" s="27">
        <f t="shared" si="96"/>
        <v>1.3459439470359347E-2</v>
      </c>
      <c r="X530" s="21">
        <v>4.4765955223265737</v>
      </c>
      <c r="Y530" s="21">
        <f t="shared" si="97"/>
        <v>73.719146267918887</v>
      </c>
      <c r="Z530" s="2">
        <f t="shared" si="98"/>
        <v>1.4018518128182731E-2</v>
      </c>
    </row>
    <row r="531" spans="1:26">
      <c r="A531" s="1">
        <v>72.8</v>
      </c>
      <c r="B531" s="1">
        <f t="shared" si="88"/>
        <v>345.95</v>
      </c>
      <c r="C531" s="4">
        <f>ROUND(10000*EXP(($AB$4)+($AC$4/B531)+($AD$4/(B531^2))+($AE$4/(B531^3))),6)</f>
        <v>1594.1880369999999</v>
      </c>
      <c r="D531" s="4">
        <f>((C531+2*$AC$5)*$AC$6)/((C531+2*$AC$5)+$AC$6)</f>
        <v>1010.2266434660737</v>
      </c>
      <c r="E531" s="4">
        <f t="shared" si="89"/>
        <v>1.0102266434660738</v>
      </c>
      <c r="F531" s="24">
        <v>9.9990399102947171E-4</v>
      </c>
      <c r="G531" s="6">
        <v>1.0084158546656008</v>
      </c>
      <c r="H531" s="2">
        <f t="shared" si="90"/>
        <v>1.792457971866825E-3</v>
      </c>
      <c r="I531" s="5">
        <f>G531/F531</f>
        <v>1008.5126809298616</v>
      </c>
      <c r="J531" s="2">
        <f>ABS(D531-I531)/I531</f>
        <v>1.6994952751925581E-3</v>
      </c>
      <c r="K531" s="1">
        <f>$AD$10*B531+$AD$11</f>
        <v>1009.4871091060631</v>
      </c>
      <c r="L531" s="2">
        <f>ABS(K531-D531)/D531</f>
        <v>7.3204796645754062E-4</v>
      </c>
      <c r="M531" s="21">
        <f>K531*F531</f>
        <v>1.0093901892879562</v>
      </c>
      <c r="N531" s="2">
        <f>ABS(M531-G531)/M531</f>
        <v>9.6527054918447888E-4</v>
      </c>
      <c r="O531" s="21">
        <f t="shared" si="91"/>
        <v>9.7433462235541057E-4</v>
      </c>
      <c r="P531" s="25">
        <f>$AD$18*B531+$AD$19</f>
        <v>4.4000000000000021</v>
      </c>
      <c r="Q531" s="25">
        <f>$AD$29*G531+$AD$30</f>
        <v>4.4034567253847907</v>
      </c>
      <c r="R531" s="25">
        <f t="shared" si="92"/>
        <v>3.4567253847885837E-3</v>
      </c>
      <c r="S531" s="26">
        <v>4.480865664459837</v>
      </c>
      <c r="T531" s="26">
        <f t="shared" si="93"/>
        <v>8.0865664459834896E-2</v>
      </c>
      <c r="U531" s="27">
        <f t="shared" si="94"/>
        <v>1.8378560104507922E-2</v>
      </c>
      <c r="V531" s="28">
        <f t="shared" si="95"/>
        <v>73.770387973518055</v>
      </c>
      <c r="W531" s="27">
        <f t="shared" si="96"/>
        <v>1.3329505130742552E-2</v>
      </c>
      <c r="X531" s="21">
        <v>4.4841480144403816</v>
      </c>
      <c r="Y531" s="21">
        <f t="shared" si="97"/>
        <v>73.80977617328459</v>
      </c>
      <c r="Z531" s="2">
        <f t="shared" si="98"/>
        <v>1.3870551830832314E-2</v>
      </c>
    </row>
    <row r="532" spans="1:26">
      <c r="A532" s="1">
        <v>72.900000000000006</v>
      </c>
      <c r="B532" s="1">
        <f t="shared" si="88"/>
        <v>346.04999999999995</v>
      </c>
      <c r="C532" s="4">
        <f>ROUND(10000*EXP(($AB$4)+($AC$4/B532)+($AD$4/(B532^2))+($AE$4/(B532^3))),6)</f>
        <v>1588.828305</v>
      </c>
      <c r="D532" s="4">
        <f>((C532+2*$AC$5)*$AC$6)/((C532+2*$AC$5)+$AC$6)</f>
        <v>1008.1247420463183</v>
      </c>
      <c r="E532" s="4">
        <f t="shared" si="89"/>
        <v>1.0081247420463182</v>
      </c>
      <c r="F532" s="24">
        <v>9.9990399102947171E-4</v>
      </c>
      <c r="G532" s="6">
        <v>1.0063364901709115</v>
      </c>
      <c r="H532" s="2">
        <f t="shared" si="90"/>
        <v>1.7738398839183469E-3</v>
      </c>
      <c r="I532" s="5">
        <f>G532/F532</f>
        <v>1006.433116778359</v>
      </c>
      <c r="J532" s="2">
        <f>ABS(D532-I532)/I532</f>
        <v>1.6808124054723209E-3</v>
      </c>
      <c r="K532" s="1">
        <f>$AD$10*B532+$AD$11</f>
        <v>1007.1379971871902</v>
      </c>
      <c r="L532" s="2">
        <f>ABS(K532-D532)/D532</f>
        <v>9.7879242317289584E-4</v>
      </c>
      <c r="M532" s="21">
        <f>K532*F532</f>
        <v>1.0070413029049003</v>
      </c>
      <c r="N532" s="2">
        <f>ABS(M532-G532)/M532</f>
        <v>6.9988463428035991E-4</v>
      </c>
      <c r="O532" s="21">
        <f t="shared" si="91"/>
        <v>7.0481273398881328E-4</v>
      </c>
      <c r="P532" s="25">
        <f>$AD$18*B532+$AD$19</f>
        <v>4.4083333333333314</v>
      </c>
      <c r="Q532" s="25">
        <f>$AD$29*G532+$AD$30</f>
        <v>4.4108338542151744</v>
      </c>
      <c r="R532" s="25">
        <f t="shared" si="92"/>
        <v>2.5005208818429381E-3</v>
      </c>
      <c r="S532" s="26">
        <v>4.4885343829864857</v>
      </c>
      <c r="T532" s="26">
        <f t="shared" si="93"/>
        <v>8.0201049653154222E-2</v>
      </c>
      <c r="U532" s="27">
        <f t="shared" si="94"/>
        <v>1.8193054741736315E-2</v>
      </c>
      <c r="V532" s="28">
        <f t="shared" si="95"/>
        <v>73.862412595837839</v>
      </c>
      <c r="W532" s="27">
        <f t="shared" si="96"/>
        <v>1.3201818872946951E-2</v>
      </c>
      <c r="X532" s="21">
        <v>4.4921471253300682</v>
      </c>
      <c r="Y532" s="21">
        <f t="shared" si="97"/>
        <v>73.905765503960822</v>
      </c>
      <c r="Z532" s="2">
        <f t="shared" si="98"/>
        <v>1.3796508970655917E-2</v>
      </c>
    </row>
    <row r="533" spans="1:26">
      <c r="A533" s="1">
        <v>73</v>
      </c>
      <c r="B533" s="1">
        <f t="shared" si="88"/>
        <v>346.15</v>
      </c>
      <c r="C533" s="4">
        <f>ROUND(10000*EXP(($AB$4)+($AC$4/B533)+($AD$4/(B533^2))+($AE$4/(B533^3))),6)</f>
        <v>1583.4893480000001</v>
      </c>
      <c r="D533" s="4">
        <f>((C533+2*$AC$5)*$AC$6)/((C533+2*$AC$5)+$AC$6)</f>
        <v>1006.0257826854042</v>
      </c>
      <c r="E533" s="4">
        <f t="shared" si="89"/>
        <v>1.0060257826854042</v>
      </c>
      <c r="F533" s="24">
        <v>9.9990399102947171E-4</v>
      </c>
      <c r="G533" s="6">
        <v>1.0041347871328048</v>
      </c>
      <c r="H533" s="2">
        <f t="shared" si="90"/>
        <v>1.8796690752315968E-3</v>
      </c>
      <c r="I533" s="5">
        <f>G533/F533</f>
        <v>1004.2312023367135</v>
      </c>
      <c r="J533" s="2">
        <f>ABS(D533-I533)/I533</f>
        <v>1.7870191092598632E-3</v>
      </c>
      <c r="K533" s="1">
        <f>$AD$10*B533+$AD$11</f>
        <v>1004.7888852683154</v>
      </c>
      <c r="L533" s="2">
        <f>ABS(K533-D533)/D533</f>
        <v>1.2294887848571215E-3</v>
      </c>
      <c r="M533" s="21">
        <f>K533*F533</f>
        <v>1.0046924165218425</v>
      </c>
      <c r="N533" s="2">
        <f>ABS(M533-G533)/M533</f>
        <v>5.5502498064846477E-4</v>
      </c>
      <c r="O533" s="21">
        <f t="shared" si="91"/>
        <v>5.5762938903769488E-4</v>
      </c>
      <c r="P533" s="25">
        <f>$AD$18*B533+$AD$19</f>
        <v>4.4166666666666679</v>
      </c>
      <c r="Q533" s="25">
        <f>$AD$29*G533+$AD$30</f>
        <v>4.4186450133456887</v>
      </c>
      <c r="R533" s="25">
        <f t="shared" si="92"/>
        <v>1.9783466790208593E-3</v>
      </c>
      <c r="S533" s="26">
        <v>4.4966542894795074</v>
      </c>
      <c r="T533" s="26">
        <f t="shared" si="93"/>
        <v>7.9987622812839554E-2</v>
      </c>
      <c r="U533" s="27">
        <f t="shared" si="94"/>
        <v>1.8110405165171217E-2</v>
      </c>
      <c r="V533" s="28">
        <f t="shared" si="95"/>
        <v>73.9598514737541</v>
      </c>
      <c r="W533" s="27">
        <f t="shared" si="96"/>
        <v>1.3148650325398624E-2</v>
      </c>
      <c r="X533" s="21">
        <v>4.5001555793284576</v>
      </c>
      <c r="Y533" s="21">
        <f t="shared" si="97"/>
        <v>74.001866951941494</v>
      </c>
      <c r="Z533" s="2">
        <f t="shared" si="98"/>
        <v>1.3724204821116359E-2</v>
      </c>
    </row>
    <row r="534" spans="1:26">
      <c r="A534" s="1">
        <v>73.099999999999994</v>
      </c>
      <c r="B534" s="1">
        <f t="shared" si="88"/>
        <v>346.25</v>
      </c>
      <c r="C534" s="4">
        <f>ROUND(10000*EXP(($AB$4)+($AC$4/B534)+($AD$4/(B534^2))+($AE$4/(B534^3))),6)</f>
        <v>1578.171075</v>
      </c>
      <c r="D534" s="4">
        <f>((C534+2*$AC$5)*$AC$6)/((C534+2*$AC$5)+$AC$6)</f>
        <v>1003.9297708735336</v>
      </c>
      <c r="E534" s="4">
        <f t="shared" si="89"/>
        <v>1.0039297708735335</v>
      </c>
      <c r="F534" s="24">
        <v>9.9990399102947171E-4</v>
      </c>
      <c r="G534" s="6">
        <v>1.0020508967749602</v>
      </c>
      <c r="H534" s="2">
        <f t="shared" si="90"/>
        <v>1.8715194559261964E-3</v>
      </c>
      <c r="I534" s="5">
        <f>G534/F534</f>
        <v>1002.1471118874904</v>
      </c>
      <c r="J534" s="2">
        <f>ABS(D534-I534)/I534</f>
        <v>1.7788396183526984E-3</v>
      </c>
      <c r="K534" s="1">
        <f>$AD$10*B534+$AD$11</f>
        <v>1002.4397733494416</v>
      </c>
      <c r="L534" s="2">
        <f>ABS(K534-D534)/D534</f>
        <v>1.4841650953288797E-3</v>
      </c>
      <c r="M534" s="21">
        <f>K534*F534</f>
        <v>1.0023435301387857</v>
      </c>
      <c r="N534" s="2">
        <f>ABS(M534-G534)/M534</f>
        <v>2.9194917214165982E-4</v>
      </c>
      <c r="O534" s="21">
        <f t="shared" si="91"/>
        <v>2.9263336382556737E-4</v>
      </c>
      <c r="P534" s="25">
        <f>$AD$18*B534+$AD$19</f>
        <v>4.4250000000000007</v>
      </c>
      <c r="Q534" s="25">
        <f>$AD$29*G534+$AD$30</f>
        <v>4.4260381989451716</v>
      </c>
      <c r="R534" s="25">
        <f t="shared" si="92"/>
        <v>1.0381989451708762E-3</v>
      </c>
      <c r="S534" s="26">
        <v>4.5043397013263382</v>
      </c>
      <c r="T534" s="26">
        <f t="shared" si="93"/>
        <v>7.9339701326337497E-2</v>
      </c>
      <c r="U534" s="27">
        <f t="shared" si="94"/>
        <v>1.7929876005951972E-2</v>
      </c>
      <c r="V534" s="28">
        <f t="shared" si="95"/>
        <v>74.052076415916062</v>
      </c>
      <c r="W534" s="27">
        <f t="shared" si="96"/>
        <v>1.3024301175322404E-2</v>
      </c>
      <c r="X534" s="21">
        <v>4.5077397854368897</v>
      </c>
      <c r="Y534" s="21">
        <f t="shared" si="97"/>
        <v>74.09287742524269</v>
      </c>
      <c r="Z534" s="2">
        <f t="shared" si="98"/>
        <v>1.3582454517683943E-2</v>
      </c>
    </row>
    <row r="535" spans="1:26">
      <c r="A535" s="1">
        <v>73.2</v>
      </c>
      <c r="B535" s="1">
        <f t="shared" si="88"/>
        <v>346.34999999999997</v>
      </c>
      <c r="C535" s="4">
        <f>ROUND(10000*EXP(($AB$4)+($AC$4/B535)+($AD$4/(B535^2))+($AE$4/(B535^3))),6)</f>
        <v>1572.8733970000001</v>
      </c>
      <c r="D535" s="4">
        <f>((C535+2*$AC$5)*$AC$6)/((C535+2*$AC$5)+$AC$6)</f>
        <v>1001.836712656262</v>
      </c>
      <c r="E535" s="4">
        <f t="shared" si="89"/>
        <v>1.001836712656262</v>
      </c>
      <c r="F535" s="24">
        <v>9.9990399102947171E-4</v>
      </c>
      <c r="G535" s="6">
        <v>0.99996261418229182</v>
      </c>
      <c r="H535" s="2">
        <f t="shared" si="90"/>
        <v>1.8706626042892377E-3</v>
      </c>
      <c r="I535" s="5">
        <f>G535/F535</f>
        <v>1000.0586287817091</v>
      </c>
      <c r="J535" s="2">
        <f>ABS(D535-I535)/I535</f>
        <v>1.7779796337730309E-3</v>
      </c>
      <c r="K535" s="1">
        <f>$AD$10*B535+$AD$11</f>
        <v>1000.0906614305677</v>
      </c>
      <c r="L535" s="2">
        <f>ABS(K535-D535)/D535</f>
        <v>1.7428501108377162E-3</v>
      </c>
      <c r="M535" s="21">
        <f>K535*F535</f>
        <v>0.99999464375572877</v>
      </c>
      <c r="N535" s="2">
        <f>ABS(M535-G535)/M535</f>
        <v>3.2029744996091708E-5</v>
      </c>
      <c r="O535" s="21">
        <f t="shared" si="91"/>
        <v>3.2029573436953562E-5</v>
      </c>
      <c r="P535" s="25">
        <f>$AD$18*B535+$AD$19</f>
        <v>4.4333333333333336</v>
      </c>
      <c r="Q535" s="25">
        <f>$AD$29*G535+$AD$30</f>
        <v>4.4334469672297638</v>
      </c>
      <c r="R535" s="25">
        <f t="shared" si="92"/>
        <v>1.1363389643026522E-4</v>
      </c>
      <c r="S535" s="26">
        <v>4.5120413095555953</v>
      </c>
      <c r="T535" s="26">
        <f t="shared" si="93"/>
        <v>7.8707976222261777E-2</v>
      </c>
      <c r="U535" s="27">
        <f t="shared" si="94"/>
        <v>1.7753678847126714E-2</v>
      </c>
      <c r="V535" s="28">
        <f t="shared" si="95"/>
        <v>74.144495714667144</v>
      </c>
      <c r="W535" s="27">
        <f t="shared" si="96"/>
        <v>1.2902946921682258E-2</v>
      </c>
      <c r="X535" s="21">
        <v>4.5153349564503644</v>
      </c>
      <c r="Y535" s="21">
        <f t="shared" si="97"/>
        <v>74.184019477404377</v>
      </c>
      <c r="Z535" s="2">
        <f t="shared" si="98"/>
        <v>1.3442889035578876E-2</v>
      </c>
    </row>
    <row r="536" spans="1:26">
      <c r="A536" s="1">
        <v>73.3</v>
      </c>
      <c r="B536" s="1">
        <f t="shared" si="88"/>
        <v>346.45</v>
      </c>
      <c r="C536" s="4">
        <f>ROUND(10000*EXP(($AB$4)+($AC$4/B536)+($AD$4/(B536^2))+($AE$4/(B536^3))),6)</f>
        <v>1567.596223</v>
      </c>
      <c r="D536" s="4">
        <f>((C536+2*$AC$5)*$AC$6)/((C536+2*$AC$5)+$AC$6)</f>
        <v>999.74661305694497</v>
      </c>
      <c r="E536" s="4">
        <f t="shared" si="89"/>
        <v>0.99974661305694501</v>
      </c>
      <c r="F536" s="24">
        <v>9.9990399102947171E-4</v>
      </c>
      <c r="G536" s="6">
        <v>0.99787133643869763</v>
      </c>
      <c r="H536" s="2">
        <f t="shared" si="90"/>
        <v>1.8757519092896034E-3</v>
      </c>
      <c r="I536" s="5">
        <f>G536/F536</f>
        <v>997.96715023741297</v>
      </c>
      <c r="J536" s="2">
        <f>ABS(D536-I536)/I536</f>
        <v>1.7830875686726483E-3</v>
      </c>
      <c r="K536" s="1">
        <f>$AD$10*B536+$AD$11</f>
        <v>997.74154951169385</v>
      </c>
      <c r="L536" s="2">
        <f>ABS(K536-D536)/D536</f>
        <v>2.0055717309410996E-3</v>
      </c>
      <c r="M536" s="21">
        <f>K536*F536</f>
        <v>0.99764575737267192</v>
      </c>
      <c r="N536" s="2">
        <f>ABS(M536-G536)/M536</f>
        <v>2.2611138709173183E-4</v>
      </c>
      <c r="O536" s="21">
        <f t="shared" si="91"/>
        <v>2.255790660257162E-4</v>
      </c>
      <c r="P536" s="25">
        <f>$AD$18*B536+$AD$19</f>
        <v>4.4416666666666664</v>
      </c>
      <c r="Q536" s="25">
        <f>$AD$29*G536+$AD$30</f>
        <v>4.4408663616524393</v>
      </c>
      <c r="R536" s="25">
        <f t="shared" si="92"/>
        <v>8.0030501422712064E-4</v>
      </c>
      <c r="S536" s="26">
        <v>4.5197539675103853</v>
      </c>
      <c r="T536" s="26">
        <f t="shared" si="93"/>
        <v>7.8087300843718843E-2</v>
      </c>
      <c r="U536" s="27">
        <f t="shared" si="94"/>
        <v>1.758063058395171E-2</v>
      </c>
      <c r="V536" s="28">
        <f t="shared" si="95"/>
        <v>74.237047610124634</v>
      </c>
      <c r="W536" s="27">
        <f t="shared" si="96"/>
        <v>1.2783732743855891E-2</v>
      </c>
      <c r="X536" s="21">
        <v>4.5233726306441122</v>
      </c>
      <c r="Y536" s="21">
        <f t="shared" si="97"/>
        <v>74.28047156772935</v>
      </c>
      <c r="Z536" s="2">
        <f t="shared" si="98"/>
        <v>1.337614689944547E-2</v>
      </c>
    </row>
    <row r="537" spans="1:26">
      <c r="A537" s="1">
        <v>73.400000000000006</v>
      </c>
      <c r="B537" s="1">
        <f t="shared" si="88"/>
        <v>346.54999999999995</v>
      </c>
      <c r="C537" s="4">
        <f>ROUND(10000*EXP(($AB$4)+($AC$4/B537)+($AD$4/(B537^2))+($AE$4/(B537^3))),6)</f>
        <v>1562.339465</v>
      </c>
      <c r="D537" s="4">
        <f>((C537+2*$AC$5)*$AC$6)/((C537+2*$AC$5)+$AC$6)</f>
        <v>997.65947805354563</v>
      </c>
      <c r="E537" s="4">
        <f t="shared" si="89"/>
        <v>0.9976594780535456</v>
      </c>
      <c r="F537" s="24">
        <v>9.9990399102947171E-4</v>
      </c>
      <c r="G537" s="6">
        <v>0.99577709161262695</v>
      </c>
      <c r="H537" s="2">
        <f t="shared" si="90"/>
        <v>1.8868025436807594E-3</v>
      </c>
      <c r="I537" s="5">
        <f>G537/F537</f>
        <v>995.87270432574644</v>
      </c>
      <c r="J537" s="2">
        <f>ABS(D537-I537)/I537</f>
        <v>1.7941788343409993E-3</v>
      </c>
      <c r="K537" s="1">
        <f>$AD$10*B537+$AD$11</f>
        <v>995.3924375928209</v>
      </c>
      <c r="L537" s="2">
        <f>ABS(K537-D537)/D537</f>
        <v>2.2723589667566456E-3</v>
      </c>
      <c r="M537" s="21">
        <f>K537*F537</f>
        <v>0.99529687098961594</v>
      </c>
      <c r="N537" s="2">
        <f>ABS(M537-G537)/M537</f>
        <v>4.824898349509807E-4</v>
      </c>
      <c r="O537" s="21">
        <f t="shared" si="91"/>
        <v>4.8022062301100732E-4</v>
      </c>
      <c r="P537" s="25">
        <f>$AD$18*B537+$AD$19</f>
        <v>4.4499999999999993</v>
      </c>
      <c r="Q537" s="25">
        <f>$AD$29*G537+$AD$30</f>
        <v>4.4482962826325014</v>
      </c>
      <c r="R537" s="25">
        <f t="shared" si="92"/>
        <v>1.703717367497859E-3</v>
      </c>
      <c r="S537" s="26">
        <v>4.5274775655516644</v>
      </c>
      <c r="T537" s="26">
        <f t="shared" si="93"/>
        <v>7.7477565551665073E-2</v>
      </c>
      <c r="U537" s="27">
        <f t="shared" si="94"/>
        <v>1.7410688888014624E-2</v>
      </c>
      <c r="V537" s="28">
        <f t="shared" si="95"/>
        <v>74.329730786619976</v>
      </c>
      <c r="W537" s="27">
        <f t="shared" si="96"/>
        <v>1.2666631970299321E-2</v>
      </c>
      <c r="X537" s="21">
        <v>4.5309884848637472</v>
      </c>
      <c r="Y537" s="21">
        <f t="shared" si="97"/>
        <v>74.371861818364977</v>
      </c>
      <c r="Z537" s="2">
        <f t="shared" si="98"/>
        <v>1.3240624228405598E-2</v>
      </c>
    </row>
    <row r="538" spans="1:26">
      <c r="A538" s="1">
        <v>73.5</v>
      </c>
      <c r="B538" s="1">
        <f t="shared" si="88"/>
        <v>346.65</v>
      </c>
      <c r="C538" s="4">
        <f>ROUND(10000*EXP(($AB$4)+($AC$4/B538)+($AD$4/(B538^2))+($AE$4/(B538^3))),6)</f>
        <v>1557.103034</v>
      </c>
      <c r="D538" s="4">
        <f>((C538+2*$AC$5)*$AC$6)/((C538+2*$AC$5)+$AC$6)</f>
        <v>995.57531299817651</v>
      </c>
      <c r="E538" s="4">
        <f t="shared" si="89"/>
        <v>0.99557531299817659</v>
      </c>
      <c r="F538" s="24">
        <v>9.9990399102947171E-4</v>
      </c>
      <c r="G538" s="6">
        <v>0.99367991032166214</v>
      </c>
      <c r="H538" s="2">
        <f t="shared" si="90"/>
        <v>1.9038265129399784E-3</v>
      </c>
      <c r="I538" s="5">
        <f>G538/F538</f>
        <v>993.77532166723188</v>
      </c>
      <c r="J538" s="2">
        <f>ABS(D538-I538)/I538</f>
        <v>1.8112658784128744E-3</v>
      </c>
      <c r="K538" s="1">
        <f>$AD$10*B538+$AD$11</f>
        <v>993.04332567394613</v>
      </c>
      <c r="L538" s="2">
        <f>ABS(K538-D538)/D538</f>
        <v>2.5432403668239844E-3</v>
      </c>
      <c r="M538" s="21">
        <f>K538*F538</f>
        <v>0.9929479846065582</v>
      </c>
      <c r="N538" s="2">
        <f>ABS(M538-G538)/M538</f>
        <v>7.3712392436544195E-4</v>
      </c>
      <c r="O538" s="21">
        <f t="shared" si="91"/>
        <v>7.3192571510394266E-4</v>
      </c>
      <c r="P538" s="25">
        <f>$AD$18*B538+$AD$19</f>
        <v>4.4583333333333321</v>
      </c>
      <c r="Q538" s="25">
        <f>$AD$29*G538+$AD$30</f>
        <v>4.455736621545487</v>
      </c>
      <c r="R538" s="25">
        <f t="shared" si="92"/>
        <v>2.5967117878451518E-3</v>
      </c>
      <c r="S538" s="26">
        <v>4.5352119940402718</v>
      </c>
      <c r="T538" s="26">
        <f t="shared" si="93"/>
        <v>7.6878660706939606E-2</v>
      </c>
      <c r="U538" s="27">
        <f t="shared" si="94"/>
        <v>1.7243811747350943E-2</v>
      </c>
      <c r="V538" s="28">
        <f t="shared" si="95"/>
        <v>74.422543928483265</v>
      </c>
      <c r="W538" s="27">
        <f t="shared" si="96"/>
        <v>1.255161807460224E-2</v>
      </c>
      <c r="X538" s="21">
        <v>4.5386149746132105</v>
      </c>
      <c r="Y538" s="21">
        <f t="shared" si="97"/>
        <v>74.46337969535854</v>
      </c>
      <c r="Z538" s="2">
        <f t="shared" si="98"/>
        <v>1.3107206739571976E-2</v>
      </c>
    </row>
    <row r="539" spans="1:26">
      <c r="A539" s="1">
        <v>73.599999999999994</v>
      </c>
      <c r="B539" s="1">
        <f t="shared" si="88"/>
        <v>346.75</v>
      </c>
      <c r="C539" s="4">
        <f>ROUND(10000*EXP(($AB$4)+($AC$4/B539)+($AD$4/(B539^2))+($AE$4/(B539^3))),6)</f>
        <v>1551.8868419999999</v>
      </c>
      <c r="D539" s="4">
        <f>((C539+2*$AC$5)*$AC$6)/((C539+2*$AC$5)+$AC$6)</f>
        <v>993.49412341011623</v>
      </c>
      <c r="E539" s="4">
        <f t="shared" si="89"/>
        <v>0.99349412341011623</v>
      </c>
      <c r="F539" s="24">
        <v>9.9990399102947171E-4</v>
      </c>
      <c r="G539" s="6">
        <v>0.99157982186730398</v>
      </c>
      <c r="H539" s="2">
        <f t="shared" si="90"/>
        <v>1.9268373085504597E-3</v>
      </c>
      <c r="I539" s="5">
        <f>G539/F539</f>
        <v>991.67503156618329</v>
      </c>
      <c r="J539" s="2">
        <f>ABS(D539-I539)/I539</f>
        <v>1.8343628568120642E-3</v>
      </c>
      <c r="K539" s="1">
        <f>$AD$10*B539+$AD$11</f>
        <v>990.69421375507136</v>
      </c>
      <c r="L539" s="2">
        <f>ABS(K539-D539)/D539</f>
        <v>2.8182448079655761E-3</v>
      </c>
      <c r="M539" s="21">
        <f>K539*F539</f>
        <v>0.99059909822350045</v>
      </c>
      <c r="N539" s="2">
        <f>ABS(M539-G539)/M539</f>
        <v>9.9003082635782378E-4</v>
      </c>
      <c r="O539" s="21">
        <f t="shared" si="91"/>
        <v>9.8072364380352717E-4</v>
      </c>
      <c r="P539" s="25">
        <f>$AD$18*B539+$AD$19</f>
        <v>4.4666666666666686</v>
      </c>
      <c r="Q539" s="25">
        <f>$AD$29*G539+$AD$30</f>
        <v>4.4631872744361019</v>
      </c>
      <c r="R539" s="25">
        <f t="shared" si="92"/>
        <v>3.4793922305667024E-3</v>
      </c>
      <c r="S539" s="26">
        <v>4.5429571432222779</v>
      </c>
      <c r="T539" s="26">
        <f t="shared" si="93"/>
        <v>7.6290476555609388E-2</v>
      </c>
      <c r="U539" s="27">
        <f t="shared" si="94"/>
        <v>1.7079957437822989E-2</v>
      </c>
      <c r="V539" s="28">
        <f t="shared" si="95"/>
        <v>74.515485718667335</v>
      </c>
      <c r="W539" s="27">
        <f t="shared" si="96"/>
        <v>1.2438664655806266E-2</v>
      </c>
      <c r="X539" s="21">
        <v>4.5462519902498624</v>
      </c>
      <c r="Y539" s="21">
        <f t="shared" si="97"/>
        <v>74.555023882998356</v>
      </c>
      <c r="Z539" s="2">
        <f t="shared" si="98"/>
        <v>1.2975867975521214E-2</v>
      </c>
    </row>
    <row r="540" spans="1:26">
      <c r="A540" s="1">
        <v>73.7</v>
      </c>
      <c r="B540" s="1">
        <f t="shared" si="88"/>
        <v>346.84999999999997</v>
      </c>
      <c r="C540" s="4">
        <f>ROUND(10000*EXP(($AB$4)+($AC$4/B540)+($AD$4/(B540^2))+($AE$4/(B540^3))),6)</f>
        <v>1546.6908000000001</v>
      </c>
      <c r="D540" s="4">
        <f>((C540+2*$AC$5)*$AC$6)/((C540+2*$AC$5)+$AC$6)</f>
        <v>991.41591417873542</v>
      </c>
      <c r="E540" s="4">
        <f t="shared" si="89"/>
        <v>0.99141591417873542</v>
      </c>
      <c r="F540" s="24">
        <v>9.9990399102947171E-4</v>
      </c>
      <c r="G540" s="6">
        <v>0.98959300450371035</v>
      </c>
      <c r="H540" s="2">
        <f t="shared" si="90"/>
        <v>1.8386931750385797E-3</v>
      </c>
      <c r="I540" s="5">
        <f>G540/F540</f>
        <v>989.68802343198422</v>
      </c>
      <c r="J540" s="2">
        <f>ABS(D540-I540)/I540</f>
        <v>1.7458943685701258E-3</v>
      </c>
      <c r="K540" s="1">
        <f>$AD$10*B540+$AD$11</f>
        <v>988.34510183619841</v>
      </c>
      <c r="L540" s="2">
        <f>ABS(K540-D540)/D540</f>
        <v>3.0974006959337505E-3</v>
      </c>
      <c r="M540" s="21">
        <f>K540*F540</f>
        <v>0.98825021184044448</v>
      </c>
      <c r="N540" s="2">
        <f>ABS(M540-G540)/M540</f>
        <v>1.3587577793331813E-3</v>
      </c>
      <c r="O540" s="21">
        <f t="shared" si="91"/>
        <v>1.3427926632658682E-3</v>
      </c>
      <c r="P540" s="25">
        <f>$AD$18*B540+$AD$19</f>
        <v>4.4749999999999979</v>
      </c>
      <c r="Q540" s="25">
        <f>$AD$29*G540+$AD$30</f>
        <v>4.4702360663583978</v>
      </c>
      <c r="R540" s="25">
        <f t="shared" si="92"/>
        <v>4.7639336416001044E-3</v>
      </c>
      <c r="S540" s="26">
        <v>4.5502845490526109</v>
      </c>
      <c r="T540" s="26">
        <f t="shared" si="93"/>
        <v>7.5284549052613059E-2</v>
      </c>
      <c r="U540" s="27">
        <f t="shared" si="94"/>
        <v>1.6823362916785049E-2</v>
      </c>
      <c r="V540" s="28">
        <f t="shared" si="95"/>
        <v>74.603414588631324</v>
      </c>
      <c r="W540" s="27">
        <f t="shared" si="96"/>
        <v>1.2257999845743842E-2</v>
      </c>
      <c r="X540" s="21">
        <v>4.5534714282509094</v>
      </c>
      <c r="Y540" s="21">
        <f t="shared" si="97"/>
        <v>74.641657139010917</v>
      </c>
      <c r="Z540" s="2">
        <f t="shared" si="98"/>
        <v>1.2776894694856364E-2</v>
      </c>
    </row>
    <row r="541" spans="1:26">
      <c r="A541" s="1">
        <v>73.8</v>
      </c>
      <c r="B541" s="1">
        <f t="shared" si="88"/>
        <v>346.95</v>
      </c>
      <c r="C541" s="4">
        <f>ROUND(10000*EXP(($AB$4)+($AC$4/B541)+($AD$4/(B541^2))+($AE$4/(B541^3))),6)</f>
        <v>1541.5148220000001</v>
      </c>
      <c r="D541" s="4">
        <f>((C541+2*$AC$5)*$AC$6)/((C541+2*$AC$5)+$AC$6)</f>
        <v>989.34069116327021</v>
      </c>
      <c r="E541" s="4">
        <f t="shared" si="89"/>
        <v>0.98934069116327028</v>
      </c>
      <c r="F541" s="24">
        <v>9.9990399102947171E-4</v>
      </c>
      <c r="G541" s="6">
        <v>0.98748694336742515</v>
      </c>
      <c r="H541" s="2">
        <f t="shared" si="90"/>
        <v>1.8737203598342706E-3</v>
      </c>
      <c r="I541" s="5">
        <f>G541/F541</f>
        <v>987.58176007552254</v>
      </c>
      <c r="J541" s="2">
        <f>ABS(D541-I541)/I541</f>
        <v>1.781048576285127E-3</v>
      </c>
      <c r="K541" s="1">
        <f>$AD$10*B541+$AD$11</f>
        <v>985.99598991732364</v>
      </c>
      <c r="L541" s="2">
        <f>ABS(K541-D541)/D541</f>
        <v>3.3807375718205379E-3</v>
      </c>
      <c r="M541" s="21">
        <f>K541*F541</f>
        <v>0.98590132545738662</v>
      </c>
      <c r="N541" s="2">
        <f>ABS(M541-G541)/M541</f>
        <v>1.6082927054620975E-3</v>
      </c>
      <c r="O541" s="21">
        <f t="shared" si="91"/>
        <v>1.5856179100385281E-3</v>
      </c>
      <c r="P541" s="25">
        <f>$AD$18*B541+$AD$19</f>
        <v>4.4833333333333343</v>
      </c>
      <c r="Q541" s="25">
        <f>$AD$29*G541+$AD$30</f>
        <v>4.4777079090135548</v>
      </c>
      <c r="R541" s="25">
        <f t="shared" si="92"/>
        <v>5.6254243197795262E-3</v>
      </c>
      <c r="S541" s="26">
        <v>4.5580517244185002</v>
      </c>
      <c r="T541" s="26">
        <f t="shared" si="93"/>
        <v>7.4718391085165869E-2</v>
      </c>
      <c r="U541" s="27">
        <f t="shared" si="94"/>
        <v>1.6665812137955208E-2</v>
      </c>
      <c r="V541" s="28">
        <f t="shared" si="95"/>
        <v>74.696620693022012</v>
      </c>
      <c r="W541" s="27">
        <f t="shared" si="96"/>
        <v>1.2149331883767146E-2</v>
      </c>
      <c r="X541" s="21">
        <v>4.5615571618248492</v>
      </c>
      <c r="Y541" s="21">
        <f t="shared" si="97"/>
        <v>74.738685941898197</v>
      </c>
      <c r="Z541" s="2">
        <f t="shared" si="98"/>
        <v>1.2719321705937668E-2</v>
      </c>
    </row>
    <row r="542" spans="1:26">
      <c r="A542" s="1">
        <v>73.900000000000006</v>
      </c>
      <c r="B542" s="1">
        <f t="shared" si="88"/>
        <v>347.04999999999995</v>
      </c>
      <c r="C542" s="4">
        <f>ROUND(10000*EXP(($AB$4)+($AC$4/B542)+($AD$4/(B542^2))+($AE$4/(B542^3))),6)</f>
        <v>1536.3588199999999</v>
      </c>
      <c r="D542" s="4">
        <f>((C542+2*$AC$5)*$AC$6)/((C542+2*$AC$5)+$AC$6)</f>
        <v>987.26845919442496</v>
      </c>
      <c r="E542" s="4">
        <f t="shared" si="89"/>
        <v>0.98726845919442496</v>
      </c>
      <c r="F542" s="24">
        <v>9.9990399102947171E-4</v>
      </c>
      <c r="G542" s="6">
        <v>0.98537806498830194</v>
      </c>
      <c r="H542" s="2">
        <f t="shared" si="90"/>
        <v>1.9147722066047948E-3</v>
      </c>
      <c r="I542" s="5">
        <f>G542/F542</f>
        <v>985.47267920571619</v>
      </c>
      <c r="J542" s="2">
        <f>ABS(D542-I542)/I542</f>
        <v>1.8222524343913407E-3</v>
      </c>
      <c r="K542" s="1">
        <f>$AD$10*B542+$AD$11</f>
        <v>983.64687799845069</v>
      </c>
      <c r="L542" s="2">
        <f>ABS(K542-D542)/D542</f>
        <v>3.6682841047402147E-3</v>
      </c>
      <c r="M542" s="21">
        <f>K542*F542</f>
        <v>0.98355243907433065</v>
      </c>
      <c r="N542" s="2">
        <f>ABS(M542-G542)/M542</f>
        <v>1.85615513870259E-3</v>
      </c>
      <c r="O542" s="21">
        <f t="shared" si="91"/>
        <v>1.8256259139712849E-3</v>
      </c>
      <c r="P542" s="25">
        <f>$AD$18*B542+$AD$19</f>
        <v>4.4916666666666636</v>
      </c>
      <c r="Q542" s="25">
        <f>$AD$29*G542+$AD$30</f>
        <v>4.4851897466279489</v>
      </c>
      <c r="R542" s="25">
        <f t="shared" si="92"/>
        <v>6.4769200387146952E-3</v>
      </c>
      <c r="S542" s="26">
        <v>4.5658292931245636</v>
      </c>
      <c r="T542" s="26">
        <f t="shared" si="93"/>
        <v>7.416262645790006E-2</v>
      </c>
      <c r="U542" s="27">
        <f t="shared" si="94"/>
        <v>1.6511159879309859E-2</v>
      </c>
      <c r="V542" s="28">
        <f t="shared" si="95"/>
        <v>74.789951517494757</v>
      </c>
      <c r="W542" s="27">
        <f t="shared" si="96"/>
        <v>1.2042645703582556E-2</v>
      </c>
      <c r="X542" s="21">
        <v>4.5692250997961583</v>
      </c>
      <c r="Y542" s="21">
        <f t="shared" si="97"/>
        <v>74.830701197553907</v>
      </c>
      <c r="Z542" s="2">
        <f t="shared" si="98"/>
        <v>1.2594062213178636E-2</v>
      </c>
    </row>
    <row r="543" spans="1:26">
      <c r="A543" s="1">
        <v>74</v>
      </c>
      <c r="B543" s="1">
        <f t="shared" si="88"/>
        <v>347.15</v>
      </c>
      <c r="C543" s="4">
        <f>ROUND(10000*EXP(($AB$4)+($AC$4/B543)+($AD$4/(B543^2))+($AE$4/(B543^3))),6)</f>
        <v>1531.222708</v>
      </c>
      <c r="D543" s="4">
        <f>((C543+2*$AC$5)*$AC$6)/((C543+2*$AC$5)+$AC$6)</f>
        <v>985.19922367708614</v>
      </c>
      <c r="E543" s="4">
        <f t="shared" si="89"/>
        <v>0.98519922367708612</v>
      </c>
      <c r="F543" s="24">
        <v>9.9990399102947171E-4</v>
      </c>
      <c r="G543" s="6">
        <v>0.98349993844295991</v>
      </c>
      <c r="H543" s="2">
        <f t="shared" si="90"/>
        <v>1.7248138176397707E-3</v>
      </c>
      <c r="I543" s="5">
        <f>G543/F543</f>
        <v>983.59437232606433</v>
      </c>
      <c r="J543" s="2">
        <f>ABS(D543-I543)/I543</f>
        <v>1.6316190862566205E-3</v>
      </c>
      <c r="K543" s="1">
        <f>$AD$10*B543+$AD$11</f>
        <v>981.29776607957592</v>
      </c>
      <c r="L543" s="2">
        <f>ABS(K543-D543)/D543</f>
        <v>3.9600697034135888E-3</v>
      </c>
      <c r="M543" s="21">
        <f>K543*F543</f>
        <v>0.98120355269127291</v>
      </c>
      <c r="N543" s="2">
        <f>ABS(M543-G543)/M543</f>
        <v>2.3403765155440076E-3</v>
      </c>
      <c r="O543" s="21">
        <f t="shared" si="91"/>
        <v>2.2963857516870023E-3</v>
      </c>
      <c r="P543" s="25">
        <f>$AD$18*B543+$AD$19</f>
        <v>4.5</v>
      </c>
      <c r="Q543" s="25">
        <f>$AD$29*G543+$AD$30</f>
        <v>4.4918529273834809</v>
      </c>
      <c r="R543" s="25">
        <f t="shared" si="92"/>
        <v>8.1470726165191465E-3</v>
      </c>
      <c r="S543" s="26">
        <v>4.572765277456412</v>
      </c>
      <c r="T543" s="26">
        <f t="shared" si="93"/>
        <v>7.2765277456412036E-2</v>
      </c>
      <c r="U543" s="27">
        <f t="shared" si="94"/>
        <v>1.6170061656980452E-2</v>
      </c>
      <c r="V543" s="28">
        <f t="shared" si="95"/>
        <v>74.873183329476944</v>
      </c>
      <c r="W543" s="27">
        <f t="shared" si="96"/>
        <v>1.1799774722661411E-2</v>
      </c>
      <c r="X543" s="21">
        <v>4.5764778597259523</v>
      </c>
      <c r="Y543" s="21">
        <f t="shared" si="97"/>
        <v>74.917734316711432</v>
      </c>
      <c r="Z543" s="2">
        <f t="shared" si="98"/>
        <v>1.2401815090695021E-2</v>
      </c>
    </row>
    <row r="544" spans="1:26">
      <c r="A544" s="1">
        <v>74.099999999999994</v>
      </c>
      <c r="B544" s="1">
        <f t="shared" si="88"/>
        <v>347.25</v>
      </c>
      <c r="C544" s="4">
        <f>ROUND(10000*EXP(($AB$4)+($AC$4/B544)+($AD$4/(B544^2))+($AE$4/(B544^3))),6)</f>
        <v>1526.106399</v>
      </c>
      <c r="D544" s="4">
        <f>((C544+2*$AC$5)*$AC$6)/((C544+2*$AC$5)+$AC$6)</f>
        <v>983.13298938602497</v>
      </c>
      <c r="E544" s="4">
        <f t="shared" si="89"/>
        <v>0.983132989386025</v>
      </c>
      <c r="F544" s="24">
        <v>9.9990399102947171E-4</v>
      </c>
      <c r="G544" s="6">
        <v>0.98138228086794044</v>
      </c>
      <c r="H544" s="2">
        <f t="shared" si="90"/>
        <v>1.7807443519700192E-3</v>
      </c>
      <c r="I544" s="5">
        <f>G544/F544</f>
        <v>981.47651141739937</v>
      </c>
      <c r="J544" s="2">
        <f>ABS(D544-I544)/I544</f>
        <v>1.6877408163679904E-3</v>
      </c>
      <c r="K544" s="1">
        <f>$AD$10*B544+$AD$11</f>
        <v>978.94865416070206</v>
      </c>
      <c r="L544" s="2">
        <f>ABS(K544-D544)/D544</f>
        <v>4.2561233022361143E-3</v>
      </c>
      <c r="M544" s="21">
        <f>K544*F544</f>
        <v>0.97885466630821605</v>
      </c>
      <c r="N544" s="2">
        <f>ABS(M544-G544)/M544</f>
        <v>2.5822163868895616E-3</v>
      </c>
      <c r="O544" s="21">
        <f t="shared" si="91"/>
        <v>2.5276145597243893E-3</v>
      </c>
      <c r="P544" s="25">
        <f>$AD$18*B544+$AD$19</f>
        <v>4.5083333333333364</v>
      </c>
      <c r="Q544" s="25">
        <f>$AD$29*G544+$AD$30</f>
        <v>4.4993659116579821</v>
      </c>
      <c r="R544" s="25">
        <f t="shared" si="92"/>
        <v>8.967421675354359E-3</v>
      </c>
      <c r="S544" s="26">
        <v>4.5805657903474843</v>
      </c>
      <c r="T544" s="26">
        <f t="shared" si="93"/>
        <v>7.2232457014147933E-2</v>
      </c>
      <c r="U544" s="27">
        <f t="shared" si="94"/>
        <v>1.6021986768387699E-2</v>
      </c>
      <c r="V544" s="28">
        <f t="shared" si="95"/>
        <v>74.966789484169823</v>
      </c>
      <c r="W544" s="27">
        <f t="shared" si="96"/>
        <v>1.169756388893156E-2</v>
      </c>
      <c r="X544" s="21">
        <v>4.5837424146951813</v>
      </c>
      <c r="Y544" s="21">
        <f t="shared" si="97"/>
        <v>75.004908976342179</v>
      </c>
      <c r="Z544" s="2">
        <f t="shared" si="98"/>
        <v>1.2211996981675908E-2</v>
      </c>
    </row>
    <row r="545" spans="1:26">
      <c r="A545" s="1">
        <v>74.2</v>
      </c>
      <c r="B545" s="1">
        <f t="shared" si="88"/>
        <v>347.34999999999997</v>
      </c>
      <c r="C545" s="4">
        <f>ROUND(10000*EXP(($AB$4)+($AC$4/B545)+($AD$4/(B545^2))+($AE$4/(B545^3))),6)</f>
        <v>1521.009808</v>
      </c>
      <c r="D545" s="4">
        <f>((C545+2*$AC$5)*$AC$6)/((C545+2*$AC$5)+$AC$6)</f>
        <v>981.06976167596736</v>
      </c>
      <c r="E545" s="4">
        <f t="shared" si="89"/>
        <v>0.98106976167596738</v>
      </c>
      <c r="F545" s="24">
        <v>9.9990399102947171E-4</v>
      </c>
      <c r="G545" s="6">
        <v>0.97926463222938231</v>
      </c>
      <c r="H545" s="2">
        <f t="shared" si="90"/>
        <v>1.8399603342185878E-3</v>
      </c>
      <c r="I545" s="5">
        <f>G545/F545</f>
        <v>979.35865944605371</v>
      </c>
      <c r="J545" s="2">
        <f>ABS(D545-I545)/I545</f>
        <v>1.7471660799747107E-3</v>
      </c>
      <c r="K545" s="1">
        <f>$AD$10*B545+$AD$11</f>
        <v>976.59954224182911</v>
      </c>
      <c r="L545" s="2">
        <f>ABS(K545-D545)/D545</f>
        <v>4.5564745839294252E-3</v>
      </c>
      <c r="M545" s="21">
        <f>K545*F545</f>
        <v>0.97650577992516008</v>
      </c>
      <c r="N545" s="2">
        <f>ABS(M545-G545)/M545</f>
        <v>2.8252288526481395E-3</v>
      </c>
      <c r="O545" s="21">
        <f t="shared" si="91"/>
        <v>2.7588523042222368E-3</v>
      </c>
      <c r="P545" s="25">
        <f>$AD$18*B545+$AD$19</f>
        <v>4.5166666666666657</v>
      </c>
      <c r="Q545" s="25">
        <f>$AD$29*G545+$AD$30</f>
        <v>4.506878864227879</v>
      </c>
      <c r="R545" s="25">
        <f t="shared" si="92"/>
        <v>9.7878024387867413E-3</v>
      </c>
      <c r="S545" s="26">
        <v>4.5883757017205236</v>
      </c>
      <c r="T545" s="26">
        <f t="shared" si="93"/>
        <v>7.1709035053857839E-2</v>
      </c>
      <c r="U545" s="27">
        <f t="shared" si="94"/>
        <v>1.5876539126315391E-2</v>
      </c>
      <c r="V545" s="28">
        <f t="shared" si="95"/>
        <v>75.060508420646286</v>
      </c>
      <c r="W545" s="27">
        <f t="shared" si="96"/>
        <v>1.1597148526230235E-2</v>
      </c>
      <c r="X545" s="21">
        <v>4.591865564355226</v>
      </c>
      <c r="Y545" s="21">
        <f t="shared" si="97"/>
        <v>75.102386772262719</v>
      </c>
      <c r="Z545" s="2">
        <f t="shared" si="98"/>
        <v>1.2161546795993475E-2</v>
      </c>
    </row>
    <row r="546" spans="1:26">
      <c r="A546" s="1">
        <v>74.3</v>
      </c>
      <c r="B546" s="1">
        <f t="shared" si="88"/>
        <v>347.45</v>
      </c>
      <c r="C546" s="4">
        <f>ROUND(10000*EXP(($AB$4)+($AC$4/B546)+($AD$4/(B546^2))+($AE$4/(B546^3))),6)</f>
        <v>1515.9328499999999</v>
      </c>
      <c r="D546" s="4">
        <f>((C546+2*$AC$5)*$AC$6)/((C546+2*$AC$5)+$AC$6)</f>
        <v>979.00954567776012</v>
      </c>
      <c r="E546" s="4">
        <f t="shared" si="89"/>
        <v>0.97900954567776011</v>
      </c>
      <c r="F546" s="24">
        <v>9.9990399102947171E-4</v>
      </c>
      <c r="G546" s="6">
        <v>0.97725895403877727</v>
      </c>
      <c r="H546" s="2">
        <f t="shared" si="90"/>
        <v>1.7881251993012129E-3</v>
      </c>
      <c r="I546" s="5">
        <f>G546/F546</f>
        <v>977.3527886738608</v>
      </c>
      <c r="J546" s="2">
        <f>ABS(D546-I546)/I546</f>
        <v>1.6951473644919116E-3</v>
      </c>
      <c r="K546" s="1">
        <f>$AD$10*B546+$AD$11</f>
        <v>974.25043032295434</v>
      </c>
      <c r="L546" s="2">
        <f>ABS(K546-D546)/D546</f>
        <v>4.861153168339208E-3</v>
      </c>
      <c r="M546" s="21">
        <f>K546*F546</f>
        <v>0.97415689354210233</v>
      </c>
      <c r="N546" s="2">
        <f>ABS(M546-G546)/M546</f>
        <v>3.1843540986458896E-3</v>
      </c>
      <c r="O546" s="21">
        <f t="shared" si="91"/>
        <v>3.102060496674941E-3</v>
      </c>
      <c r="P546" s="25">
        <f>$AD$18*B546+$AD$19</f>
        <v>4.5250000000000021</v>
      </c>
      <c r="Q546" s="25">
        <f>$AD$29*G546+$AD$30</f>
        <v>4.513994570224674</v>
      </c>
      <c r="R546" s="25">
        <f t="shared" si="92"/>
        <v>1.1005429775328146E-2</v>
      </c>
      <c r="S546" s="26">
        <v>4.5957726657058835</v>
      </c>
      <c r="T546" s="26">
        <f t="shared" si="93"/>
        <v>7.0772665705881366E-2</v>
      </c>
      <c r="U546" s="27">
        <f t="shared" si="94"/>
        <v>1.564036811179698E-2</v>
      </c>
      <c r="V546" s="28">
        <f t="shared" si="95"/>
        <v>75.149271988470602</v>
      </c>
      <c r="W546" s="27">
        <f t="shared" si="96"/>
        <v>1.1430309400681089E-2</v>
      </c>
      <c r="X546" s="21">
        <v>4.5991515642161991</v>
      </c>
      <c r="Y546" s="21">
        <f t="shared" si="97"/>
        <v>75.1898187705944</v>
      </c>
      <c r="Z546" s="2">
        <f t="shared" si="98"/>
        <v>1.1976026522131932E-2</v>
      </c>
    </row>
    <row r="547" spans="1:26">
      <c r="A547" s="1">
        <v>74.400000000000006</v>
      </c>
      <c r="B547" s="1">
        <f t="shared" si="88"/>
        <v>347.54999999999995</v>
      </c>
      <c r="C547" s="4">
        <f>ROUND(10000*EXP(($AB$4)+($AC$4/B547)+($AD$4/(B547^2))+($AE$4/(B547^3))),6)</f>
        <v>1510.8754389999999</v>
      </c>
      <c r="D547" s="4">
        <f>((C547+2*$AC$5)*$AC$6)/((C547+2*$AC$5)+$AC$6)</f>
        <v>976.95234589013387</v>
      </c>
      <c r="E547" s="4">
        <f t="shared" si="89"/>
        <v>0.97695234589013391</v>
      </c>
      <c r="F547" s="24">
        <v>9.9990399102947171E-4</v>
      </c>
      <c r="G547" s="6">
        <v>0.97513568870723022</v>
      </c>
      <c r="H547" s="2">
        <f t="shared" si="90"/>
        <v>1.8595146329767748E-3</v>
      </c>
      <c r="I547" s="5">
        <f>G547/F547</f>
        <v>975.22931947022153</v>
      </c>
      <c r="J547" s="2">
        <f>ABS(D547-I547)/I547</f>
        <v>1.7667910362337668E-3</v>
      </c>
      <c r="K547" s="1">
        <f>$AD$10*B547+$AD$11</f>
        <v>971.90131840408139</v>
      </c>
      <c r="L547" s="2">
        <f>ABS(K547-D547)/D547</f>
        <v>5.1701881952597355E-3</v>
      </c>
      <c r="M547" s="21">
        <f>K547*F547</f>
        <v>0.97180800715904636</v>
      </c>
      <c r="N547" s="2">
        <f>ABS(M547-G547)/M547</f>
        <v>3.4242170507648938E-3</v>
      </c>
      <c r="O547" s="21">
        <f t="shared" si="91"/>
        <v>3.3276815481838584E-3</v>
      </c>
      <c r="P547" s="25">
        <f>$AD$18*B547+$AD$19</f>
        <v>4.5333333333333314</v>
      </c>
      <c r="Q547" s="25">
        <f>$AD$29*G547+$AD$30</f>
        <v>4.5215274495884961</v>
      </c>
      <c r="R547" s="25">
        <f t="shared" si="92"/>
        <v>1.1805883744835377E-2</v>
      </c>
      <c r="S547" s="26">
        <v>4.6036032924030508</v>
      </c>
      <c r="T547" s="26">
        <f t="shared" si="93"/>
        <v>7.0269959069719334E-2</v>
      </c>
      <c r="U547" s="27">
        <f t="shared" si="94"/>
        <v>1.5500726265379272E-2</v>
      </c>
      <c r="V547" s="28">
        <f t="shared" si="95"/>
        <v>75.243239508836609</v>
      </c>
      <c r="W547" s="27">
        <f t="shared" si="96"/>
        <v>1.1333864366083381E-2</v>
      </c>
      <c r="X547" s="21">
        <v>4.6068706772637524</v>
      </c>
      <c r="Y547" s="21">
        <f t="shared" si="97"/>
        <v>75.28244812716504</v>
      </c>
      <c r="Z547" s="2">
        <f t="shared" si="98"/>
        <v>1.1860861924261211E-2</v>
      </c>
    </row>
    <row r="548" spans="1:26">
      <c r="A548" s="1">
        <v>74.5</v>
      </c>
      <c r="B548" s="1">
        <f t="shared" si="88"/>
        <v>347.65</v>
      </c>
      <c r="C548" s="4">
        <f>ROUND(10000*EXP(($AB$4)+($AC$4/B548)+($AD$4/(B548^2))+($AE$4/(B548^3))),6)</f>
        <v>1505.837491</v>
      </c>
      <c r="D548" s="4">
        <f>((C548+2*$AC$5)*$AC$6)/((C548+2*$AC$5)+$AC$6)</f>
        <v>974.89816739855314</v>
      </c>
      <c r="E548" s="4">
        <f t="shared" si="89"/>
        <v>0.97489816739855317</v>
      </c>
      <c r="F548" s="24">
        <v>9.9990399102947171E-4</v>
      </c>
      <c r="G548" s="6">
        <v>0.97312396259900869</v>
      </c>
      <c r="H548" s="2">
        <f t="shared" si="90"/>
        <v>1.8198873060545674E-3</v>
      </c>
      <c r="I548" s="5">
        <f>G548/F548</f>
        <v>973.21740019970207</v>
      </c>
      <c r="J548" s="2">
        <f>ABS(D548-I548)/I548</f>
        <v>1.7270213197032669E-3</v>
      </c>
      <c r="K548" s="1">
        <f>$AD$10*B548+$AD$11</f>
        <v>969.55220648520663</v>
      </c>
      <c r="L548" s="2">
        <f>ABS(K548-D548)/D548</f>
        <v>5.483609562639589E-3</v>
      </c>
      <c r="M548" s="21">
        <f>K548*F548</f>
        <v>0.9694591207759885</v>
      </c>
      <c r="N548" s="2">
        <f>ABS(M548-G548)/M548</f>
        <v>3.7802953672628468E-3</v>
      </c>
      <c r="O548" s="21">
        <f t="shared" si="91"/>
        <v>3.6648418230201818E-3</v>
      </c>
      <c r="P548" s="25">
        <f>$AD$18*B548+$AD$19</f>
        <v>4.5416666666666679</v>
      </c>
      <c r="Q548" s="25">
        <f>$AD$29*G548+$AD$30</f>
        <v>4.5286646122695453</v>
      </c>
      <c r="R548" s="25">
        <f t="shared" si="92"/>
        <v>1.3002054397122542E-2</v>
      </c>
      <c r="S548" s="26">
        <v>4.6110225611587365</v>
      </c>
      <c r="T548" s="26">
        <f t="shared" si="93"/>
        <v>6.9355894492068693E-2</v>
      </c>
      <c r="U548" s="27">
        <f t="shared" si="94"/>
        <v>1.5271022640455488E-2</v>
      </c>
      <c r="V548" s="28">
        <f t="shared" si="95"/>
        <v>75.332270733904849</v>
      </c>
      <c r="W548" s="27">
        <f t="shared" si="96"/>
        <v>1.1171419247044956E-2</v>
      </c>
      <c r="X548" s="21">
        <v>4.6141785892032905</v>
      </c>
      <c r="Y548" s="21">
        <f t="shared" si="97"/>
        <v>75.370143070439497</v>
      </c>
      <c r="Z548" s="2">
        <f t="shared" si="98"/>
        <v>1.1679772757577134E-2</v>
      </c>
    </row>
    <row r="549" spans="1:26">
      <c r="A549" s="1">
        <v>74.599999999999994</v>
      </c>
      <c r="B549" s="1">
        <f t="shared" si="88"/>
        <v>347.75</v>
      </c>
      <c r="C549" s="4">
        <f>ROUND(10000*EXP(($AB$4)+($AC$4/B549)+($AD$4/(B549^2))+($AE$4/(B549^3))),6)</f>
        <v>1500.818921</v>
      </c>
      <c r="D549" s="4">
        <f>((C549+2*$AC$5)*$AC$6)/((C549+2*$AC$5)+$AC$6)</f>
        <v>972.84701465637704</v>
      </c>
      <c r="E549" s="4">
        <f t="shared" si="89"/>
        <v>0.97284701465637702</v>
      </c>
      <c r="F549" s="24">
        <v>9.9990399102947171E-4</v>
      </c>
      <c r="G549" s="6">
        <v>0.97111049523131177</v>
      </c>
      <c r="H549" s="2">
        <f t="shared" si="90"/>
        <v>1.7849871551269705E-3</v>
      </c>
      <c r="I549" s="5">
        <f>G549/F549</f>
        <v>971.20373950251462</v>
      </c>
      <c r="J549" s="2">
        <f>ABS(D549-I549)/I549</f>
        <v>1.6919983799734578E-3</v>
      </c>
      <c r="K549" s="1">
        <f>$AD$10*B549+$AD$11</f>
        <v>967.20309456633186</v>
      </c>
      <c r="L549" s="2">
        <f>ABS(K549-D549)/D549</f>
        <v>5.801446686906569E-3</v>
      </c>
      <c r="M549" s="21">
        <f>K549*F549</f>
        <v>0.96711023439293076</v>
      </c>
      <c r="N549" s="2">
        <f>ABS(M549-G549)/M549</f>
        <v>4.1363028702638346E-3</v>
      </c>
      <c r="O549" s="21">
        <f t="shared" si="91"/>
        <v>4.000260838381009E-3</v>
      </c>
      <c r="P549" s="25">
        <f>$AD$18*B549+$AD$19</f>
        <v>4.5500000000000007</v>
      </c>
      <c r="Q549" s="25">
        <f>$AD$29*G549+$AD$30</f>
        <v>4.5358079525570272</v>
      </c>
      <c r="R549" s="25">
        <f t="shared" si="92"/>
        <v>1.4192047442973532E-2</v>
      </c>
      <c r="S549" s="26">
        <v>4.6184518270950825</v>
      </c>
      <c r="T549" s="26">
        <f t="shared" si="93"/>
        <v>6.8451827095081796E-2</v>
      </c>
      <c r="U549" s="27">
        <f t="shared" si="94"/>
        <v>1.5044357603314679E-2</v>
      </c>
      <c r="V549" s="28">
        <f t="shared" si="95"/>
        <v>75.42142192514099</v>
      </c>
      <c r="W549" s="27">
        <f t="shared" si="96"/>
        <v>1.1011017763284127E-2</v>
      </c>
      <c r="X549" s="21">
        <v>4.6219175935658265</v>
      </c>
      <c r="Y549" s="21">
        <f t="shared" si="97"/>
        <v>75.463011122789922</v>
      </c>
      <c r="Z549" s="2">
        <f t="shared" si="98"/>
        <v>1.1568513710320747E-2</v>
      </c>
    </row>
    <row r="550" spans="1:26">
      <c r="A550" s="1">
        <v>74.7</v>
      </c>
      <c r="B550" s="1">
        <f t="shared" si="88"/>
        <v>347.84999999999997</v>
      </c>
      <c r="C550" s="4">
        <f>ROUND(10000*EXP(($AB$4)+($AC$4/B550)+($AD$4/(B550^2))+($AE$4/(B550^3))),6)</f>
        <v>1495.819647</v>
      </c>
      <c r="D550" s="4">
        <f>((C550+2*$AC$5)*$AC$6)/((C550+2*$AC$5)+$AC$6)</f>
        <v>970.79889311972738</v>
      </c>
      <c r="E550" s="4">
        <f t="shared" si="89"/>
        <v>0.97079889311972745</v>
      </c>
      <c r="F550" s="24">
        <v>9.9990399102947171E-4</v>
      </c>
      <c r="G550" s="6">
        <v>0.96897754200081243</v>
      </c>
      <c r="H550" s="2">
        <f t="shared" si="90"/>
        <v>1.8761363778052747E-3</v>
      </c>
      <c r="I550" s="5">
        <f>G550/F550</f>
        <v>969.0705814697086</v>
      </c>
      <c r="J550" s="2">
        <f>ABS(D550-I550)/I550</f>
        <v>1.7834734466890898E-3</v>
      </c>
      <c r="K550" s="1">
        <f>$AD$10*B550+$AD$11</f>
        <v>964.85398264745891</v>
      </c>
      <c r="L550" s="2">
        <f>ABS(K550-D550)/D550</f>
        <v>6.1237301715127701E-3</v>
      </c>
      <c r="M550" s="21">
        <f>K550*F550</f>
        <v>0.96476134800987479</v>
      </c>
      <c r="N550" s="2">
        <f>ABS(M550-G550)/M550</f>
        <v>4.3701937268059892E-3</v>
      </c>
      <c r="O550" s="21">
        <f t="shared" si="91"/>
        <v>4.2161939909376445E-3</v>
      </c>
      <c r="P550" s="25">
        <f>$AD$18*B550+$AD$19</f>
        <v>4.5583333333333336</v>
      </c>
      <c r="Q550" s="25">
        <f>$AD$29*G550+$AD$30</f>
        <v>4.5433752024599485</v>
      </c>
      <c r="R550" s="25">
        <f t="shared" si="92"/>
        <v>1.4958130873385045E-2</v>
      </c>
      <c r="S550" s="26">
        <v>4.6263146079935771</v>
      </c>
      <c r="T550" s="26">
        <f t="shared" si="93"/>
        <v>6.7981274660243507E-2</v>
      </c>
      <c r="U550" s="27">
        <f t="shared" si="94"/>
        <v>1.491362515398395E-2</v>
      </c>
      <c r="V550" s="28">
        <f t="shared" si="95"/>
        <v>75.515775295922936</v>
      </c>
      <c r="W550" s="27">
        <f t="shared" si="96"/>
        <v>1.0920686692408739E-2</v>
      </c>
      <c r="X550" s="21">
        <v>4.629665933178277</v>
      </c>
      <c r="Y550" s="21">
        <f t="shared" si="97"/>
        <v>75.555991198139338</v>
      </c>
      <c r="Z550" s="2">
        <f t="shared" si="98"/>
        <v>1.1459052183926847E-2</v>
      </c>
    </row>
    <row r="551" spans="1:26">
      <c r="A551" s="1">
        <v>74.8</v>
      </c>
      <c r="B551" s="1">
        <f t="shared" si="88"/>
        <v>347.95</v>
      </c>
      <c r="C551" s="4">
        <f>ROUND(10000*EXP(($AB$4)+($AC$4/B551)+($AD$4/(B551^2))+($AE$4/(B551^3))),6)</f>
        <v>1490.8395840000001</v>
      </c>
      <c r="D551" s="4">
        <f>((C551+2*$AC$5)*$AC$6)/((C551+2*$AC$5)+$AC$6)</f>
        <v>968.75380679426996</v>
      </c>
      <c r="E551" s="4">
        <f t="shared" si="89"/>
        <v>0.96875380679427003</v>
      </c>
      <c r="F551" s="24">
        <v>9.9990399102947171E-4</v>
      </c>
      <c r="G551" s="6">
        <v>0.96695684375768576</v>
      </c>
      <c r="H551" s="2">
        <f t="shared" si="90"/>
        <v>1.8549222970598235E-3</v>
      </c>
      <c r="I551" s="5">
        <f>G551/F551</f>
        <v>967.04968920279578</v>
      </c>
      <c r="J551" s="2">
        <f>ABS(D551-I551)/I551</f>
        <v>1.7621820372839435E-3</v>
      </c>
      <c r="K551" s="1">
        <f>$AD$10*B551+$AD$11</f>
        <v>962.50487072858414</v>
      </c>
      <c r="L551" s="2">
        <f>ABS(K551-D551)/D551</f>
        <v>6.4504893006452823E-3</v>
      </c>
      <c r="M551" s="21">
        <f>K551*F551</f>
        <v>0.96241246162681704</v>
      </c>
      <c r="N551" s="2">
        <f>ABS(M551-G551)/M551</f>
        <v>4.7218654288693511E-3</v>
      </c>
      <c r="O551" s="21">
        <f t="shared" si="91"/>
        <v>4.5443821308687182E-3</v>
      </c>
      <c r="P551" s="25">
        <f>$AD$18*B551+$AD$19</f>
        <v>4.5666666666666664</v>
      </c>
      <c r="Q551" s="25">
        <f>$AD$29*G551+$AD$30</f>
        <v>4.55054419630636</v>
      </c>
      <c r="R551" s="25">
        <f t="shared" si="92"/>
        <v>1.6122470360306451E-2</v>
      </c>
      <c r="S551" s="26">
        <v>4.6337669652852522</v>
      </c>
      <c r="T551" s="26">
        <f t="shared" si="93"/>
        <v>6.7100298618585796E-2</v>
      </c>
      <c r="U551" s="27">
        <f t="shared" si="94"/>
        <v>1.4693496047865504E-2</v>
      </c>
      <c r="V551" s="28">
        <f t="shared" si="95"/>
        <v>75.60520358342302</v>
      </c>
      <c r="W551" s="27">
        <f t="shared" si="96"/>
        <v>1.0764753789077841E-2</v>
      </c>
      <c r="X551" s="21">
        <v>4.6370054440495485</v>
      </c>
      <c r="Y551" s="21">
        <f t="shared" si="97"/>
        <v>75.644065328594593</v>
      </c>
      <c r="Z551" s="2">
        <f t="shared" si="98"/>
        <v>1.1284295836826145E-2</v>
      </c>
    </row>
    <row r="552" spans="1:26">
      <c r="A552" s="1">
        <v>74.900000000000006</v>
      </c>
      <c r="B552" s="1">
        <f t="shared" si="88"/>
        <v>348.04999999999995</v>
      </c>
      <c r="C552" s="4">
        <f>ROUND(10000*EXP(($AB$4)+($AC$4/B552)+($AD$4/(B552^2))+($AE$4/(B552^3))),6)</f>
        <v>1485.8786500000001</v>
      </c>
      <c r="D552" s="4">
        <f>((C552+2*$AC$5)*$AC$6)/((C552+2*$AC$5)+$AC$6)</f>
        <v>966.71176069238231</v>
      </c>
      <c r="E552" s="4">
        <f t="shared" si="89"/>
        <v>0.96671176069238229</v>
      </c>
      <c r="F552" s="24">
        <v>9.9990399102947171E-4</v>
      </c>
      <c r="G552" s="6">
        <v>0.96493313304912764</v>
      </c>
      <c r="H552" s="2">
        <f t="shared" si="90"/>
        <v>1.839873802694562E-3</v>
      </c>
      <c r="I552" s="5">
        <f>G552/F552</f>
        <v>965.02578418120015</v>
      </c>
      <c r="J552" s="2">
        <f>ABS(D552-I552)/I552</f>
        <v>1.7470792374865609E-3</v>
      </c>
      <c r="K552" s="1">
        <f>$AD$10*B552+$AD$11</f>
        <v>960.15575880971119</v>
      </c>
      <c r="L552" s="2">
        <f>ABS(K552-D552)/D552</f>
        <v>6.7817545510934496E-3</v>
      </c>
      <c r="M552" s="21">
        <f>K552*F552</f>
        <v>0.96006357524376107</v>
      </c>
      <c r="N552" s="2">
        <f>ABS(M552-G552)/M552</f>
        <v>5.0721201500954667E-3</v>
      </c>
      <c r="O552" s="21">
        <f t="shared" si="91"/>
        <v>4.8695578053665756E-3</v>
      </c>
      <c r="P552" s="25">
        <f>$AD$18*B552+$AD$19</f>
        <v>4.5749999999999993</v>
      </c>
      <c r="Q552" s="25">
        <f>$AD$29*G552+$AD$30</f>
        <v>4.5577238777189208</v>
      </c>
      <c r="R552" s="25">
        <f t="shared" si="92"/>
        <v>1.7276122281078443E-2</v>
      </c>
      <c r="S552" s="26">
        <v>4.6412304333478218</v>
      </c>
      <c r="T552" s="26">
        <f t="shared" si="93"/>
        <v>6.6230433347822526E-2</v>
      </c>
      <c r="U552" s="27">
        <f t="shared" si="94"/>
        <v>1.4476597453075965E-2</v>
      </c>
      <c r="V552" s="28">
        <f t="shared" si="95"/>
        <v>75.694765200173862</v>
      </c>
      <c r="W552" s="27">
        <f t="shared" si="96"/>
        <v>1.0611017358796476E-2</v>
      </c>
      <c r="X552" s="21">
        <v>4.6443558686926592</v>
      </c>
      <c r="Y552" s="21">
        <f t="shared" si="97"/>
        <v>75.73227042431192</v>
      </c>
      <c r="Z552" s="2">
        <f t="shared" si="98"/>
        <v>1.1111754663710477E-2</v>
      </c>
    </row>
    <row r="553" spans="1:26">
      <c r="A553" s="1">
        <v>75</v>
      </c>
      <c r="B553" s="1">
        <f t="shared" si="88"/>
        <v>348.15</v>
      </c>
      <c r="C553" s="4">
        <f>ROUND(10000*EXP(($AB$4)+($AC$4/B553)+($AD$4/(B553^2))+($AE$4/(B553^3))),6)</f>
        <v>1480.936762</v>
      </c>
      <c r="D553" s="4">
        <f>((C553+2*$AC$5)*$AC$6)/((C553+2*$AC$5)+$AC$6)</f>
        <v>964.67275919446456</v>
      </c>
      <c r="E553" s="4">
        <f t="shared" si="89"/>
        <v>0.9646727591944646</v>
      </c>
      <c r="F553" s="24">
        <v>9.9990399102947171E-4</v>
      </c>
      <c r="G553" s="6">
        <v>0.96290642606018151</v>
      </c>
      <c r="H553" s="2">
        <f t="shared" si="90"/>
        <v>1.8310179461873094E-3</v>
      </c>
      <c r="I553" s="5">
        <f>G553/F553</f>
        <v>962.99888259151896</v>
      </c>
      <c r="J553" s="2">
        <f>ABS(D553-I553)/I553</f>
        <v>1.7381916357379779E-3</v>
      </c>
      <c r="K553" s="1">
        <f>$AD$10*B553+$AD$11</f>
        <v>957.80664689083733</v>
      </c>
      <c r="L553" s="2">
        <f>ABS(K553-D553)/D553</f>
        <v>7.117555915397338E-3</v>
      </c>
      <c r="M553" s="21">
        <f>K553*F553</f>
        <v>0.95771468886070421</v>
      </c>
      <c r="N553" s="2">
        <f>ABS(M553-G553)/M553</f>
        <v>5.4209643642966149E-3</v>
      </c>
      <c r="O553" s="21">
        <f t="shared" si="91"/>
        <v>5.1917371994772976E-3</v>
      </c>
      <c r="P553" s="25">
        <f>$AD$18*B553+$AD$19</f>
        <v>4.5833333333333321</v>
      </c>
      <c r="Q553" s="25">
        <f>$AD$29*G553+$AD$30</f>
        <v>4.5649141892766494</v>
      </c>
      <c r="R553" s="25">
        <f t="shared" si="92"/>
        <v>1.8419144056682768E-2</v>
      </c>
      <c r="S553" s="26">
        <v>4.6487049524099913</v>
      </c>
      <c r="T553" s="26">
        <f t="shared" si="93"/>
        <v>6.5371619076659115E-2</v>
      </c>
      <c r="U553" s="27">
        <f t="shared" si="94"/>
        <v>1.4262898707634719E-2</v>
      </c>
      <c r="V553" s="28">
        <f t="shared" si="95"/>
        <v>75.784459428919888</v>
      </c>
      <c r="W553" s="27">
        <f t="shared" si="96"/>
        <v>1.0459459052265174E-2</v>
      </c>
      <c r="X553" s="21">
        <v>4.6521333655818342</v>
      </c>
      <c r="Y553" s="21">
        <f t="shared" si="97"/>
        <v>75.825600386982018</v>
      </c>
      <c r="Z553" s="2">
        <f t="shared" si="98"/>
        <v>1.1008005159760236E-2</v>
      </c>
    </row>
    <row r="554" spans="1:26">
      <c r="A554" s="1">
        <v>75.099999999999994</v>
      </c>
      <c r="B554" s="1">
        <f t="shared" si="88"/>
        <v>348.25</v>
      </c>
      <c r="C554" s="4">
        <f>ROUND(10000*EXP(($AB$4)+($AC$4/B554)+($AD$4/(B554^2))+($AE$4/(B554^3))),6)</f>
        <v>1476.0138380000001</v>
      </c>
      <c r="D554" s="4">
        <f>((C554+2*$AC$5)*$AC$6)/((C554+2*$AC$5)+$AC$6)</f>
        <v>962.6368068712743</v>
      </c>
      <c r="E554" s="4">
        <f t="shared" si="89"/>
        <v>0.96263680687127429</v>
      </c>
      <c r="F554" s="24">
        <v>9.9990399102947171E-4</v>
      </c>
      <c r="G554" s="6">
        <v>0.9608781507598777</v>
      </c>
      <c r="H554" s="2">
        <f t="shared" si="90"/>
        <v>1.8269155083655082E-3</v>
      </c>
      <c r="I554" s="5">
        <f>G554/F554</f>
        <v>960.9704125398938</v>
      </c>
      <c r="J554" s="2">
        <f>ABS(D554-I554)/I554</f>
        <v>1.7340745455171058E-3</v>
      </c>
      <c r="K554" s="1">
        <f>$AD$10*B554+$AD$11</f>
        <v>955.45753497196256</v>
      </c>
      <c r="L554" s="2">
        <f>ABS(K554-D554)/D554</f>
        <v>7.4579237445174581E-3</v>
      </c>
      <c r="M554" s="21">
        <f>K554*F554</f>
        <v>0.95536580247764635</v>
      </c>
      <c r="N554" s="2">
        <f>ABS(M554-G554)/M554</f>
        <v>5.7698823507557227E-3</v>
      </c>
      <c r="O554" s="21">
        <f t="shared" si="91"/>
        <v>5.5123482822313496E-3</v>
      </c>
      <c r="P554" s="25">
        <f>$AD$18*B554+$AD$19</f>
        <v>4.5916666666666686</v>
      </c>
      <c r="Q554" s="25">
        <f>$AD$29*G554+$AD$30</f>
        <v>4.5721100648588475</v>
      </c>
      <c r="R554" s="25">
        <f t="shared" si="92"/>
        <v>1.9556601807821039E-2</v>
      </c>
      <c r="S554" s="26">
        <v>4.6561852546494205</v>
      </c>
      <c r="T554" s="26">
        <f t="shared" si="93"/>
        <v>6.4518587982751896E-2</v>
      </c>
      <c r="U554" s="27">
        <f t="shared" si="94"/>
        <v>1.4051235132359754E-2</v>
      </c>
      <c r="V554" s="28">
        <f t="shared" si="95"/>
        <v>75.874223055793038</v>
      </c>
      <c r="W554" s="27">
        <f t="shared" si="96"/>
        <v>1.0309228439321493E-2</v>
      </c>
      <c r="X554" s="21">
        <v>4.659504396111644</v>
      </c>
      <c r="Y554" s="21">
        <f t="shared" si="97"/>
        <v>75.914052753339732</v>
      </c>
      <c r="Z554" s="2">
        <f t="shared" si="98"/>
        <v>1.0839583932619674E-2</v>
      </c>
    </row>
    <row r="555" spans="1:26">
      <c r="A555" s="1">
        <v>75.2</v>
      </c>
      <c r="B555" s="1">
        <f t="shared" si="88"/>
        <v>348.34999999999997</v>
      </c>
      <c r="C555" s="4">
        <f>ROUND(10000*EXP(($AB$4)+($AC$4/B555)+($AD$4/(B555^2))+($AE$4/(B555^3))),6)</f>
        <v>1471.109796</v>
      </c>
      <c r="D555" s="4">
        <f>((C555+2*$AC$5)*$AC$6)/((C555+2*$AC$5)+$AC$6)</f>
        <v>960.60390807284875</v>
      </c>
      <c r="E555" s="4">
        <f t="shared" si="89"/>
        <v>0.96060390807284879</v>
      </c>
      <c r="F555" s="24">
        <v>9.9990399102947171E-4</v>
      </c>
      <c r="G555" s="6">
        <v>0.95884557890227762</v>
      </c>
      <c r="H555" s="2">
        <f t="shared" si="90"/>
        <v>1.8304414085704779E-3</v>
      </c>
      <c r="I555" s="5">
        <f>G555/F555</f>
        <v>958.93764551842469</v>
      </c>
      <c r="J555" s="2">
        <f>ABS(D555-I555)/I555</f>
        <v>1.7376130368969339E-3</v>
      </c>
      <c r="K555" s="1">
        <f>$AD$10*B555+$AD$11</f>
        <v>953.10842305308961</v>
      </c>
      <c r="L555" s="2">
        <f>ABS(K555-D555)/D555</f>
        <v>7.8028883255289788E-3</v>
      </c>
      <c r="M555" s="21">
        <f>K555*F555</f>
        <v>0.95301691609459049</v>
      </c>
      <c r="N555" s="2">
        <f>ABS(M555-G555)/M555</f>
        <v>6.1160119083433009E-3</v>
      </c>
      <c r="O555" s="21">
        <f t="shared" si="91"/>
        <v>5.8286628076871239E-3</v>
      </c>
      <c r="P555" s="25">
        <f>$AD$18*B555+$AD$19</f>
        <v>4.5999999999999979</v>
      </c>
      <c r="Q555" s="25">
        <f>$AD$29*G555+$AD$30</f>
        <v>4.5793211836832883</v>
      </c>
      <c r="R555" s="25">
        <f t="shared" si="92"/>
        <v>2.0678816316709536E-2</v>
      </c>
      <c r="S555" s="26">
        <v>4.6636814019988435</v>
      </c>
      <c r="T555" s="26">
        <f t="shared" si="93"/>
        <v>6.3681401998845644E-2</v>
      </c>
      <c r="U555" s="27">
        <f t="shared" si="94"/>
        <v>1.3843783043227319E-2</v>
      </c>
      <c r="V555" s="28">
        <f t="shared" si="95"/>
        <v>75.964176823986122</v>
      </c>
      <c r="W555" s="27">
        <f t="shared" si="96"/>
        <v>1.0161925850879246E-2</v>
      </c>
      <c r="X555" s="21">
        <v>4.6668860139456037</v>
      </c>
      <c r="Y555" s="21">
        <f t="shared" si="97"/>
        <v>76.002632167347258</v>
      </c>
      <c r="Z555" s="2">
        <f t="shared" si="98"/>
        <v>1.0673300097702862E-2</v>
      </c>
    </row>
    <row r="556" spans="1:26">
      <c r="A556" s="1">
        <v>75.3</v>
      </c>
      <c r="B556" s="1">
        <f t="shared" si="88"/>
        <v>348.45</v>
      </c>
      <c r="C556" s="4">
        <f>ROUND(10000*EXP(($AB$4)+($AC$4/B556)+($AD$4/(B556^2))+($AE$4/(B556^3))),6)</f>
        <v>1466.224555</v>
      </c>
      <c r="D556" s="4">
        <f>((C556+2*$AC$5)*$AC$6)/((C556+2*$AC$5)+$AC$6)</f>
        <v>958.57406734359961</v>
      </c>
      <c r="E556" s="4">
        <f t="shared" si="89"/>
        <v>0.95857406734359962</v>
      </c>
      <c r="F556" s="24">
        <v>9.9990399102947171E-4</v>
      </c>
      <c r="G556" s="6">
        <v>0.95681011218898138</v>
      </c>
      <c r="H556" s="2">
        <f t="shared" si="90"/>
        <v>1.8401866008189839E-3</v>
      </c>
      <c r="I556" s="5">
        <f>G556/F556</f>
        <v>956.90198336330059</v>
      </c>
      <c r="J556" s="2">
        <f>ABS(D556-I556)/I556</f>
        <v>1.7473931597696275E-3</v>
      </c>
      <c r="K556" s="1">
        <f>$AD$10*B556+$AD$11</f>
        <v>950.75931113421484</v>
      </c>
      <c r="L556" s="2">
        <f>ABS(K556-D556)/D556</f>
        <v>8.1524803096760384E-3</v>
      </c>
      <c r="M556" s="21">
        <f>K556*F556</f>
        <v>0.95066802971153264</v>
      </c>
      <c r="N556" s="2">
        <f>ABS(M556-G556)/M556</f>
        <v>6.4608068068855457E-3</v>
      </c>
      <c r="O556" s="21">
        <f t="shared" si="91"/>
        <v>6.1420824774487404E-3</v>
      </c>
      <c r="P556" s="25">
        <f>$AD$18*B556+$AD$19</f>
        <v>4.6083333333333343</v>
      </c>
      <c r="Q556" s="25">
        <f>$AD$29*G556+$AD$30</f>
        <v>4.5865425728203508</v>
      </c>
      <c r="R556" s="25">
        <f t="shared" si="92"/>
        <v>2.1790760512983454E-2</v>
      </c>
      <c r="S556" s="26">
        <v>4.6711882250959267</v>
      </c>
      <c r="T556" s="26">
        <f t="shared" si="93"/>
        <v>6.2854891762592402E-2</v>
      </c>
      <c r="U556" s="27">
        <f t="shared" si="94"/>
        <v>1.3639397850833792E-2</v>
      </c>
      <c r="V556" s="28">
        <f t="shared" si="95"/>
        <v>76.054258701151113</v>
      </c>
      <c r="W556" s="27">
        <f t="shared" si="96"/>
        <v>1.001671581873992E-2</v>
      </c>
      <c r="X556" s="21">
        <v>4.6742781100211355</v>
      </c>
      <c r="Y556" s="21">
        <f t="shared" si="97"/>
        <v>76.091337320253629</v>
      </c>
      <c r="Z556" s="2">
        <f t="shared" si="98"/>
        <v>1.0509127759012377E-2</v>
      </c>
    </row>
    <row r="557" spans="1:26">
      <c r="A557" s="1">
        <v>75.400000000000006</v>
      </c>
      <c r="B557" s="1">
        <f t="shared" si="88"/>
        <v>348.54999999999995</v>
      </c>
      <c r="C557" s="4">
        <f>ROUND(10000*EXP(($AB$4)+($AC$4/B557)+($AD$4/(B557^2))+($AE$4/(B557^3))),6)</f>
        <v>1461.3580340000001</v>
      </c>
      <c r="D557" s="4">
        <f>((C557+2*$AC$5)*$AC$6)/((C557+2*$AC$5)+$AC$6)</f>
        <v>956.54728900931048</v>
      </c>
      <c r="E557" s="4">
        <f t="shared" si="89"/>
        <v>0.95654728900931052</v>
      </c>
      <c r="F557" s="24">
        <v>9.9990399102947171E-4</v>
      </c>
      <c r="G557" s="6">
        <v>0.9547717806565944</v>
      </c>
      <c r="H557" s="2">
        <f t="shared" si="90"/>
        <v>1.8561636974111307E-3</v>
      </c>
      <c r="I557" s="5">
        <f>G557/F557</f>
        <v>954.863456114011</v>
      </c>
      <c r="J557" s="2">
        <f>ABS(D557-I557)/I557</f>
        <v>1.763427937803941E-3</v>
      </c>
      <c r="K557" s="1">
        <f>$AD$10*B557+$AD$11</f>
        <v>948.41019921534189</v>
      </c>
      <c r="L557" s="2">
        <f>ABS(K557-D557)/D557</f>
        <v>8.5067302865874123E-3</v>
      </c>
      <c r="M557" s="21">
        <f>K557*F557</f>
        <v>0.94831914332847667</v>
      </c>
      <c r="N557" s="2">
        <f>ABS(M557-G557)/M557</f>
        <v>6.8042888024698331E-3</v>
      </c>
      <c r="O557" s="21">
        <f t="shared" si="91"/>
        <v>6.4526373281177385E-3</v>
      </c>
      <c r="P557" s="25">
        <f>$AD$18*B557+$AD$19</f>
        <v>4.6166666666666636</v>
      </c>
      <c r="Q557" s="25">
        <f>$AD$29*G557+$AD$30</f>
        <v>4.5937741257067524</v>
      </c>
      <c r="R557" s="25">
        <f t="shared" si="92"/>
        <v>2.2892540959911223E-2</v>
      </c>
      <c r="S557" s="26">
        <v>4.6787056154616469</v>
      </c>
      <c r="T557" s="26">
        <f t="shared" si="93"/>
        <v>6.2038948794983284E-2</v>
      </c>
      <c r="U557" s="27">
        <f t="shared" si="94"/>
        <v>1.3438039450176893E-2</v>
      </c>
      <c r="V557" s="28">
        <f t="shared" si="95"/>
        <v>76.144467385539755</v>
      </c>
      <c r="W557" s="27">
        <f t="shared" si="96"/>
        <v>9.873572752516574E-3</v>
      </c>
      <c r="X557" s="21">
        <v>4.6820932836606888</v>
      </c>
      <c r="Y557" s="21">
        <f t="shared" si="97"/>
        <v>76.185119403928269</v>
      </c>
      <c r="Z557" s="2">
        <f t="shared" si="98"/>
        <v>1.0412724190030014E-2</v>
      </c>
    </row>
    <row r="558" spans="1:26">
      <c r="A558" s="1">
        <v>75.5</v>
      </c>
      <c r="B558" s="1">
        <f t="shared" si="88"/>
        <v>348.65</v>
      </c>
      <c r="C558" s="4">
        <f>ROUND(10000*EXP(($AB$4)+($AC$4/B558)+($AD$4/(B558^2))+($AE$4/(B558^3))),6)</f>
        <v>1456.5101520000001</v>
      </c>
      <c r="D558" s="4">
        <f>((C558+2*$AC$5)*$AC$6)/((C558+2*$AC$5)+$AC$6)</f>
        <v>954.52357717625875</v>
      </c>
      <c r="E558" s="4">
        <f t="shared" si="89"/>
        <v>0.9545235771762588</v>
      </c>
      <c r="F558" s="24">
        <v>9.9990399102947171E-4</v>
      </c>
      <c r="G558" s="6">
        <v>0.9527292426556454</v>
      </c>
      <c r="H558" s="2">
        <f t="shared" si="90"/>
        <v>1.8798221055173151E-3</v>
      </c>
      <c r="I558" s="5">
        <f>G558/F558</f>
        <v>952.82072199226195</v>
      </c>
      <c r="J558" s="2">
        <f>ABS(D558-I558)/I558</f>
        <v>1.7871727017400366E-3</v>
      </c>
      <c r="K558" s="1">
        <f>$AD$10*B558+$AD$11</f>
        <v>946.06108729646712</v>
      </c>
      <c r="L558" s="2">
        <f>ABS(K558-D558)/D558</f>
        <v>8.8656687819341114E-3</v>
      </c>
      <c r="M558" s="21">
        <f>K558*F558</f>
        <v>0.94597025694541892</v>
      </c>
      <c r="N558" s="2">
        <f>ABS(M558-G558)/M558</f>
        <v>7.1450298364047482E-3</v>
      </c>
      <c r="O558" s="21">
        <f t="shared" si="91"/>
        <v>6.7589857102264839E-3</v>
      </c>
      <c r="P558" s="25">
        <f>$AD$18*B558+$AD$19</f>
        <v>4.625</v>
      </c>
      <c r="Q558" s="25">
        <f>$AD$29*G558+$AD$30</f>
        <v>4.6010206022203404</v>
      </c>
      <c r="R558" s="25">
        <f t="shared" si="92"/>
        <v>2.3979397779659628E-2</v>
      </c>
      <c r="S558" s="26">
        <v>4.6862385187770048</v>
      </c>
      <c r="T558" s="26">
        <f t="shared" si="93"/>
        <v>6.1238518777004813E-2</v>
      </c>
      <c r="U558" s="27">
        <f t="shared" si="94"/>
        <v>1.324076081664969E-2</v>
      </c>
      <c r="V558" s="28">
        <f t="shared" si="95"/>
        <v>76.234862225324051</v>
      </c>
      <c r="W558" s="27">
        <f t="shared" si="96"/>
        <v>9.7332745076033206E-3</v>
      </c>
      <c r="X558" s="21">
        <v>4.6895051251873499</v>
      </c>
      <c r="Y558" s="21">
        <f t="shared" si="97"/>
        <v>76.274061502248202</v>
      </c>
      <c r="Z558" s="2">
        <f t="shared" si="98"/>
        <v>1.0252470228453004E-2</v>
      </c>
    </row>
    <row r="559" spans="1:26">
      <c r="A559" s="1">
        <v>75.599999999999994</v>
      </c>
      <c r="B559" s="1">
        <f t="shared" si="88"/>
        <v>348.75</v>
      </c>
      <c r="C559" s="4">
        <f>ROUND(10000*EXP(($AB$4)+($AC$4/B559)+($AD$4/(B559^2))+($AE$4/(B559^3))),6)</f>
        <v>1451.6808289999999</v>
      </c>
      <c r="D559" s="4">
        <f>((C559+2*$AC$5)*$AC$6)/((C559+2*$AC$5)+$AC$6)</f>
        <v>952.50293614924101</v>
      </c>
      <c r="E559" s="4">
        <f t="shared" si="89"/>
        <v>0.95250293614924098</v>
      </c>
      <c r="F559" s="24">
        <v>9.9990399102947171E-4</v>
      </c>
      <c r="G559" s="6">
        <v>0.95068528173740219</v>
      </c>
      <c r="H559" s="2">
        <f t="shared" si="90"/>
        <v>1.9082927126578345E-3</v>
      </c>
      <c r="I559" s="5">
        <f>G559/F559</f>
        <v>950.77656481659267</v>
      </c>
      <c r="J559" s="2">
        <f>ABS(D559-I559)/I559</f>
        <v>1.8157487221841261E-3</v>
      </c>
      <c r="K559" s="1">
        <f>$AD$10*B559+$AD$11</f>
        <v>943.71197537759326</v>
      </c>
      <c r="L559" s="2">
        <f>ABS(K559-D559)/D559</f>
        <v>9.2293266907792007E-3</v>
      </c>
      <c r="M559" s="21">
        <f>K559*F559</f>
        <v>0.94362137056236206</v>
      </c>
      <c r="N559" s="2">
        <f>ABS(M559-G559)/M559</f>
        <v>7.4859593004239699E-3</v>
      </c>
      <c r="O559" s="21">
        <f t="shared" si="91"/>
        <v>7.0639111750401273E-3</v>
      </c>
      <c r="P559" s="25">
        <f>$AD$18*B559+$AD$19</f>
        <v>4.6333333333333364</v>
      </c>
      <c r="Q559" s="25">
        <f>$AD$29*G559+$AD$30</f>
        <v>4.6082721269321745</v>
      </c>
      <c r="R559" s="25">
        <f t="shared" si="92"/>
        <v>2.506120640116194E-2</v>
      </c>
      <c r="S559" s="26">
        <v>4.6937766698746088</v>
      </c>
      <c r="T559" s="26">
        <f t="shared" si="93"/>
        <v>6.044333654127243E-2</v>
      </c>
      <c r="U559" s="27">
        <f t="shared" si="94"/>
        <v>1.3045324433368142E-2</v>
      </c>
      <c r="V559" s="28">
        <f t="shared" si="95"/>
        <v>76.325320038495306</v>
      </c>
      <c r="W559" s="27">
        <f t="shared" si="96"/>
        <v>9.5941804033771415E-3</v>
      </c>
      <c r="X559" s="21">
        <v>4.6969271225260814</v>
      </c>
      <c r="Y559" s="21">
        <f t="shared" si="97"/>
        <v>76.36312547031298</v>
      </c>
      <c r="Z559" s="2">
        <f t="shared" si="98"/>
        <v>1.0094252252817269E-2</v>
      </c>
    </row>
    <row r="560" spans="1:26">
      <c r="A560" s="1">
        <v>75.7</v>
      </c>
      <c r="B560" s="1">
        <f t="shared" si="88"/>
        <v>348.84999999999997</v>
      </c>
      <c r="C560" s="4">
        <f>ROUND(10000*EXP(($AB$4)+($AC$4/B560)+($AD$4/(B560^2))+($AE$4/(B560^3))),6)</f>
        <v>1446.869985</v>
      </c>
      <c r="D560" s="4">
        <f>((C560+2*$AC$5)*$AC$6)/((C560+2*$AC$5)+$AC$6)</f>
        <v>950.48537001569059</v>
      </c>
      <c r="E560" s="4">
        <f t="shared" si="89"/>
        <v>0.95048537001569056</v>
      </c>
      <c r="F560" s="24">
        <v>9.9990399102947171E-4</v>
      </c>
      <c r="G560" s="6">
        <v>0.94874979231284129</v>
      </c>
      <c r="H560" s="2">
        <f t="shared" si="90"/>
        <v>1.8259909700878575E-3</v>
      </c>
      <c r="I560" s="5">
        <f>G560/F560</f>
        <v>948.84088954984213</v>
      </c>
      <c r="J560" s="2">
        <f>ABS(D560-I560)/I560</f>
        <v>1.7331467098015238E-3</v>
      </c>
      <c r="K560" s="1">
        <f>$AD$10*B560+$AD$11</f>
        <v>941.36286345872031</v>
      </c>
      <c r="L560" s="2">
        <f>ABS(K560-D560)/D560</f>
        <v>9.5977348465865232E-3</v>
      </c>
      <c r="M560" s="21">
        <f>K560*F560</f>
        <v>0.94127248417930609</v>
      </c>
      <c r="N560" s="2">
        <f>ABS(M560-G560)/M560</f>
        <v>7.9438295065585082E-3</v>
      </c>
      <c r="O560" s="21">
        <f t="shared" si="91"/>
        <v>7.4773081335351979E-3</v>
      </c>
      <c r="P560" s="25">
        <f>$AD$18*B560+$AD$19</f>
        <v>4.6416666666666657</v>
      </c>
      <c r="Q560" s="25">
        <f>$AD$29*G560+$AD$30</f>
        <v>4.615138818592678</v>
      </c>
      <c r="R560" s="25">
        <f t="shared" si="92"/>
        <v>2.652784807398767E-2</v>
      </c>
      <c r="S560" s="26">
        <v>4.7009119363866398</v>
      </c>
      <c r="T560" s="26">
        <f t="shared" si="93"/>
        <v>5.9245269719974125E-2</v>
      </c>
      <c r="U560" s="27">
        <f t="shared" si="94"/>
        <v>1.2763792399276296E-2</v>
      </c>
      <c r="V560" s="28">
        <f t="shared" si="95"/>
        <v>76.410943236639682</v>
      </c>
      <c r="W560" s="27">
        <f t="shared" si="96"/>
        <v>9.3915883307751497E-3</v>
      </c>
      <c r="X560" s="21">
        <v>4.7043591682548174</v>
      </c>
      <c r="Y560" s="21">
        <f t="shared" si="97"/>
        <v>76.452310019057819</v>
      </c>
      <c r="Z560" s="2">
        <f t="shared" si="98"/>
        <v>9.9380451658892498E-3</v>
      </c>
    </row>
    <row r="561" spans="1:26">
      <c r="A561" s="1">
        <v>75.8</v>
      </c>
      <c r="B561" s="1">
        <f t="shared" si="88"/>
        <v>348.95</v>
      </c>
      <c r="C561" s="4">
        <f>ROUND(10000*EXP(($AB$4)+($AC$4/B561)+($AD$4/(B561^2))+($AE$4/(B561^3))),6)</f>
        <v>1442.07754</v>
      </c>
      <c r="D561" s="4">
        <f>((C561+2*$AC$5)*$AC$6)/((C561+2*$AC$5)+$AC$6)</f>
        <v>948.47088264482454</v>
      </c>
      <c r="E561" s="4">
        <f t="shared" si="89"/>
        <v>0.9484708826448246</v>
      </c>
      <c r="F561" s="24">
        <v>9.9990399102947171E-4</v>
      </c>
      <c r="G561" s="6">
        <v>0.94681244275798815</v>
      </c>
      <c r="H561" s="2">
        <f t="shared" si="90"/>
        <v>1.7485406428206481E-3</v>
      </c>
      <c r="I561" s="5">
        <f>G561/F561</f>
        <v>946.90335397419301</v>
      </c>
      <c r="J561" s="2">
        <f>ABS(D561-I561)/I561</f>
        <v>1.6554262523757557E-3</v>
      </c>
      <c r="K561" s="1">
        <f>$AD$10*B561+$AD$11</f>
        <v>939.01375153984554</v>
      </c>
      <c r="L561" s="2">
        <f>ABS(K561-D561)/D561</f>
        <v>9.9709240188878053E-3</v>
      </c>
      <c r="M561" s="21">
        <f>K561*F561</f>
        <v>0.93892359779624834</v>
      </c>
      <c r="N561" s="2">
        <f>ABS(M561-G561)/M561</f>
        <v>8.4020094715435284E-3</v>
      </c>
      <c r="O561" s="21">
        <f t="shared" si="91"/>
        <v>7.8888449617398049E-3</v>
      </c>
      <c r="P561" s="25">
        <f>$AD$18*B561+$AD$19</f>
        <v>4.6500000000000021</v>
      </c>
      <c r="Q561" s="25">
        <f>$AD$29*G561+$AD$30</f>
        <v>4.62201210958718</v>
      </c>
      <c r="R561" s="25">
        <f t="shared" si="92"/>
        <v>2.7987890412822125E-2</v>
      </c>
      <c r="S561" s="26">
        <v>4.7080597438409155</v>
      </c>
      <c r="T561" s="26">
        <f t="shared" si="93"/>
        <v>5.8059743840913391E-2</v>
      </c>
      <c r="U561" s="27">
        <f t="shared" si="94"/>
        <v>1.2485966417400724E-2</v>
      </c>
      <c r="V561" s="28">
        <f t="shared" si="95"/>
        <v>76.496716926090997</v>
      </c>
      <c r="W561" s="27">
        <f t="shared" si="96"/>
        <v>9.191516175343006E-3</v>
      </c>
      <c r="X561" s="21">
        <v>4.7113919869401686</v>
      </c>
      <c r="Y561" s="21">
        <f t="shared" si="97"/>
        <v>76.536703843282027</v>
      </c>
      <c r="Z561" s="2">
        <f t="shared" si="98"/>
        <v>9.7190480644067205E-3</v>
      </c>
    </row>
    <row r="562" spans="1:26">
      <c r="A562" s="1">
        <v>75.900000000000006</v>
      </c>
      <c r="B562" s="1">
        <f t="shared" si="88"/>
        <v>349.04999999999995</v>
      </c>
      <c r="C562" s="4">
        <f>ROUND(10000*EXP(($AB$4)+($AC$4/B562)+($AD$4/(B562^2))+($AE$4/(B562^3))),6)</f>
        <v>1437.3034170000001</v>
      </c>
      <c r="D562" s="4">
        <f>((C562+2*$AC$5)*$AC$6)/((C562+2*$AC$5)+$AC$6)</f>
        <v>946.45947895219513</v>
      </c>
      <c r="E562" s="4">
        <f t="shared" si="89"/>
        <v>0.94645947895219518</v>
      </c>
      <c r="F562" s="24">
        <v>9.9990399102947171E-4</v>
      </c>
      <c r="G562" s="6">
        <v>0.94475837376942506</v>
      </c>
      <c r="H562" s="2">
        <f t="shared" si="90"/>
        <v>1.7973354597846805E-3</v>
      </c>
      <c r="I562" s="5">
        <f>G562/F562</f>
        <v>944.84908775764529</v>
      </c>
      <c r="J562" s="2">
        <f>ABS(D562-I562)/I562</f>
        <v>1.7043898495702424E-3</v>
      </c>
      <c r="K562" s="1">
        <f>$AD$10*B562+$AD$11</f>
        <v>936.66463962097259</v>
      </c>
      <c r="L562" s="2">
        <f>ABS(K562-D562)/D562</f>
        <v>1.0348926234080501E-2</v>
      </c>
      <c r="M562" s="21">
        <f>K562*F562</f>
        <v>0.93657471141319237</v>
      </c>
      <c r="N562" s="2">
        <f>ABS(M562-G562)/M562</f>
        <v>8.7378638954327612E-3</v>
      </c>
      <c r="O562" s="21">
        <f t="shared" si="91"/>
        <v>8.1836623562326904E-3</v>
      </c>
      <c r="P562" s="25">
        <f>$AD$18*B562+$AD$19</f>
        <v>4.6583333333333314</v>
      </c>
      <c r="Q562" s="25">
        <f>$AD$29*G562+$AD$30</f>
        <v>4.6292994955139033</v>
      </c>
      <c r="R562" s="25">
        <f t="shared" si="92"/>
        <v>2.9033837819428143E-2</v>
      </c>
      <c r="S562" s="26">
        <v>4.7156320461555223</v>
      </c>
      <c r="T562" s="26">
        <f t="shared" si="93"/>
        <v>5.72987128221909E-2</v>
      </c>
      <c r="U562" s="27">
        <f t="shared" si="94"/>
        <v>1.2300260355389822E-2</v>
      </c>
      <c r="V562" s="28">
        <f t="shared" si="95"/>
        <v>76.587584553866279</v>
      </c>
      <c r="W562" s="27">
        <f t="shared" si="96"/>
        <v>9.0590850311761915E-3</v>
      </c>
      <c r="X562" s="21">
        <v>4.7188446898353797</v>
      </c>
      <c r="Y562" s="21">
        <f t="shared" si="97"/>
        <v>76.626136278024561</v>
      </c>
      <c r="Z562" s="2">
        <f t="shared" si="98"/>
        <v>9.5670128856990087E-3</v>
      </c>
    </row>
    <row r="563" spans="1:26">
      <c r="A563" s="1">
        <v>76</v>
      </c>
      <c r="B563" s="1">
        <f t="shared" si="88"/>
        <v>349.15</v>
      </c>
      <c r="C563" s="4">
        <f>ROUND(10000*EXP(($AB$4)+($AC$4/B563)+($AD$4/(B563^2))+($AE$4/(B563^3))),6)</f>
        <v>1432.5475349999999</v>
      </c>
      <c r="D563" s="4">
        <f>((C563+2*$AC$5)*$AC$6)/((C563+2*$AC$5)+$AC$6)</f>
        <v>944.4511619540076</v>
      </c>
      <c r="E563" s="4">
        <f t="shared" si="89"/>
        <v>0.94445116195400758</v>
      </c>
      <c r="F563" s="24">
        <v>9.9990399102947171E-4</v>
      </c>
      <c r="G563" s="6">
        <v>0.94281490900560494</v>
      </c>
      <c r="H563" s="2">
        <f t="shared" si="90"/>
        <v>1.7324907992249581E-3</v>
      </c>
      <c r="I563" s="5">
        <f>G563/F563</f>
        <v>942.90543638585791</v>
      </c>
      <c r="J563" s="2">
        <f>ABS(D563-I563)/I563</f>
        <v>1.6393219388727189E-3</v>
      </c>
      <c r="K563" s="1">
        <f>$AD$10*B563+$AD$11</f>
        <v>934.31552770209782</v>
      </c>
      <c r="L563" s="2">
        <f>ABS(K563-D563)/D563</f>
        <v>1.0731771700020798E-2</v>
      </c>
      <c r="M563" s="21">
        <f>K563*F563</f>
        <v>0.93422582503013452</v>
      </c>
      <c r="N563" s="2">
        <f>ABS(M563-G563)/M563</f>
        <v>9.1937984857070002E-3</v>
      </c>
      <c r="O563" s="21">
        <f t="shared" si="91"/>
        <v>8.589083975470424E-3</v>
      </c>
      <c r="P563" s="25">
        <f>$AD$18*B563+$AD$19</f>
        <v>4.6666666666666679</v>
      </c>
      <c r="Q563" s="25">
        <f>$AD$29*G563+$AD$30</f>
        <v>4.6361944819276015</v>
      </c>
      <c r="R563" s="25">
        <f t="shared" si="92"/>
        <v>3.0472184739066321E-2</v>
      </c>
      <c r="S563" s="26">
        <v>4.7228026936582941</v>
      </c>
      <c r="T563" s="26">
        <f t="shared" si="93"/>
        <v>5.6136026991626231E-2</v>
      </c>
      <c r="U563" s="27">
        <f t="shared" si="94"/>
        <v>1.202914864106276E-2</v>
      </c>
      <c r="V563" s="28">
        <f t="shared" si="95"/>
        <v>76.67363232389954</v>
      </c>
      <c r="W563" s="27">
        <f t="shared" si="96"/>
        <v>8.8635832092044693E-3</v>
      </c>
      <c r="X563" s="21">
        <v>4.7263071194598503</v>
      </c>
      <c r="Y563" s="21">
        <f t="shared" si="97"/>
        <v>76.715685433518217</v>
      </c>
      <c r="Z563" s="2">
        <f t="shared" si="98"/>
        <v>9.4169135989239146E-3</v>
      </c>
    </row>
    <row r="564" spans="1:26">
      <c r="A564" s="1">
        <v>76.099999999999994</v>
      </c>
      <c r="B564" s="1">
        <f t="shared" si="88"/>
        <v>349.25</v>
      </c>
      <c r="C564" s="4">
        <f>ROUND(10000*EXP(($AB$4)+($AC$4/B564)+($AD$4/(B564^2))+($AE$4/(B564^3))),6)</f>
        <v>1427.8098170000001</v>
      </c>
      <c r="D564" s="4">
        <f>((C564+2*$AC$5)*$AC$6)/((C564+2*$AC$5)+$AC$6)</f>
        <v>942.44593613680627</v>
      </c>
      <c r="E564" s="4">
        <f t="shared" si="89"/>
        <v>0.94244593613680627</v>
      </c>
      <c r="F564" s="24">
        <v>9.9990399102947171E-4</v>
      </c>
      <c r="G564" s="6">
        <v>0.94075661725920279</v>
      </c>
      <c r="H564" s="2">
        <f t="shared" si="90"/>
        <v>1.7924835927758322E-3</v>
      </c>
      <c r="I564" s="5">
        <f>G564/F564</f>
        <v>940.84694700600949</v>
      </c>
      <c r="J564" s="2">
        <f>ABS(D564-I564)/I564</f>
        <v>1.6995209857300709E-3</v>
      </c>
      <c r="K564" s="1">
        <f>$AD$10*B564+$AD$11</f>
        <v>931.96641578322306</v>
      </c>
      <c r="L564" s="2">
        <f>ABS(K564-D564)/D564</f>
        <v>1.111949232498149E-2</v>
      </c>
      <c r="M564" s="21">
        <f>K564*F564</f>
        <v>0.93187693864707677</v>
      </c>
      <c r="N564" s="2">
        <f>ABS(M564-G564)/M564</f>
        <v>9.5288103437968612E-3</v>
      </c>
      <c r="O564" s="21">
        <f t="shared" si="91"/>
        <v>8.8796786121260185E-3</v>
      </c>
      <c r="P564" s="25">
        <f>$AD$18*B564+$AD$19</f>
        <v>4.6750000000000007</v>
      </c>
      <c r="Q564" s="25">
        <f>$AD$29*G564+$AD$30</f>
        <v>4.6434968492722906</v>
      </c>
      <c r="R564" s="25">
        <f t="shared" si="92"/>
        <v>3.150315072771015E-2</v>
      </c>
      <c r="S564" s="26">
        <v>4.7303936976020147</v>
      </c>
      <c r="T564" s="26">
        <f t="shared" si="93"/>
        <v>5.5393697602013958E-2</v>
      </c>
      <c r="U564" s="27">
        <f t="shared" si="94"/>
        <v>1.1848919273158063E-2</v>
      </c>
      <c r="V564" s="28">
        <f t="shared" si="95"/>
        <v>76.764724371224176</v>
      </c>
      <c r="W564" s="27">
        <f t="shared" si="96"/>
        <v>8.7348800423676966E-3</v>
      </c>
      <c r="X564" s="21">
        <v>4.7337791697788552</v>
      </c>
      <c r="Y564" s="21">
        <f t="shared" si="97"/>
        <v>76.805350037346273</v>
      </c>
      <c r="Z564" s="2">
        <f t="shared" si="98"/>
        <v>9.2687258521192938E-3</v>
      </c>
    </row>
    <row r="565" spans="1:26">
      <c r="A565" s="1">
        <v>76.2</v>
      </c>
      <c r="B565" s="1">
        <f t="shared" si="88"/>
        <v>349.34999999999997</v>
      </c>
      <c r="C565" s="4">
        <f>ROUND(10000*EXP(($AB$4)+($AC$4/B565)+($AD$4/(B565^2))+($AE$4/(B565^3))),6)</f>
        <v>1423.0901839999999</v>
      </c>
      <c r="D565" s="4">
        <f>((C565+2*$AC$5)*$AC$6)/((C565+2*$AC$5)+$AC$6)</f>
        <v>940.4438049278051</v>
      </c>
      <c r="E565" s="4">
        <f t="shared" si="89"/>
        <v>0.9404438049278051</v>
      </c>
      <c r="F565" s="24">
        <v>9.9990399102947171E-4</v>
      </c>
      <c r="G565" s="6">
        <v>0.93869433884376541</v>
      </c>
      <c r="H565" s="2">
        <f t="shared" si="90"/>
        <v>1.8602558439671979E-3</v>
      </c>
      <c r="I565" s="5">
        <f>G565/F565</f>
        <v>938.78447057433323</v>
      </c>
      <c r="J565" s="2">
        <f>ABS(D565-I565)/I565</f>
        <v>1.7675349406416181E-3</v>
      </c>
      <c r="K565" s="1">
        <f>$AD$10*B565+$AD$11</f>
        <v>929.61730386435011</v>
      </c>
      <c r="L565" s="2">
        <f>ABS(K565-D565)/D565</f>
        <v>1.1512119072639448E-2</v>
      </c>
      <c r="M565" s="21">
        <f>K565*F565</f>
        <v>0.9295280522640208</v>
      </c>
      <c r="N565" s="2">
        <f>ABS(M565-G565)/M565</f>
        <v>9.8612264120685623E-3</v>
      </c>
      <c r="O565" s="21">
        <f t="shared" si="91"/>
        <v>9.1662865797446091E-3</v>
      </c>
      <c r="P565" s="25">
        <f>$AD$18*B565+$AD$19</f>
        <v>4.6833333333333336</v>
      </c>
      <c r="Q565" s="25">
        <f>$AD$29*G565+$AD$30</f>
        <v>4.6508133604436868</v>
      </c>
      <c r="R565" s="25">
        <f t="shared" si="92"/>
        <v>3.2519972889646809E-2</v>
      </c>
      <c r="S565" s="26">
        <v>4.7379959915732659</v>
      </c>
      <c r="T565" s="26">
        <f t="shared" si="93"/>
        <v>5.4662658239932327E-2</v>
      </c>
      <c r="U565" s="27">
        <f t="shared" si="94"/>
        <v>1.1671741972939286E-2</v>
      </c>
      <c r="V565" s="28">
        <f t="shared" si="95"/>
        <v>76.855951898879184</v>
      </c>
      <c r="W565" s="27">
        <f t="shared" si="96"/>
        <v>8.6082926362097221E-3</v>
      </c>
      <c r="X565" s="21">
        <v>4.7412607351131504</v>
      </c>
      <c r="Y565" s="21">
        <f t="shared" si="97"/>
        <v>76.895128821357815</v>
      </c>
      <c r="Z565" s="2">
        <f t="shared" si="98"/>
        <v>9.1224254771366461E-3</v>
      </c>
    </row>
    <row r="566" spans="1:26">
      <c r="A566" s="1">
        <v>76.3</v>
      </c>
      <c r="B566" s="1">
        <f t="shared" si="88"/>
        <v>349.45</v>
      </c>
      <c r="C566" s="4">
        <f>ROUND(10000*EXP(($AB$4)+($AC$4/B566)+($AD$4/(B566^2))+($AE$4/(B566^3))),6)</f>
        <v>1418.3885600000001</v>
      </c>
      <c r="D566" s="4">
        <f>((C566+2*$AC$5)*$AC$6)/((C566+2*$AC$5)+$AC$6)</f>
        <v>938.44477281272975</v>
      </c>
      <c r="E566" s="4">
        <f t="shared" si="89"/>
        <v>0.93844477281272975</v>
      </c>
      <c r="F566" s="24">
        <v>9.9990399102947171E-4</v>
      </c>
      <c r="G566" s="6">
        <v>0.93674200685010323</v>
      </c>
      <c r="H566" s="2">
        <f t="shared" si="90"/>
        <v>1.8144551623671546E-3</v>
      </c>
      <c r="I566" s="5">
        <f>G566/F566</f>
        <v>936.8319511212884</v>
      </c>
      <c r="J566" s="2">
        <f>ABS(D566-I566)/I566</f>
        <v>1.7215699032371579E-3</v>
      </c>
      <c r="K566" s="1">
        <f>$AD$10*B566+$AD$11</f>
        <v>927.26819194547534</v>
      </c>
      <c r="L566" s="2">
        <f>ABS(K566-D566)/D566</f>
        <v>1.1909684182858937E-2</v>
      </c>
      <c r="M566" s="21">
        <f>K566*F566</f>
        <v>0.92717916588096305</v>
      </c>
      <c r="N566" s="2">
        <f>ABS(M566-G566)/M566</f>
        <v>1.0313908380430444E-2</v>
      </c>
      <c r="O566" s="21">
        <f t="shared" si="91"/>
        <v>9.5628409691401739E-3</v>
      </c>
      <c r="P566" s="25">
        <f>$AD$18*B566+$AD$19</f>
        <v>4.6916666666666664</v>
      </c>
      <c r="Q566" s="25">
        <f>$AD$29*G566+$AD$30</f>
        <v>4.6577398058426107</v>
      </c>
      <c r="R566" s="25">
        <f t="shared" si="92"/>
        <v>3.3926860824055716E-2</v>
      </c>
      <c r="S566" s="26">
        <v>4.7451996263129548</v>
      </c>
      <c r="T566" s="26">
        <f t="shared" si="93"/>
        <v>5.3532959646288347E-2</v>
      </c>
      <c r="U566" s="27">
        <f t="shared" si="94"/>
        <v>1.1410222304715101E-2</v>
      </c>
      <c r="V566" s="28">
        <f t="shared" si="95"/>
        <v>76.94239551575545</v>
      </c>
      <c r="W566" s="27">
        <f t="shared" si="96"/>
        <v>8.4193383454187823E-3</v>
      </c>
      <c r="X566" s="21">
        <v>4.7483469338353119</v>
      </c>
      <c r="Y566" s="21">
        <f t="shared" si="97"/>
        <v>76.980163206023747</v>
      </c>
      <c r="Z566" s="2">
        <f t="shared" si="98"/>
        <v>8.9143277329456032E-3</v>
      </c>
    </row>
    <row r="567" spans="1:26">
      <c r="A567" s="1">
        <v>76.400000000000006</v>
      </c>
      <c r="B567" s="1">
        <f t="shared" si="88"/>
        <v>349.54999999999995</v>
      </c>
      <c r="C567" s="4">
        <f>ROUND(10000*EXP(($AB$4)+($AC$4/B567)+($AD$4/(B567^2))+($AE$4/(B567^3))),6)</f>
        <v>1413.704866</v>
      </c>
      <c r="D567" s="4">
        <f>((C567+2*$AC$5)*$AC$6)/((C567+2*$AC$5)+$AC$6)</f>
        <v>936.44884278973575</v>
      </c>
      <c r="E567" s="4">
        <f t="shared" si="89"/>
        <v>0.93644884278973572</v>
      </c>
      <c r="F567" s="24">
        <v>9.9990399102947171E-4</v>
      </c>
      <c r="G567" s="6">
        <v>0.93478527062644234</v>
      </c>
      <c r="H567" s="2">
        <f t="shared" si="90"/>
        <v>1.7764688120469052E-3</v>
      </c>
      <c r="I567" s="5">
        <f>G567/F567</f>
        <v>934.87502701535868</v>
      </c>
      <c r="J567" s="2">
        <f>ABS(D567-I567)/I567</f>
        <v>1.683450438719668E-3</v>
      </c>
      <c r="K567" s="1">
        <f>$AD$10*B567+$AD$11</f>
        <v>924.91908002660239</v>
      </c>
      <c r="L567" s="2">
        <f>ABS(K567-D567)/D567</f>
        <v>1.2312218496405555E-2</v>
      </c>
      <c r="M567" s="21">
        <f>K567*F567</f>
        <v>0.92483027949790708</v>
      </c>
      <c r="N567" s="2">
        <f>ABS(M567-G567)/M567</f>
        <v>1.0764127590999567E-2</v>
      </c>
      <c r="O567" s="21">
        <f t="shared" si="91"/>
        <v>9.9549911285352621E-3</v>
      </c>
      <c r="P567" s="25">
        <f>$AD$18*B567+$AD$19</f>
        <v>4.6999999999999993</v>
      </c>
      <c r="Q567" s="25">
        <f>$AD$29*G567+$AD$30</f>
        <v>4.6646818764828915</v>
      </c>
      <c r="R567" s="25">
        <f t="shared" si="92"/>
        <v>3.5318123517107836E-2</v>
      </c>
      <c r="S567" s="26">
        <v>4.752416091701229</v>
      </c>
      <c r="T567" s="26">
        <f t="shared" si="93"/>
        <v>5.2416091701229739E-2</v>
      </c>
      <c r="U567" s="27">
        <f t="shared" si="94"/>
        <v>1.1152359936431861E-2</v>
      </c>
      <c r="V567" s="28">
        <f t="shared" si="95"/>
        <v>77.028993100414752</v>
      </c>
      <c r="W567" s="27">
        <f t="shared" si="96"/>
        <v>8.2328939844862059E-3</v>
      </c>
      <c r="X567" s="21">
        <v>4.7554441858165868</v>
      </c>
      <c r="Y567" s="21">
        <f t="shared" si="97"/>
        <v>77.065330229799045</v>
      </c>
      <c r="Z567" s="2">
        <f t="shared" si="98"/>
        <v>8.7085108612439694E-3</v>
      </c>
    </row>
    <row r="568" spans="1:26">
      <c r="A568" s="1">
        <v>76.5</v>
      </c>
      <c r="B568" s="1">
        <f t="shared" si="88"/>
        <v>349.65</v>
      </c>
      <c r="C568" s="4">
        <f>ROUND(10000*EXP(($AB$4)+($AC$4/B568)+($AD$4/(B568^2))+($AE$4/(B568^3))),6)</f>
        <v>1409.0390259999999</v>
      </c>
      <c r="D568" s="4">
        <f>((C568+2*$AC$5)*$AC$6)/((C568+2*$AC$5)+$AC$6)</f>
        <v>934.45601891969125</v>
      </c>
      <c r="E568" s="4">
        <f t="shared" si="89"/>
        <v>0.93445601891969121</v>
      </c>
      <c r="F568" s="24">
        <v>9.9990399102947171E-4</v>
      </c>
      <c r="G568" s="6">
        <v>0.9327147782628129</v>
      </c>
      <c r="H568" s="2">
        <f t="shared" si="90"/>
        <v>1.8633735795199069E-3</v>
      </c>
      <c r="I568" s="5">
        <f>G568/F568</f>
        <v>932.80433584680191</v>
      </c>
      <c r="J568" s="2">
        <f>ABS(D568-I568)/I568</f>
        <v>1.7706640175401192E-3</v>
      </c>
      <c r="K568" s="1">
        <f>$AD$10*B568+$AD$11</f>
        <v>922.56996810772762</v>
      </c>
      <c r="L568" s="2">
        <f>ABS(K568-D568)/D568</f>
        <v>1.2719754136427832E-2</v>
      </c>
      <c r="M568" s="21">
        <f>K568*F568</f>
        <v>0.92248139311484934</v>
      </c>
      <c r="N568" s="2">
        <f>ABS(M568-G568)/M568</f>
        <v>1.1093324184468952E-2</v>
      </c>
      <c r="O568" s="21">
        <f t="shared" si="91"/>
        <v>1.023338514796357E-2</v>
      </c>
      <c r="P568" s="25">
        <f>$AD$18*B568+$AD$19</f>
        <v>4.7083333333333321</v>
      </c>
      <c r="Q568" s="25">
        <f>$AD$29*G568+$AD$30</f>
        <v>4.6720275289396049</v>
      </c>
      <c r="R568" s="25">
        <f t="shared" si="92"/>
        <v>3.6305804393727215E-2</v>
      </c>
      <c r="S568" s="26">
        <v>4.7600482890617695</v>
      </c>
      <c r="T568" s="26">
        <f t="shared" si="93"/>
        <v>5.1714955728437317E-2</v>
      </c>
      <c r="U568" s="27">
        <f t="shared" si="94"/>
        <v>1.0983707411349521E-2</v>
      </c>
      <c r="V568" s="28">
        <f t="shared" si="95"/>
        <v>77.120579468741226</v>
      </c>
      <c r="W568" s="27">
        <f t="shared" si="96"/>
        <v>8.1121499181859673E-3</v>
      </c>
      <c r="X568" s="21">
        <v>4.7633584380051044</v>
      </c>
      <c r="Y568" s="21">
        <f t="shared" si="97"/>
        <v>77.16030125606126</v>
      </c>
      <c r="Z568" s="2">
        <f t="shared" si="98"/>
        <v>8.6313889681210437E-3</v>
      </c>
    </row>
    <row r="569" spans="1:26">
      <c r="A569" s="1">
        <v>76.599999999999994</v>
      </c>
      <c r="B569" s="1">
        <f t="shared" si="88"/>
        <v>349.75</v>
      </c>
      <c r="C569" s="4">
        <f>ROUND(10000*EXP(($AB$4)+($AC$4/B569)+($AD$4/(B569^2))+($AE$4/(B569^3))),6)</f>
        <v>1404.3909630000001</v>
      </c>
      <c r="D569" s="4">
        <f>((C569+2*$AC$5)*$AC$6)/((C569+2*$AC$5)+$AC$6)</f>
        <v>932.46630462564133</v>
      </c>
      <c r="E569" s="4">
        <f t="shared" si="89"/>
        <v>0.9324663046256414</v>
      </c>
      <c r="F569" s="24">
        <v>9.9990399102947171E-4</v>
      </c>
      <c r="G569" s="6">
        <v>0.93075363032681946</v>
      </c>
      <c r="H569" s="2">
        <f t="shared" si="90"/>
        <v>1.8367144102966022E-3</v>
      </c>
      <c r="I569" s="5">
        <f>G569/F569</f>
        <v>930.84299960493502</v>
      </c>
      <c r="J569" s="2">
        <f>ABS(D569-I569)/I569</f>
        <v>1.7439085016434229E-3</v>
      </c>
      <c r="K569" s="1">
        <f>$AD$10*B569+$AD$11</f>
        <v>920.22085618885285</v>
      </c>
      <c r="L569" s="2">
        <f>ABS(K569-D569)/D569</f>
        <v>1.3132322718840418E-2</v>
      </c>
      <c r="M569" s="21">
        <f>K569*F569</f>
        <v>0.92013250673179148</v>
      </c>
      <c r="N569" s="2">
        <f>ABS(M569-G569)/M569</f>
        <v>1.1543037027083234E-2</v>
      </c>
      <c r="O569" s="21">
        <f t="shared" si="91"/>
        <v>1.0621123595027981E-2</v>
      </c>
      <c r="P569" s="25">
        <f>$AD$18*B569+$AD$19</f>
        <v>4.7166666666666686</v>
      </c>
      <c r="Q569" s="25">
        <f>$AD$29*G569+$AD$30</f>
        <v>4.678985251366921</v>
      </c>
      <c r="R569" s="25">
        <f t="shared" si="92"/>
        <v>3.7681415299747556E-2</v>
      </c>
      <c r="S569" s="26">
        <v>4.7672848267102754</v>
      </c>
      <c r="T569" s="26">
        <f t="shared" si="93"/>
        <v>5.0618160043606863E-2</v>
      </c>
      <c r="U569" s="27">
        <f t="shared" si="94"/>
        <v>1.0731765380270002E-2</v>
      </c>
      <c r="V569" s="28">
        <f t="shared" si="95"/>
        <v>77.207417920523298</v>
      </c>
      <c r="W569" s="27">
        <f t="shared" si="96"/>
        <v>7.929737865839474E-3</v>
      </c>
      <c r="X569" s="21">
        <v>4.7704757251781489</v>
      </c>
      <c r="Y569" s="21">
        <f t="shared" si="97"/>
        <v>77.24570870213779</v>
      </c>
      <c r="Z569" s="2">
        <f t="shared" si="98"/>
        <v>8.4296175213811469E-3</v>
      </c>
    </row>
    <row r="570" spans="1:26">
      <c r="A570" s="1">
        <v>76.7</v>
      </c>
      <c r="B570" s="1">
        <f t="shared" si="88"/>
        <v>349.84999999999997</v>
      </c>
      <c r="C570" s="4">
        <f>ROUND(10000*EXP(($AB$4)+($AC$4/B570)+($AD$4/(B570^2))+($AE$4/(B570^3))),6)</f>
        <v>1399.7606020000001</v>
      </c>
      <c r="D570" s="4">
        <f>((C570+2*$AC$5)*$AC$6)/((C570+2*$AC$5)+$AC$6)</f>
        <v>930.47970397577001</v>
      </c>
      <c r="E570" s="4">
        <f t="shared" si="89"/>
        <v>0.93047970397577007</v>
      </c>
      <c r="F570" s="24">
        <v>9.9990399102947171E-4</v>
      </c>
      <c r="G570" s="6">
        <v>0.92878815416942939</v>
      </c>
      <c r="H570" s="2">
        <f t="shared" si="90"/>
        <v>1.8179330501385377E-3</v>
      </c>
      <c r="I570" s="5">
        <f>G570/F570</f>
        <v>928.87733472608352</v>
      </c>
      <c r="J570" s="2">
        <f>ABS(D570-I570)/I570</f>
        <v>1.7250601234220146E-3</v>
      </c>
      <c r="K570" s="1">
        <f>$AD$10*B570+$AD$11</f>
        <v>917.8717442699799</v>
      </c>
      <c r="L570" s="2">
        <f>ABS(K570-D570)/D570</f>
        <v>1.3549956707189417E-2</v>
      </c>
      <c r="M570" s="21">
        <f>K570*F570</f>
        <v>0.91778362034873551</v>
      </c>
      <c r="N570" s="2">
        <f>ABS(M570-G570)/M570</f>
        <v>1.1990335822851609E-2</v>
      </c>
      <c r="O570" s="21">
        <f t="shared" si="91"/>
        <v>1.1004533820693885E-2</v>
      </c>
      <c r="P570" s="25">
        <f>$AD$18*B570+$AD$19</f>
        <v>4.7249999999999979</v>
      </c>
      <c r="Q570" s="25">
        <f>$AD$29*G570+$AD$30</f>
        <v>4.685958329373757</v>
      </c>
      <c r="R570" s="25">
        <f t="shared" si="92"/>
        <v>3.9041670626240865E-2</v>
      </c>
      <c r="S570" s="26">
        <v>4.7745335242583113</v>
      </c>
      <c r="T570" s="26">
        <f t="shared" si="93"/>
        <v>4.9533524258313477E-2</v>
      </c>
      <c r="U570" s="27">
        <f t="shared" si="94"/>
        <v>1.0483285557315026E-2</v>
      </c>
      <c r="V570" s="28">
        <f t="shared" si="95"/>
        <v>77.294402291099729</v>
      </c>
      <c r="W570" s="27">
        <f t="shared" si="96"/>
        <v>7.7497039256809149E-3</v>
      </c>
      <c r="X570" s="21">
        <v>4.7776037421726789</v>
      </c>
      <c r="Y570" s="21">
        <f t="shared" si="97"/>
        <v>77.331244906072158</v>
      </c>
      <c r="Z570" s="2">
        <f t="shared" si="98"/>
        <v>8.2300509266252254E-3</v>
      </c>
    </row>
    <row r="571" spans="1:26">
      <c r="A571" s="1">
        <v>76.8</v>
      </c>
      <c r="B571" s="1">
        <f t="shared" si="88"/>
        <v>349.95</v>
      </c>
      <c r="C571" s="4">
        <f>ROUND(10000*EXP(($AB$4)+($AC$4/B571)+($AD$4/(B571^2))+($AE$4/(B571^3))),6)</f>
        <v>1395.147866</v>
      </c>
      <c r="D571" s="4">
        <f>((C571+2*$AC$5)*$AC$6)/((C571+2*$AC$5)+$AC$6)</f>
        <v>928.49621997033717</v>
      </c>
      <c r="E571" s="4">
        <f t="shared" si="89"/>
        <v>0.92849621997033716</v>
      </c>
      <c r="F571" s="24">
        <v>9.9990399102947171E-4</v>
      </c>
      <c r="G571" s="6">
        <v>0.92681974417306168</v>
      </c>
      <c r="H571" s="2">
        <f t="shared" si="90"/>
        <v>1.8055817150543028E-3</v>
      </c>
      <c r="I571" s="5">
        <f>G571/F571</f>
        <v>926.90873572655244</v>
      </c>
      <c r="J571" s="2">
        <f>ABS(D571-I571)/I571</f>
        <v>1.7126651013170009E-3</v>
      </c>
      <c r="K571" s="1">
        <f>$AD$10*B571+$AD$11</f>
        <v>915.52263235110513</v>
      </c>
      <c r="L571" s="2">
        <f>ABS(K571-D571)/D571</f>
        <v>1.3972687599790664E-2</v>
      </c>
      <c r="M571" s="21">
        <f>K571*F571</f>
        <v>0.91543473396567776</v>
      </c>
      <c r="N571" s="2">
        <f>ABS(M571-G571)/M571</f>
        <v>1.2436725180902709E-2</v>
      </c>
      <c r="O571" s="21">
        <f t="shared" si="91"/>
        <v>1.1385010207383917E-2</v>
      </c>
      <c r="P571" s="25">
        <f>$AD$18*B571+$AD$19</f>
        <v>4.7333333333333343</v>
      </c>
      <c r="Q571" s="25">
        <f>$AD$29*G571+$AD$30</f>
        <v>4.6929418159973419</v>
      </c>
      <c r="R571" s="25">
        <f t="shared" si="92"/>
        <v>4.0391517335992333E-2</v>
      </c>
      <c r="S571" s="26">
        <v>4.7817930420013894</v>
      </c>
      <c r="T571" s="26">
        <f t="shared" si="93"/>
        <v>4.8459708668055157E-2</v>
      </c>
      <c r="U571" s="27">
        <f t="shared" si="94"/>
        <v>1.0237966620011651E-2</v>
      </c>
      <c r="V571" s="28">
        <f t="shared" si="95"/>
        <v>77.381516504016673</v>
      </c>
      <c r="W571" s="27">
        <f t="shared" si="96"/>
        <v>7.5718294793838039E-3</v>
      </c>
      <c r="X571" s="21">
        <v>4.7851427985445838</v>
      </c>
      <c r="Y571" s="21">
        <f t="shared" si="97"/>
        <v>77.42171358253502</v>
      </c>
      <c r="Z571" s="2">
        <f t="shared" si="98"/>
        <v>8.0952289392581082E-3</v>
      </c>
    </row>
    <row r="572" spans="1:26">
      <c r="A572" s="1">
        <v>76.900000000000006</v>
      </c>
      <c r="B572" s="1">
        <f t="shared" si="88"/>
        <v>350.04999999999995</v>
      </c>
      <c r="C572" s="4">
        <f>ROUND(10000*EXP(($AB$4)+($AC$4/B572)+($AD$4/(B572^2))+($AE$4/(B572^3))),6)</f>
        <v>1390.55268</v>
      </c>
      <c r="D572" s="4">
        <f>((C572+2*$AC$5)*$AC$6)/((C572+2*$AC$5)+$AC$6)</f>
        <v>926.5158562570715</v>
      </c>
      <c r="E572" s="4">
        <f t="shared" si="89"/>
        <v>0.92651585625707156</v>
      </c>
      <c r="F572" s="24">
        <v>9.9990399102947171E-4</v>
      </c>
      <c r="G572" s="6">
        <v>0.92484843007047424</v>
      </c>
      <c r="H572" s="2">
        <f t="shared" si="90"/>
        <v>1.7996736648775448E-3</v>
      </c>
      <c r="I572" s="5">
        <f>G572/F572</f>
        <v>924.93723234195465</v>
      </c>
      <c r="J572" s="2">
        <f>ABS(D572-I572)/I572</f>
        <v>1.7067362626540087E-3</v>
      </c>
      <c r="K572" s="1">
        <f>$AD$10*B572+$AD$11</f>
        <v>913.17352043223218</v>
      </c>
      <c r="L572" s="2">
        <f>ABS(K572-D572)/D572</f>
        <v>1.4400547745334381E-2</v>
      </c>
      <c r="M572" s="21">
        <f>K572*F572</f>
        <v>0.91308584758262179</v>
      </c>
      <c r="N572" s="2">
        <f>ABS(M572-G572)/M572</f>
        <v>1.2882230645665651E-2</v>
      </c>
      <c r="O572" s="21">
        <f t="shared" si="91"/>
        <v>1.1762582487852447E-2</v>
      </c>
      <c r="P572" s="25">
        <f>$AD$18*B572+$AD$19</f>
        <v>4.7416666666666636</v>
      </c>
      <c r="Q572" s="25">
        <f>$AD$29*G572+$AD$30</f>
        <v>4.6999356057523745</v>
      </c>
      <c r="R572" s="25">
        <f t="shared" si="92"/>
        <v>4.1731060914289131E-2</v>
      </c>
      <c r="S572" s="26">
        <v>4.7890632720974446</v>
      </c>
      <c r="T572" s="26">
        <f t="shared" si="93"/>
        <v>4.7396605430781058E-2</v>
      </c>
      <c r="U572" s="27">
        <f t="shared" si="94"/>
        <v>9.9957691593914426E-3</v>
      </c>
      <c r="V572" s="28">
        <f t="shared" si="95"/>
        <v>77.468759265169339</v>
      </c>
      <c r="W572" s="27">
        <f t="shared" si="96"/>
        <v>7.3960892739835318E-3</v>
      </c>
      <c r="X572" s="21">
        <v>4.7922910831067096</v>
      </c>
      <c r="Y572" s="21">
        <f t="shared" si="97"/>
        <v>77.507492997280522</v>
      </c>
      <c r="Z572" s="2">
        <f t="shared" si="98"/>
        <v>7.8997788983162093E-3</v>
      </c>
    </row>
    <row r="573" spans="1:26">
      <c r="A573" s="1">
        <v>77</v>
      </c>
      <c r="B573" s="1">
        <f t="shared" si="88"/>
        <v>350.15</v>
      </c>
      <c r="C573" s="4">
        <f>ROUND(10000*EXP(($AB$4)+($AC$4/B573)+($AD$4/(B573^2))+($AE$4/(B573^3))),6)</f>
        <v>1385.97497</v>
      </c>
      <c r="D573" s="4">
        <f>((C573+2*$AC$5)*$AC$6)/((C573+2*$AC$5)+$AC$6)</f>
        <v>924.53861670764149</v>
      </c>
      <c r="E573" s="4">
        <f t="shared" si="89"/>
        <v>0.92453861670764148</v>
      </c>
      <c r="F573" s="24">
        <v>9.9990399102947171E-4</v>
      </c>
      <c r="G573" s="6">
        <v>0.92287422592002355</v>
      </c>
      <c r="H573" s="2">
        <f t="shared" si="90"/>
        <v>1.800239338346909E-3</v>
      </c>
      <c r="I573" s="5">
        <f>G573/F573</f>
        <v>922.96283863199642</v>
      </c>
      <c r="J573" s="2">
        <f>ABS(D573-I573)/I573</f>
        <v>1.7073039235043022E-3</v>
      </c>
      <c r="K573" s="1">
        <f>$AD$10*B573+$AD$11</f>
        <v>910.82440851335741</v>
      </c>
      <c r="L573" s="2">
        <f>ABS(K573-D573)/D573</f>
        <v>1.4833569897947057E-2</v>
      </c>
      <c r="M573" s="21">
        <f>K573*F573</f>
        <v>0.91073696119956404</v>
      </c>
      <c r="N573" s="2">
        <f>ABS(M573-G573)/M573</f>
        <v>1.3326860814425587E-2</v>
      </c>
      <c r="O573" s="21">
        <f t="shared" si="91"/>
        <v>1.2137264720459506E-2</v>
      </c>
      <c r="P573" s="25">
        <f>$AD$18*B573+$AD$19</f>
        <v>4.75</v>
      </c>
      <c r="Q573" s="25">
        <f>$AD$29*G573+$AD$30</f>
        <v>4.7069396487628952</v>
      </c>
      <c r="R573" s="25">
        <f t="shared" si="92"/>
        <v>4.3060351237104832E-2</v>
      </c>
      <c r="S573" s="26">
        <v>4.7963441586551854</v>
      </c>
      <c r="T573" s="26">
        <f t="shared" si="93"/>
        <v>4.6344158655185375E-2</v>
      </c>
      <c r="U573" s="27">
        <f t="shared" si="94"/>
        <v>9.7566649800390256E-3</v>
      </c>
      <c r="V573" s="28">
        <f t="shared" si="95"/>
        <v>77.556129903862228</v>
      </c>
      <c r="W573" s="27">
        <f t="shared" si="96"/>
        <v>7.2224662839250392E-3</v>
      </c>
      <c r="X573" s="21">
        <v>4.7994497753499195</v>
      </c>
      <c r="Y573" s="21">
        <f t="shared" si="97"/>
        <v>77.593397304199044</v>
      </c>
      <c r="Z573" s="2">
        <f t="shared" si="98"/>
        <v>7.7064584960914824E-3</v>
      </c>
    </row>
    <row r="574" spans="1:26">
      <c r="A574" s="1">
        <v>77.099999999999994</v>
      </c>
      <c r="B574" s="1">
        <f t="shared" si="88"/>
        <v>350.25</v>
      </c>
      <c r="C574" s="4">
        <f>ROUND(10000*EXP(($AB$4)+($AC$4/B574)+($AD$4/(B574^2))+($AE$4/(B574^3))),6)</f>
        <v>1381.414659</v>
      </c>
      <c r="D574" s="4">
        <f>((C574+2*$AC$5)*$AC$6)/((C574+2*$AC$5)+$AC$6)</f>
        <v>922.56450368823823</v>
      </c>
      <c r="E574" s="4">
        <f t="shared" si="89"/>
        <v>0.92256450368823828</v>
      </c>
      <c r="F574" s="24">
        <v>9.9990399102947171E-4</v>
      </c>
      <c r="G574" s="6">
        <v>0.92089718884795702</v>
      </c>
      <c r="H574" s="2">
        <f t="shared" si="90"/>
        <v>1.807260992175241E-3</v>
      </c>
      <c r="I574" s="5">
        <f>G574/F574</f>
        <v>920.98561172841039</v>
      </c>
      <c r="J574" s="2">
        <f>ABS(D574-I574)/I574</f>
        <v>1.7143503000711833E-3</v>
      </c>
      <c r="K574" s="1">
        <f>$AD$10*B574+$AD$11</f>
        <v>908.47529659448446</v>
      </c>
      <c r="L574" s="2">
        <f>ABS(K574-D574)/D574</f>
        <v>1.5271785373735698E-2</v>
      </c>
      <c r="M574" s="21">
        <f>K574*F574</f>
        <v>0.90838807481650807</v>
      </c>
      <c r="N574" s="2">
        <f>ABS(M574-G574)/M574</f>
        <v>1.3770671784716845E-2</v>
      </c>
      <c r="O574" s="21">
        <f t="shared" si="91"/>
        <v>1.2509114031448942E-2</v>
      </c>
      <c r="P574" s="25">
        <f>$AD$18*B574+$AD$19</f>
        <v>4.7583333333333364</v>
      </c>
      <c r="Q574" s="25">
        <f>$AD$29*G574+$AD$30</f>
        <v>4.7139537423575142</v>
      </c>
      <c r="R574" s="25">
        <f t="shared" si="92"/>
        <v>4.4379590975822225E-2</v>
      </c>
      <c r="S574" s="26">
        <v>4.8036354929380431</v>
      </c>
      <c r="T574" s="26">
        <f t="shared" si="93"/>
        <v>4.5302159604706738E-2</v>
      </c>
      <c r="U574" s="27">
        <f t="shared" si="94"/>
        <v>9.5205939624602547E-3</v>
      </c>
      <c r="V574" s="28">
        <f t="shared" si="95"/>
        <v>77.643625915256521</v>
      </c>
      <c r="W574" s="27">
        <f t="shared" si="96"/>
        <v>7.0509197828343331E-3</v>
      </c>
      <c r="X574" s="21">
        <v>4.8066187680884758</v>
      </c>
      <c r="Y574" s="21">
        <f t="shared" si="97"/>
        <v>77.67942521706172</v>
      </c>
      <c r="Z574" s="2">
        <f t="shared" si="98"/>
        <v>7.5152427634465058E-3</v>
      </c>
    </row>
    <row r="575" spans="1:26">
      <c r="A575" s="1">
        <v>77.2</v>
      </c>
      <c r="B575" s="1">
        <f t="shared" si="88"/>
        <v>350.34999999999997</v>
      </c>
      <c r="C575" s="4">
        <f>ROUND(10000*EXP(($AB$4)+($AC$4/B575)+($AD$4/(B575^2))+($AE$4/(B575^3))),6)</f>
        <v>1376.8716750000001</v>
      </c>
      <c r="D575" s="4">
        <f>((C575+2*$AC$5)*$AC$6)/((C575+2*$AC$5)+$AC$6)</f>
        <v>920.59352151907467</v>
      </c>
      <c r="E575" s="4">
        <f t="shared" si="89"/>
        <v>0.9205935215190747</v>
      </c>
      <c r="F575" s="24">
        <v>9.9990399102947171E-4</v>
      </c>
      <c r="G575" s="6">
        <v>0.91891734797269975</v>
      </c>
      <c r="H575" s="2">
        <f t="shared" si="90"/>
        <v>1.8207531415266624E-3</v>
      </c>
      <c r="I575" s="5">
        <f>G575/F575</f>
        <v>919.00558075241759</v>
      </c>
      <c r="J575" s="2">
        <f>ABS(D575-I575)/I575</f>
        <v>1.7278902325674552E-3</v>
      </c>
      <c r="K575" s="1">
        <f>$AD$10*B575+$AD$11</f>
        <v>906.12618467560969</v>
      </c>
      <c r="L575" s="2">
        <f>ABS(K575-D575)/D575</f>
        <v>1.5715227736550191E-2</v>
      </c>
      <c r="M575" s="21">
        <f>K575*F575</f>
        <v>0.90603918843345022</v>
      </c>
      <c r="N575" s="2">
        <f>ABS(M575-G575)/M575</f>
        <v>1.4213689323434217E-2</v>
      </c>
      <c r="O575" s="21">
        <f t="shared" si="91"/>
        <v>1.2878159539249534E-2</v>
      </c>
      <c r="P575" s="25">
        <f>$AD$18*B575+$AD$19</f>
        <v>4.7666666666666657</v>
      </c>
      <c r="Q575" s="25">
        <f>$AD$29*G575+$AD$30</f>
        <v>4.7209777832304507</v>
      </c>
      <c r="R575" s="25">
        <f t="shared" si="92"/>
        <v>4.5688883436215022E-2</v>
      </c>
      <c r="S575" s="26">
        <v>4.8109371684920115</v>
      </c>
      <c r="T575" s="26">
        <f t="shared" si="93"/>
        <v>4.4270501825345754E-2</v>
      </c>
      <c r="U575" s="27">
        <f t="shared" si="94"/>
        <v>9.2875178654571525E-3</v>
      </c>
      <c r="V575" s="28">
        <f t="shared" si="95"/>
        <v>77.731246021904141</v>
      </c>
      <c r="W575" s="27">
        <f t="shared" si="96"/>
        <v>6.8814251541986834E-3</v>
      </c>
      <c r="X575" s="21">
        <v>4.814194911632967</v>
      </c>
      <c r="Y575" s="21">
        <f t="shared" si="97"/>
        <v>77.770338939595618</v>
      </c>
      <c r="Z575" s="2">
        <f t="shared" si="98"/>
        <v>7.3878100983887961E-3</v>
      </c>
    </row>
    <row r="576" spans="1:26">
      <c r="A576" s="1">
        <v>77.3</v>
      </c>
      <c r="B576" s="1">
        <f t="shared" si="88"/>
        <v>350.45</v>
      </c>
      <c r="C576" s="4">
        <f>ROUND(10000*EXP(($AB$4)+($AC$4/B576)+($AD$4/(B576^2))+($AE$4/(B576^3))),6)</f>
        <v>1372.3459419999999</v>
      </c>
      <c r="D576" s="4">
        <f>((C576+2*$AC$5)*$AC$6)/((C576+2*$AC$5)+$AC$6)</f>
        <v>918.62567258005288</v>
      </c>
      <c r="E576" s="4">
        <f t="shared" si="89"/>
        <v>0.9186256725800529</v>
      </c>
      <c r="F576" s="24">
        <v>9.9990399102947171E-4</v>
      </c>
      <c r="G576" s="6">
        <v>0.91693470441584479</v>
      </c>
      <c r="H576" s="2">
        <f t="shared" si="90"/>
        <v>1.8407586622947861E-3</v>
      </c>
      <c r="I576" s="5">
        <f>G576/F576</f>
        <v>917.02274682571851</v>
      </c>
      <c r="J576" s="2">
        <f>ABS(D576-I576)/I576</f>
        <v>1.747967277674305E-3</v>
      </c>
      <c r="K576" s="1">
        <f>$AD$10*B576+$AD$11</f>
        <v>903.77707275673674</v>
      </c>
      <c r="L576" s="2">
        <f>ABS(K576-D576)/D576</f>
        <v>1.6163928645290683E-2</v>
      </c>
      <c r="M576" s="21">
        <f>K576*F576</f>
        <v>0.90369030205039436</v>
      </c>
      <c r="N576" s="2">
        <f>ABS(M576-G576)/M576</f>
        <v>1.4655908484798436E-2</v>
      </c>
      <c r="O576" s="21">
        <f t="shared" si="91"/>
        <v>1.3244402365450436E-2</v>
      </c>
      <c r="P576" s="25">
        <f>$AD$18*B576+$AD$19</f>
        <v>4.7750000000000021</v>
      </c>
      <c r="Q576" s="25">
        <f>$AD$29*G576+$AD$30</f>
        <v>4.7280117674025401</v>
      </c>
      <c r="R576" s="25">
        <f t="shared" si="92"/>
        <v>4.6988232597461987E-2</v>
      </c>
      <c r="S576" s="26">
        <v>4.8182491810898309</v>
      </c>
      <c r="T576" s="26">
        <f t="shared" si="93"/>
        <v>4.3249181089828781E-2</v>
      </c>
      <c r="U576" s="27">
        <f t="shared" si="94"/>
        <v>9.0574201235243488E-3</v>
      </c>
      <c r="V576" s="28">
        <f t="shared" si="95"/>
        <v>77.818990173077964</v>
      </c>
      <c r="W576" s="27">
        <f t="shared" si="96"/>
        <v>6.7139737784989223E-3</v>
      </c>
      <c r="X576" s="21">
        <v>4.8213833233845174</v>
      </c>
      <c r="Y576" s="21">
        <f t="shared" si="97"/>
        <v>77.856599880614212</v>
      </c>
      <c r="Z576" s="2">
        <f t="shared" si="98"/>
        <v>7.2005159199769048E-3</v>
      </c>
    </row>
    <row r="577" spans="1:26">
      <c r="A577" s="1">
        <v>77.400000000000006</v>
      </c>
      <c r="B577" s="1">
        <f t="shared" si="88"/>
        <v>350.54999999999995</v>
      </c>
      <c r="C577" s="4">
        <f>ROUND(10000*EXP(($AB$4)+($AC$4/B577)+($AD$4/(B577^2))+($AE$4/(B577^3))),6)</f>
        <v>1367.837387</v>
      </c>
      <c r="D577" s="4">
        <f>((C577+2*$AC$5)*$AC$6)/((C577+2*$AC$5)+$AC$6)</f>
        <v>916.66096034460486</v>
      </c>
      <c r="E577" s="4">
        <f t="shared" si="89"/>
        <v>0.91666096034460487</v>
      </c>
      <c r="F577" s="24">
        <v>9.9990399102947171E-4</v>
      </c>
      <c r="G577" s="6">
        <v>0.91505654017556481</v>
      </c>
      <c r="H577" s="2">
        <f t="shared" si="90"/>
        <v>1.7502874437206287E-3</v>
      </c>
      <c r="I577" s="5">
        <f>G577/F577</f>
        <v>915.14440224750933</v>
      </c>
      <c r="J577" s="2">
        <f>ABS(D577-I577)/I577</f>
        <v>1.6571790128104382E-3</v>
      </c>
      <c r="K577" s="1">
        <f>$AD$10*B577+$AD$11</f>
        <v>901.42796083786379</v>
      </c>
      <c r="L577" s="2">
        <f>ABS(K577-D577)/D577</f>
        <v>1.6617921091582704E-2</v>
      </c>
      <c r="M577" s="21">
        <f>K577*F577</f>
        <v>0.90134141566733839</v>
      </c>
      <c r="N577" s="2">
        <f>ABS(M577-G577)/M577</f>
        <v>1.5216347845363319E-2</v>
      </c>
      <c r="O577" s="21">
        <f t="shared" si="91"/>
        <v>1.3715124508226428E-2</v>
      </c>
      <c r="P577" s="25">
        <f>$AD$18*B577+$AD$19</f>
        <v>4.7833333333333314</v>
      </c>
      <c r="Q577" s="25">
        <f>$AD$29*G577+$AD$30</f>
        <v>4.7346750818914387</v>
      </c>
      <c r="R577" s="25">
        <f t="shared" si="92"/>
        <v>4.865825144189273E-2</v>
      </c>
      <c r="S577" s="26">
        <v>4.825175871251008</v>
      </c>
      <c r="T577" s="26">
        <f t="shared" si="93"/>
        <v>4.1842537917676559E-2</v>
      </c>
      <c r="U577" s="27">
        <f t="shared" si="94"/>
        <v>8.747568902650155E-3</v>
      </c>
      <c r="V577" s="28">
        <f t="shared" si="95"/>
        <v>77.902110455012107</v>
      </c>
      <c r="W577" s="27">
        <f t="shared" si="96"/>
        <v>6.4872151810348956E-3</v>
      </c>
      <c r="X577" s="21">
        <v>4.8285817177871975</v>
      </c>
      <c r="Y577" s="21">
        <f t="shared" si="97"/>
        <v>77.94298061344638</v>
      </c>
      <c r="Z577" s="2">
        <f t="shared" si="98"/>
        <v>7.0152534036999302E-3</v>
      </c>
    </row>
    <row r="578" spans="1:26">
      <c r="A578" s="1">
        <v>77.5</v>
      </c>
      <c r="B578" s="1">
        <f t="shared" si="88"/>
        <v>350.65</v>
      </c>
      <c r="C578" s="4">
        <f>ROUND(10000*EXP(($AB$4)+($AC$4/B578)+($AD$4/(B578^2))+($AE$4/(B578^3))),6)</f>
        <v>1363.3459379999999</v>
      </c>
      <c r="D578" s="4">
        <f>((C578+2*$AC$5)*$AC$6)/((C578+2*$AC$5)+$AC$6)</f>
        <v>914.69938851896518</v>
      </c>
      <c r="E578" s="4">
        <f t="shared" si="89"/>
        <v>0.91469938851896515</v>
      </c>
      <c r="F578" s="24">
        <v>9.9990399102947171E-4</v>
      </c>
      <c r="G578" s="6">
        <v>0.91306817093994841</v>
      </c>
      <c r="H578" s="2">
        <f t="shared" si="90"/>
        <v>1.7833373450242777E-3</v>
      </c>
      <c r="I578" s="5">
        <f>G578/F578</f>
        <v>913.15584209227961</v>
      </c>
      <c r="J578" s="2">
        <f>ABS(D578-I578)/I578</f>
        <v>1.6903428259834555E-3</v>
      </c>
      <c r="K578" s="1">
        <f>$AD$10*B578+$AD$11</f>
        <v>899.07884891898902</v>
      </c>
      <c r="L578" s="2">
        <f>ABS(K578-D578)/D578</f>
        <v>1.7077238485168487E-2</v>
      </c>
      <c r="M578" s="21">
        <f>K578*F578</f>
        <v>0.89899252928428053</v>
      </c>
      <c r="N578" s="2">
        <f>ABS(M578-G578)/M578</f>
        <v>1.5657128615822861E-2</v>
      </c>
      <c r="O578" s="21">
        <f t="shared" si="91"/>
        <v>1.4075641655667879E-2</v>
      </c>
      <c r="P578" s="25">
        <f>$AD$18*B578+$AD$19</f>
        <v>4.7916666666666679</v>
      </c>
      <c r="Q578" s="25">
        <f>$AD$29*G578+$AD$30</f>
        <v>4.7417293795150517</v>
      </c>
      <c r="R578" s="25">
        <f t="shared" si="92"/>
        <v>4.9937287151616161E-2</v>
      </c>
      <c r="S578" s="26">
        <v>4.8325089988077652</v>
      </c>
      <c r="T578" s="26">
        <f t="shared" si="93"/>
        <v>4.0842332141097337E-2</v>
      </c>
      <c r="U578" s="27">
        <f t="shared" si="94"/>
        <v>8.5236171424898765E-3</v>
      </c>
      <c r="V578" s="28">
        <f t="shared" si="95"/>
        <v>77.990107985693186</v>
      </c>
      <c r="W578" s="27">
        <f t="shared" si="96"/>
        <v>6.3239740089443327E-3</v>
      </c>
      <c r="X578" s="21">
        <v>4.8357899887336204</v>
      </c>
      <c r="Y578" s="21">
        <f t="shared" si="97"/>
        <v>78.029479864803449</v>
      </c>
      <c r="Z578" s="2">
        <f t="shared" si="98"/>
        <v>6.8319982555283699E-3</v>
      </c>
    </row>
    <row r="579" spans="1:26">
      <c r="A579" s="1">
        <v>77.599999999999994</v>
      </c>
      <c r="B579" s="1">
        <f t="shared" si="88"/>
        <v>350.75</v>
      </c>
      <c r="C579" s="4">
        <f>ROUND(10000*EXP(($AB$4)+($AC$4/B579)+($AD$4/(B579^2))+($AE$4/(B579^3))),6)</f>
        <v>1358.871521</v>
      </c>
      <c r="D579" s="4">
        <f>((C579+2*$AC$5)*$AC$6)/((C579+2*$AC$5)+$AC$6)</f>
        <v>912.74095973173951</v>
      </c>
      <c r="E579" s="4">
        <f t="shared" si="89"/>
        <v>0.91274095973173952</v>
      </c>
      <c r="F579" s="24">
        <v>9.9990399102947171E-4</v>
      </c>
      <c r="G579" s="6">
        <v>0.91107709941038384</v>
      </c>
      <c r="H579" s="2">
        <f t="shared" si="90"/>
        <v>1.8229271992402977E-3</v>
      </c>
      <c r="I579" s="5">
        <f>G579/F579</f>
        <v>911.16457938363226</v>
      </c>
      <c r="J579" s="2">
        <f>ABS(D579-I579)/I579</f>
        <v>1.7300720240613508E-3</v>
      </c>
      <c r="K579" s="1">
        <f>$AD$10*B579+$AD$11</f>
        <v>896.72973700011426</v>
      </c>
      <c r="L579" s="2">
        <f>ABS(K579-D579)/D579</f>
        <v>1.7541913245934591E-2</v>
      </c>
      <c r="M579" s="21">
        <f>K579*F579</f>
        <v>0.89664364290122278</v>
      </c>
      <c r="N579" s="2">
        <f>ABS(M579-G579)/M579</f>
        <v>1.6097204974832007E-2</v>
      </c>
      <c r="O579" s="21">
        <f t="shared" si="91"/>
        <v>1.4433456509161058E-2</v>
      </c>
      <c r="P579" s="25">
        <f>$AD$18*B579+$AD$19</f>
        <v>4.8000000000000007</v>
      </c>
      <c r="Q579" s="25">
        <f>$AD$29*G579+$AD$30</f>
        <v>4.7487932642844708</v>
      </c>
      <c r="R579" s="25">
        <f t="shared" si="92"/>
        <v>5.1206735715529916E-2</v>
      </c>
      <c r="S579" s="26">
        <v>4.8398520945859351</v>
      </c>
      <c r="T579" s="26">
        <f t="shared" si="93"/>
        <v>3.9852094585934417E-2</v>
      </c>
      <c r="U579" s="27">
        <f t="shared" si="94"/>
        <v>8.3025197054030029E-3</v>
      </c>
      <c r="V579" s="28">
        <f t="shared" si="95"/>
        <v>78.078225135031232</v>
      </c>
      <c r="W579" s="27">
        <f t="shared" si="96"/>
        <v>6.1626950390623438E-3</v>
      </c>
      <c r="X579" s="21">
        <v>4.8430080307885239</v>
      </c>
      <c r="Y579" s="21">
        <f t="shared" si="97"/>
        <v>78.116096369462298</v>
      </c>
      <c r="Z579" s="2">
        <f t="shared" si="98"/>
        <v>6.6507264105966956E-3</v>
      </c>
    </row>
    <row r="580" spans="1:26">
      <c r="A580" s="1">
        <v>77.7</v>
      </c>
      <c r="B580" s="1">
        <f t="shared" ref="B580:B603" si="99">A580+273.15</f>
        <v>350.84999999999997</v>
      </c>
      <c r="C580" s="4">
        <f>ROUND(10000*EXP(($AB$4)+($AC$4/B580)+($AD$4/(B580^2))+($AE$4/(B580^3))),6)</f>
        <v>1354.4140629999999</v>
      </c>
      <c r="D580" s="4">
        <f>((C580+2*$AC$5)*$AC$6)/((C580+2*$AC$5)+$AC$6)</f>
        <v>910.78567684101381</v>
      </c>
      <c r="E580" s="4">
        <f t="shared" ref="E580:E603" si="100">D580*0.001</f>
        <v>0.91078567684101386</v>
      </c>
      <c r="F580" s="24">
        <v>9.9990399102947171E-4</v>
      </c>
      <c r="G580" s="6">
        <v>0.90918990836495539</v>
      </c>
      <c r="H580" s="2">
        <f t="shared" ref="H580:H603" si="101">ABS(E580-G580)/E580</f>
        <v>1.7520790199438152E-3</v>
      </c>
      <c r="I580" s="5">
        <f>G580/F580</f>
        <v>909.2772071335371</v>
      </c>
      <c r="J580" s="2">
        <f>ABS(D580-I580)/I580</f>
        <v>1.6589767076996261E-3</v>
      </c>
      <c r="K580" s="1">
        <f>$AD$10*B580+$AD$11</f>
        <v>894.38062508124131</v>
      </c>
      <c r="L580" s="2">
        <f>ABS(K580-D580)/D580</f>
        <v>1.801197820399646E-2</v>
      </c>
      <c r="M580" s="21">
        <f>K580*F580</f>
        <v>0.89429475651816681</v>
      </c>
      <c r="N580" s="2">
        <f>ABS(M580-G580)/M580</f>
        <v>1.665575218709895E-2</v>
      </c>
      <c r="O580" s="21">
        <f t="shared" ref="O580:O603" si="102">N580*M580</f>
        <v>1.4895151846788581E-2</v>
      </c>
      <c r="P580" s="25">
        <f>$AD$18*B580+$AD$19</f>
        <v>4.8083333333333336</v>
      </c>
      <c r="Q580" s="25">
        <f>$AD$29*G580+$AD$30</f>
        <v>4.7554886038967563</v>
      </c>
      <c r="R580" s="25">
        <f t="shared" ref="R580:R603" si="103">ABS(P580-Q580)</f>
        <v>5.2844729436577254E-2</v>
      </c>
      <c r="S580" s="26">
        <v>4.8468120757643565</v>
      </c>
      <c r="T580" s="26">
        <f t="shared" ref="T580:T603" si="104">ABS(P580-S580)</f>
        <v>3.8478742431022894E-2</v>
      </c>
      <c r="U580" s="27">
        <f t="shared" ref="U580:U603" si="105">IF(P580=0,ABS(P580-S580),ABS(P580-S580)/P580)</f>
        <v>8.0025114241295443E-3</v>
      </c>
      <c r="V580" s="28">
        <f t="shared" ref="V580:V603" si="106">(S580-$AD$21)/($AD$20)</f>
        <v>78.16174490917227</v>
      </c>
      <c r="W580" s="27">
        <f t="shared" ref="W580:W603" si="107">ABS(A580-V580)/A580</f>
        <v>5.9426629237100083E-3</v>
      </c>
      <c r="X580" s="21">
        <v>4.849843076238451</v>
      </c>
      <c r="Y580" s="21">
        <f t="shared" ref="Y580:Y603" si="108">(X580+5/3)/(1/12)</f>
        <v>78.198116914861416</v>
      </c>
      <c r="Z580" s="2">
        <f t="shared" ref="Z580:Z603" si="109">ABS(A580-Y580)/A580</f>
        <v>6.4107711050374883E-3</v>
      </c>
    </row>
    <row r="581" spans="1:26">
      <c r="A581" s="1">
        <v>77.8</v>
      </c>
      <c r="B581" s="1">
        <f t="shared" si="99"/>
        <v>350.95</v>
      </c>
      <c r="C581" s="4">
        <f>ROUND(10000*EXP(($AB$4)+($AC$4/B581)+($AD$4/(B581^2))+($AE$4/(B581^3))),6)</f>
        <v>1349.9734920000001</v>
      </c>
      <c r="D581" s="4">
        <f>((C581+2*$AC$5)*$AC$6)/((C581+2*$AC$5)+$AC$6)</f>
        <v>908.83354293846594</v>
      </c>
      <c r="E581" s="4">
        <f t="shared" si="100"/>
        <v>0.90883354293846597</v>
      </c>
      <c r="F581" s="24">
        <v>9.9990399102947171E-4</v>
      </c>
      <c r="G581" s="6">
        <v>0.90719328367949592</v>
      </c>
      <c r="H581" s="2">
        <f t="shared" si="101"/>
        <v>1.8047961276458975E-3</v>
      </c>
      <c r="I581" s="5">
        <f>G581/F581</f>
        <v>907.280390735791</v>
      </c>
      <c r="J581" s="2">
        <f>ABS(D581-I581)/I581</f>
        <v>1.7118767456390782E-3</v>
      </c>
      <c r="K581" s="1">
        <f>$AD$10*B581+$AD$11</f>
        <v>892.03151316236654</v>
      </c>
      <c r="L581" s="2">
        <f>ABS(K581-D581)/D581</f>
        <v>1.8487466606673223E-2</v>
      </c>
      <c r="M581" s="21">
        <f>K581*F581</f>
        <v>0.89194587013510906</v>
      </c>
      <c r="N581" s="2">
        <f>ABS(M581-G581)/M581</f>
        <v>1.7094550302786005E-2</v>
      </c>
      <c r="O581" s="21">
        <f t="shared" si="102"/>
        <v>1.5247413544386855E-2</v>
      </c>
      <c r="P581" s="25">
        <f>$AD$18*B581+$AD$19</f>
        <v>4.8166666666666664</v>
      </c>
      <c r="Q581" s="25">
        <f>$AD$29*G581+$AD$30</f>
        <v>4.7625721900444358</v>
      </c>
      <c r="R581" s="25">
        <f t="shared" si="103"/>
        <v>5.4094476622230658E-2</v>
      </c>
      <c r="S581" s="26">
        <v>4.8541756494608848</v>
      </c>
      <c r="T581" s="26">
        <f t="shared" si="104"/>
        <v>3.7508982794218326E-2</v>
      </c>
      <c r="U581" s="27">
        <f t="shared" si="105"/>
        <v>7.787332068003805E-3</v>
      </c>
      <c r="V581" s="28">
        <f t="shared" si="106"/>
        <v>78.250107793530617</v>
      </c>
      <c r="W581" s="27">
        <f t="shared" si="107"/>
        <v>5.7854472176172228E-3</v>
      </c>
      <c r="X581" s="21">
        <v>4.8570811998797021</v>
      </c>
      <c r="Y581" s="21">
        <f t="shared" si="108"/>
        <v>78.284974398556429</v>
      </c>
      <c r="Z581" s="2">
        <f t="shared" si="109"/>
        <v>6.2336040945556769E-3</v>
      </c>
    </row>
    <row r="582" spans="1:26">
      <c r="A582" s="1">
        <v>77.900000000000006</v>
      </c>
      <c r="B582" s="1">
        <f t="shared" si="99"/>
        <v>351.04999999999995</v>
      </c>
      <c r="C582" s="4">
        <f>ROUND(10000*EXP(($AB$4)+($AC$4/B582)+($AD$4/(B582^2))+($AE$4/(B582^3))),6)</f>
        <v>1345.5497359999999</v>
      </c>
      <c r="D582" s="4">
        <f>((C582+2*$AC$5)*$AC$6)/((C582+2*$AC$5)+$AC$6)</f>
        <v>906.88456091242858</v>
      </c>
      <c r="E582" s="4">
        <f t="shared" si="100"/>
        <v>0.90688456091242864</v>
      </c>
      <c r="F582" s="24">
        <v>9.9990399102947171E-4</v>
      </c>
      <c r="G582" s="6">
        <v>0.90530012003529392</v>
      </c>
      <c r="H582" s="2">
        <f t="shared" si="101"/>
        <v>1.7471252080205129E-3</v>
      </c>
      <c r="I582" s="5">
        <f>G582/F582</f>
        <v>905.3870453134441</v>
      </c>
      <c r="J582" s="2">
        <f>ABS(D582-I582)/I582</f>
        <v>1.6540059930568584E-3</v>
      </c>
      <c r="K582" s="1">
        <f>$AD$10*B582+$AD$11</f>
        <v>889.68240124349359</v>
      </c>
      <c r="L582" s="2">
        <f>ABS(K582-D582)/D582</f>
        <v>1.8968411648366441E-2</v>
      </c>
      <c r="M582" s="21">
        <f>K582*F582</f>
        <v>0.88959698375205309</v>
      </c>
      <c r="N582" s="2">
        <f>ABS(M582-G582)/M582</f>
        <v>1.7651966643377891E-2</v>
      </c>
      <c r="O582" s="21">
        <f t="shared" si="102"/>
        <v>1.5703136283240826E-2</v>
      </c>
      <c r="P582" s="25">
        <f>$AD$18*B582+$AD$19</f>
        <v>4.8249999999999993</v>
      </c>
      <c r="Q582" s="25">
        <f>$AD$29*G582+$AD$30</f>
        <v>4.7692887191262514</v>
      </c>
      <c r="R582" s="25">
        <f t="shared" si="103"/>
        <v>5.5711280873747882E-2</v>
      </c>
      <c r="S582" s="26">
        <v>4.8611576598933732</v>
      </c>
      <c r="T582" s="26">
        <f t="shared" si="104"/>
        <v>3.6157659893373939E-2</v>
      </c>
      <c r="U582" s="27">
        <f t="shared" si="105"/>
        <v>7.4938155219427868E-3</v>
      </c>
      <c r="V582" s="28">
        <f t="shared" si="106"/>
        <v>78.333891918720482</v>
      </c>
      <c r="W582" s="27">
        <f t="shared" si="107"/>
        <v>5.5698577499419333E-3</v>
      </c>
      <c r="X582" s="21">
        <v>4.8643287787194209</v>
      </c>
      <c r="Y582" s="21">
        <f t="shared" si="108"/>
        <v>78.371945344633062</v>
      </c>
      <c r="Z582" s="2">
        <f t="shared" si="109"/>
        <v>6.0583484548530952E-3</v>
      </c>
    </row>
    <row r="583" spans="1:26">
      <c r="A583" s="1">
        <v>78</v>
      </c>
      <c r="B583" s="1">
        <f t="shared" si="99"/>
        <v>351.15</v>
      </c>
      <c r="C583" s="4">
        <f>ROUND(10000*EXP(($AB$4)+($AC$4/B583)+($AD$4/(B583^2))+($AE$4/(B583^3))),6)</f>
        <v>1341.142724</v>
      </c>
      <c r="D583" s="4">
        <f>((C583+2*$AC$5)*$AC$6)/((C583+2*$AC$5)+$AC$6)</f>
        <v>904.93873388922543</v>
      </c>
      <c r="E583" s="4">
        <f t="shared" si="100"/>
        <v>0.90493873388922541</v>
      </c>
      <c r="F583" s="24">
        <v>9.9990399102947171E-4</v>
      </c>
      <c r="G583" s="6">
        <v>0.9032980711902644</v>
      </c>
      <c r="H583" s="2">
        <f t="shared" si="101"/>
        <v>1.81300969614795E-3</v>
      </c>
      <c r="I583" s="5">
        <f>G583/F583</f>
        <v>903.38480423530996</v>
      </c>
      <c r="J583" s="2">
        <f>ABS(D583-I583)/I583</f>
        <v>1.7201193186228464E-3</v>
      </c>
      <c r="K583" s="1">
        <f>$AD$10*B583+$AD$11</f>
        <v>887.33328932461882</v>
      </c>
      <c r="L583" s="2">
        <f>ABS(K583-D583)/D583</f>
        <v>1.9454846947419665E-2</v>
      </c>
      <c r="M583" s="21">
        <f>K583*F583</f>
        <v>0.88724809736899524</v>
      </c>
      <c r="N583" s="2">
        <f>ABS(M583-G583)/M583</f>
        <v>1.808961199112516E-2</v>
      </c>
      <c r="O583" s="21">
        <f t="shared" si="102"/>
        <v>1.6049973821269159E-2</v>
      </c>
      <c r="P583" s="25">
        <f>$AD$18*B583+$AD$19</f>
        <v>4.8333333333333321</v>
      </c>
      <c r="Q583" s="25">
        <f>$AD$29*G583+$AD$30</f>
        <v>4.7763915490015449</v>
      </c>
      <c r="R583" s="25">
        <f t="shared" si="103"/>
        <v>5.6941784331787204E-2</v>
      </c>
      <c r="S583" s="26">
        <v>4.8685412378542665</v>
      </c>
      <c r="T583" s="26">
        <f t="shared" si="104"/>
        <v>3.5207904520934363E-2</v>
      </c>
      <c r="U583" s="27">
        <f t="shared" si="105"/>
        <v>7.284394038814008E-3</v>
      </c>
      <c r="V583" s="28">
        <f t="shared" si="106"/>
        <v>78.422494854251198</v>
      </c>
      <c r="W583" s="27">
        <f t="shared" si="107"/>
        <v>5.4166006955281816E-3</v>
      </c>
      <c r="X583" s="21">
        <v>4.8715857087206409</v>
      </c>
      <c r="Y583" s="21">
        <f t="shared" si="108"/>
        <v>78.459028504647705</v>
      </c>
      <c r="Z583" s="2">
        <f t="shared" si="109"/>
        <v>5.8849808288167303E-3</v>
      </c>
    </row>
    <row r="584" spans="1:26">
      <c r="A584" s="1">
        <v>78.099999999999994</v>
      </c>
      <c r="B584" s="1">
        <f t="shared" si="99"/>
        <v>351.25</v>
      </c>
      <c r="C584" s="4">
        <f>ROUND(10000*EXP(($AB$4)+($AC$4/B584)+($AD$4/(B584^2))+($AE$4/(B584^3))),6)</f>
        <v>1336.7523839999999</v>
      </c>
      <c r="D584" s="4">
        <f>((C584+2*$AC$5)*$AC$6)/((C584+2*$AC$5)+$AC$6)</f>
        <v>902.9960643513607</v>
      </c>
      <c r="E584" s="4">
        <f t="shared" si="100"/>
        <v>0.90299606435136071</v>
      </c>
      <c r="F584" s="24">
        <v>9.9990399102947171E-4</v>
      </c>
      <c r="G584" s="6">
        <v>0.90139906373953049</v>
      </c>
      <c r="H584" s="2">
        <f t="shared" si="101"/>
        <v>1.7685576658380772E-3</v>
      </c>
      <c r="I584" s="5">
        <f>G584/F584</f>
        <v>901.48561444531947</v>
      </c>
      <c r="J584" s="2">
        <f>ABS(D584-I584)/I584</f>
        <v>1.6755119347862304E-3</v>
      </c>
      <c r="K584" s="1">
        <f>$AD$10*B584+$AD$11</f>
        <v>884.98417740574405</v>
      </c>
      <c r="L584" s="2">
        <f>ABS(K584-D584)/D584</f>
        <v>1.9946805591622301E-2</v>
      </c>
      <c r="M584" s="21">
        <f>K584*F584</f>
        <v>0.88489921098593749</v>
      </c>
      <c r="N584" s="2">
        <f>ABS(M584-G584)/M584</f>
        <v>1.864602493566379E-2</v>
      </c>
      <c r="O584" s="21">
        <f t="shared" si="102"/>
        <v>1.6499852753593003E-2</v>
      </c>
      <c r="P584" s="25">
        <f>$AD$18*B584+$AD$19</f>
        <v>4.8416666666666686</v>
      </c>
      <c r="Q584" s="25">
        <f>$AD$29*G584+$AD$30</f>
        <v>4.7831288106262866</v>
      </c>
      <c r="R584" s="25">
        <f t="shared" si="103"/>
        <v>5.8537856040381975E-2</v>
      </c>
      <c r="S584" s="26">
        <v>4.8755441817885705</v>
      </c>
      <c r="T584" s="26">
        <f t="shared" si="104"/>
        <v>3.3877515121901958E-2</v>
      </c>
      <c r="U584" s="27">
        <f t="shared" si="105"/>
        <v>6.9970771336114171E-3</v>
      </c>
      <c r="V584" s="28">
        <f t="shared" si="106"/>
        <v>78.50653018146285</v>
      </c>
      <c r="W584" s="27">
        <f t="shared" si="107"/>
        <v>5.2052520033656277E-3</v>
      </c>
      <c r="X584" s="21">
        <v>4.8784626332513552</v>
      </c>
      <c r="Y584" s="21">
        <f t="shared" si="108"/>
        <v>78.541551599016273</v>
      </c>
      <c r="Z584" s="2">
        <f t="shared" si="109"/>
        <v>5.6536696416937112E-3</v>
      </c>
    </row>
    <row r="585" spans="1:26">
      <c r="A585" s="1">
        <v>78.2</v>
      </c>
      <c r="B585" s="1">
        <f t="shared" si="99"/>
        <v>351.34999999999997</v>
      </c>
      <c r="C585" s="4">
        <f>ROUND(10000*EXP(($AB$4)+($AC$4/B585)+($AD$4/(B585^2))+($AE$4/(B585^3))),6)</f>
        <v>1332.378645</v>
      </c>
      <c r="D585" s="4">
        <f>((C585+2*$AC$5)*$AC$6)/((C585+2*$AC$5)+$AC$6)</f>
        <v>901.05655501992226</v>
      </c>
      <c r="E585" s="4">
        <f t="shared" si="100"/>
        <v>0.90105655501992232</v>
      </c>
      <c r="F585" s="24">
        <v>9.9990399102947171E-4</v>
      </c>
      <c r="G585" s="6">
        <v>0.89939169080719616</v>
      </c>
      <c r="H585" s="2">
        <f t="shared" si="101"/>
        <v>1.8476800412259894E-3</v>
      </c>
      <c r="I585" s="5">
        <f>G585/F585</f>
        <v>899.47804876867121</v>
      </c>
      <c r="J585" s="2">
        <f>ABS(D585-I585)/I585</f>
        <v>1.75491358951107E-3</v>
      </c>
      <c r="K585" s="1">
        <f>$AD$10*B585+$AD$11</f>
        <v>882.6350654868711</v>
      </c>
      <c r="L585" s="2">
        <f>ABS(K585-D585)/D585</f>
        <v>2.0444321092191447E-2</v>
      </c>
      <c r="M585" s="21">
        <f>K585*F585</f>
        <v>0.88255032460288152</v>
      </c>
      <c r="N585" s="2">
        <f>ABS(M585-G585)/M585</f>
        <v>1.9082612894502877E-2</v>
      </c>
      <c r="O585" s="21">
        <f t="shared" si="102"/>
        <v>1.6841366204314645E-2</v>
      </c>
      <c r="P585" s="25">
        <f>$AD$18*B585+$AD$19</f>
        <v>4.8499999999999979</v>
      </c>
      <c r="Q585" s="25">
        <f>$AD$29*G585+$AD$30</f>
        <v>4.7902505291947612</v>
      </c>
      <c r="R585" s="25">
        <f t="shared" si="103"/>
        <v>5.9749470805236626E-2</v>
      </c>
      <c r="S585" s="26">
        <v>4.8829473511742574</v>
      </c>
      <c r="T585" s="26">
        <f t="shared" si="104"/>
        <v>3.2947351174259509E-2</v>
      </c>
      <c r="U585" s="27">
        <f t="shared" si="105"/>
        <v>6.7932682833524794E-3</v>
      </c>
      <c r="V585" s="28">
        <f t="shared" si="106"/>
        <v>78.595368214091081</v>
      </c>
      <c r="W585" s="27">
        <f t="shared" si="107"/>
        <v>5.0558595152311835E-3</v>
      </c>
      <c r="X585" s="21">
        <v>4.8861272069549395</v>
      </c>
      <c r="Y585" s="21">
        <f t="shared" si="108"/>
        <v>78.633526483459278</v>
      </c>
      <c r="Z585" s="2">
        <f t="shared" si="109"/>
        <v>5.5438169240316481E-3</v>
      </c>
    </row>
    <row r="586" spans="1:26">
      <c r="A586" s="1">
        <v>78.3</v>
      </c>
      <c r="B586" s="1">
        <f t="shared" si="99"/>
        <v>351.45</v>
      </c>
      <c r="C586" s="4">
        <f>ROUND(10000*EXP(($AB$4)+($AC$4/B586)+($AD$4/(B586^2))+($AE$4/(B586^3))),6)</f>
        <v>1328.021438</v>
      </c>
      <c r="D586" s="4">
        <f>((C586+2*$AC$5)*$AC$6)/((C586+2*$AC$5)+$AC$6)</f>
        <v>899.12020930359517</v>
      </c>
      <c r="E586" s="4">
        <f t="shared" si="100"/>
        <v>0.89912020930359515</v>
      </c>
      <c r="F586" s="24">
        <v>9.9990399102947171E-4</v>
      </c>
      <c r="G586" s="6">
        <v>0.89748696830045627</v>
      </c>
      <c r="H586" s="2">
        <f t="shared" si="101"/>
        <v>1.8164879247947242E-3</v>
      </c>
      <c r="I586" s="5">
        <f>G586/F586</f>
        <v>897.5731433739254</v>
      </c>
      <c r="J586" s="2">
        <f>ABS(D586-I586)/I586</f>
        <v>1.7236098707838331E-3</v>
      </c>
      <c r="K586" s="1">
        <f>$AD$10*B586+$AD$11</f>
        <v>880.28595356799633</v>
      </c>
      <c r="L586" s="2">
        <f>ABS(K586-D586)/D586</f>
        <v>2.0947427875285703E-2</v>
      </c>
      <c r="M586" s="21">
        <f>K586*F586</f>
        <v>0.88020143821982377</v>
      </c>
      <c r="N586" s="2">
        <f>ABS(M586-G586)/M586</f>
        <v>1.9638152506989612E-2</v>
      </c>
      <c r="O586" s="21">
        <f t="shared" si="102"/>
        <v>1.7285530080632494E-2</v>
      </c>
      <c r="P586" s="25">
        <f>$AD$18*B586+$AD$19</f>
        <v>4.8583333333333343</v>
      </c>
      <c r="Q586" s="25">
        <f>$AD$29*G586+$AD$30</f>
        <v>4.7970080665838228</v>
      </c>
      <c r="R586" s="25">
        <f t="shared" si="103"/>
        <v>6.1325266749511442E-2</v>
      </c>
      <c r="S586" s="26">
        <v>4.8899718751501595</v>
      </c>
      <c r="T586" s="26">
        <f t="shared" si="104"/>
        <v>3.1638541816825239E-2</v>
      </c>
      <c r="U586" s="27">
        <f t="shared" si="105"/>
        <v>6.5122213002041648E-3</v>
      </c>
      <c r="V586" s="28">
        <f t="shared" si="106"/>
        <v>78.679662501801914</v>
      </c>
      <c r="W586" s="27">
        <f t="shared" si="107"/>
        <v>4.8488186692454286E-3</v>
      </c>
      <c r="X586" s="21">
        <v>4.8930240114988024</v>
      </c>
      <c r="Y586" s="21">
        <f t="shared" si="108"/>
        <v>78.716288137985643</v>
      </c>
      <c r="Z586" s="2">
        <f t="shared" si="109"/>
        <v>5.316579029190879E-3</v>
      </c>
    </row>
    <row r="587" spans="1:26">
      <c r="A587" s="1">
        <v>78.400000000000006</v>
      </c>
      <c r="B587" s="1">
        <f t="shared" si="99"/>
        <v>351.54999999999995</v>
      </c>
      <c r="C587" s="4">
        <f>ROUND(10000*EXP(($AB$4)+($AC$4/B587)+($AD$4/(B587^2))+($AE$4/(B587^3))),6)</f>
        <v>1323.6806899999999</v>
      </c>
      <c r="D587" s="4">
        <f>((C587+2*$AC$5)*$AC$6)/((C587+2*$AC$5)+$AC$6)</f>
        <v>897.18702863256988</v>
      </c>
      <c r="E587" s="4">
        <f t="shared" si="100"/>
        <v>0.89718702863256994</v>
      </c>
      <c r="F587" s="24">
        <v>9.9990399102947171E-4</v>
      </c>
      <c r="G587" s="6">
        <v>0.89557929591946217</v>
      </c>
      <c r="H587" s="2">
        <f t="shared" si="101"/>
        <v>1.7919705276592799E-3</v>
      </c>
      <c r="I587" s="5">
        <f>G587/F587</f>
        <v>895.66528782168382</v>
      </c>
      <c r="J587" s="2">
        <f>ABS(D587-I587)/I587</f>
        <v>1.6990061260351295E-3</v>
      </c>
      <c r="K587" s="1">
        <f>$AD$10*B587+$AD$11</f>
        <v>877.93684164912338</v>
      </c>
      <c r="L587" s="2">
        <f>ABS(K587-D587)/D587</f>
        <v>2.1456158380696044E-2</v>
      </c>
      <c r="M587" s="21">
        <f>K587*F587</f>
        <v>0.8778525518367678</v>
      </c>
      <c r="N587" s="2">
        <f>ABS(M587-G587)/M587</f>
        <v>2.0193304724812788E-2</v>
      </c>
      <c r="O587" s="21">
        <f t="shared" si="102"/>
        <v>1.7726744082694368E-2</v>
      </c>
      <c r="P587" s="25">
        <f>$AD$18*B587+$AD$19</f>
        <v>4.8666666666666636</v>
      </c>
      <c r="Q587" s="25">
        <f>$AD$29*G587+$AD$30</f>
        <v>4.8037760694792748</v>
      </c>
      <c r="R587" s="25">
        <f t="shared" si="103"/>
        <v>6.2890597187388764E-2</v>
      </c>
      <c r="S587" s="26">
        <v>4.8970072288785191</v>
      </c>
      <c r="T587" s="26">
        <f t="shared" si="104"/>
        <v>3.0340562211855548E-2</v>
      </c>
      <c r="U587" s="27">
        <f t="shared" si="105"/>
        <v>6.2343620983264861E-3</v>
      </c>
      <c r="V587" s="28">
        <f t="shared" si="106"/>
        <v>78.764086746542233</v>
      </c>
      <c r="W587" s="27">
        <f t="shared" si="107"/>
        <v>4.6439636038549427E-3</v>
      </c>
      <c r="X587" s="21">
        <v>4.8999314462357582</v>
      </c>
      <c r="Y587" s="21">
        <f t="shared" si="108"/>
        <v>78.799177354829112</v>
      </c>
      <c r="Z587" s="2">
        <f t="shared" si="109"/>
        <v>5.0915478932283985E-3</v>
      </c>
    </row>
    <row r="588" spans="1:26">
      <c r="A588" s="1">
        <v>78.5</v>
      </c>
      <c r="B588" s="1">
        <f t="shared" si="99"/>
        <v>351.65</v>
      </c>
      <c r="C588" s="4">
        <f>ROUND(10000*EXP(($AB$4)+($AC$4/B588)+($AD$4/(B588^2))+($AE$4/(B588^3))),6)</f>
        <v>1319.3563340000001</v>
      </c>
      <c r="D588" s="4">
        <f>((C588+2*$AC$5)*$AC$6)/((C588+2*$AC$5)+$AC$6)</f>
        <v>895.25701690669416</v>
      </c>
      <c r="E588" s="4">
        <f t="shared" si="100"/>
        <v>0.89525701690669413</v>
      </c>
      <c r="F588" s="24">
        <v>9.9990399102947171E-4</v>
      </c>
      <c r="G588" s="6">
        <v>0.89367008163288264</v>
      </c>
      <c r="H588" s="2">
        <f t="shared" si="101"/>
        <v>1.772602999856609E-3</v>
      </c>
      <c r="I588" s="5">
        <f>G588/F588</f>
        <v>893.75589021580583</v>
      </c>
      <c r="J588" s="2">
        <f>ABS(D588-I588)/I588</f>
        <v>1.6795712423510471E-3</v>
      </c>
      <c r="K588" s="1">
        <f>$AD$10*B588+$AD$11</f>
        <v>875.58772973024861</v>
      </c>
      <c r="L588" s="2">
        <f>ABS(K588-D588)/D588</f>
        <v>2.197054790411716E-2</v>
      </c>
      <c r="M588" s="21">
        <f>K588*F588</f>
        <v>0.87550366545371006</v>
      </c>
      <c r="N588" s="2">
        <f>ABS(M588-G588)/M588</f>
        <v>2.0749674611308735E-2</v>
      </c>
      <c r="O588" s="21">
        <f t="shared" si="102"/>
        <v>1.8166416179172584E-2</v>
      </c>
      <c r="P588" s="25">
        <f>$AD$18*B588+$AD$19</f>
        <v>4.875</v>
      </c>
      <c r="Q588" s="25">
        <f>$AD$29*G588+$AD$30</f>
        <v>4.8105495427173128</v>
      </c>
      <c r="R588" s="25">
        <f t="shared" si="103"/>
        <v>6.4450457282687168E-2</v>
      </c>
      <c r="S588" s="26">
        <v>4.904053370889808</v>
      </c>
      <c r="T588" s="26">
        <f t="shared" si="104"/>
        <v>2.9053370889807972E-2</v>
      </c>
      <c r="U588" s="27">
        <f t="shared" si="105"/>
        <v>5.9596658235503532E-3</v>
      </c>
      <c r="V588" s="28">
        <f t="shared" si="106"/>
        <v>78.848640450677706</v>
      </c>
      <c r="W588" s="27">
        <f t="shared" si="107"/>
        <v>4.4412796264675968E-3</v>
      </c>
      <c r="X588" s="21">
        <v>4.9072352694253274</v>
      </c>
      <c r="Y588" s="21">
        <f t="shared" si="108"/>
        <v>78.886823233103939</v>
      </c>
      <c r="Z588" s="2">
        <f t="shared" si="109"/>
        <v>4.9276844981393552E-3</v>
      </c>
    </row>
    <row r="589" spans="1:26">
      <c r="A589" s="1">
        <v>78.599999999999994</v>
      </c>
      <c r="B589" s="1">
        <f t="shared" si="99"/>
        <v>351.75</v>
      </c>
      <c r="C589" s="4">
        <f>ROUND(10000*EXP(($AB$4)+($AC$4/B589)+($AD$4/(B589^2))+($AE$4/(B589^3))),6)</f>
        <v>1315.0482979999999</v>
      </c>
      <c r="D589" s="4">
        <f>((C589+2*$AC$5)*$AC$6)/((C589+2*$AC$5)+$AC$6)</f>
        <v>893.33017559830955</v>
      </c>
      <c r="E589" s="4">
        <f t="shared" si="100"/>
        <v>0.89333017559830952</v>
      </c>
      <c r="F589" s="24">
        <v>9.9990399102947171E-4</v>
      </c>
      <c r="G589" s="6">
        <v>0.89165081796174284</v>
      </c>
      <c r="H589" s="2">
        <f t="shared" si="101"/>
        <v>1.8798845963553484E-3</v>
      </c>
      <c r="I589" s="5">
        <f>G589/F589</f>
        <v>891.73643265862495</v>
      </c>
      <c r="J589" s="2">
        <f>ABS(D589-I589)/I589</f>
        <v>1.7872354221673036E-3</v>
      </c>
      <c r="K589" s="1">
        <f>$AD$10*B589+$AD$11</f>
        <v>873.23861781137384</v>
      </c>
      <c r="L589" s="2">
        <f>ABS(K589-D589)/D589</f>
        <v>2.2490629260876978E-2</v>
      </c>
      <c r="M589" s="21">
        <f>K589*F589</f>
        <v>0.8731547790706522</v>
      </c>
      <c r="N589" s="2">
        <f>ABS(M589-G589)/M589</f>
        <v>2.118300138124081E-2</v>
      </c>
      <c r="O589" s="21">
        <f t="shared" si="102"/>
        <v>1.8496038891090638E-2</v>
      </c>
      <c r="P589" s="25">
        <f>$AD$18*B589+$AD$19</f>
        <v>4.8833333333333364</v>
      </c>
      <c r="Q589" s="25">
        <f>$AD$29*G589+$AD$30</f>
        <v>4.8177134470171881</v>
      </c>
      <c r="R589" s="25">
        <f t="shared" si="103"/>
        <v>6.5619886316148346E-2</v>
      </c>
      <c r="S589" s="26">
        <v>4.9114953508848336</v>
      </c>
      <c r="T589" s="26">
        <f t="shared" si="104"/>
        <v>2.8162017551497165E-2</v>
      </c>
      <c r="U589" s="27">
        <f t="shared" si="105"/>
        <v>5.766966051501122E-3</v>
      </c>
      <c r="V589" s="28">
        <f t="shared" si="106"/>
        <v>78.937944210618014</v>
      </c>
      <c r="W589" s="27">
        <f t="shared" si="107"/>
        <v>4.2995446643513905E-3</v>
      </c>
      <c r="X589" s="21">
        <v>4.9145478231693867</v>
      </c>
      <c r="Y589" s="21">
        <f t="shared" si="108"/>
        <v>78.974573878032643</v>
      </c>
      <c r="Z589" s="2">
        <f t="shared" si="109"/>
        <v>4.7655709673365028E-3</v>
      </c>
    </row>
    <row r="590" spans="1:26">
      <c r="A590" s="1">
        <v>78.7</v>
      </c>
      <c r="B590" s="1">
        <f t="shared" si="99"/>
        <v>351.84999999999997</v>
      </c>
      <c r="C590" s="4">
        <f>ROUND(10000*EXP(($AB$4)+($AC$4/B590)+($AD$4/(B590^2))+($AE$4/(B590^3))),6)</f>
        <v>1310.756515</v>
      </c>
      <c r="D590" s="4">
        <f>((C590+2*$AC$5)*$AC$6)/((C590+2*$AC$5)+$AC$6)</f>
        <v>891.40650821474878</v>
      </c>
      <c r="E590" s="4">
        <f t="shared" si="100"/>
        <v>0.89140650821474876</v>
      </c>
      <c r="F590" s="24">
        <v>9.9990399102947171E-4</v>
      </c>
      <c r="G590" s="6">
        <v>0.88973475189276352</v>
      </c>
      <c r="H590" s="2">
        <f t="shared" si="101"/>
        <v>1.8754140861427251E-3</v>
      </c>
      <c r="I590" s="5">
        <f>G590/F590</f>
        <v>889.82018261245139</v>
      </c>
      <c r="J590" s="2">
        <f>ABS(D590-I590)/I590</f>
        <v>1.7827485072771097E-3</v>
      </c>
      <c r="K590" s="1">
        <f>$AD$10*B590+$AD$11</f>
        <v>870.88950589250089</v>
      </c>
      <c r="L590" s="2">
        <f>ABS(K590-D590)/D590</f>
        <v>2.3016437655742513E-2</v>
      </c>
      <c r="M590" s="21">
        <f>K590*F590</f>
        <v>0.87080589268759623</v>
      </c>
      <c r="N590" s="2">
        <f>ABS(M590-G590)/M590</f>
        <v>2.1737173994937662E-2</v>
      </c>
      <c r="O590" s="21">
        <f t="shared" si="102"/>
        <v>1.8928859205167292E-2</v>
      </c>
      <c r="P590" s="25">
        <f>$AD$18*B590+$AD$19</f>
        <v>4.8916666666666657</v>
      </c>
      <c r="Q590" s="25">
        <f>$AD$29*G590+$AD$30</f>
        <v>4.8245112288752932</v>
      </c>
      <c r="R590" s="25">
        <f t="shared" si="103"/>
        <v>6.7155437791372563E-2</v>
      </c>
      <c r="S590" s="26">
        <v>4.9185617164389299</v>
      </c>
      <c r="T590" s="26">
        <f t="shared" si="104"/>
        <v>2.6895049772264201E-2</v>
      </c>
      <c r="U590" s="27">
        <f t="shared" si="105"/>
        <v>5.4981362396451534E-3</v>
      </c>
      <c r="V590" s="28">
        <f t="shared" si="106"/>
        <v>79.022740597267159</v>
      </c>
      <c r="W590" s="27">
        <f t="shared" si="107"/>
        <v>4.1008970427847038E-3</v>
      </c>
      <c r="X590" s="21">
        <v>4.9214848237975453</v>
      </c>
      <c r="Y590" s="21">
        <f t="shared" si="108"/>
        <v>79.057817885570557</v>
      </c>
      <c r="Z590" s="2">
        <f t="shared" si="109"/>
        <v>4.5466059157630813E-3</v>
      </c>
    </row>
    <row r="591" spans="1:26">
      <c r="A591" s="1">
        <v>78.8</v>
      </c>
      <c r="B591" s="1">
        <f t="shared" si="99"/>
        <v>351.95</v>
      </c>
      <c r="C591" s="4">
        <f>ROUND(10000*EXP(($AB$4)+($AC$4/B591)+($AD$4/(B591^2))+($AE$4/(B591^3))),6)</f>
        <v>1306.480914</v>
      </c>
      <c r="D591" s="4">
        <f>((C591+2*$AC$5)*$AC$6)/((C591+2*$AC$5)+$AC$6)</f>
        <v>889.48601627470669</v>
      </c>
      <c r="E591" s="4">
        <f t="shared" si="100"/>
        <v>0.88948601627470669</v>
      </c>
      <c r="F591" s="24">
        <v>9.9990399102947171E-4</v>
      </c>
      <c r="G591" s="6">
        <v>0.88781586404354085</v>
      </c>
      <c r="H591" s="2">
        <f t="shared" si="101"/>
        <v>1.8776599076404579E-3</v>
      </c>
      <c r="I591" s="5">
        <f>G591/F591</f>
        <v>887.90111051509234</v>
      </c>
      <c r="J591" s="2">
        <f>ABS(D591-I591)/I591</f>
        <v>1.785002564863223E-3</v>
      </c>
      <c r="K591" s="1">
        <f>$AD$10*B591+$AD$11</f>
        <v>868.54039397362612</v>
      </c>
      <c r="L591" s="2">
        <f>ABS(K591-D591)/D591</f>
        <v>2.3548006284352611E-2</v>
      </c>
      <c r="M591" s="21">
        <f>K591*F591</f>
        <v>0.86845700630453848</v>
      </c>
      <c r="N591" s="2">
        <f>ABS(M591-G591)/M591</f>
        <v>2.2291095124418708E-2</v>
      </c>
      <c r="O591" s="21">
        <f t="shared" si="102"/>
        <v>1.9358857739002366E-2</v>
      </c>
      <c r="P591" s="25">
        <f>$AD$18*B591+$AD$19</f>
        <v>4.9000000000000021</v>
      </c>
      <c r="Q591" s="25">
        <f>$AD$29*G591+$AD$30</f>
        <v>4.8313190217903532</v>
      </c>
      <c r="R591" s="25">
        <f t="shared" si="103"/>
        <v>6.8680978209648913E-2</v>
      </c>
      <c r="S591" s="26">
        <v>4.9256384902752233</v>
      </c>
      <c r="T591" s="26">
        <f t="shared" si="104"/>
        <v>2.5638490275221137E-2</v>
      </c>
      <c r="U591" s="27">
        <f t="shared" si="105"/>
        <v>5.2323449541267601E-3</v>
      </c>
      <c r="V591" s="28">
        <f t="shared" si="106"/>
        <v>79.107661883302683</v>
      </c>
      <c r="W591" s="27">
        <f t="shared" si="107"/>
        <v>3.9043386205924575E-3</v>
      </c>
      <c r="X591" s="21">
        <v>4.9288153731309823</v>
      </c>
      <c r="Y591" s="21">
        <f t="shared" si="108"/>
        <v>79.145784477571794</v>
      </c>
      <c r="Z591" s="2">
        <f t="shared" si="109"/>
        <v>4.3881278879669711E-3</v>
      </c>
    </row>
    <row r="592" spans="1:26">
      <c r="A592" s="1">
        <v>78.900000000000006</v>
      </c>
      <c r="B592" s="1">
        <f t="shared" si="99"/>
        <v>352.04999999999995</v>
      </c>
      <c r="C592" s="4">
        <f>ROUND(10000*EXP(($AB$4)+($AC$4/B592)+($AD$4/(B592^2))+($AE$4/(B592^3))),6)</f>
        <v>1302.2214269999999</v>
      </c>
      <c r="D592" s="4">
        <f>((C592+2*$AC$5)*$AC$6)/((C592+2*$AC$5)+$AC$6)</f>
        <v>887.5687024427956</v>
      </c>
      <c r="E592" s="4">
        <f t="shared" si="100"/>
        <v>0.88756870244279562</v>
      </c>
      <c r="F592" s="24">
        <v>9.9990399102947171E-4</v>
      </c>
      <c r="G592" s="6">
        <v>0.88589418269994813</v>
      </c>
      <c r="H592" s="2">
        <f t="shared" si="101"/>
        <v>1.8866367620205885E-3</v>
      </c>
      <c r="I592" s="5">
        <f>G592/F592</f>
        <v>885.97924465513688</v>
      </c>
      <c r="J592" s="2">
        <f>ABS(D592-I592)/I592</f>
        <v>1.7940124413156034E-3</v>
      </c>
      <c r="K592" s="1">
        <f>$AD$10*B592+$AD$11</f>
        <v>866.19128205475317</v>
      </c>
      <c r="L592" s="2">
        <f>ABS(K592-D592)/D592</f>
        <v>2.4085369762596166E-2</v>
      </c>
      <c r="M592" s="21">
        <f>K592*F592</f>
        <v>0.86610811992148251</v>
      </c>
      <c r="N592" s="2">
        <f>ABS(M592-G592)/M592</f>
        <v>2.2844795382197011E-2</v>
      </c>
      <c r="O592" s="21">
        <f t="shared" si="102"/>
        <v>1.9786062778465618E-2</v>
      </c>
      <c r="P592" s="25">
        <f>$AD$18*B592+$AD$19</f>
        <v>4.9083333333333314</v>
      </c>
      <c r="Q592" s="25">
        <f>$AD$29*G592+$AD$30</f>
        <v>4.8381367254102976</v>
      </c>
      <c r="R592" s="25">
        <f t="shared" si="103"/>
        <v>7.0196607923033838E-2</v>
      </c>
      <c r="S592" s="26">
        <v>4.9327255673304791</v>
      </c>
      <c r="T592" s="26">
        <f t="shared" si="104"/>
        <v>2.4392233997147628E-2</v>
      </c>
      <c r="U592" s="27">
        <f t="shared" si="105"/>
        <v>4.969555313510554E-3</v>
      </c>
      <c r="V592" s="28">
        <f t="shared" si="106"/>
        <v>79.192706807965749</v>
      </c>
      <c r="W592" s="27">
        <f t="shared" si="107"/>
        <v>3.7098454748509899E-3</v>
      </c>
      <c r="X592" s="21">
        <v>4.935771844210878</v>
      </c>
      <c r="Y592" s="21">
        <f t="shared" si="108"/>
        <v>79.229262130530543</v>
      </c>
      <c r="Z592" s="2">
        <f t="shared" si="109"/>
        <v>4.1731575479155569E-3</v>
      </c>
    </row>
    <row r="593" spans="1:26">
      <c r="A593" s="1">
        <v>79</v>
      </c>
      <c r="B593" s="1">
        <f t="shared" si="99"/>
        <v>352.15</v>
      </c>
      <c r="C593" s="4">
        <f>ROUND(10000*EXP(($AB$4)+($AC$4/B593)+($AD$4/(B593^2))+($AE$4/(B593^3))),6)</f>
        <v>1297.9779860000001</v>
      </c>
      <c r="D593" s="4">
        <f>((C593+2*$AC$5)*$AC$6)/((C593+2*$AC$5)+$AC$6)</f>
        <v>885.65456918857296</v>
      </c>
      <c r="E593" s="4">
        <f t="shared" si="100"/>
        <v>0.88565456918857299</v>
      </c>
      <c r="F593" s="24">
        <v>9.9990399102947171E-4</v>
      </c>
      <c r="G593" s="6">
        <v>0.88396973689563108</v>
      </c>
      <c r="H593" s="2">
        <f t="shared" si="101"/>
        <v>1.9023582687385024E-3</v>
      </c>
      <c r="I593" s="5">
        <f>G593/F593</f>
        <v>884.05461406901861</v>
      </c>
      <c r="J593" s="2">
        <f>ABS(D593-I593)/I593</f>
        <v>1.8097921713119891E-3</v>
      </c>
      <c r="K593" s="1">
        <f>$AD$10*B593+$AD$11</f>
        <v>863.84217013588022</v>
      </c>
      <c r="L593" s="2">
        <f>ABS(K593-D593)/D593</f>
        <v>2.462856266035755E-2</v>
      </c>
      <c r="M593" s="21">
        <f>K593*F593</f>
        <v>0.86375923353842654</v>
      </c>
      <c r="N593" s="2">
        <f>ABS(M593-G593)/M593</f>
        <v>2.3398306579498252E-2</v>
      </c>
      <c r="O593" s="21">
        <f t="shared" si="102"/>
        <v>2.0210503357204535E-2</v>
      </c>
      <c r="P593" s="25">
        <f>$AD$18*B593+$AD$19</f>
        <v>4.9166666666666679</v>
      </c>
      <c r="Q593" s="25">
        <f>$AD$29*G593+$AD$30</f>
        <v>4.8449642367301244</v>
      </c>
      <c r="R593" s="25">
        <f t="shared" si="103"/>
        <v>7.170242993654341E-2</v>
      </c>
      <c r="S593" s="26">
        <v>4.9398228426005293</v>
      </c>
      <c r="T593" s="26">
        <f t="shared" si="104"/>
        <v>2.3156175933861434E-2</v>
      </c>
      <c r="U593" s="27">
        <f t="shared" si="105"/>
        <v>4.7097306984124942E-3</v>
      </c>
      <c r="V593" s="28">
        <f t="shared" si="106"/>
        <v>79.277874111206344</v>
      </c>
      <c r="W593" s="27">
        <f t="shared" si="107"/>
        <v>3.5173938127385355E-3</v>
      </c>
      <c r="X593" s="21">
        <v>4.9427383137941874</v>
      </c>
      <c r="Y593" s="21">
        <f t="shared" si="108"/>
        <v>79.312859765530263</v>
      </c>
      <c r="Z593" s="2">
        <f t="shared" si="109"/>
        <v>3.9602501965856039E-3</v>
      </c>
    </row>
    <row r="594" spans="1:26">
      <c r="A594" s="1">
        <v>79.099999999999994</v>
      </c>
      <c r="B594" s="1">
        <f t="shared" si="99"/>
        <v>352.25</v>
      </c>
      <c r="C594" s="4">
        <f>ROUND(10000*EXP(($AB$4)+($AC$4/B594)+($AD$4/(B594^2))+($AE$4/(B594^3))),6)</f>
        <v>1293.750522</v>
      </c>
      <c r="D594" s="4">
        <f>((C594+2*$AC$5)*$AC$6)/((C594+2*$AC$5)+$AC$6)</f>
        <v>883.74361833343664</v>
      </c>
      <c r="E594" s="4">
        <f t="shared" si="100"/>
        <v>0.88374361833343662</v>
      </c>
      <c r="F594" s="24">
        <v>9.9990399102947171E-4</v>
      </c>
      <c r="G594" s="6">
        <v>0.88225190534641418</v>
      </c>
      <c r="H594" s="2">
        <f t="shared" si="101"/>
        <v>1.6879476763130849E-3</v>
      </c>
      <c r="I594" s="5">
        <f>G594/F594</f>
        <v>882.33661757672712</v>
      </c>
      <c r="J594" s="2">
        <f>ABS(D594-I594)/I594</f>
        <v>1.5946303583928617E-3</v>
      </c>
      <c r="K594" s="1">
        <f>$AD$10*B594+$AD$11</f>
        <v>861.49305821700545</v>
      </c>
      <c r="L594" s="2">
        <f>ABS(K594-D594)/D594</f>
        <v>2.5177619000396615E-2</v>
      </c>
      <c r="M594" s="21">
        <f>K594*F594</f>
        <v>0.86141034715536879</v>
      </c>
      <c r="N594" s="2">
        <f>ABS(M594-G594)/M594</f>
        <v>2.419469218110783E-2</v>
      </c>
      <c r="O594" s="21">
        <f t="shared" si="102"/>
        <v>2.0841558191045384E-2</v>
      </c>
      <c r="P594" s="25">
        <f>$AD$18*B594+$AD$19</f>
        <v>4.9250000000000007</v>
      </c>
      <c r="Q594" s="25">
        <f>$AD$29*G594+$AD$30</f>
        <v>4.8510587260223268</v>
      </c>
      <c r="R594" s="25">
        <f t="shared" si="103"/>
        <v>7.3941273977673916E-2</v>
      </c>
      <c r="S594" s="26">
        <v>4.9461680462215281</v>
      </c>
      <c r="T594" s="26">
        <f t="shared" si="104"/>
        <v>2.1168046221527348E-2</v>
      </c>
      <c r="U594" s="27">
        <f t="shared" si="105"/>
        <v>4.2980804510715422E-3</v>
      </c>
      <c r="V594" s="28">
        <f t="shared" si="106"/>
        <v>79.35401655465833</v>
      </c>
      <c r="W594" s="27">
        <f t="shared" si="107"/>
        <v>3.2113344457438092E-3</v>
      </c>
      <c r="X594" s="21">
        <v>4.9497146770709239</v>
      </c>
      <c r="Y594" s="21">
        <f t="shared" si="108"/>
        <v>79.396576124851094</v>
      </c>
      <c r="Z594" s="2">
        <f t="shared" si="109"/>
        <v>3.7493821093691542E-3</v>
      </c>
    </row>
    <row r="595" spans="1:26">
      <c r="A595" s="1">
        <v>79.2</v>
      </c>
      <c r="B595" s="1">
        <f t="shared" si="99"/>
        <v>352.34999999999997</v>
      </c>
      <c r="C595" s="4">
        <f>ROUND(10000*EXP(($AB$4)+($AC$4/B595)+($AD$4/(B595^2))+($AE$4/(B595^3))),6)</f>
        <v>1289.538969</v>
      </c>
      <c r="D595" s="4">
        <f>((C595+2*$AC$5)*$AC$6)/((C595+2*$AC$5)+$AC$6)</f>
        <v>881.83585285912204</v>
      </c>
      <c r="E595" s="4">
        <f t="shared" si="100"/>
        <v>0.88183585285912203</v>
      </c>
      <c r="F595" s="24">
        <v>9.9990399102947171E-4</v>
      </c>
      <c r="G595" s="6">
        <v>0.88032021365639612</v>
      </c>
      <c r="H595" s="2">
        <f t="shared" si="101"/>
        <v>1.7187316639619961E-3</v>
      </c>
      <c r="I595" s="5">
        <f>G595/F595</f>
        <v>880.40474040917104</v>
      </c>
      <c r="J595" s="2">
        <f>ABS(D595-I595)/I595</f>
        <v>1.6255165201471851E-3</v>
      </c>
      <c r="K595" s="1">
        <f>$AD$10*B595+$AD$11</f>
        <v>859.14394629813251</v>
      </c>
      <c r="L595" s="2">
        <f>ABS(K595-D595)/D595</f>
        <v>2.5732574251111435E-2</v>
      </c>
      <c r="M595" s="21">
        <f>K595*F595</f>
        <v>0.85906146077231282</v>
      </c>
      <c r="N595" s="2">
        <f>ABS(M595-G595)/M595</f>
        <v>2.4746486549368969E-2</v>
      </c>
      <c r="O595" s="21">
        <f t="shared" si="102"/>
        <v>2.1258752884083298E-2</v>
      </c>
      <c r="P595" s="25">
        <f>$AD$18*B595+$AD$19</f>
        <v>4.9333333333333336</v>
      </c>
      <c r="Q595" s="25">
        <f>$AD$29*G595+$AD$30</f>
        <v>4.8579119441542318</v>
      </c>
      <c r="R595" s="25">
        <f t="shared" si="103"/>
        <v>7.5421389179101794E-2</v>
      </c>
      <c r="S595" s="26">
        <v>4.9532870127934912</v>
      </c>
      <c r="T595" s="26">
        <f t="shared" si="104"/>
        <v>1.9953679460157581E-2</v>
      </c>
      <c r="U595" s="27">
        <f t="shared" si="105"/>
        <v>4.0446647554373471E-3</v>
      </c>
      <c r="V595" s="28">
        <f t="shared" si="106"/>
        <v>79.439444153521904</v>
      </c>
      <c r="W595" s="27">
        <f t="shared" si="107"/>
        <v>3.0232847666906769E-3</v>
      </c>
      <c r="X595" s="21">
        <v>4.9563208365979774</v>
      </c>
      <c r="Y595" s="21">
        <f t="shared" si="108"/>
        <v>79.475850039175739</v>
      </c>
      <c r="Z595" s="2">
        <f t="shared" si="109"/>
        <v>3.4829550400976841E-3</v>
      </c>
    </row>
    <row r="596" spans="1:26">
      <c r="A596" s="1">
        <v>79.3</v>
      </c>
      <c r="B596" s="1">
        <f t="shared" si="99"/>
        <v>352.45</v>
      </c>
      <c r="C596" s="4">
        <f>ROUND(10000*EXP(($AB$4)+($AC$4/B596)+($AD$4/(B596^2))+($AE$4/(B596^3))),6)</f>
        <v>1285.343259</v>
      </c>
      <c r="D596" s="4">
        <f>((C596+2*$AC$5)*$AC$6)/((C596+2*$AC$5)+$AC$6)</f>
        <v>879.93127464933707</v>
      </c>
      <c r="E596" s="4">
        <f t="shared" si="100"/>
        <v>0.87993127464933707</v>
      </c>
      <c r="F596" s="24">
        <v>9.9990399102947171E-4</v>
      </c>
      <c r="G596" s="6">
        <v>0.87838584318639701</v>
      </c>
      <c r="H596" s="2">
        <f t="shared" si="101"/>
        <v>1.7563092794445039E-3</v>
      </c>
      <c r="I596" s="5">
        <f>G596/F596</f>
        <v>878.47018420442225</v>
      </c>
      <c r="J596" s="2">
        <f>ABS(D596-I596)/I596</f>
        <v>1.6632214401653695E-3</v>
      </c>
      <c r="K596" s="1">
        <f>$AD$10*B596+$AD$11</f>
        <v>856.79483437925774</v>
      </c>
      <c r="L596" s="2">
        <f>ABS(K596-D596)/D596</f>
        <v>2.629346283810571E-2</v>
      </c>
      <c r="M596" s="21">
        <f>K596*F596</f>
        <v>0.85671257438925508</v>
      </c>
      <c r="N596" s="2">
        <f>ABS(M596-G596)/M596</f>
        <v>2.5298179862239874E-2</v>
      </c>
      <c r="O596" s="21">
        <f t="shared" si="102"/>
        <v>2.1673268797141931E-2</v>
      </c>
      <c r="P596" s="25">
        <f>$AD$18*B596+$AD$19</f>
        <v>4.9416666666666664</v>
      </c>
      <c r="Q596" s="25">
        <f>$AD$29*G596+$AD$30</f>
        <v>4.8647746660095477</v>
      </c>
      <c r="R596" s="25">
        <f t="shared" si="103"/>
        <v>7.6892000657118764E-2</v>
      </c>
      <c r="S596" s="26">
        <v>4.9604158622152017</v>
      </c>
      <c r="T596" s="26">
        <f t="shared" si="104"/>
        <v>1.8749195548535269E-2</v>
      </c>
      <c r="U596" s="27">
        <f t="shared" si="105"/>
        <v>3.7941036523174241E-3</v>
      </c>
      <c r="V596" s="28">
        <f t="shared" si="106"/>
        <v>79.524990346582413</v>
      </c>
      <c r="W596" s="27">
        <f t="shared" si="107"/>
        <v>2.8372048749358905E-3</v>
      </c>
      <c r="X596" s="21">
        <v>4.9633175073774254</v>
      </c>
      <c r="Y596" s="21">
        <f t="shared" si="108"/>
        <v>79.559810088529119</v>
      </c>
      <c r="Z596" s="2">
        <f t="shared" si="109"/>
        <v>3.2762936762814844E-3</v>
      </c>
    </row>
    <row r="597" spans="1:26">
      <c r="A597" s="1">
        <v>79.400000000000006</v>
      </c>
      <c r="B597" s="1">
        <f t="shared" si="99"/>
        <v>352.54999999999995</v>
      </c>
      <c r="C597" s="4">
        <f>ROUND(10000*EXP(($AB$4)+($AC$4/B597)+($AD$4/(B597^2))+($AE$4/(B597^3))),6)</f>
        <v>1281.163325</v>
      </c>
      <c r="D597" s="4">
        <f>((C597+2*$AC$5)*$AC$6)/((C597+2*$AC$5)+$AC$6)</f>
        <v>878.02988584576212</v>
      </c>
      <c r="E597" s="4">
        <f t="shared" si="100"/>
        <v>0.87802988584576214</v>
      </c>
      <c r="F597" s="24">
        <v>9.9990399102947171E-4</v>
      </c>
      <c r="G597" s="6">
        <v>0.8764501826059502</v>
      </c>
      <c r="H597" s="2">
        <f t="shared" si="101"/>
        <v>1.7991451831850657E-3</v>
      </c>
      <c r="I597" s="5">
        <f>G597/F597</f>
        <v>876.53433776535178</v>
      </c>
      <c r="J597" s="2">
        <f>ABS(D597-I597)/I597</f>
        <v>1.7062059248279019E-3</v>
      </c>
      <c r="K597" s="1">
        <f>$AD$10*B597+$AD$11</f>
        <v>854.44572246038479</v>
      </c>
      <c r="L597" s="2">
        <f>ABS(K597-D597)/D597</f>
        <v>2.6860319637821779E-2</v>
      </c>
      <c r="M597" s="21">
        <f>K597*F597</f>
        <v>0.85436368800619911</v>
      </c>
      <c r="N597" s="2">
        <f>ABS(M597-G597)/M597</f>
        <v>2.5851396670771007E-2</v>
      </c>
      <c r="O597" s="21">
        <f t="shared" si="102"/>
        <v>2.2086494599751094E-2</v>
      </c>
      <c r="P597" s="25">
        <f>$AD$18*B597+$AD$19</f>
        <v>4.9499999999999993</v>
      </c>
      <c r="Q597" s="25">
        <f>$AD$29*G597+$AD$30</f>
        <v>4.871641964893568</v>
      </c>
      <c r="R597" s="25">
        <f t="shared" si="103"/>
        <v>7.8358035106431245E-2</v>
      </c>
      <c r="S597" s="26">
        <v>4.9675545563183841</v>
      </c>
      <c r="T597" s="26">
        <f t="shared" si="104"/>
        <v>1.7554556318384762E-2</v>
      </c>
      <c r="U597" s="27">
        <f t="shared" si="105"/>
        <v>3.5463750138151041E-3</v>
      </c>
      <c r="V597" s="28">
        <f t="shared" si="106"/>
        <v>79.610654675820612</v>
      </c>
      <c r="W597" s="27">
        <f t="shared" si="107"/>
        <v>2.6530815594534821E-3</v>
      </c>
      <c r="X597" s="21">
        <v>4.9707020852789245</v>
      </c>
      <c r="Y597" s="21">
        <f t="shared" si="108"/>
        <v>79.648425023347102</v>
      </c>
      <c r="Z597" s="2">
        <f t="shared" si="109"/>
        <v>3.1287786315755154E-3</v>
      </c>
    </row>
    <row r="598" spans="1:26">
      <c r="A598" s="1">
        <v>79.5</v>
      </c>
      <c r="B598" s="1">
        <f t="shared" si="99"/>
        <v>352.65</v>
      </c>
      <c r="C598" s="4">
        <f>ROUND(10000*EXP(($AB$4)+($AC$4/B598)+($AD$4/(B598^2))+($AE$4/(B598^3))),6)</f>
        <v>1276.9991</v>
      </c>
      <c r="D598" s="4">
        <f>((C598+2*$AC$5)*$AC$6)/((C598+2*$AC$5)+$AC$6)</f>
        <v>876.13168839592674</v>
      </c>
      <c r="E598" s="4">
        <f t="shared" si="100"/>
        <v>0.87613168839592681</v>
      </c>
      <c r="F598" s="24">
        <v>9.9990399102947171E-4</v>
      </c>
      <c r="G598" s="6">
        <v>0.87461565209986958</v>
      </c>
      <c r="H598" s="2">
        <f t="shared" si="101"/>
        <v>1.730374915251474E-3</v>
      </c>
      <c r="I598" s="5">
        <f>G598/F598</f>
        <v>874.699631110974</v>
      </c>
      <c r="J598" s="2">
        <f>ABS(D598-I598)/I598</f>
        <v>1.6371989126528642E-3</v>
      </c>
      <c r="K598" s="1">
        <f>$AD$10*B598+$AD$11</f>
        <v>852.09661054151002</v>
      </c>
      <c r="L598" s="2">
        <f>ABS(K598-D598)/D598</f>
        <v>2.743317947832883E-2</v>
      </c>
      <c r="M598" s="21">
        <f>K598*F598</f>
        <v>0.85201480162314125</v>
      </c>
      <c r="N598" s="2">
        <f>ABS(M598-G598)/M598</f>
        <v>2.6526358971313998E-2</v>
      </c>
      <c r="O598" s="21">
        <f t="shared" si="102"/>
        <v>2.2600850476728329E-2</v>
      </c>
      <c r="P598" s="25">
        <f>$AD$18*B598+$AD$19</f>
        <v>4.9583333333333321</v>
      </c>
      <c r="Q598" s="25">
        <f>$AD$29*G598+$AD$30</f>
        <v>4.8781504764706334</v>
      </c>
      <c r="R598" s="25">
        <f t="shared" si="103"/>
        <v>8.018285686269877E-2</v>
      </c>
      <c r="S598" s="26">
        <v>4.9743251787669429</v>
      </c>
      <c r="T598" s="26">
        <f t="shared" si="104"/>
        <v>1.5991845433610763E-2</v>
      </c>
      <c r="U598" s="27">
        <f t="shared" si="105"/>
        <v>3.2252461378710789E-3</v>
      </c>
      <c r="V598" s="28">
        <f t="shared" si="106"/>
        <v>79.691902145203315</v>
      </c>
      <c r="W598" s="27">
        <f t="shared" si="107"/>
        <v>2.4138634616769176E-3</v>
      </c>
      <c r="X598" s="21">
        <v>4.9773394842116119</v>
      </c>
      <c r="Y598" s="21">
        <f t="shared" si="108"/>
        <v>79.728073810539357</v>
      </c>
      <c r="Z598" s="2">
        <f t="shared" si="109"/>
        <v>2.8688529627592038E-3</v>
      </c>
    </row>
    <row r="599" spans="1:26">
      <c r="A599" s="1">
        <v>79.599999999999994</v>
      </c>
      <c r="B599" s="1">
        <f t="shared" si="99"/>
        <v>352.75</v>
      </c>
      <c r="C599" s="4">
        <f>ROUND(10000*EXP(($AB$4)+($AC$4/B599)+($AD$4/(B599^2))+($AE$4/(B599^3))),6)</f>
        <v>1272.8505170000001</v>
      </c>
      <c r="D599" s="4">
        <f>((C599+2*$AC$5)*$AC$6)/((C599+2*$AC$5)+$AC$6)</f>
        <v>874.23668405265278</v>
      </c>
      <c r="E599" s="4">
        <f t="shared" si="100"/>
        <v>0.87423668405265276</v>
      </c>
      <c r="F599" s="24">
        <v>9.9990399102947171E-4</v>
      </c>
      <c r="G599" s="6">
        <v>0.87267318929955406</v>
      </c>
      <c r="H599" s="2">
        <f t="shared" si="101"/>
        <v>1.7884112868049454E-3</v>
      </c>
      <c r="I599" s="5">
        <f>G599/F599</f>
        <v>872.75698179889798</v>
      </c>
      <c r="J599" s="2">
        <f>ABS(D599-I599)/I599</f>
        <v>1.6954344503837494E-3</v>
      </c>
      <c r="K599" s="1">
        <f>$AD$10*B599+$AD$11</f>
        <v>849.74749862263525</v>
      </c>
      <c r="L599" s="2">
        <f>ABS(K599-D599)/D599</f>
        <v>2.8012077137388364E-2</v>
      </c>
      <c r="M599" s="21">
        <f>K599*F599</f>
        <v>0.8496659152400835</v>
      </c>
      <c r="N599" s="2">
        <f>ABS(M599-G599)/M599</f>
        <v>2.7078024017203956E-2</v>
      </c>
      <c r="O599" s="21">
        <f t="shared" si="102"/>
        <v>2.3007274059470562E-2</v>
      </c>
      <c r="P599" s="25">
        <f>$AD$18*B599+$AD$19</f>
        <v>4.9666666666666686</v>
      </c>
      <c r="Q599" s="25">
        <f>$AD$29*G599+$AD$30</f>
        <v>4.8850419081377385</v>
      </c>
      <c r="R599" s="25">
        <f t="shared" si="103"/>
        <v>8.162475852893003E-2</v>
      </c>
      <c r="S599" s="26">
        <v>4.9814838884872517</v>
      </c>
      <c r="T599" s="26">
        <f t="shared" si="104"/>
        <v>1.4817221820583093E-2</v>
      </c>
      <c r="U599" s="27">
        <f t="shared" si="105"/>
        <v>2.9833332524663936E-3</v>
      </c>
      <c r="V599" s="28">
        <f t="shared" si="106"/>
        <v>79.777806661847023</v>
      </c>
      <c r="W599" s="27">
        <f t="shared" si="107"/>
        <v>2.2337520332541346E-3</v>
      </c>
      <c r="X599" s="21">
        <v>4.9843645842172117</v>
      </c>
      <c r="Y599" s="21">
        <f t="shared" si="108"/>
        <v>79.812375010606544</v>
      </c>
      <c r="Z599" s="2">
        <f t="shared" si="109"/>
        <v>2.6680277714390714E-3</v>
      </c>
    </row>
    <row r="600" spans="1:26">
      <c r="A600" s="1">
        <v>79.7</v>
      </c>
      <c r="B600" s="1">
        <f t="shared" si="99"/>
        <v>352.84999999999997</v>
      </c>
      <c r="C600" s="4">
        <f>ROUND(10000*EXP(($AB$4)+($AC$4/B600)+($AD$4/(B600^2))+($AE$4/(B600^3))),6)</f>
        <v>1268.7175110000001</v>
      </c>
      <c r="D600" s="4">
        <f>((C600+2*$AC$5)*$AC$6)/((C600+2*$AC$5)+$AC$6)</f>
        <v>872.34487528991633</v>
      </c>
      <c r="E600" s="4">
        <f t="shared" si="100"/>
        <v>0.87234487528991633</v>
      </c>
      <c r="F600" s="24">
        <v>9.9990399102947171E-4</v>
      </c>
      <c r="G600" s="6">
        <v>0.87083283339954443</v>
      </c>
      <c r="H600" s="2">
        <f t="shared" si="101"/>
        <v>1.7333074718521074E-3</v>
      </c>
      <c r="I600" s="5">
        <f>G600/F600</f>
        <v>870.91644919124747</v>
      </c>
      <c r="J600" s="2">
        <f>ABS(D600-I600)/I600</f>
        <v>1.6401413706163589E-3</v>
      </c>
      <c r="K600" s="1">
        <f>$AD$10*B600+$AD$11</f>
        <v>847.3983867037623</v>
      </c>
      <c r="L600" s="2">
        <f>ABS(K600-D600)/D600</f>
        <v>2.8597048361020384E-2</v>
      </c>
      <c r="M600" s="21">
        <f>K600*F600</f>
        <v>0.84731702885702753</v>
      </c>
      <c r="N600" s="2">
        <f>ABS(M600-G600)/M600</f>
        <v>2.7753253790069696E-2</v>
      </c>
      <c r="O600" s="21">
        <f t="shared" si="102"/>
        <v>2.3515804542516894E-2</v>
      </c>
      <c r="P600" s="25">
        <f>$AD$18*B600+$AD$19</f>
        <v>4.9749999999999979</v>
      </c>
      <c r="Q600" s="25">
        <f>$AD$29*G600+$AD$30</f>
        <v>4.8915710869338564</v>
      </c>
      <c r="R600" s="25">
        <f t="shared" si="103"/>
        <v>8.3428913066141419E-2</v>
      </c>
      <c r="S600" s="26">
        <v>4.9882760445848788</v>
      </c>
      <c r="T600" s="26">
        <f t="shared" si="104"/>
        <v>1.3276044584880964E-2</v>
      </c>
      <c r="U600" s="27">
        <f t="shared" si="105"/>
        <v>2.6685516753529588E-3</v>
      </c>
      <c r="V600" s="28">
        <f t="shared" si="106"/>
        <v>79.859312535018546</v>
      </c>
      <c r="W600" s="27">
        <f t="shared" si="107"/>
        <v>1.9989025723782076E-3</v>
      </c>
      <c r="X600" s="21">
        <v>4.9913989544315562</v>
      </c>
      <c r="Y600" s="21">
        <f t="shared" si="108"/>
        <v>79.896787453178689</v>
      </c>
      <c r="Z600" s="2">
        <f t="shared" si="109"/>
        <v>2.4691022983523987E-3</v>
      </c>
    </row>
    <row r="601" spans="1:26">
      <c r="A601" s="1">
        <v>79.8</v>
      </c>
      <c r="B601" s="1">
        <f t="shared" si="99"/>
        <v>352.95</v>
      </c>
      <c r="C601" s="4">
        <f>ROUND(10000*EXP(($AB$4)+($AC$4/B601)+($AD$4/(B601^2))+($AE$4/(B601^3))),6)</f>
        <v>1264.6000160000001</v>
      </c>
      <c r="D601" s="4">
        <f>((C601+2*$AC$5)*$AC$6)/((C601+2*$AC$5)+$AC$6)</f>
        <v>870.45626393432201</v>
      </c>
      <c r="E601" s="4">
        <f t="shared" si="100"/>
        <v>0.87045626393432207</v>
      </c>
      <c r="F601" s="24">
        <v>9.9990399102947171E-4</v>
      </c>
      <c r="G601" s="6">
        <v>0.86888504060835314</v>
      </c>
      <c r="H601" s="2">
        <f t="shared" si="101"/>
        <v>1.8050571764137266E-3</v>
      </c>
      <c r="I601" s="5">
        <f>G601/F601</f>
        <v>868.96846937651958</v>
      </c>
      <c r="J601" s="2">
        <f>ABS(D601-I601)/I601</f>
        <v>1.7121387141583123E-3</v>
      </c>
      <c r="K601" s="1">
        <f>$AD$10*B601+$AD$11</f>
        <v>845.04927478488753</v>
      </c>
      <c r="L601" s="2">
        <f>ABS(K601-D601)/D601</f>
        <v>2.9188128343863005E-2</v>
      </c>
      <c r="M601" s="21">
        <f>K601*F601</f>
        <v>0.84496814247396979</v>
      </c>
      <c r="N601" s="2">
        <f>ABS(M601-G601)/M601</f>
        <v>2.8305088597017899E-2</v>
      </c>
      <c r="O601" s="21">
        <f t="shared" si="102"/>
        <v>2.3916898134383358E-2</v>
      </c>
      <c r="P601" s="25">
        <f>$AD$18*B601+$AD$19</f>
        <v>4.9833333333333343</v>
      </c>
      <c r="Q601" s="25">
        <f>$AD$29*G601+$AD$30</f>
        <v>4.8984814282387159</v>
      </c>
      <c r="R601" s="25">
        <f t="shared" si="103"/>
        <v>8.4851905094618374E-2</v>
      </c>
      <c r="S601" s="26">
        <v>4.9954544199801356</v>
      </c>
      <c r="T601" s="26">
        <f t="shared" si="104"/>
        <v>1.2121086646801338E-2</v>
      </c>
      <c r="U601" s="27">
        <f t="shared" si="105"/>
        <v>2.4323250796256862E-3</v>
      </c>
      <c r="V601" s="28">
        <f t="shared" si="106"/>
        <v>79.945453039761631</v>
      </c>
      <c r="W601" s="27">
        <f t="shared" si="107"/>
        <v>1.8227197965117021E-3</v>
      </c>
      <c r="X601" s="21">
        <v>4.9984424928422904</v>
      </c>
      <c r="Y601" s="21">
        <f t="shared" si="108"/>
        <v>79.981309914107499</v>
      </c>
      <c r="Z601" s="2">
        <f t="shared" si="109"/>
        <v>2.2720540614975114E-3</v>
      </c>
    </row>
    <row r="602" spans="1:26">
      <c r="A602" s="1">
        <v>79.900000000000006</v>
      </c>
      <c r="B602" s="1">
        <f t="shared" si="99"/>
        <v>353.04999999999995</v>
      </c>
      <c r="C602" s="4">
        <f>ROUND(10000*EXP(($AB$4)+($AC$4/B602)+($AD$4/(B602^2))+($AE$4/(B602^3))),6)</f>
        <v>1260.4979659999999</v>
      </c>
      <c r="D602" s="4">
        <f>((C602+2*$AC$5)*$AC$6)/((C602+2*$AC$5)+$AC$6)</f>
        <v>868.57085161992507</v>
      </c>
      <c r="E602" s="4">
        <f t="shared" si="100"/>
        <v>0.86857085161992509</v>
      </c>
      <c r="F602" s="24">
        <v>9.9990399102947171E-4</v>
      </c>
      <c r="G602" s="6">
        <v>0.86703895920507423</v>
      </c>
      <c r="H602" s="2">
        <f t="shared" si="101"/>
        <v>1.7636930965318539E-3</v>
      </c>
      <c r="I602" s="5">
        <f>G602/F602</f>
        <v>867.12221071584725</v>
      </c>
      <c r="J602" s="2">
        <f>ABS(D602-I602)/I602</f>
        <v>1.6706306056696479E-3</v>
      </c>
      <c r="K602" s="1">
        <f>$AD$10*B602+$AD$11</f>
        <v>842.70016286601458</v>
      </c>
      <c r="L602" s="2">
        <f>ABS(K602-D602)/D602</f>
        <v>2.9785352231957184E-2</v>
      </c>
      <c r="M602" s="21">
        <f>K602*F602</f>
        <v>0.84261925609091382</v>
      </c>
      <c r="N602" s="2">
        <f>ABS(M602-G602)/M602</f>
        <v>2.8980708591266363E-2</v>
      </c>
      <c r="O602" s="21">
        <f t="shared" si="102"/>
        <v>2.4419703114160418E-2</v>
      </c>
      <c r="P602" s="25">
        <f>$AD$18*B602+$AD$19</f>
        <v>4.9916666666666636</v>
      </c>
      <c r="Q602" s="25">
        <f>$AD$29*G602+$AD$30</f>
        <v>4.9050309198637514</v>
      </c>
      <c r="R602" s="25">
        <f t="shared" si="103"/>
        <v>8.6635746802912195E-2</v>
      </c>
      <c r="S602" s="26">
        <v>5.0022676892994067</v>
      </c>
      <c r="T602" s="26">
        <f t="shared" si="104"/>
        <v>1.0601022632743096E-2</v>
      </c>
      <c r="U602" s="27">
        <f t="shared" si="105"/>
        <v>2.1237441000487014E-3</v>
      </c>
      <c r="V602" s="28">
        <f t="shared" si="106"/>
        <v>80.027212271592873</v>
      </c>
      <c r="W602" s="27">
        <f t="shared" si="107"/>
        <v>1.5921435743788161E-3</v>
      </c>
      <c r="X602" s="21">
        <v>5.0051209072772203</v>
      </c>
      <c r="Y602" s="21">
        <f t="shared" si="108"/>
        <v>80.061450887326657</v>
      </c>
      <c r="Z602" s="2">
        <f t="shared" si="109"/>
        <v>2.0206619189818719E-3</v>
      </c>
    </row>
    <row r="603" spans="1:26">
      <c r="A603" s="1">
        <v>80</v>
      </c>
      <c r="B603" s="1">
        <f t="shared" si="99"/>
        <v>353.15</v>
      </c>
      <c r="C603" s="4">
        <f>ROUND(10000*EXP(($AB$4)+($AC$4/B603)+($AD$4/(B603^2))+($AE$4/(B603^3))),6)</f>
        <v>1256.411296</v>
      </c>
      <c r="D603" s="4">
        <f>((C603+2*$AC$5)*$AC$6)/((C603+2*$AC$5)+$AC$6)</f>
        <v>866.68864024874745</v>
      </c>
      <c r="E603" s="4">
        <f t="shared" si="100"/>
        <v>0.86668864024874748</v>
      </c>
      <c r="F603" s="24">
        <v>9.9990399102947171E-4</v>
      </c>
      <c r="G603" s="6">
        <v>0.86518860538267384</v>
      </c>
      <c r="H603" s="2">
        <f t="shared" si="101"/>
        <v>1.7307655787932297E-3</v>
      </c>
      <c r="I603" s="5">
        <f>G603/F603</f>
        <v>865.27167922582362</v>
      </c>
      <c r="J603" s="2">
        <f>ABS(D603-I603)/I603</f>
        <v>1.6375908942167308E-3</v>
      </c>
      <c r="K603" s="1">
        <f>$AD$10*B603+$AD$11</f>
        <v>840.35105094713981</v>
      </c>
      <c r="L603" s="2">
        <f>ABS(K603-D603)/D603</f>
        <v>3.0388755636682294E-2</v>
      </c>
      <c r="M603" s="21">
        <f>K603*F603</f>
        <v>0.84027036970785596</v>
      </c>
      <c r="N603" s="2">
        <f>ABS(M603-G603)/M603</f>
        <v>2.9655021256409907E-2</v>
      </c>
      <c r="O603" s="21">
        <f t="shared" si="102"/>
        <v>2.4918235674817879E-2</v>
      </c>
      <c r="P603" s="25">
        <f>$AD$18*B603+$AD$19</f>
        <v>5</v>
      </c>
      <c r="Q603" s="25">
        <f>$AD$29*G603+$AD$30</f>
        <v>4.9115955690940822</v>
      </c>
      <c r="R603" s="25">
        <f t="shared" si="103"/>
        <v>8.8404430905917764E-2</v>
      </c>
      <c r="S603" s="26">
        <v>5.0090917065909011</v>
      </c>
      <c r="T603" s="26">
        <f t="shared" si="104"/>
        <v>9.091706590901083E-3</v>
      </c>
      <c r="U603" s="27">
        <f t="shared" si="105"/>
        <v>1.8183413181802166E-3</v>
      </c>
      <c r="V603" s="28">
        <f t="shared" si="106"/>
        <v>80.109100479090813</v>
      </c>
      <c r="W603" s="27">
        <f t="shared" si="107"/>
        <v>1.3637559886351624E-3</v>
      </c>
      <c r="X603" s="21">
        <v>5.0121832986734915</v>
      </c>
      <c r="Y603" s="21">
        <f t="shared" si="108"/>
        <v>80.146199584081913</v>
      </c>
      <c r="Z603" s="2">
        <f t="shared" si="109"/>
        <v>1.82749480102391E-3</v>
      </c>
    </row>
  </sheetData>
  <mergeCells count="17">
    <mergeCell ref="AE22:AE25"/>
    <mergeCell ref="A1:Z1"/>
    <mergeCell ref="AB10:AB11"/>
    <mergeCell ref="AB18:AB21"/>
    <mergeCell ref="AB29:AB30"/>
    <mergeCell ref="AB22:AC22"/>
    <mergeCell ref="AB23:AC23"/>
    <mergeCell ref="AB24:AC24"/>
    <mergeCell ref="AB25:AC25"/>
    <mergeCell ref="AE10:AE11"/>
    <mergeCell ref="AE12:AE13"/>
    <mergeCell ref="AE14:AE15"/>
    <mergeCell ref="AE18:AE19"/>
    <mergeCell ref="AE20:AE21"/>
    <mergeCell ref="AB9:AE9"/>
    <mergeCell ref="AE29:AE30"/>
    <mergeCell ref="AB2:AE2"/>
  </mergeCells>
  <pageMargins left="0.25" right="0.25" top="0.75" bottom="0.75" header="0.3" footer="0.3"/>
  <pageSetup paperSize="9" scale="2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SANG</dc:creator>
  <cp:lastModifiedBy>nguyen dong</cp:lastModifiedBy>
  <cp:lastPrinted>2025-11-30T16:18:44Z</cp:lastPrinted>
  <dcterms:created xsi:type="dcterms:W3CDTF">2025-11-18T17:04:00Z</dcterms:created>
  <dcterms:modified xsi:type="dcterms:W3CDTF">2025-11-30T16:20:58Z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15E7A0C56460465791578F3362C58AF0_11</vt:lpwstr>
  </property>
  <property fmtid="{D5CDD505-2E9C-101B-9397-08002B2CF9AE}" pid="3" name="KSOProductBuildVer">
    <vt:lpwstr>1033-12.2.0.23155</vt:lpwstr>
  </property>
</Properties>
</file>