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kduy\OneDrive\Desktop\Tài liệu học kỳ 241\Điện tử ứng dụng\BT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C25" i="1" l="1"/>
  <c r="E20" i="1" l="1"/>
  <c r="K20" i="1" s="1"/>
  <c r="E2" i="1"/>
  <c r="E25" i="1" a="1"/>
  <c r="F25" i="1" s="1"/>
  <c r="E25" i="1"/>
  <c r="C26" i="1"/>
  <c r="H25" i="1" a="1"/>
  <c r="H26" i="1" s="1"/>
  <c r="E3" i="1"/>
  <c r="E4" i="1"/>
  <c r="K4" i="1" s="1"/>
  <c r="E5" i="1"/>
  <c r="E6" i="1"/>
  <c r="K6" i="1" s="1"/>
  <c r="E7" i="1"/>
  <c r="E8" i="1"/>
  <c r="E9" i="1"/>
  <c r="E10" i="1"/>
  <c r="E11" i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5" i="1" l="1"/>
  <c r="L17" i="1"/>
  <c r="L16" i="1"/>
  <c r="L13" i="1"/>
  <c r="L14" i="1"/>
  <c r="L15" i="1"/>
  <c r="L12" i="1"/>
  <c r="K11" i="1"/>
  <c r="L11" i="1" s="1"/>
  <c r="K10" i="1"/>
  <c r="K9" i="1"/>
  <c r="K8" i="1"/>
  <c r="K19" i="1"/>
  <c r="L19" i="1" s="1"/>
  <c r="K7" i="1"/>
  <c r="L6" i="1" s="1"/>
  <c r="L2" i="1"/>
  <c r="M26" i="1"/>
  <c r="H25" i="1"/>
  <c r="I26" i="1"/>
  <c r="I25" i="1"/>
  <c r="F26" i="1"/>
  <c r="E26" i="1"/>
  <c r="L18" i="1" l="1"/>
  <c r="L4" i="1"/>
  <c r="L5" i="1"/>
  <c r="F9" i="1"/>
  <c r="G9" i="1" s="1"/>
  <c r="F8" i="1"/>
  <c r="G8" i="1" s="1"/>
  <c r="F17" i="1"/>
  <c r="G17" i="1" s="1"/>
  <c r="F4" i="1"/>
  <c r="G4" i="1" s="1"/>
  <c r="F15" i="1"/>
  <c r="G15" i="1" s="1"/>
  <c r="F13" i="1"/>
  <c r="G13" i="1" s="1"/>
  <c r="F20" i="1"/>
  <c r="G20" i="1" s="1"/>
  <c r="F19" i="1"/>
  <c r="G19" i="1" s="1"/>
  <c r="F7" i="1"/>
  <c r="G7" i="1" s="1"/>
  <c r="F18" i="1"/>
  <c r="G18" i="1" s="1"/>
  <c r="F6" i="1"/>
  <c r="G6" i="1" s="1"/>
  <c r="F5" i="1"/>
  <c r="G5" i="1" s="1"/>
  <c r="F16" i="1"/>
  <c r="G16" i="1" s="1"/>
  <c r="F3" i="1"/>
  <c r="G3" i="1" s="1"/>
  <c r="F2" i="1"/>
  <c r="G2" i="1" s="1"/>
  <c r="F14" i="1"/>
  <c r="G14" i="1" s="1"/>
  <c r="F12" i="1"/>
  <c r="G12" i="1" s="1"/>
  <c r="F11" i="1"/>
  <c r="G11" i="1" s="1"/>
  <c r="F10" i="1"/>
  <c r="G10" i="1" s="1"/>
  <c r="L7" i="1"/>
  <c r="L10" i="1"/>
  <c r="L9" i="1"/>
  <c r="L8" i="1"/>
  <c r="M2" i="1" l="1"/>
</calcChain>
</file>

<file path=xl/sharedStrings.xml><?xml version="1.0" encoding="utf-8"?>
<sst xmlns="http://schemas.openxmlformats.org/spreadsheetml/2006/main" count="21" uniqueCount="19">
  <si>
    <t>No</t>
  </si>
  <si>
    <t>Ev (lux)</t>
  </si>
  <si>
    <t>Rp (KOhm)</t>
  </si>
  <si>
    <t>Rt(KOhm)</t>
  </si>
  <si>
    <t>R//(Rp//Rt)  (KOhm)</t>
  </si>
  <si>
    <t>R//(eq) (Kohm)</t>
  </si>
  <si>
    <t>Error (%)</t>
  </si>
  <si>
    <t>Gammar</t>
  </si>
  <si>
    <t>Vm</t>
  </si>
  <si>
    <t>ERROR Vm</t>
  </si>
  <si>
    <t>Vm(MP)</t>
  </si>
  <si>
    <t>Vm X 45</t>
  </si>
  <si>
    <t>V (0 - 5V)</t>
  </si>
  <si>
    <t>V(1-5)</t>
  </si>
  <si>
    <t>IL (Mô phỏng)</t>
  </si>
  <si>
    <t>IL (thực tế)</t>
  </si>
  <si>
    <t>Vm x 45 (MP)</t>
  </si>
  <si>
    <t>Vm x 45(thực tế)</t>
  </si>
  <si>
    <t>R(LDR)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</si>
</sst>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Rp (KOhm)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30.3</c:v>
                </c:pt>
                <c:pt idx="1">
                  <c:v>25.77</c:v>
                </c:pt>
                <c:pt idx="2">
                  <c:v>20.440000000000001</c:v>
                </c:pt>
                <c:pt idx="3">
                  <c:v>17.3</c:v>
                </c:pt>
                <c:pt idx="4">
                  <c:v>16.100000000000001</c:v>
                </c:pt>
                <c:pt idx="5">
                  <c:v>13.96</c:v>
                </c:pt>
                <c:pt idx="6">
                  <c:v>13.6</c:v>
                </c:pt>
                <c:pt idx="7">
                  <c:v>12.6</c:v>
                </c:pt>
                <c:pt idx="8">
                  <c:v>11.8</c:v>
                </c:pt>
                <c:pt idx="9">
                  <c:v>11</c:v>
                </c:pt>
                <c:pt idx="10">
                  <c:v>10.46</c:v>
                </c:pt>
                <c:pt idx="11">
                  <c:v>9.4</c:v>
                </c:pt>
                <c:pt idx="12">
                  <c:v>8.9700000000000006</c:v>
                </c:pt>
                <c:pt idx="13">
                  <c:v>8.7200000000000006</c:v>
                </c:pt>
                <c:pt idx="14">
                  <c:v>8.24</c:v>
                </c:pt>
                <c:pt idx="15">
                  <c:v>7.96</c:v>
                </c:pt>
                <c:pt idx="16">
                  <c:v>7.81</c:v>
                </c:pt>
                <c:pt idx="17">
                  <c:v>7.21</c:v>
                </c:pt>
                <c:pt idx="18">
                  <c:v>7.01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F-46AD-92C1-938A830F3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32143"/>
        <c:axId val="711437551"/>
      </c:scatterChart>
      <c:valAx>
        <c:axId val="7114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37551"/>
        <c:crosses val="autoZero"/>
        <c:crossBetween val="midCat"/>
      </c:valAx>
      <c:valAx>
        <c:axId val="7114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R//(Rp//Rt)  (KOhm)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0.19868938401048494</c:v>
                </c:pt>
                <c:pt idx="1">
                  <c:v>0.19846094651789153</c:v>
                </c:pt>
                <c:pt idx="2">
                  <c:v>0.19806389157792839</c:v>
                </c:pt>
                <c:pt idx="3">
                  <c:v>0.19771689497716899</c:v>
                </c:pt>
                <c:pt idx="4">
                  <c:v>0.19754901960784316</c:v>
                </c:pt>
                <c:pt idx="5">
                  <c:v>0.19717912552891398</c:v>
                </c:pt>
                <c:pt idx="6">
                  <c:v>0.19710564399421132</c:v>
                </c:pt>
                <c:pt idx="7">
                  <c:v>0.19687987519500783</c:v>
                </c:pt>
                <c:pt idx="8">
                  <c:v>0.19667221297836943</c:v>
                </c:pt>
                <c:pt idx="9">
                  <c:v>0.19643493761140823</c:v>
                </c:pt>
                <c:pt idx="10">
                  <c:v>0.19625468164794008</c:v>
                </c:pt>
                <c:pt idx="11">
                  <c:v>0.19584199584199588</c:v>
                </c:pt>
                <c:pt idx="12">
                  <c:v>0.19564744287268773</c:v>
                </c:pt>
                <c:pt idx="13">
                  <c:v>0.19552572706935126</c:v>
                </c:pt>
                <c:pt idx="14">
                  <c:v>0.19527186761229318</c:v>
                </c:pt>
                <c:pt idx="15">
                  <c:v>0.19511002444987777</c:v>
                </c:pt>
                <c:pt idx="16">
                  <c:v>0.19501867995018679</c:v>
                </c:pt>
                <c:pt idx="17">
                  <c:v>0.1946164199192463</c:v>
                </c:pt>
                <c:pt idx="18">
                  <c:v>0.19446749654218534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7-4824-83BC-4A7F3E0F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65391"/>
        <c:axId val="373667887"/>
      </c:scatterChart>
      <c:valAx>
        <c:axId val="37366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67887"/>
        <c:crosses val="autoZero"/>
        <c:crossBetween val="midCat"/>
      </c:valAx>
      <c:valAx>
        <c:axId val="3736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6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17171296296296298"/>
          <c:w val="0.8699050743657043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Error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Sheet1!$G$2:$G$20</c:f>
              <c:numCache>
                <c:formatCode>General</c:formatCode>
                <c:ptCount val="19"/>
                <c:pt idx="0">
                  <c:v>0</c:v>
                </c:pt>
                <c:pt idx="1">
                  <c:v>-3.0796039766318047E-3</c:v>
                </c:pt>
                <c:pt idx="2">
                  <c:v>7.8961300680178065E-2</c:v>
                </c:pt>
                <c:pt idx="3">
                  <c:v>0.13597276143939144</c:v>
                </c:pt>
                <c:pt idx="4">
                  <c:v>0.10233773261208766</c:v>
                </c:pt>
                <c:pt idx="5">
                  <c:v>0.17117022995892858</c:v>
                </c:pt>
                <c:pt idx="6">
                  <c:v>1.9934655216332882</c:v>
                </c:pt>
                <c:pt idx="7">
                  <c:v>8.5160399837763634E-2</c:v>
                </c:pt>
                <c:pt idx="8">
                  <c:v>7.1579304279047337E-2</c:v>
                </c:pt>
                <c:pt idx="9">
                  <c:v>7.3053534504519332E-2</c:v>
                </c:pt>
                <c:pt idx="10">
                  <c:v>4.5455896313680258E-2</c:v>
                </c:pt>
                <c:pt idx="11">
                  <c:v>0.13651097947658045</c:v>
                </c:pt>
                <c:pt idx="12">
                  <c:v>0.11620366150764129</c:v>
                </c:pt>
                <c:pt idx="13">
                  <c:v>5.856824752558349E-2</c:v>
                </c:pt>
                <c:pt idx="14">
                  <c:v>6.8533243782729056E-2</c:v>
                </c:pt>
                <c:pt idx="15">
                  <c:v>3.1325916678629967E-2</c:v>
                </c:pt>
                <c:pt idx="16">
                  <c:v>-4.2090737376338436E-2</c:v>
                </c:pt>
                <c:pt idx="17">
                  <c:v>4.3997277706051344E-2</c:v>
                </c:pt>
                <c:pt idx="18">
                  <c:v>-1.4272603961664083E-14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C-47D9-9F06-A14805DB9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714335"/>
        <c:axId val="751721407"/>
      </c:scatterChart>
      <c:valAx>
        <c:axId val="7517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21407"/>
        <c:crosses val="autoZero"/>
        <c:crossBetween val="midCat"/>
      </c:valAx>
      <c:valAx>
        <c:axId val="7517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1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297180</xdr:colOff>
      <xdr:row>0</xdr:row>
      <xdr:rowOff>72390</xdr:rowOff>
    </xdr:from>
    <xdr:to>
      <xdr:col>22</xdr:col>
      <xdr:colOff>601980</xdr:colOff>
      <xdr:row>15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287215</xdr:colOff>
      <xdr:row>15</xdr:row>
      <xdr:rowOff>149470</xdr:rowOff>
    </xdr:from>
    <xdr:to>
      <xdr:col>22</xdr:col>
      <xdr:colOff>592015</xdr:colOff>
      <xdr:row>30</xdr:row>
      <xdr:rowOff>167054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218660</xdr:colOff>
      <xdr:row>31</xdr:row>
      <xdr:rowOff>96079</xdr:rowOff>
    </xdr:from>
    <xdr:to>
      <xdr:col>22</xdr:col>
      <xdr:colOff>523460</xdr:colOff>
      <xdr:row>46</xdr:row>
      <xdr:rowOff>56322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topLeftCell="A25" zoomScale="115" zoomScaleNormal="115" workbookViewId="0">
      <selection activeCell="G44" sqref="G44"/>
    </sheetView>
  </sheetViews>
  <sheetFormatPr defaultRowHeight="14.4" x14ac:dyDescent="0.3"/>
  <cols>
    <col min="3" max="3" width="11.44140625" customWidth="1"/>
    <col min="4" max="4" width="14.44140625" customWidth="1"/>
    <col min="5" max="5" width="13.77734375" customWidth="1"/>
    <col min="6" max="6" width="12" customWidth="1"/>
    <col min="7" max="7" width="15.109375" customWidth="1"/>
    <col min="9" max="10" width="11.6640625" customWidth="1"/>
    <col min="11" max="11" width="14.21875" customWidth="1"/>
    <col min="12" max="12" width="10" customWidth="1"/>
    <col min="13" max="13" width="14.21875" customWidth="1"/>
    <col min="14" max="14" width="12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9</v>
      </c>
    </row>
    <row r="2" spans="1:14" x14ac:dyDescent="0.3">
      <c r="A2" s="2">
        <v>1</v>
      </c>
      <c r="B2" s="2">
        <v>10</v>
      </c>
      <c r="C2">
        <v>30.3</v>
      </c>
      <c r="D2">
        <v>0.2</v>
      </c>
      <c r="E2">
        <f>((C2+0.02)*D2)/((C2+0.02)+D2)</f>
        <v>0.19868938401048494</v>
      </c>
      <c r="F2">
        <f>(I25)*B2+I26</f>
        <v>0.19868938401048494</v>
      </c>
      <c r="G2">
        <f>((F2-E2)/E2)*100</f>
        <v>0</v>
      </c>
      <c r="H2">
        <v>-0.75</v>
      </c>
      <c r="I2">
        <v>9.7408832880676838E-2</v>
      </c>
      <c r="J2">
        <v>9.7408832880676838E-2</v>
      </c>
      <c r="L2">
        <f>ABS(K2-K3)</f>
        <v>4.3767834653469677</v>
      </c>
      <c r="M2" t="e">
        <f>AVERAGE(L2:L20)</f>
        <v>#REF!</v>
      </c>
    </row>
    <row r="3" spans="1:14" x14ac:dyDescent="0.3">
      <c r="A3" s="2">
        <v>2</v>
      </c>
      <c r="B3" s="2">
        <v>15</v>
      </c>
      <c r="C3">
        <v>25.77</v>
      </c>
      <c r="D3">
        <v>0.2</v>
      </c>
      <c r="E3">
        <f t="shared" ref="E3:E19" si="0">((C3+0.02)*D3)/((C3+0.02)+D3)</f>
        <v>0.19846094651789153</v>
      </c>
      <c r="F3">
        <f>(I25)*B3+I26</f>
        <v>0.19845483470669051</v>
      </c>
      <c r="G3">
        <f t="shared" ref="G3:G20" si="1">((F3-E3)/E3)*100</f>
        <v>-3.0796039766318047E-3</v>
      </c>
      <c r="H3">
        <v>-0.75</v>
      </c>
      <c r="I3">
        <f t="shared" ref="I3:I19" si="2">5*((E3)/(E3+10))</f>
        <v>9.7299458986335075E-2</v>
      </c>
      <c r="J3">
        <v>9.7299019088178396E-2</v>
      </c>
      <c r="K3">
        <v>4.3767834653469677</v>
      </c>
      <c r="L3">
        <v>4.7979703096895898</v>
      </c>
    </row>
    <row r="4" spans="1:14" x14ac:dyDescent="0.3">
      <c r="A4" s="2">
        <v>3</v>
      </c>
      <c r="B4" s="2">
        <v>20</v>
      </c>
      <c r="C4">
        <v>20.440000000000001</v>
      </c>
      <c r="D4">
        <v>0.2</v>
      </c>
      <c r="E4">
        <f t="shared" si="0"/>
        <v>0.19806389157792839</v>
      </c>
      <c r="F4">
        <f>(I25)*B4+I26</f>
        <v>0.1982202854028961</v>
      </c>
      <c r="G4">
        <f t="shared" si="1"/>
        <v>7.8961300680178065E-2</v>
      </c>
      <c r="H4">
        <v>-0.75</v>
      </c>
      <c r="I4">
        <f t="shared" si="2"/>
        <v>9.710857555104134E-2</v>
      </c>
      <c r="K4">
        <f t="shared" ref="K4:K20" si="3">19*I4</f>
        <v>1.8450629354697854</v>
      </c>
      <c r="L4">
        <f t="shared" ref="L3:L19" si="4">ABS(K4-K5)</f>
        <v>3.1697728852690954E-3</v>
      </c>
    </row>
    <row r="5" spans="1:14" x14ac:dyDescent="0.3">
      <c r="A5" s="2">
        <v>4</v>
      </c>
      <c r="B5" s="2">
        <v>25</v>
      </c>
      <c r="C5">
        <v>17.3</v>
      </c>
      <c r="D5">
        <v>0.2</v>
      </c>
      <c r="E5">
        <f t="shared" si="0"/>
        <v>0.19771689497716899</v>
      </c>
      <c r="F5">
        <f>(I25)*B5+I26</f>
        <v>0.19798573609910167</v>
      </c>
      <c r="G5">
        <f t="shared" si="1"/>
        <v>0.13597276143939144</v>
      </c>
      <c r="H5">
        <v>-0.75</v>
      </c>
      <c r="I5">
        <f>5*((E5)/(E5+10))</f>
        <v>9.694174539918507E-2</v>
      </c>
      <c r="K5">
        <f t="shared" si="3"/>
        <v>1.8418931625845163</v>
      </c>
      <c r="L5">
        <f t="shared" si="4"/>
        <v>1.533599060024482E-3</v>
      </c>
    </row>
    <row r="6" spans="1:14" x14ac:dyDescent="0.3">
      <c r="A6" s="2">
        <v>5</v>
      </c>
      <c r="B6" s="2">
        <v>30</v>
      </c>
      <c r="C6">
        <v>16.100000000000001</v>
      </c>
      <c r="D6">
        <v>0.2</v>
      </c>
      <c r="E6">
        <f t="shared" si="0"/>
        <v>0.19754901960784316</v>
      </c>
      <c r="F6">
        <f>(I25)*B6+I26</f>
        <v>0.19775118679530723</v>
      </c>
      <c r="G6">
        <f t="shared" si="1"/>
        <v>0.10233773261208766</v>
      </c>
      <c r="H6">
        <v>-0.75</v>
      </c>
      <c r="I6">
        <f t="shared" si="2"/>
        <v>9.6861029659183778E-2</v>
      </c>
      <c r="K6">
        <f t="shared" si="3"/>
        <v>1.8403595635244918</v>
      </c>
      <c r="L6">
        <f t="shared" si="4"/>
        <v>3.3792874449320998E-3</v>
      </c>
    </row>
    <row r="7" spans="1:14" x14ac:dyDescent="0.3">
      <c r="A7" s="2">
        <v>6</v>
      </c>
      <c r="B7" s="2">
        <v>35</v>
      </c>
      <c r="C7">
        <v>13.96</v>
      </c>
      <c r="D7">
        <v>0.2</v>
      </c>
      <c r="E7">
        <f t="shared" si="0"/>
        <v>0.19717912552891398</v>
      </c>
      <c r="F7">
        <f>(I25)*B7+I26</f>
        <v>0.19751663749151283</v>
      </c>
      <c r="G7">
        <f t="shared" si="1"/>
        <v>0.17117022995892858</v>
      </c>
      <c r="H7">
        <v>-0.75</v>
      </c>
      <c r="I7">
        <f t="shared" si="2"/>
        <v>9.668317242523998E-2</v>
      </c>
      <c r="K7">
        <f t="shared" si="3"/>
        <v>1.8369802760795597</v>
      </c>
      <c r="L7">
        <f t="shared" si="4"/>
        <v>6.7134360531784232E-4</v>
      </c>
    </row>
    <row r="8" spans="1:14" x14ac:dyDescent="0.3">
      <c r="A8" s="2">
        <v>7</v>
      </c>
      <c r="B8" s="2">
        <v>40</v>
      </c>
      <c r="C8">
        <v>13.6</v>
      </c>
      <c r="D8">
        <v>0.2</v>
      </c>
      <c r="E8">
        <f t="shared" si="0"/>
        <v>0.19710564399421132</v>
      </c>
      <c r="F8">
        <f>(-I25)*B8+I26</f>
        <v>0.20103487704842918</v>
      </c>
      <c r="G8">
        <f t="shared" si="1"/>
        <v>1.9934655216332882</v>
      </c>
      <c r="H8">
        <v>-0.75</v>
      </c>
      <c r="I8">
        <f t="shared" si="2"/>
        <v>9.6647838551275886E-2</v>
      </c>
      <c r="K8">
        <f t="shared" si="3"/>
        <v>1.8363089324742419</v>
      </c>
      <c r="L8">
        <f t="shared" si="4"/>
        <v>2.0627343774881624E-3</v>
      </c>
    </row>
    <row r="9" spans="1:14" x14ac:dyDescent="0.3">
      <c r="A9" s="2">
        <v>8</v>
      </c>
      <c r="B9" s="2">
        <v>45</v>
      </c>
      <c r="C9">
        <v>12.6</v>
      </c>
      <c r="D9">
        <v>0.2</v>
      </c>
      <c r="E9">
        <f t="shared" si="0"/>
        <v>0.19687987519500783</v>
      </c>
      <c r="F9">
        <f>(I25)*B9+I26</f>
        <v>0.19704753888392398</v>
      </c>
      <c r="G9">
        <f t="shared" si="1"/>
        <v>8.5160399837763634E-2</v>
      </c>
      <c r="H9">
        <v>-0.75</v>
      </c>
      <c r="I9">
        <f t="shared" si="2"/>
        <v>9.6539273584039673E-2</v>
      </c>
      <c r="K9">
        <f t="shared" si="3"/>
        <v>1.8342461980967537</v>
      </c>
      <c r="L9">
        <f t="shared" si="4"/>
        <v>1.8973844157375019E-3</v>
      </c>
    </row>
    <row r="10" spans="1:14" x14ac:dyDescent="0.3">
      <c r="A10" s="2">
        <v>9</v>
      </c>
      <c r="B10" s="2">
        <v>50</v>
      </c>
      <c r="C10">
        <v>11.8</v>
      </c>
      <c r="D10">
        <v>0.2</v>
      </c>
      <c r="E10">
        <f t="shared" si="0"/>
        <v>0.19667221297836943</v>
      </c>
      <c r="F10">
        <f>(I25)*B10+I26</f>
        <v>0.19681298958012955</v>
      </c>
      <c r="G10">
        <f t="shared" si="1"/>
        <v>7.1579304279047337E-2</v>
      </c>
      <c r="H10">
        <v>-0.75</v>
      </c>
      <c r="I10">
        <f t="shared" si="2"/>
        <v>9.6439411246369275E-2</v>
      </c>
      <c r="K10">
        <f t="shared" si="3"/>
        <v>1.8323488136810162</v>
      </c>
      <c r="L10">
        <f t="shared" si="4"/>
        <v>2.1680507706280938E-3</v>
      </c>
    </row>
    <row r="11" spans="1:14" x14ac:dyDescent="0.3">
      <c r="A11" s="2">
        <v>10</v>
      </c>
      <c r="B11" s="2">
        <v>55</v>
      </c>
      <c r="C11">
        <v>11</v>
      </c>
      <c r="D11">
        <v>0.2</v>
      </c>
      <c r="E11">
        <f t="shared" si="0"/>
        <v>0.19643493761140823</v>
      </c>
      <c r="F11">
        <f>(I25)*B11+I26</f>
        <v>0.19657844027633511</v>
      </c>
      <c r="G11">
        <f t="shared" si="1"/>
        <v>7.3053534504519332E-2</v>
      </c>
      <c r="H11">
        <v>-0.75</v>
      </c>
      <c r="I11">
        <f t="shared" si="2"/>
        <v>9.6325303311073057E-2</v>
      </c>
      <c r="K11">
        <f t="shared" si="3"/>
        <v>1.8301807629103881</v>
      </c>
      <c r="L11">
        <f t="shared" si="4"/>
        <v>1.6471161281370605E-3</v>
      </c>
    </row>
    <row r="12" spans="1:14" x14ac:dyDescent="0.3">
      <c r="A12" s="2">
        <v>11</v>
      </c>
      <c r="B12" s="2">
        <v>60</v>
      </c>
      <c r="C12">
        <v>10.46</v>
      </c>
      <c r="D12">
        <v>0.2</v>
      </c>
      <c r="E12">
        <f t="shared" si="0"/>
        <v>0.19625468164794008</v>
      </c>
      <c r="F12">
        <f>(I25)*B12+I26</f>
        <v>0.19634389097254071</v>
      </c>
      <c r="G12">
        <f t="shared" si="1"/>
        <v>4.5455896313680258E-2</v>
      </c>
      <c r="H12">
        <v>-0.75</v>
      </c>
      <c r="I12">
        <f t="shared" si="2"/>
        <v>9.6238612988539529E-2</v>
      </c>
      <c r="K12">
        <f t="shared" si="3"/>
        <v>1.8285336467822511</v>
      </c>
      <c r="L12">
        <f t="shared" si="4"/>
        <v>3.7711982687316237E-3</v>
      </c>
    </row>
    <row r="13" spans="1:14" x14ac:dyDescent="0.3">
      <c r="A13" s="2">
        <v>12</v>
      </c>
      <c r="B13" s="2">
        <v>65</v>
      </c>
      <c r="C13">
        <v>9.4</v>
      </c>
      <c r="D13">
        <v>0.2</v>
      </c>
      <c r="E13">
        <f t="shared" si="0"/>
        <v>0.19584199584199588</v>
      </c>
      <c r="F13">
        <f>(I25)*B13+I26</f>
        <v>0.19610934166874627</v>
      </c>
      <c r="G13">
        <f t="shared" si="1"/>
        <v>0.13651097947658045</v>
      </c>
      <c r="H13">
        <v>-0.75</v>
      </c>
      <c r="I13">
        <f t="shared" si="2"/>
        <v>9.6040128869132602E-2</v>
      </c>
      <c r="K13">
        <f t="shared" si="3"/>
        <v>1.8247624485135194</v>
      </c>
      <c r="L13">
        <f t="shared" si="4"/>
        <v>1.7779664541368589E-3</v>
      </c>
    </row>
    <row r="14" spans="1:14" x14ac:dyDescent="0.3">
      <c r="A14" s="2">
        <v>13</v>
      </c>
      <c r="B14" s="2">
        <v>70</v>
      </c>
      <c r="C14">
        <v>8.9700000000000006</v>
      </c>
      <c r="D14">
        <v>0.2</v>
      </c>
      <c r="E14">
        <f t="shared" si="0"/>
        <v>0.19564744287268773</v>
      </c>
      <c r="F14">
        <f>(I25)*B14+I26</f>
        <v>0.19587479236495187</v>
      </c>
      <c r="G14">
        <f t="shared" si="1"/>
        <v>0.11620366150764129</v>
      </c>
      <c r="H14">
        <v>-0.75</v>
      </c>
      <c r="I14">
        <f t="shared" si="2"/>
        <v>9.5946551687335929E-2</v>
      </c>
      <c r="K14">
        <f t="shared" si="3"/>
        <v>1.8229844820593826</v>
      </c>
      <c r="L14">
        <f t="shared" si="4"/>
        <v>1.1123619909219062E-3</v>
      </c>
    </row>
    <row r="15" spans="1:14" x14ac:dyDescent="0.3">
      <c r="A15" s="2">
        <v>14</v>
      </c>
      <c r="B15" s="2">
        <v>75</v>
      </c>
      <c r="C15">
        <v>8.7200000000000006</v>
      </c>
      <c r="D15">
        <v>0.2</v>
      </c>
      <c r="E15">
        <f t="shared" si="0"/>
        <v>0.19552572706935126</v>
      </c>
      <c r="F15">
        <f>(I25)*B15+I26</f>
        <v>0.19564024306115743</v>
      </c>
      <c r="G15">
        <f t="shared" si="1"/>
        <v>5.856824752558349E-2</v>
      </c>
      <c r="H15">
        <v>-0.75</v>
      </c>
      <c r="I15">
        <f t="shared" si="2"/>
        <v>9.5888006319392663E-2</v>
      </c>
      <c r="K15">
        <f t="shared" si="3"/>
        <v>1.8218721200684607</v>
      </c>
      <c r="L15">
        <f t="shared" si="4"/>
        <v>2.3201096802953902E-3</v>
      </c>
    </row>
    <row r="16" spans="1:14" x14ac:dyDescent="0.3">
      <c r="A16" s="2">
        <v>15</v>
      </c>
      <c r="B16" s="2">
        <v>80</v>
      </c>
      <c r="C16">
        <v>8.24</v>
      </c>
      <c r="D16">
        <v>0.2</v>
      </c>
      <c r="E16">
        <f t="shared" si="0"/>
        <v>0.19527186761229318</v>
      </c>
      <c r="F16">
        <f>(I25)*B16+I26</f>
        <v>0.195405693757363</v>
      </c>
      <c r="G16">
        <f t="shared" si="1"/>
        <v>6.8533243782729056E-2</v>
      </c>
      <c r="H16">
        <v>-0.75</v>
      </c>
      <c r="I16">
        <f t="shared" si="2"/>
        <v>9.5765895283587643E-2</v>
      </c>
      <c r="K16">
        <f t="shared" si="3"/>
        <v>1.8195520103881653</v>
      </c>
      <c r="L16">
        <f t="shared" si="4"/>
        <v>1.4792011407194217E-3</v>
      </c>
    </row>
    <row r="17" spans="1:13" x14ac:dyDescent="0.3">
      <c r="A17" s="2">
        <v>16</v>
      </c>
      <c r="B17" s="2">
        <v>85</v>
      </c>
      <c r="C17">
        <v>7.96</v>
      </c>
      <c r="D17">
        <v>0.2</v>
      </c>
      <c r="E17">
        <f t="shared" si="0"/>
        <v>0.19511002444987777</v>
      </c>
      <c r="F17">
        <f>(I25)*B17+I26</f>
        <v>0.19517114445356859</v>
      </c>
      <c r="G17">
        <f t="shared" si="1"/>
        <v>3.1325916678629967E-2</v>
      </c>
      <c r="H17">
        <v>-0.75</v>
      </c>
      <c r="I17">
        <f t="shared" si="2"/>
        <v>9.5688042591970834E-2</v>
      </c>
      <c r="K17">
        <f t="shared" si="3"/>
        <v>1.8180728092474459</v>
      </c>
      <c r="L17">
        <f t="shared" si="4"/>
        <v>8.348838571738959E-4</v>
      </c>
    </row>
    <row r="18" spans="1:13" x14ac:dyDescent="0.3">
      <c r="A18" s="2">
        <v>17</v>
      </c>
      <c r="B18" s="2">
        <v>90</v>
      </c>
      <c r="C18">
        <v>7.81</v>
      </c>
      <c r="D18">
        <v>0.2</v>
      </c>
      <c r="E18">
        <f t="shared" si="0"/>
        <v>0.19501867995018679</v>
      </c>
      <c r="F18">
        <f>(I25)*B18+I26</f>
        <v>0.19493659514977416</v>
      </c>
      <c r="G18">
        <f t="shared" si="1"/>
        <v>-4.2090737376338436E-2</v>
      </c>
      <c r="H18">
        <v>-0.75</v>
      </c>
      <c r="I18">
        <f t="shared" si="2"/>
        <v>9.5644101336330098E-2</v>
      </c>
      <c r="K18">
        <f t="shared" si="3"/>
        <v>1.817237925390272</v>
      </c>
      <c r="L18">
        <f t="shared" si="4"/>
        <v>3.6768132523370411E-3</v>
      </c>
    </row>
    <row r="19" spans="1:13" x14ac:dyDescent="0.3">
      <c r="A19" s="2">
        <v>18</v>
      </c>
      <c r="B19" s="2">
        <v>95</v>
      </c>
      <c r="C19">
        <v>7.21</v>
      </c>
      <c r="D19">
        <v>0.2</v>
      </c>
      <c r="E19">
        <f t="shared" si="0"/>
        <v>0.1946164199192463</v>
      </c>
      <c r="F19">
        <f>(I25)*B19+I26</f>
        <v>0.19470204584597975</v>
      </c>
      <c r="G19">
        <f t="shared" si="1"/>
        <v>4.3997277706051344E-2</v>
      </c>
      <c r="H19">
        <v>-0.75</v>
      </c>
      <c r="I19">
        <f t="shared" si="2"/>
        <v>9.5450584849365E-2</v>
      </c>
      <c r="K19">
        <f t="shared" si="3"/>
        <v>1.8135611121379349</v>
      </c>
      <c r="L19" t="e">
        <f t="shared" si="4"/>
        <v>#REF!</v>
      </c>
    </row>
    <row r="20" spans="1:13" x14ac:dyDescent="0.3">
      <c r="A20" s="2">
        <v>19</v>
      </c>
      <c r="B20" s="2">
        <v>100</v>
      </c>
      <c r="C20">
        <v>7.01</v>
      </c>
      <c r="D20">
        <v>0.2</v>
      </c>
      <c r="E20">
        <f>((C20+0.02)*D20)/((C20+0.02)+D20)</f>
        <v>0.19446749654218534</v>
      </c>
      <c r="F20">
        <f>(I25)*B20+I26</f>
        <v>0.19446749654218531</v>
      </c>
      <c r="G20">
        <f t="shared" si="1"/>
        <v>-1.4272603961664083E-14</v>
      </c>
      <c r="H20">
        <v>-0.75</v>
      </c>
      <c r="I20">
        <v>9.5378504704566394E-2</v>
      </c>
      <c r="J20">
        <v>9.5378504704566394E-2</v>
      </c>
      <c r="K20" t="e">
        <f>19*#REF!</f>
        <v>#REF!</v>
      </c>
      <c r="L20">
        <v>0</v>
      </c>
    </row>
    <row r="25" spans="1:13" x14ac:dyDescent="0.3">
      <c r="A25">
        <v>10</v>
      </c>
      <c r="B25">
        <v>1</v>
      </c>
      <c r="C25">
        <f>((C2+0.02)*D2)/((C2+0.02)+D2)</f>
        <v>0.19868938401048494</v>
      </c>
      <c r="E25">
        <f t="array" ref="E25:F26">MINVERSE(A25:B26)</f>
        <v>-1.1111111111111112E-2</v>
      </c>
      <c r="F25">
        <v>1.1111111111111112E-2</v>
      </c>
      <c r="H25">
        <f t="array" ref="H25:I26">MMULT(E25:F26,C25:C26)</f>
        <v>-4.6909860758884668E-5</v>
      </c>
      <c r="I25">
        <v>-4.6909860758884668E-5</v>
      </c>
    </row>
    <row r="26" spans="1:13" x14ac:dyDescent="0.3">
      <c r="A26">
        <v>100</v>
      </c>
      <c r="B26">
        <v>1</v>
      </c>
      <c r="C26">
        <f>((C20+0.02)*D20)/((C20+0.02)+D20)</f>
        <v>0.19446749654218534</v>
      </c>
      <c r="E26">
        <v>1.1111111111111112</v>
      </c>
      <c r="F26">
        <v>-0.11111111111111112</v>
      </c>
      <c r="H26">
        <v>0.19915848261807378</v>
      </c>
      <c r="I26">
        <v>0.19915848261807378</v>
      </c>
      <c r="M26">
        <f>MMULT(E25:F26,C25:C26)</f>
        <v>-4.6909860758884668E-5</v>
      </c>
    </row>
    <row r="28" spans="1:13" x14ac:dyDescent="0.3">
      <c r="A28" s="1" t="s">
        <v>0</v>
      </c>
      <c r="B28" s="1" t="s">
        <v>1</v>
      </c>
      <c r="C28" s="1" t="s">
        <v>18</v>
      </c>
      <c r="D28" s="3" t="s">
        <v>14</v>
      </c>
      <c r="E28" s="1" t="s">
        <v>15</v>
      </c>
      <c r="F28" s="1" t="s">
        <v>16</v>
      </c>
      <c r="G28" s="1" t="s">
        <v>17</v>
      </c>
    </row>
    <row r="29" spans="1:13" x14ac:dyDescent="0.3">
      <c r="A29" s="2">
        <v>1</v>
      </c>
      <c r="B29" s="2">
        <v>10</v>
      </c>
      <c r="C29" s="2">
        <v>30.3</v>
      </c>
      <c r="D29">
        <v>2.0227574487667266E-2</v>
      </c>
      <c r="F29">
        <v>4.3767834653469677</v>
      </c>
    </row>
    <row r="30" spans="1:13" x14ac:dyDescent="0.3">
      <c r="A30" s="2">
        <v>2</v>
      </c>
      <c r="B30" s="2">
        <v>15</v>
      </c>
      <c r="C30" s="2">
        <v>25.77</v>
      </c>
      <c r="D30">
        <v>1.9350321601377094E-2</v>
      </c>
      <c r="F30">
        <v>4.381724558735927</v>
      </c>
    </row>
    <row r="31" spans="1:13" x14ac:dyDescent="0.3">
      <c r="A31" s="2">
        <v>3</v>
      </c>
      <c r="B31" s="2">
        <v>20</v>
      </c>
      <c r="C31" s="2">
        <v>20.440000000000001</v>
      </c>
      <c r="D31">
        <v>1.782544619043169E-2</v>
      </c>
      <c r="F31">
        <v>4.3681946622361041</v>
      </c>
    </row>
    <row r="32" spans="1:13" x14ac:dyDescent="0.3">
      <c r="A32" s="2">
        <v>4</v>
      </c>
      <c r="B32" s="2">
        <v>25</v>
      </c>
      <c r="C32" s="2">
        <v>17.3</v>
      </c>
      <c r="D32">
        <v>1.6492721905533709E-2</v>
      </c>
      <c r="F32">
        <v>4.3606881425838102</v>
      </c>
    </row>
    <row r="33" spans="1:6" x14ac:dyDescent="0.3">
      <c r="A33" s="2">
        <v>5</v>
      </c>
      <c r="B33" s="2">
        <v>30</v>
      </c>
      <c r="C33" s="2">
        <v>16.100000000000001</v>
      </c>
      <c r="D33">
        <v>1.5847923798597702E-2</v>
      </c>
      <c r="F33">
        <v>4.3570563412141405</v>
      </c>
    </row>
    <row r="34" spans="1:6" x14ac:dyDescent="0.3">
      <c r="A34" s="2">
        <v>6</v>
      </c>
      <c r="B34" s="2">
        <v>35</v>
      </c>
      <c r="C34" s="2">
        <v>13.96</v>
      </c>
      <c r="D34">
        <v>1.4427111217755938E-2</v>
      </c>
      <c r="F34">
        <v>4.3490536667217805</v>
      </c>
    </row>
    <row r="35" spans="1:6" x14ac:dyDescent="0.3">
      <c r="A35" s="2">
        <v>7</v>
      </c>
      <c r="B35" s="2">
        <v>40</v>
      </c>
      <c r="C35" s="2">
        <v>13.6</v>
      </c>
      <c r="D35">
        <v>1.4144846678176752E-2</v>
      </c>
      <c r="F35">
        <v>4.3474638221142623</v>
      </c>
    </row>
    <row r="36" spans="1:6" x14ac:dyDescent="0.3">
      <c r="A36" s="2">
        <v>8</v>
      </c>
      <c r="B36" s="2">
        <v>45</v>
      </c>
      <c r="C36" s="2">
        <v>12.6</v>
      </c>
      <c r="D36">
        <v>1.327757610412051E-2</v>
      </c>
      <c r="F36">
        <v>4.3425789522833638</v>
      </c>
    </row>
    <row r="37" spans="1:6" x14ac:dyDescent="0.3">
      <c r="A37" s="2">
        <v>9</v>
      </c>
      <c r="B37" s="2">
        <v>50</v>
      </c>
      <c r="C37" s="2">
        <v>11.8</v>
      </c>
      <c r="D37">
        <v>1.4427111217755938E-2</v>
      </c>
      <c r="F37">
        <v>4.3380856583951442</v>
      </c>
    </row>
    <row r="38" spans="1:6" x14ac:dyDescent="0.3">
      <c r="A38" s="2">
        <v>10</v>
      </c>
      <c r="B38" s="2">
        <v>55</v>
      </c>
      <c r="C38" s="2">
        <v>11</v>
      </c>
      <c r="D38">
        <v>1.1568277172846144E-2</v>
      </c>
      <c r="F38">
        <v>4.3329513879048509</v>
      </c>
    </row>
    <row r="39" spans="1:6" x14ac:dyDescent="0.3">
      <c r="A39" s="2">
        <v>11</v>
      </c>
      <c r="B39" s="2">
        <v>60</v>
      </c>
      <c r="C39" s="2">
        <v>10.46</v>
      </c>
      <c r="D39">
        <v>1.087575307886561E-2</v>
      </c>
      <c r="F39">
        <v>4.329050770725595</v>
      </c>
    </row>
    <row r="40" spans="1:6" x14ac:dyDescent="0.3">
      <c r="A40" s="2">
        <v>12</v>
      </c>
      <c r="B40" s="2">
        <v>65</v>
      </c>
      <c r="C40" s="2">
        <v>9.4</v>
      </c>
      <c r="D40">
        <v>9.2901672617401593E-3</v>
      </c>
      <c r="F40">
        <v>4.3201200150609971</v>
      </c>
    </row>
    <row r="41" spans="1:6" x14ac:dyDescent="0.3">
      <c r="A41" s="2">
        <v>13</v>
      </c>
      <c r="B41" s="2">
        <v>70</v>
      </c>
      <c r="C41" s="2">
        <v>8.9700000000000006</v>
      </c>
      <c r="D41">
        <v>8.5426286200122239E-3</v>
      </c>
      <c r="F41">
        <v>4.3159095300152206</v>
      </c>
    </row>
    <row r="42" spans="1:6" x14ac:dyDescent="0.3">
      <c r="A42" s="2">
        <v>14</v>
      </c>
      <c r="B42" s="2">
        <v>75</v>
      </c>
      <c r="C42" s="2">
        <v>8.7200000000000006</v>
      </c>
      <c r="D42">
        <v>8.0749407904249105E-3</v>
      </c>
      <c r="F42">
        <v>4.3159095300152206</v>
      </c>
    </row>
    <row r="43" spans="1:6" x14ac:dyDescent="0.3">
      <c r="A43" s="2">
        <v>15</v>
      </c>
      <c r="B43" s="2">
        <v>80</v>
      </c>
      <c r="C43" s="2">
        <v>8.24</v>
      </c>
      <c r="D43">
        <v>7.0994610528821002E-3</v>
      </c>
      <c r="F43">
        <v>4.3077809390889197</v>
      </c>
    </row>
    <row r="44" spans="1:6" x14ac:dyDescent="0.3">
      <c r="A44" s="2">
        <v>16</v>
      </c>
      <c r="B44" s="2">
        <v>85</v>
      </c>
      <c r="C44" s="2">
        <v>7.96</v>
      </c>
      <c r="D44">
        <v>6.4775378290573456E-3</v>
      </c>
      <c r="F44">
        <v>4.3042779781606182</v>
      </c>
    </row>
    <row r="45" spans="1:6" x14ac:dyDescent="0.3">
      <c r="A45" s="2">
        <v>17</v>
      </c>
      <c r="B45" s="2">
        <v>90</v>
      </c>
      <c r="C45" s="2">
        <v>7.81</v>
      </c>
      <c r="D45">
        <v>6.1265149116189674E-3</v>
      </c>
      <c r="F45">
        <v>4.3023008537071386</v>
      </c>
    </row>
    <row r="46" spans="1:6" x14ac:dyDescent="0.3">
      <c r="A46" s="2">
        <v>18</v>
      </c>
      <c r="B46" s="2">
        <v>95</v>
      </c>
      <c r="C46" s="2">
        <v>7.21</v>
      </c>
      <c r="D46">
        <v>4.5806172788254596E-3</v>
      </c>
      <c r="F46">
        <v>4.293593638311072</v>
      </c>
    </row>
    <row r="47" spans="1:6" x14ac:dyDescent="0.3">
      <c r="A47" s="2">
        <v>19</v>
      </c>
      <c r="B47" s="2">
        <v>100</v>
      </c>
      <c r="C47" s="2">
        <v>7.01</v>
      </c>
      <c r="D47">
        <v>4.0082695971417172E-3</v>
      </c>
      <c r="F47">
        <v>4.2903699094603889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nkduy2808@gmail.com</dc:creator>
  <cp:lastModifiedBy>nkduy2808@gmail.com</cp:lastModifiedBy>
  <dcterms:created xsi:type="dcterms:W3CDTF">2024-12-16T08:36:23Z</dcterms:created>
  <dcterms:modified xsi:type="dcterms:W3CDTF">2025-01-04T16:19:31Z</dcterms:modified>
</cp:coreProperties>
</file>