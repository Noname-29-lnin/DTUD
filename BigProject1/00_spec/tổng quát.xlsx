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kduy\OneDrive\Desktop\Tài liệu học kỳ 241\Điện tử ứng dụng\BTL\"/>
    </mc:Choice>
  </mc:AlternateContent>
  <bookViews>
    <workbookView xWindow="0" yWindow="0" windowWidth="23112" windowHeight="9264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2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<sst xmlns="http://schemas.openxmlformats.org/spreadsheetml/2006/main" count="23" uniqueCount="22">
  <si>
    <t>X--Trace 2::[V(sc1/io2) - V(0), rr2 | V(PR1)]</t>
  </si>
  <si>
    <t>Y--Trace 2::[V(sc1/io2) - V(0), rr2 | V(PR1)]</t>
  </si>
  <si>
    <t>X--Trace 3::[V(sc1/io1) - V(0), rr2 | V(PR2)]</t>
  </si>
  <si>
    <t>X--Trace 4::[V(7) - V(0), rr2 | V(PR3)]</t>
  </si>
  <si>
    <t>X--Trace 5::[V(sc2/io5) - V(0), rr2 | V(PR5)]</t>
  </si>
  <si>
    <t>Y--Trace 5::[V(sc2/io5) - V(0), rr2 | V(PR5)]</t>
  </si>
  <si>
    <t>X--Trace 6::[V(sc3/io2) - V(0), rr2 | V(PR6)]</t>
  </si>
  <si>
    <t>Y--Trace 6::[V(sc3/io2) - V(0), rr2 | V(PR6)]</t>
  </si>
  <si>
    <t>Rp (Kohm)</t>
  </si>
  <si>
    <t>IL</t>
  </si>
  <si>
    <t>Vm x 45</t>
  </si>
  <si>
    <t>Vm x 45 (Mô phỏng)</t>
  </si>
  <si>
    <t>Error (%)</t>
  </si>
  <si>
    <t>Vbuffer(Mô Phỏng)</t>
  </si>
  <si>
    <t>Vm (Mô Phỏng)</t>
  </si>
  <si>
    <t>Vm x 45 (lý tưởng)</t>
  </si>
  <si>
    <t>Vbuffer (lý tưởng)</t>
  </si>
  <si>
    <t>Vdifferencial (lý tưởng)</t>
  </si>
  <si>
    <t>Vdifferencial (Mô Phỏng)</t>
  </si>
  <si>
    <r>
      <t>Error (%</t>
    </r>
    <r>
      <rPr>
        <strike/>
        <sz val="11"/>
        <color theme="1"/>
        <rFont val="Calibri"/>
        <family val="2"/>
        <scheme val="minor"/>
      </rPr>
      <t>)</t>
    </r>
  </si>
  <si>
    <t>Vbuffer2 (Mô Phỏng)</t>
  </si>
  <si>
    <t>Vbuffer2 (Lý tưởng)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</si>
</sst>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TL_LD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tabSelected="1" topLeftCell="A13" workbookViewId="0">
      <selection activeCell="L2" sqref="L2"/>
    </sheetView>
  </sheetViews>
  <sheetFormatPr defaultRowHeight="14.4" x14ac:dyDescent="0.3"/>
  <cols>
    <col min="8" max="8" width="11.88671875" customWidth="1"/>
  </cols>
  <sheetData>
    <row r="1" spans="1:42" x14ac:dyDescent="0.3">
      <c r="A1" t="s">
        <v>8</v>
      </c>
      <c r="B1" t="s">
        <v>14</v>
      </c>
      <c r="C1" t="s">
        <v>15</v>
      </c>
      <c r="D1" t="s">
        <v>11</v>
      </c>
      <c r="E1" t="s">
        <v>12</v>
      </c>
      <c r="F1" t="s">
        <v>16</v>
      </c>
      <c r="G1" t="s">
        <v>13</v>
      </c>
      <c r="H1" t="s">
        <v>12</v>
      </c>
      <c r="I1" t="s">
        <v>17</v>
      </c>
      <c r="J1" t="s">
        <v>18</v>
      </c>
      <c r="K1" t="s">
        <v>19</v>
      </c>
      <c r="L1" t="s">
        <v>21</v>
      </c>
      <c r="M1" t="s">
        <v>20</v>
      </c>
      <c r="N1" t="s">
        <v>9</v>
      </c>
      <c r="AC1" t="s">
        <v>0</v>
      </c>
      <c r="AD1" t="s">
        <v>1</v>
      </c>
      <c r="AF1" t="s">
        <v>2</v>
      </c>
      <c r="AG1" t="s">
        <v>10</v>
      </c>
      <c r="AI1" t="s">
        <v>3</v>
      </c>
      <c r="AL1" t="s">
        <v>4</v>
      </c>
      <c r="AM1" t="s">
        <v>5</v>
      </c>
      <c r="AO1" t="s">
        <v>6</v>
      </c>
      <c r="AP1" t="s">
        <v>7</v>
      </c>
    </row>
    <row r="2" spans="1:42" x14ac:dyDescent="0.3">
      <c r="A2">
        <v>1995.26</v>
      </c>
      <c r="B2">
        <v>8.9345708644054569E-2</v>
      </c>
      <c r="C2">
        <f>B2*45</f>
        <v>4.0205568889824557</v>
      </c>
      <c r="D2">
        <v>4.0189292766001392</v>
      </c>
      <c r="E2">
        <f>((ABS(C2-D2))/(C2))*100</f>
        <v>4.0482262215381357E-2</v>
      </c>
      <c r="F2">
        <v>4.0189292766001392</v>
      </c>
      <c r="G2">
        <v>4.0188458401769527</v>
      </c>
      <c r="H2">
        <f>H4</f>
        <v>2.0785447874856265E-3</v>
      </c>
      <c r="I2">
        <f>16.13*(G2-4.0188)</f>
        <v>7.3940205425143007E-4</v>
      </c>
      <c r="J2">
        <v>-2.5646558727459115E-3</v>
      </c>
      <c r="K2">
        <v>0.74231999999999998</v>
      </c>
      <c r="L2" t="e">
        <f>(((5-J2))/([1]Sheet1!$A$27:$L$77+J2))</f>
        <v>#VALUE!</v>
      </c>
      <c r="M2">
        <v>0.9933063083799224</v>
      </c>
      <c r="N2">
        <v>3.9729374481074385E-3</v>
      </c>
      <c r="AC2">
        <v>1995.26</v>
      </c>
      <c r="AD2">
        <v>4.0188458401769527</v>
      </c>
      <c r="AF2">
        <v>1995.26</v>
      </c>
      <c r="AG2">
        <v>4.0189292766001392</v>
      </c>
      <c r="AI2">
        <v>1995.26</v>
      </c>
      <c r="AL2">
        <v>1995.26</v>
      </c>
      <c r="AM2">
        <v>-2.5646558727459115E-3</v>
      </c>
      <c r="AO2">
        <v>1995.26</v>
      </c>
      <c r="AP2">
        <v>0.9933063083799224</v>
      </c>
    </row>
    <row r="3" spans="1:42" x14ac:dyDescent="0.3">
      <c r="A3">
        <v>2158.6220408163267</v>
      </c>
      <c r="B3">
        <v>8.9943720958975293E-2</v>
      </c>
      <c r="C3">
        <f t="shared" ref="C3:C51" si="0">B3*45</f>
        <v>4.047467443153888</v>
      </c>
      <c r="D3">
        <v>4.0458359659221701</v>
      </c>
      <c r="E3">
        <f t="shared" ref="E3:E51" si="1">((ABS(C3-D3))/(C3))*100</f>
        <v>4.0308594315623981E-2</v>
      </c>
      <c r="F3">
        <v>4.0458359659221701</v>
      </c>
      <c r="G3">
        <v>4.045751917376232</v>
      </c>
      <c r="H3">
        <f t="shared" ref="H3:H51" si="2" xml:space="preserve"> ((ABS(F3-G3))/(F3))*100</f>
        <v>2.0774086405397313E-3</v>
      </c>
      <c r="I3">
        <f t="shared" ref="I3:I51" si="3">16.13*(G3-4.0188)</f>
        <v>0.43473442727862632</v>
      </c>
      <c r="J3">
        <v>0.43138867226507571</v>
      </c>
      <c r="K3">
        <f>((ABS(J3-I3)/(I3))*100)</f>
        <v>0.76960893906989292</v>
      </c>
      <c r="M3">
        <v>1.3408055125022964</v>
      </c>
      <c r="N3">
        <v>5.3628571854476463E-3</v>
      </c>
      <c r="AC3">
        <v>2158.6220408163267</v>
      </c>
      <c r="AD3">
        <v>4.045751917376232</v>
      </c>
      <c r="AF3">
        <v>2158.6220408163267</v>
      </c>
      <c r="AG3">
        <v>4.0458359659221701</v>
      </c>
      <c r="AI3">
        <v>2158.6220408163267</v>
      </c>
      <c r="AL3">
        <v>2158.6220408163267</v>
      </c>
      <c r="AM3">
        <v>0.43138867226507571</v>
      </c>
      <c r="AO3">
        <v>2158.6220408163267</v>
      </c>
      <c r="AP3">
        <v>1.3408055125022964</v>
      </c>
    </row>
    <row r="4" spans="1:42" x14ac:dyDescent="0.3">
      <c r="A4">
        <v>2321.9840816326532</v>
      </c>
      <c r="B4">
        <v>9.0464752159207615E-2</v>
      </c>
      <c r="C4">
        <f t="shared" si="0"/>
        <v>4.0709138471643422</v>
      </c>
      <c r="D4">
        <v>4.0692790744771097</v>
      </c>
      <c r="E4">
        <f t="shared" si="1"/>
        <v>4.0157388453977753E-2</v>
      </c>
      <c r="F4">
        <v>4.0692790744771097</v>
      </c>
      <c r="G4">
        <v>4.0691944926890189</v>
      </c>
      <c r="H4">
        <f t="shared" si="2"/>
        <v>2.0785447874856265E-3</v>
      </c>
      <c r="I4">
        <f t="shared" si="3"/>
        <v>0.8128631670738794</v>
      </c>
      <c r="J4">
        <v>0.80948108791635986</v>
      </c>
      <c r="K4">
        <f t="shared" ref="K4:K51" si="4">((ABS(J4-I4)/(I4))*100)</f>
        <v>0.41606992351421745</v>
      </c>
      <c r="M4">
        <v>1.6435726798191717</v>
      </c>
      <c r="N4">
        <v>6.573858838392811E-3</v>
      </c>
      <c r="AC4">
        <v>2321.9840816326532</v>
      </c>
      <c r="AD4">
        <v>4.0691944926890189</v>
      </c>
      <c r="AF4">
        <v>2321.9840816326532</v>
      </c>
      <c r="AG4">
        <v>4.0692790744771097</v>
      </c>
      <c r="AI4">
        <v>2321.9840816326532</v>
      </c>
      <c r="AL4">
        <v>2321.9840816326532</v>
      </c>
      <c r="AM4">
        <v>0.80948108791635986</v>
      </c>
      <c r="AO4">
        <v>2321.9840816326532</v>
      </c>
      <c r="AP4">
        <v>1.6435726798191717</v>
      </c>
    </row>
    <row r="5" spans="1:42" x14ac:dyDescent="0.3">
      <c r="A5">
        <v>2485.3461224489797</v>
      </c>
      <c r="B5">
        <v>9.092279417620161E-2</v>
      </c>
      <c r="C5">
        <f t="shared" si="0"/>
        <v>4.0915257379290724</v>
      </c>
      <c r="D5">
        <v>4.0898881223576904</v>
      </c>
      <c r="E5">
        <f t="shared" si="1"/>
        <v>4.0024569714936176E-2</v>
      </c>
      <c r="F5">
        <v>4.0898881223576904</v>
      </c>
      <c r="G5">
        <v>4.0898030718462843</v>
      </c>
      <c r="H5">
        <f t="shared" si="2"/>
        <v>2.0795314898988154E-3</v>
      </c>
      <c r="I5">
        <f t="shared" si="3"/>
        <v>1.1452795488805709</v>
      </c>
      <c r="J5">
        <v>1.1418655421184962</v>
      </c>
      <c r="K5">
        <f t="shared" si="4"/>
        <v>0.29809375059666909</v>
      </c>
      <c r="M5">
        <v>1.9097380397835682</v>
      </c>
      <c r="N5">
        <v>7.6384614713809248E-3</v>
      </c>
      <c r="AC5">
        <v>2485.3461224489797</v>
      </c>
      <c r="AD5">
        <v>4.0898030718462843</v>
      </c>
      <c r="AF5">
        <v>2485.3461224489797</v>
      </c>
      <c r="AG5">
        <v>4.0898881223576904</v>
      </c>
      <c r="AI5">
        <v>2485.3461224489797</v>
      </c>
      <c r="AL5">
        <v>2485.3461224489797</v>
      </c>
      <c r="AM5">
        <v>1.1418655421184962</v>
      </c>
      <c r="AO5">
        <v>2485.3461224489797</v>
      </c>
      <c r="AP5">
        <v>1.9097380397835682</v>
      </c>
    </row>
    <row r="6" spans="1:42" x14ac:dyDescent="0.3">
      <c r="A6">
        <v>2648.7081632653062</v>
      </c>
      <c r="B6">
        <v>9.1328571524967553E-2</v>
      </c>
      <c r="C6">
        <f t="shared" si="0"/>
        <v>4.1097857186235398</v>
      </c>
      <c r="D6">
        <v>4.1081456261471558</v>
      </c>
      <c r="E6">
        <f t="shared" si="1"/>
        <v>3.990700704788263E-2</v>
      </c>
      <c r="F6">
        <v>4.1081456261471558</v>
      </c>
      <c r="G6">
        <v>4.1080601604655849</v>
      </c>
      <c r="H6">
        <f t="shared" si="2"/>
        <v>2.0803956175995523E-3</v>
      </c>
      <c r="I6">
        <f t="shared" si="3"/>
        <v>1.4397663883098886</v>
      </c>
      <c r="J6">
        <v>1.4363240982053023</v>
      </c>
      <c r="K6">
        <f t="shared" si="4"/>
        <v>0.23908671104811177</v>
      </c>
      <c r="M6">
        <v>2.1455332748190705</v>
      </c>
      <c r="N6">
        <v>8.5815903985533102E-3</v>
      </c>
      <c r="AC6">
        <v>2648.7081632653062</v>
      </c>
      <c r="AD6">
        <v>4.1080601604655849</v>
      </c>
      <c r="AF6">
        <v>2648.7081632653062</v>
      </c>
      <c r="AG6">
        <v>4.1081456261471558</v>
      </c>
      <c r="AI6">
        <v>2648.7081632653062</v>
      </c>
      <c r="AL6">
        <v>2648.7081632653062</v>
      </c>
      <c r="AM6">
        <v>1.4363240982053023</v>
      </c>
      <c r="AO6">
        <v>2648.7081632653062</v>
      </c>
      <c r="AP6">
        <v>2.1455332748190705</v>
      </c>
    </row>
    <row r="7" spans="1:42" x14ac:dyDescent="0.3">
      <c r="A7">
        <v>2812.0702040816327</v>
      </c>
      <c r="B7">
        <v>9.1690567807811499E-2</v>
      </c>
      <c r="C7">
        <f t="shared" si="0"/>
        <v>4.1260755513515175</v>
      </c>
      <c r="D7">
        <v>4.1244332816771321</v>
      </c>
      <c r="E7">
        <f t="shared" si="1"/>
        <v>3.9802220147119614E-2</v>
      </c>
      <c r="F7">
        <v>4.1244332816771321</v>
      </c>
      <c r="G7">
        <v>4.1243474456501517</v>
      </c>
      <c r="H7">
        <f t="shared" si="2"/>
        <v>2.0811593040370364E-3</v>
      </c>
      <c r="I7">
        <f t="shared" si="3"/>
        <v>1.7024802983369509</v>
      </c>
      <c r="J7">
        <v>1.6990127800148167</v>
      </c>
      <c r="K7">
        <f t="shared" si="4"/>
        <v>0.20367450510419524</v>
      </c>
      <c r="M7">
        <v>2.3558879757571192</v>
      </c>
      <c r="N7">
        <v>9.4229628674459658E-3</v>
      </c>
      <c r="AC7">
        <v>2812.0702040816327</v>
      </c>
      <c r="AD7">
        <v>4.1243474456501517</v>
      </c>
      <c r="AF7">
        <v>2812.0702040816327</v>
      </c>
      <c r="AG7">
        <v>4.1244332816771321</v>
      </c>
      <c r="AI7">
        <v>2812.0702040816327</v>
      </c>
      <c r="AL7">
        <v>2812.0702040816327</v>
      </c>
      <c r="AM7">
        <v>1.6990127800148167</v>
      </c>
      <c r="AO7">
        <v>2812.0702040816327</v>
      </c>
      <c r="AP7">
        <v>2.3558879757571192</v>
      </c>
    </row>
    <row r="8" spans="1:42" x14ac:dyDescent="0.3">
      <c r="A8">
        <v>2975.4322448979592</v>
      </c>
      <c r="B8">
        <v>9.2015505934549602E-2</v>
      </c>
      <c r="C8">
        <f t="shared" si="0"/>
        <v>4.140697767054732</v>
      </c>
      <c r="D8">
        <v>4.1390535687728258</v>
      </c>
      <c r="E8">
        <f t="shared" si="1"/>
        <v>3.9708241808619621E-2</v>
      </c>
      <c r="F8">
        <v>4.1390535687728258</v>
      </c>
      <c r="G8">
        <v>4.1389674003345593</v>
      </c>
      <c r="H8">
        <f t="shared" si="2"/>
        <v>2.0818391652762309E-3</v>
      </c>
      <c r="I8">
        <f t="shared" si="3"/>
        <v>1.9383001673964468</v>
      </c>
      <c r="J8">
        <v>1.9348100066370062</v>
      </c>
      <c r="K8">
        <f t="shared" si="4"/>
        <v>0.180062965383152</v>
      </c>
      <c r="M8">
        <v>2.5447086596156074</v>
      </c>
      <c r="N8">
        <v>1.0178204064406551E-2</v>
      </c>
      <c r="AC8">
        <v>2975.4322448979592</v>
      </c>
      <c r="AD8">
        <v>4.1389674003345593</v>
      </c>
      <c r="AF8">
        <v>2975.4322448979592</v>
      </c>
      <c r="AG8">
        <v>4.1390535687728258</v>
      </c>
      <c r="AI8">
        <v>2975.4322448979592</v>
      </c>
      <c r="AL8">
        <v>2975.4322448979592</v>
      </c>
      <c r="AM8">
        <v>1.9348100066370062</v>
      </c>
      <c r="AO8">
        <v>2975.4322448979592</v>
      </c>
      <c r="AP8">
        <v>2.5447086596156074</v>
      </c>
    </row>
    <row r="9" spans="1:42" x14ac:dyDescent="0.3">
      <c r="A9">
        <v>3138.7942857142857</v>
      </c>
      <c r="B9">
        <v>9.2308799369335073E-2</v>
      </c>
      <c r="C9">
        <f t="shared" si="0"/>
        <v>4.1538959716200781</v>
      </c>
      <c r="D9">
        <v>4.1522500531724589</v>
      </c>
      <c r="E9">
        <f t="shared" si="1"/>
        <v>3.9623487416736068E-2</v>
      </c>
      <c r="F9">
        <v>4.1522500531724589</v>
      </c>
      <c r="G9">
        <v>4.1521635847413236</v>
      </c>
      <c r="H9">
        <f t="shared" si="2"/>
        <v>2.0824475893300317E-3</v>
      </c>
      <c r="I9">
        <f t="shared" si="3"/>
        <v>2.1511546218775548</v>
      </c>
      <c r="J9">
        <v>2.1476440233671772</v>
      </c>
      <c r="K9">
        <f t="shared" si="4"/>
        <v>0.16319600993226188</v>
      </c>
      <c r="M9">
        <v>2.7151409680428245</v>
      </c>
      <c r="N9">
        <v>1.0859895847856326E-2</v>
      </c>
      <c r="AC9">
        <v>3138.7942857142857</v>
      </c>
      <c r="AD9">
        <v>4.1521635847413236</v>
      </c>
      <c r="AF9">
        <v>3138.7942857142857</v>
      </c>
      <c r="AG9">
        <v>4.1522500531724589</v>
      </c>
      <c r="AI9">
        <v>3138.7942857142857</v>
      </c>
      <c r="AL9">
        <v>3138.7942857142857</v>
      </c>
      <c r="AM9">
        <v>2.1476440233671772</v>
      </c>
      <c r="AO9">
        <v>3138.7942857142857</v>
      </c>
      <c r="AP9">
        <v>2.7151409680428245</v>
      </c>
    </row>
    <row r="10" spans="1:42" x14ac:dyDescent="0.3">
      <c r="A10">
        <v>3302.1563265306122</v>
      </c>
      <c r="B10">
        <v>9.2574871664821062E-2</v>
      </c>
      <c r="C10">
        <f t="shared" si="0"/>
        <v>4.165869224916948</v>
      </c>
      <c r="D10">
        <v>4.1642217626895954</v>
      </c>
      <c r="E10">
        <f t="shared" si="1"/>
        <v>3.9546662134729252E-2</v>
      </c>
      <c r="F10">
        <v>4.1642217626895954</v>
      </c>
      <c r="G10">
        <v>4.1641350221095301</v>
      </c>
      <c r="H10">
        <f t="shared" si="2"/>
        <v>2.0829961757194938E-3</v>
      </c>
      <c r="I10">
        <f t="shared" si="3"/>
        <v>2.3442539066267254</v>
      </c>
      <c r="J10">
        <v>2.3407247706548979</v>
      </c>
      <c r="K10">
        <f t="shared" si="4"/>
        <v>0.15054410112536548</v>
      </c>
      <c r="M10">
        <v>2.8697553419825423</v>
      </c>
      <c r="N10">
        <v>1.147831940435984E-2</v>
      </c>
      <c r="AC10">
        <v>3302.1563265306122</v>
      </c>
      <c r="AD10">
        <v>4.1641350221095301</v>
      </c>
      <c r="AF10">
        <v>3302.1563265306122</v>
      </c>
      <c r="AG10">
        <v>4.1642217626895954</v>
      </c>
      <c r="AI10">
        <v>3302.1563265306122</v>
      </c>
      <c r="AL10">
        <v>3302.1563265306122</v>
      </c>
      <c r="AM10">
        <v>2.3407247706548979</v>
      </c>
      <c r="AO10">
        <v>3302.1563265306122</v>
      </c>
      <c r="AP10">
        <v>2.8697553419825423</v>
      </c>
    </row>
    <row r="11" spans="1:42" x14ac:dyDescent="0.3">
      <c r="A11">
        <v>3465.5183673469387</v>
      </c>
      <c r="B11">
        <v>9.2817316061522007E-2</v>
      </c>
      <c r="C11">
        <f t="shared" si="0"/>
        <v>4.1767792227684906</v>
      </c>
      <c r="D11">
        <v>4.1751303675724207</v>
      </c>
      <c r="E11">
        <f t="shared" si="1"/>
        <v>3.9476714188807965E-2</v>
      </c>
      <c r="F11">
        <v>4.1751303675724207</v>
      </c>
      <c r="G11">
        <v>4.1750433790487946</v>
      </c>
      <c r="H11">
        <f t="shared" si="2"/>
        <v>2.0834923934764564E-3</v>
      </c>
      <c r="I11">
        <f t="shared" si="3"/>
        <v>2.5202057040570622</v>
      </c>
      <c r="J11">
        <v>2.5166596758687354</v>
      </c>
      <c r="K11">
        <f t="shared" si="4"/>
        <v>0.14070391883560882</v>
      </c>
      <c r="M11">
        <v>3.0106397450034925</v>
      </c>
      <c r="N11">
        <v>1.2041826120110344E-2</v>
      </c>
      <c r="AC11">
        <v>3465.5183673469387</v>
      </c>
      <c r="AD11">
        <v>4.1750433790487946</v>
      </c>
      <c r="AF11">
        <v>3465.5183673469387</v>
      </c>
      <c r="AG11">
        <v>4.1751303675724207</v>
      </c>
      <c r="AI11">
        <v>3465.5183673469387</v>
      </c>
      <c r="AL11">
        <v>3465.5183673469387</v>
      </c>
      <c r="AM11">
        <v>2.5166596758687354</v>
      </c>
      <c r="AO11">
        <v>3465.5183673469387</v>
      </c>
      <c r="AP11">
        <v>3.0106397450034925</v>
      </c>
    </row>
    <row r="12" spans="1:42" x14ac:dyDescent="0.3">
      <c r="A12">
        <v>3628.8804081632652</v>
      </c>
      <c r="B12">
        <v>9.3039159083635359E-2</v>
      </c>
      <c r="C12">
        <f t="shared" si="0"/>
        <v>4.1867621587635915</v>
      </c>
      <c r="D12">
        <v>4.1851120403187991</v>
      </c>
      <c r="E12">
        <f t="shared" si="1"/>
        <v>3.9412758170138104E-2</v>
      </c>
      <c r="F12">
        <v>4.1851120403187991</v>
      </c>
      <c r="G12">
        <v>4.1850248249252324</v>
      </c>
      <c r="H12">
        <f t="shared" si="2"/>
        <v>2.0839440551767164E-3</v>
      </c>
      <c r="I12">
        <f t="shared" si="3"/>
        <v>2.6812064260440036</v>
      </c>
      <c r="J12">
        <v>2.6776449429630489</v>
      </c>
      <c r="K12">
        <f t="shared" si="4"/>
        <v>0.1328313645066681</v>
      </c>
      <c r="M12">
        <v>3.1395528430933126</v>
      </c>
      <c r="N12">
        <v>1.2557450265739671E-2</v>
      </c>
      <c r="AC12">
        <v>3628.8804081632652</v>
      </c>
      <c r="AD12">
        <v>4.1850248249252324</v>
      </c>
      <c r="AF12">
        <v>3628.8804081632652</v>
      </c>
      <c r="AG12">
        <v>4.1851120403187991</v>
      </c>
      <c r="AI12">
        <v>3628.8804081632652</v>
      </c>
      <c r="AL12">
        <v>3628.8804081632652</v>
      </c>
      <c r="AM12">
        <v>2.6776449429630489</v>
      </c>
      <c r="AO12">
        <v>3628.8804081632652</v>
      </c>
      <c r="AP12">
        <v>3.1395528430933126</v>
      </c>
    </row>
    <row r="13" spans="1:42" x14ac:dyDescent="0.3">
      <c r="A13">
        <v>3792.2424489795917</v>
      </c>
      <c r="B13">
        <v>9.3242919573238839E-2</v>
      </c>
      <c r="C13">
        <f t="shared" si="0"/>
        <v>4.1959313807957477</v>
      </c>
      <c r="D13">
        <v>4.1942801115483217</v>
      </c>
      <c r="E13">
        <f t="shared" si="1"/>
        <v>3.9354057480149265E-2</v>
      </c>
      <c r="F13">
        <v>4.1942801115483217</v>
      </c>
      <c r="G13">
        <v>4.1941926877787941</v>
      </c>
      <c r="H13">
        <f t="shared" si="2"/>
        <v>2.0843569624005545E-3</v>
      </c>
      <c r="I13">
        <f t="shared" si="3"/>
        <v>2.8290840538719526</v>
      </c>
      <c r="J13">
        <v>2.8255083775065306</v>
      </c>
      <c r="K13">
        <f t="shared" si="4"/>
        <v>0.12638989500959652</v>
      </c>
      <c r="M13">
        <v>3.2579582979886963</v>
      </c>
      <c r="N13">
        <v>1.3031046161362397E-2</v>
      </c>
      <c r="AC13">
        <v>3792.2424489795917</v>
      </c>
      <c r="AD13">
        <v>4.1941926877787941</v>
      </c>
      <c r="AF13">
        <v>3792.2424489795917</v>
      </c>
      <c r="AG13">
        <v>4.1942801115483217</v>
      </c>
      <c r="AI13">
        <v>3792.2424489795917</v>
      </c>
      <c r="AL13">
        <v>3792.2424489795917</v>
      </c>
      <c r="AM13">
        <v>2.8255083775065306</v>
      </c>
      <c r="AO13">
        <v>3792.2424489795917</v>
      </c>
      <c r="AP13">
        <v>3.2579582979886963</v>
      </c>
    </row>
    <row r="14" spans="1:42" x14ac:dyDescent="0.3">
      <c r="A14">
        <v>3955.6044897959182</v>
      </c>
      <c r="B14">
        <v>9.3430721828076296E-2</v>
      </c>
      <c r="C14">
        <f t="shared" si="0"/>
        <v>4.2043824822634335</v>
      </c>
      <c r="D14">
        <v>4.2027301603164036</v>
      </c>
      <c r="E14">
        <f t="shared" si="1"/>
        <v>3.9299991235345028E-2</v>
      </c>
      <c r="F14">
        <v>4.2027301603164036</v>
      </c>
      <c r="G14">
        <v>4.2026425445109208</v>
      </c>
      <c r="H14">
        <f t="shared" si="2"/>
        <v>2.0847354491153134E-3</v>
      </c>
      <c r="I14">
        <f t="shared" si="3"/>
        <v>2.9653802429611567</v>
      </c>
      <c r="J14">
        <v>2.9617914845911955</v>
      </c>
      <c r="K14">
        <f t="shared" si="4"/>
        <v>0.12102186147897011</v>
      </c>
      <c r="M14">
        <v>3.3670905091223808</v>
      </c>
      <c r="N14">
        <v>1.3467551129483652E-2</v>
      </c>
      <c r="AC14">
        <v>3955.6044897959182</v>
      </c>
      <c r="AD14">
        <v>4.2026425445109208</v>
      </c>
      <c r="AF14">
        <v>3955.6044897959182</v>
      </c>
      <c r="AG14">
        <v>4.2027301603164036</v>
      </c>
      <c r="AI14">
        <v>3955.6044897959182</v>
      </c>
      <c r="AL14">
        <v>3955.6044897959182</v>
      </c>
      <c r="AM14">
        <v>2.9617914845911955</v>
      </c>
      <c r="AO14">
        <v>3955.6044897959182</v>
      </c>
      <c r="AP14">
        <v>3.3670905091223808</v>
      </c>
    </row>
    <row r="15" spans="1:42" x14ac:dyDescent="0.3">
      <c r="A15">
        <v>4118.9665306122452</v>
      </c>
      <c r="B15">
        <v>9.3604380170065213E-2</v>
      </c>
      <c r="C15">
        <f t="shared" si="0"/>
        <v>4.2121971076529343</v>
      </c>
      <c r="D15">
        <v>4.2105438190450979</v>
      </c>
      <c r="E15">
        <f t="shared" si="1"/>
        <v>3.9250029511502298E-2</v>
      </c>
      <c r="F15">
        <v>4.2105438190450979</v>
      </c>
      <c r="G15">
        <v>4.210456025686061</v>
      </c>
      <c r="H15">
        <f t="shared" si="2"/>
        <v>2.0850836093844285E-3</v>
      </c>
      <c r="I15">
        <f t="shared" si="3"/>
        <v>3.0914116943161689</v>
      </c>
      <c r="J15">
        <v>3.0878108386837004</v>
      </c>
      <c r="K15">
        <f t="shared" si="4"/>
        <v>0.1164793301095732</v>
      </c>
      <c r="M15">
        <v>3.4680037570173492</v>
      </c>
      <c r="N15">
        <v>1.3871182057518715E-2</v>
      </c>
      <c r="AC15">
        <v>4118.9665306122452</v>
      </c>
      <c r="AD15">
        <v>4.210456025686061</v>
      </c>
      <c r="AF15">
        <v>4118.9665306122452</v>
      </c>
      <c r="AG15">
        <v>4.2105438190450979</v>
      </c>
      <c r="AI15">
        <v>4118.9665306122452</v>
      </c>
      <c r="AL15">
        <v>4118.9665306122452</v>
      </c>
      <c r="AM15">
        <v>3.0878108386837004</v>
      </c>
      <c r="AO15">
        <v>4118.9665306122452</v>
      </c>
      <c r="AP15">
        <v>3.4680037570173492</v>
      </c>
    </row>
    <row r="16" spans="1:42" x14ac:dyDescent="0.3">
      <c r="A16">
        <v>4282.3285714285721</v>
      </c>
      <c r="B16">
        <v>9.376541544054004E-2</v>
      </c>
      <c r="C16">
        <f t="shared" si="0"/>
        <v>4.2194436948243021</v>
      </c>
      <c r="D16">
        <v>4.2177895155843386</v>
      </c>
      <c r="E16">
        <f t="shared" si="1"/>
        <v>3.9203728254334783E-2</v>
      </c>
      <c r="F16">
        <v>4.2177895155843386</v>
      </c>
      <c r="G16">
        <v>4.2177015575650332</v>
      </c>
      <c r="H16">
        <f t="shared" si="2"/>
        <v>2.0854056130680072E-3</v>
      </c>
      <c r="I16">
        <f t="shared" si="3"/>
        <v>3.2082821235239898</v>
      </c>
      <c r="J16">
        <v>3.2046700525372538</v>
      </c>
      <c r="K16">
        <f t="shared" si="4"/>
        <v>0.11258582779398717</v>
      </c>
      <c r="M16">
        <v>3.5615817876608769</v>
      </c>
      <c r="N16">
        <v>1.4245473732942443E-2</v>
      </c>
      <c r="AC16">
        <v>4282.3285714285721</v>
      </c>
      <c r="AD16">
        <v>4.2177015575650332</v>
      </c>
      <c r="AF16">
        <v>4282.3285714285721</v>
      </c>
      <c r="AG16">
        <v>4.2177895155843386</v>
      </c>
      <c r="AI16">
        <v>4282.3285714285721</v>
      </c>
      <c r="AL16">
        <v>4282.3285714285721</v>
      </c>
      <c r="AM16">
        <v>3.2046700525372538</v>
      </c>
      <c r="AO16">
        <v>4282.3285714285721</v>
      </c>
      <c r="AP16">
        <v>3.5615817876608769</v>
      </c>
    </row>
    <row r="17" spans="1:42" x14ac:dyDescent="0.3">
      <c r="A17">
        <v>4445.6906122448991</v>
      </c>
      <c r="B17">
        <v>9.391516455599698E-2</v>
      </c>
      <c r="C17">
        <f t="shared" si="0"/>
        <v>4.2261824050198644</v>
      </c>
      <c r="D17">
        <v>4.2245274025129884</v>
      </c>
      <c r="E17">
        <f t="shared" si="1"/>
        <v>3.9160697486937339E-2</v>
      </c>
      <c r="F17">
        <v>4.2245274025129884</v>
      </c>
      <c r="G17">
        <v>4.2244392913901967</v>
      </c>
      <c r="H17">
        <f t="shared" si="2"/>
        <v>2.0857036633094052E-3</v>
      </c>
      <c r="I17">
        <f t="shared" si="3"/>
        <v>3.3169617701238772</v>
      </c>
      <c r="J17">
        <v>3.3133392692370003</v>
      </c>
      <c r="K17">
        <f t="shared" si="4"/>
        <v>0.10921141508186843</v>
      </c>
      <c r="M17">
        <v>3.6486014679181595</v>
      </c>
      <c r="N17">
        <v>1.4593533450701891E-2</v>
      </c>
      <c r="AC17">
        <v>4445.6906122448991</v>
      </c>
      <c r="AD17">
        <v>4.2244392913901967</v>
      </c>
      <c r="AF17">
        <v>4445.6906122448991</v>
      </c>
      <c r="AG17">
        <v>4.2245274025129884</v>
      </c>
      <c r="AI17">
        <v>4445.6906122448991</v>
      </c>
      <c r="AL17">
        <v>4445.6906122448991</v>
      </c>
      <c r="AM17">
        <v>3.3133392692370003</v>
      </c>
      <c r="AO17">
        <v>4445.6906122448991</v>
      </c>
      <c r="AP17">
        <v>3.6486014679181595</v>
      </c>
    </row>
    <row r="18" spans="1:42" x14ac:dyDescent="0.3">
      <c r="A18">
        <v>4609.052653061226</v>
      </c>
      <c r="B18">
        <v>9.4054773831749677E-2</v>
      </c>
      <c r="C18">
        <f t="shared" si="0"/>
        <v>4.2324648224287351</v>
      </c>
      <c r="D18">
        <v>4.2308090566678809</v>
      </c>
      <c r="E18">
        <f t="shared" si="1"/>
        <v>3.9120603013165937E-2</v>
      </c>
      <c r="F18">
        <v>4.2308090566678809</v>
      </c>
      <c r="G18">
        <v>4.2307208028250711</v>
      </c>
      <c r="H18">
        <f t="shared" si="2"/>
        <v>2.085980284802935E-3</v>
      </c>
      <c r="I18">
        <f t="shared" si="3"/>
        <v>3.4182825495684019</v>
      </c>
      <c r="J18">
        <v>3.4146503243076323</v>
      </c>
      <c r="K18">
        <f t="shared" si="4"/>
        <v>0.10625877785405081</v>
      </c>
      <c r="M18">
        <v>3.7297289113198593</v>
      </c>
      <c r="N18">
        <v>1.4918025517187549E-2</v>
      </c>
      <c r="AC18">
        <v>4609.052653061226</v>
      </c>
      <c r="AD18">
        <v>4.2307208028250711</v>
      </c>
      <c r="AF18">
        <v>4609.052653061226</v>
      </c>
      <c r="AG18">
        <v>4.2308090566678809</v>
      </c>
      <c r="AI18">
        <v>4609.052653061226</v>
      </c>
      <c r="AL18">
        <v>4609.052653061226</v>
      </c>
      <c r="AM18">
        <v>3.4146503243076323</v>
      </c>
      <c r="AO18">
        <v>4609.052653061226</v>
      </c>
      <c r="AP18">
        <v>3.7297289113198593</v>
      </c>
    </row>
    <row r="19" spans="1:42" x14ac:dyDescent="0.3">
      <c r="A19">
        <v>4772.414693877553</v>
      </c>
      <c r="B19">
        <v>9.4185239427755432E-2</v>
      </c>
      <c r="C19">
        <f t="shared" si="0"/>
        <v>4.2383357742489949</v>
      </c>
      <c r="D19">
        <v>4.2366792989256714</v>
      </c>
      <c r="E19">
        <f t="shared" si="1"/>
        <v>3.9083154604875221E-2</v>
      </c>
      <c r="F19">
        <v>4.2366792989256714</v>
      </c>
      <c r="G19">
        <v>4.236590911705262</v>
      </c>
      <c r="H19">
        <f t="shared" si="2"/>
        <v>2.0862381637381327E-3</v>
      </c>
      <c r="I19">
        <f t="shared" si="3"/>
        <v>3.5129674058058811</v>
      </c>
      <c r="J19">
        <v>3.5093260943956803</v>
      </c>
      <c r="K19">
        <f t="shared" si="4"/>
        <v>0.10365343567329283</v>
      </c>
      <c r="M19">
        <v>3.8055429797801748</v>
      </c>
      <c r="N19">
        <v>1.5221265251843323E-2</v>
      </c>
      <c r="AC19">
        <v>4772.414693877553</v>
      </c>
      <c r="AD19">
        <v>4.236590911705262</v>
      </c>
      <c r="AF19">
        <v>4772.414693877553</v>
      </c>
      <c r="AG19">
        <v>4.2366792989256714</v>
      </c>
      <c r="AI19">
        <v>4772.414693877553</v>
      </c>
      <c r="AL19">
        <v>4772.414693877553</v>
      </c>
      <c r="AM19">
        <v>3.5093260943956803</v>
      </c>
      <c r="AO19">
        <v>4772.414693877553</v>
      </c>
      <c r="AP19">
        <v>3.8055429797801748</v>
      </c>
    </row>
    <row r="20" spans="1:42" x14ac:dyDescent="0.3">
      <c r="A20">
        <v>4935.7767346938799</v>
      </c>
      <c r="B20">
        <v>9.4307438397716867E-2</v>
      </c>
      <c r="C20">
        <f t="shared" si="0"/>
        <v>4.2438347278972586</v>
      </c>
      <c r="D20">
        <v>4.2421775911989821</v>
      </c>
      <c r="E20">
        <f t="shared" si="1"/>
        <v>3.9048096934198383E-2</v>
      </c>
      <c r="F20">
        <v>4.2421775911989821</v>
      </c>
      <c r="G20">
        <v>4.242089079056508</v>
      </c>
      <c r="H20">
        <f t="shared" si="2"/>
        <v>2.0864789502849789E-3</v>
      </c>
      <c r="I20">
        <f t="shared" si="3"/>
        <v>3.6016528451814787</v>
      </c>
      <c r="J20">
        <v>3.5980030236263265</v>
      </c>
      <c r="K20">
        <f t="shared" si="4"/>
        <v>0.1013374056868115</v>
      </c>
      <c r="M20">
        <v>3.8765533222193209</v>
      </c>
      <c r="N20">
        <v>1.5505291137554033E-2</v>
      </c>
      <c r="AC20">
        <v>4935.7767346938799</v>
      </c>
      <c r="AD20">
        <v>4.242089079056508</v>
      </c>
      <c r="AF20">
        <v>4935.7767346938799</v>
      </c>
      <c r="AG20">
        <v>4.2421775911989821</v>
      </c>
      <c r="AI20">
        <v>4935.7767346938799</v>
      </c>
      <c r="AL20">
        <v>4935.7767346938799</v>
      </c>
      <c r="AM20">
        <v>3.5980030236263265</v>
      </c>
      <c r="AO20">
        <v>4935.7767346938799</v>
      </c>
      <c r="AP20">
        <v>3.8765533222193209</v>
      </c>
    </row>
    <row r="21" spans="1:42" x14ac:dyDescent="0.3">
      <c r="A21">
        <v>5099.1387755102069</v>
      </c>
      <c r="B21">
        <v>9.4422118696201693E-2</v>
      </c>
      <c r="C21">
        <f t="shared" si="0"/>
        <v>4.248995341329076</v>
      </c>
      <c r="D21">
        <v>4.2473375867755951</v>
      </c>
      <c r="E21">
        <f t="shared" si="1"/>
        <v>3.9015212310453753E-2</v>
      </c>
      <c r="F21">
        <v>4.2473375867755951</v>
      </c>
      <c r="G21">
        <v>4.2472489574011396</v>
      </c>
      <c r="H21">
        <f t="shared" si="2"/>
        <v>2.0867042622532074E-3</v>
      </c>
      <c r="I21">
        <f t="shared" si="3"/>
        <v>3.6848816828803863</v>
      </c>
      <c r="J21">
        <v>3.6812238750425967</v>
      </c>
      <c r="K21">
        <f t="shared" si="4"/>
        <v>9.9265272336514998E-2</v>
      </c>
      <c r="M21">
        <v>3.9431945700268862</v>
      </c>
      <c r="N21">
        <v>1.5771841603749375E-2</v>
      </c>
      <c r="AC21">
        <v>5099.1387755102069</v>
      </c>
      <c r="AD21">
        <v>4.2472489574011396</v>
      </c>
      <c r="AF21">
        <v>5099.1387755102069</v>
      </c>
      <c r="AG21">
        <v>4.2473375867755951</v>
      </c>
      <c r="AI21">
        <v>5099.1387755102069</v>
      </c>
      <c r="AL21">
        <v>5099.1387755102069</v>
      </c>
      <c r="AM21">
        <v>3.6812238750425967</v>
      </c>
      <c r="AO21">
        <v>5099.1387755102069</v>
      </c>
      <c r="AP21">
        <v>3.9431945700268862</v>
      </c>
    </row>
    <row r="22" spans="1:42" x14ac:dyDescent="0.3">
      <c r="A22">
        <v>5262.5008163265338</v>
      </c>
      <c r="B22">
        <v>9.452995993120776E-2</v>
      </c>
      <c r="C22">
        <f t="shared" si="0"/>
        <v>4.2538481969043493</v>
      </c>
      <c r="D22">
        <v>4.252189863827879</v>
      </c>
      <c r="E22">
        <f t="shared" si="1"/>
        <v>3.8984303146434793E-2</v>
      </c>
      <c r="F22">
        <v>4.252189863827879</v>
      </c>
      <c r="G22">
        <v>4.2521011242161135</v>
      </c>
      <c r="H22">
        <f t="shared" si="2"/>
        <v>2.0869155566254831E-3</v>
      </c>
      <c r="I22">
        <f t="shared" si="3"/>
        <v>3.7631471336059157</v>
      </c>
      <c r="J22">
        <v>3.7594818159748082</v>
      </c>
      <c r="K22">
        <f t="shared" si="4"/>
        <v>9.7400327464615286E-2</v>
      </c>
      <c r="M22">
        <v>4.0058616395688196</v>
      </c>
      <c r="N22">
        <v>1.6022496228661576E-2</v>
      </c>
      <c r="AC22">
        <v>5262.5008163265338</v>
      </c>
      <c r="AD22">
        <v>4.2521011242161135</v>
      </c>
      <c r="AF22">
        <v>5262.5008163265338</v>
      </c>
      <c r="AG22">
        <v>4.252189863827879</v>
      </c>
      <c r="AI22">
        <v>5262.5008163265338</v>
      </c>
      <c r="AL22">
        <v>5262.5008163265338</v>
      </c>
      <c r="AM22">
        <v>3.7594818159748082</v>
      </c>
      <c r="AO22">
        <v>5262.5008163265338</v>
      </c>
      <c r="AP22">
        <v>4.0058616395688196</v>
      </c>
    </row>
    <row r="23" spans="1:42" x14ac:dyDescent="0.3">
      <c r="A23">
        <v>5425.8628571428608</v>
      </c>
      <c r="B23">
        <v>9.463155616949756E-2</v>
      </c>
      <c r="C23">
        <f t="shared" si="0"/>
        <v>4.2584200276273902</v>
      </c>
      <c r="D23">
        <v>4.2567611517247332</v>
      </c>
      <c r="E23">
        <f t="shared" si="1"/>
        <v>3.895519680761185E-2</v>
      </c>
      <c r="F23">
        <v>4.2567611517247332</v>
      </c>
      <c r="G23">
        <v>4.2566723082516527</v>
      </c>
      <c r="H23">
        <f t="shared" si="2"/>
        <v>2.0871143555842376E-3</v>
      </c>
      <c r="I23">
        <f t="shared" si="3"/>
        <v>3.8368803320991618</v>
      </c>
      <c r="J23">
        <v>3.8332079408307762</v>
      </c>
      <c r="K23">
        <f t="shared" si="4"/>
        <v>9.5712947773286927E-2</v>
      </c>
      <c r="M23">
        <v>4.0648997407211924</v>
      </c>
      <c r="N23">
        <v>1.6258635775610472E-2</v>
      </c>
      <c r="AC23">
        <v>5425.8628571428608</v>
      </c>
      <c r="AD23">
        <v>4.2566723082516527</v>
      </c>
      <c r="AF23">
        <v>5425.8628571428608</v>
      </c>
      <c r="AG23">
        <v>4.2567611517247332</v>
      </c>
      <c r="AI23">
        <v>5425.8628571428608</v>
      </c>
      <c r="AL23">
        <v>5425.8628571428608</v>
      </c>
      <c r="AM23">
        <v>3.8332079408307762</v>
      </c>
      <c r="AO23">
        <v>5425.8628571428608</v>
      </c>
      <c r="AP23">
        <v>4.0648997407211924</v>
      </c>
    </row>
    <row r="24" spans="1:42" x14ac:dyDescent="0.3">
      <c r="A24">
        <v>5589.2248979591877</v>
      </c>
      <c r="B24">
        <v>9.47274346101315E-2</v>
      </c>
      <c r="C24">
        <f t="shared" si="0"/>
        <v>4.2627345574559179</v>
      </c>
      <c r="D24">
        <v>4.2610751712226245</v>
      </c>
      <c r="E24">
        <f t="shared" si="1"/>
        <v>3.8927740184783607E-2</v>
      </c>
      <c r="F24">
        <v>4.2610751712226245</v>
      </c>
      <c r="G24">
        <v>4.2609862297463774</v>
      </c>
      <c r="H24">
        <f t="shared" si="2"/>
        <v>2.0873012719353407E-3</v>
      </c>
      <c r="I24">
        <f t="shared" si="3"/>
        <v>3.9064638858090723</v>
      </c>
      <c r="J24">
        <v>3.9027848181643736</v>
      </c>
      <c r="K24">
        <f t="shared" si="4"/>
        <v>9.417897495644563E-2</v>
      </c>
      <c r="M24">
        <v>4.1206152250854577</v>
      </c>
      <c r="N24">
        <v>1.6481485583400131E-2</v>
      </c>
      <c r="AC24">
        <v>5589.2248979591877</v>
      </c>
      <c r="AD24">
        <v>4.2609862297463774</v>
      </c>
      <c r="AF24">
        <v>5589.2248979591877</v>
      </c>
      <c r="AG24">
        <v>4.2610751712226245</v>
      </c>
      <c r="AI24">
        <v>5589.2248979591877</v>
      </c>
      <c r="AL24">
        <v>5589.2248979591877</v>
      </c>
      <c r="AM24">
        <v>3.9027848181643736</v>
      </c>
      <c r="AO24">
        <v>5589.2248979591877</v>
      </c>
      <c r="AP24">
        <v>4.1206152250854577</v>
      </c>
    </row>
    <row r="25" spans="1:42" x14ac:dyDescent="0.3">
      <c r="A25">
        <v>5752.5869387755147</v>
      </c>
      <c r="B25">
        <v>9.4818070131215515E-2</v>
      </c>
      <c r="C25">
        <f t="shared" si="0"/>
        <v>4.266813155904698</v>
      </c>
      <c r="D25">
        <v>4.2651532889777704</v>
      </c>
      <c r="E25">
        <f t="shared" si="1"/>
        <v>3.8901795468372503E-2</v>
      </c>
      <c r="F25">
        <v>4.2651532889777704</v>
      </c>
      <c r="G25">
        <v>4.2650642548706488</v>
      </c>
      <c r="H25">
        <f t="shared" si="2"/>
        <v>2.0874773094712389E-3</v>
      </c>
      <c r="I25">
        <f t="shared" si="3"/>
        <v>3.9722424310635693</v>
      </c>
      <c r="J25">
        <v>3.9685570512072763</v>
      </c>
      <c r="K25">
        <f t="shared" si="4"/>
        <v>9.2778321571532665E-2</v>
      </c>
      <c r="M25">
        <v>4.1732840425367241</v>
      </c>
      <c r="N25">
        <v>1.6692149390718846E-2</v>
      </c>
      <c r="AC25">
        <v>5752.5869387755147</v>
      </c>
      <c r="AD25">
        <v>4.2650642548706488</v>
      </c>
      <c r="AF25">
        <v>5752.5869387755147</v>
      </c>
      <c r="AG25">
        <v>4.2651532889777704</v>
      </c>
      <c r="AI25">
        <v>5752.5869387755147</v>
      </c>
      <c r="AL25">
        <v>5752.5869387755147</v>
      </c>
      <c r="AM25">
        <v>3.9685570512072763</v>
      </c>
      <c r="AO25">
        <v>5752.5869387755147</v>
      </c>
      <c r="AP25">
        <v>4.1732840425367241</v>
      </c>
    </row>
    <row r="26" spans="1:42" x14ac:dyDescent="0.3">
      <c r="A26">
        <v>5915.9489795918416</v>
      </c>
      <c r="B26">
        <v>9.4903871110166668E-2</v>
      </c>
      <c r="C26">
        <f t="shared" si="0"/>
        <v>4.2706741999575</v>
      </c>
      <c r="D26">
        <v>4.2690138795217045</v>
      </c>
      <c r="E26">
        <f t="shared" si="1"/>
        <v>3.8877244155313254E-2</v>
      </c>
      <c r="F26">
        <v>4.2690138795217045</v>
      </c>
      <c r="G26">
        <v>4.2689247577166407</v>
      </c>
      <c r="H26">
        <f t="shared" si="2"/>
        <v>2.0876438348287549E-3</v>
      </c>
      <c r="I26">
        <f t="shared" si="3"/>
        <v>4.0345123419694193</v>
      </c>
      <c r="J26">
        <v>4.0308209877542014</v>
      </c>
      <c r="K26">
        <f t="shared" si="4"/>
        <v>9.1494433585398965E-2</v>
      </c>
      <c r="M26">
        <v>4.2231435011458727</v>
      </c>
      <c r="N26">
        <v>1.6891576377597955E-2</v>
      </c>
      <c r="AC26">
        <v>5915.9489795918416</v>
      </c>
      <c r="AD26">
        <v>4.2689247577166407</v>
      </c>
      <c r="AF26">
        <v>5915.9489795918416</v>
      </c>
      <c r="AG26">
        <v>4.2690138795217045</v>
      </c>
      <c r="AI26">
        <v>5915.9489795918416</v>
      </c>
      <c r="AL26">
        <v>5915.9489795918416</v>
      </c>
      <c r="AM26">
        <v>4.0308209877542014</v>
      </c>
      <c r="AO26">
        <v>5915.9489795918416</v>
      </c>
      <c r="AP26">
        <v>4.2231435011458727</v>
      </c>
    </row>
    <row r="27" spans="1:42" x14ac:dyDescent="0.3">
      <c r="A27">
        <v>6079.3110204081686</v>
      </c>
      <c r="B27">
        <v>9.4985219163742071E-2</v>
      </c>
      <c r="C27">
        <f t="shared" si="0"/>
        <v>4.2743348623683932</v>
      </c>
      <c r="D27">
        <v>4.2726741133425952</v>
      </c>
      <c r="E27">
        <f t="shared" si="1"/>
        <v>3.8853975630674671E-2</v>
      </c>
      <c r="F27">
        <v>4.2726741133425952</v>
      </c>
      <c r="G27">
        <v>4.2725849083928988</v>
      </c>
      <c r="H27">
        <f t="shared" si="2"/>
        <v>2.0878013939271446E-3</v>
      </c>
      <c r="I27">
        <f t="shared" si="3"/>
        <v>4.0935505723774623</v>
      </c>
      <c r="J27">
        <v>4.0898535539871457</v>
      </c>
      <c r="K27">
        <f t="shared" si="4"/>
        <v>9.0313245798487859E-2</v>
      </c>
      <c r="M27">
        <v>4.2704153566754615</v>
      </c>
      <c r="N27">
        <v>1.7080653518269352E-2</v>
      </c>
      <c r="AC27">
        <v>6079.3110204081686</v>
      </c>
      <c r="AD27">
        <v>4.2725849083928988</v>
      </c>
      <c r="AF27">
        <v>6079.3110204081686</v>
      </c>
      <c r="AG27">
        <v>4.2726741133425952</v>
      </c>
      <c r="AI27">
        <v>6079.3110204081686</v>
      </c>
      <c r="AL27">
        <v>6079.3110204081686</v>
      </c>
      <c r="AM27">
        <v>4.0898535539871457</v>
      </c>
      <c r="AO27">
        <v>6079.3110204081686</v>
      </c>
      <c r="AP27">
        <v>4.2704153566754615</v>
      </c>
    </row>
    <row r="28" spans="1:42" x14ac:dyDescent="0.3">
      <c r="A28">
        <v>6242.6730612244955</v>
      </c>
      <c r="B28">
        <v>9.5062452173130113E-2</v>
      </c>
      <c r="C28">
        <f t="shared" si="0"/>
        <v>4.2778103477908553</v>
      </c>
      <c r="D28">
        <v>4.2761491930969466</v>
      </c>
      <c r="E28">
        <f t="shared" si="1"/>
        <v>3.8831891992747149E-2</v>
      </c>
      <c r="F28">
        <v>4.2761491930969466</v>
      </c>
      <c r="G28">
        <v>4.2760599092102849</v>
      </c>
      <c r="H28">
        <f t="shared" si="2"/>
        <v>2.0879506918484495E-3</v>
      </c>
      <c r="I28">
        <f t="shared" si="3"/>
        <v>4.1496023355618998</v>
      </c>
      <c r="J28">
        <v>4.1458999396347878</v>
      </c>
      <c r="K28">
        <f t="shared" si="4"/>
        <v>8.9222909274527765E-2</v>
      </c>
      <c r="M28">
        <v>4.3152959510968314</v>
      </c>
      <c r="N28">
        <v>1.7260166137428704E-2</v>
      </c>
      <c r="AC28">
        <v>6242.6730612244955</v>
      </c>
      <c r="AD28">
        <v>4.2760599092102849</v>
      </c>
      <c r="AF28">
        <v>6242.6730612244955</v>
      </c>
      <c r="AG28">
        <v>4.2761491930969466</v>
      </c>
      <c r="AI28">
        <v>6242.6730612244955</v>
      </c>
      <c r="AL28">
        <v>6242.6730612244955</v>
      </c>
      <c r="AM28">
        <v>4.1458999396347878</v>
      </c>
      <c r="AO28">
        <v>6242.6730612244955</v>
      </c>
      <c r="AP28">
        <v>4.3152959510968314</v>
      </c>
    </row>
    <row r="29" spans="1:42" x14ac:dyDescent="0.3">
      <c r="A29">
        <v>6406.0351020408225</v>
      </c>
      <c r="B29">
        <v>9.5135879062558659E-2</v>
      </c>
      <c r="C29">
        <f t="shared" si="0"/>
        <v>4.2811145578151395</v>
      </c>
      <c r="D29">
        <v>4.2794530185627613</v>
      </c>
      <c r="E29">
        <f t="shared" si="1"/>
        <v>3.8810903794786168E-2</v>
      </c>
      <c r="F29">
        <v>4.2794530185627613</v>
      </c>
      <c r="G29">
        <v>4.2793636596308051</v>
      </c>
      <c r="H29">
        <f t="shared" si="2"/>
        <v>2.0880923699490364E-3</v>
      </c>
      <c r="I29">
        <f t="shared" si="3"/>
        <v>4.2028918298448907</v>
      </c>
      <c r="J29">
        <v>4.1991843214929263</v>
      </c>
      <c r="K29">
        <f t="shared" si="4"/>
        <v>8.8213270815995629E-2</v>
      </c>
      <c r="M29">
        <v>4.3579647997389497</v>
      </c>
      <c r="N29">
        <v>1.7430832256932718E-2</v>
      </c>
      <c r="AC29">
        <v>6406.0351020408225</v>
      </c>
      <c r="AD29">
        <v>4.2793636596308051</v>
      </c>
      <c r="AF29">
        <v>6406.0351020408225</v>
      </c>
      <c r="AG29">
        <v>4.2794530185627613</v>
      </c>
      <c r="AI29">
        <v>6406.0351020408225</v>
      </c>
      <c r="AL29">
        <v>6406.0351020408225</v>
      </c>
      <c r="AM29">
        <v>4.1991843214929263</v>
      </c>
      <c r="AO29">
        <v>6406.0351020408225</v>
      </c>
      <c r="AP29">
        <v>4.3579647997389497</v>
      </c>
    </row>
    <row r="30" spans="1:42" x14ac:dyDescent="0.3">
      <c r="A30">
        <v>6569.3971428571494</v>
      </c>
      <c r="B30">
        <v>9.5205766069571665E-2</v>
      </c>
      <c r="C30">
        <f t="shared" si="0"/>
        <v>4.2842594731307253</v>
      </c>
      <c r="D30">
        <v>4.2825975688685629</v>
      </c>
      <c r="E30">
        <f t="shared" si="1"/>
        <v>3.8790933942849104E-2</v>
      </c>
      <c r="F30">
        <v>4.2825975688685629</v>
      </c>
      <c r="G30">
        <v>4.2825081385106527</v>
      </c>
      <c r="H30">
        <f t="shared" si="2"/>
        <v>2.0882269807534102E-3</v>
      </c>
      <c r="I30">
        <f t="shared" si="3"/>
        <v>4.2536122741768327</v>
      </c>
      <c r="J30">
        <v>4.2498998999600328</v>
      </c>
      <c r="K30">
        <f t="shared" si="4"/>
        <v>8.7275801777639814E-2</v>
      </c>
      <c r="M30">
        <v>4.3985766127847743</v>
      </c>
      <c r="N30">
        <v>1.7593270683507817E-2</v>
      </c>
      <c r="AC30">
        <v>6569.3971428571494</v>
      </c>
      <c r="AD30">
        <v>4.2825081385106527</v>
      </c>
      <c r="AF30">
        <v>6569.3971428571494</v>
      </c>
      <c r="AG30">
        <v>4.2825975688685629</v>
      </c>
      <c r="AI30">
        <v>6569.3971428571494</v>
      </c>
      <c r="AL30">
        <v>6569.3971428571494</v>
      </c>
      <c r="AM30">
        <v>4.2498998999600328</v>
      </c>
      <c r="AO30">
        <v>6569.3971428571494</v>
      </c>
      <c r="AP30">
        <v>4.3985766127847743</v>
      </c>
    </row>
    <row r="31" spans="1:42" x14ac:dyDescent="0.3">
      <c r="A31">
        <v>6732.7591836734764</v>
      </c>
      <c r="B31">
        <v>9.5272367134271618E-2</v>
      </c>
      <c r="C31">
        <f t="shared" si="0"/>
        <v>4.2872565210422229</v>
      </c>
      <c r="D31">
        <v>4.2855942698458112</v>
      </c>
      <c r="E31">
        <f t="shared" si="1"/>
        <v>3.8771908987793292E-2</v>
      </c>
      <c r="F31">
        <v>4.2855942698458112</v>
      </c>
      <c r="G31">
        <v>4.2855047714215404</v>
      </c>
      <c r="H31">
        <f t="shared" si="2"/>
        <v>2.0883550479912985E-3</v>
      </c>
      <c r="I31">
        <f t="shared" si="3"/>
        <v>4.301947963029451</v>
      </c>
      <c r="J31">
        <v>4.2982309518140278</v>
      </c>
      <c r="K31">
        <f t="shared" si="4"/>
        <v>8.6402979472715219E-2</v>
      </c>
      <c r="M31">
        <v>4.4372789546024807</v>
      </c>
      <c r="N31">
        <v>1.7748071642226509E-2</v>
      </c>
      <c r="AC31">
        <v>6732.7591836734764</v>
      </c>
      <c r="AD31">
        <v>4.2855047714215404</v>
      </c>
      <c r="AF31">
        <v>6732.7591836734764</v>
      </c>
      <c r="AG31">
        <v>4.2855942698458112</v>
      </c>
      <c r="AI31">
        <v>6732.7591836734764</v>
      </c>
      <c r="AL31">
        <v>6732.7591836734764</v>
      </c>
      <c r="AM31">
        <v>4.2982309518140278</v>
      </c>
      <c r="AO31">
        <v>6732.7591836734764</v>
      </c>
      <c r="AP31">
        <v>4.4372789546024807</v>
      </c>
    </row>
    <row r="32" spans="1:42" x14ac:dyDescent="0.3">
      <c r="A32">
        <v>6896.1212244898034</v>
      </c>
      <c r="B32">
        <v>9.53359086809588E-2</v>
      </c>
      <c r="C32">
        <f t="shared" si="0"/>
        <v>4.290115890643146</v>
      </c>
      <c r="D32">
        <v>4.2884533092788475</v>
      </c>
      <c r="E32">
        <f t="shared" si="1"/>
        <v>3.8753763457175253E-2</v>
      </c>
      <c r="F32">
        <v>4.2884533092788475</v>
      </c>
      <c r="G32">
        <v>4.2883637459162127</v>
      </c>
      <c r="H32">
        <f t="shared" si="2"/>
        <v>2.0884770376532647E-3</v>
      </c>
      <c r="I32">
        <f t="shared" si="3"/>
        <v>4.3480632216285153</v>
      </c>
      <c r="J32">
        <v>4.3443417865046428</v>
      </c>
      <c r="K32">
        <f t="shared" si="4"/>
        <v>8.5588339777606895E-2</v>
      </c>
      <c r="M32">
        <v>4.4742034002097606</v>
      </c>
      <c r="N32">
        <v>1.7895761404279589E-2</v>
      </c>
      <c r="AC32">
        <v>6896.1212244898034</v>
      </c>
      <c r="AD32">
        <v>4.2883637459162127</v>
      </c>
      <c r="AF32">
        <v>6896.1212244898034</v>
      </c>
      <c r="AG32">
        <v>4.2884533092788475</v>
      </c>
      <c r="AI32">
        <v>6896.1212244898034</v>
      </c>
      <c r="AL32">
        <v>6896.1212244898034</v>
      </c>
      <c r="AM32">
        <v>4.3443417865046428</v>
      </c>
      <c r="AO32">
        <v>6896.1212244898034</v>
      </c>
      <c r="AP32">
        <v>4.4742034002097606</v>
      </c>
    </row>
    <row r="33" spans="1:42" x14ac:dyDescent="0.3">
      <c r="A33">
        <v>7059.4832653061303</v>
      </c>
      <c r="B33">
        <v>9.5396596798081462E-2</v>
      </c>
      <c r="C33">
        <f t="shared" si="0"/>
        <v>4.2928468559136661</v>
      </c>
      <c r="D33">
        <v>4.2911839599620274</v>
      </c>
      <c r="E33">
        <f t="shared" si="1"/>
        <v>3.8736437787152043E-2</v>
      </c>
      <c r="F33">
        <v>4.2911839599620274</v>
      </c>
      <c r="G33">
        <v>4.2910943345782702</v>
      </c>
      <c r="H33">
        <f t="shared" si="2"/>
        <v>2.0885933717468353E-3</v>
      </c>
      <c r="I33">
        <f t="shared" si="3"/>
        <v>4.3921076167475022</v>
      </c>
      <c r="J33">
        <v>4.3883819564468523</v>
      </c>
      <c r="K33">
        <f t="shared" si="4"/>
        <v>8.4826252581872874E-2</v>
      </c>
      <c r="M33">
        <v>4.5094697075505596</v>
      </c>
      <c r="N33">
        <v>1.8036818975168897E-2</v>
      </c>
      <c r="AC33">
        <v>7059.4832653061303</v>
      </c>
      <c r="AD33">
        <v>4.2910943345782702</v>
      </c>
      <c r="AF33">
        <v>7059.4832653061303</v>
      </c>
      <c r="AG33">
        <v>4.2911839599620274</v>
      </c>
      <c r="AI33">
        <v>7059.4832653061303</v>
      </c>
      <c r="AL33">
        <v>7059.4832653061303</v>
      </c>
      <c r="AM33">
        <v>4.3883819564468523</v>
      </c>
      <c r="AO33">
        <v>7059.4832653061303</v>
      </c>
      <c r="AP33">
        <v>4.5094697075505596</v>
      </c>
    </row>
    <row r="34" spans="1:42" x14ac:dyDescent="0.3">
      <c r="A34">
        <v>7222.8453061224573</v>
      </c>
      <c r="B34">
        <v>9.5454622944953368E-2</v>
      </c>
      <c r="C34">
        <f t="shared" si="0"/>
        <v>4.2954580325229017</v>
      </c>
      <c r="D34">
        <v>4.2937948364698801</v>
      </c>
      <c r="E34">
        <f t="shared" si="1"/>
        <v>3.8719876679709997E-2</v>
      </c>
      <c r="F34">
        <v>4.2937948364698801</v>
      </c>
      <c r="G34">
        <v>4.2937051517864164</v>
      </c>
      <c r="H34">
        <f t="shared" si="2"/>
        <v>2.0887044416272719E-3</v>
      </c>
      <c r="I34">
        <f t="shared" si="3"/>
        <v>4.4342200983149018</v>
      </c>
      <c r="J34">
        <v>4.4304903982299111</v>
      </c>
      <c r="K34">
        <f t="shared" si="4"/>
        <v>8.4111749130542812E-2</v>
      </c>
      <c r="M34">
        <v>4.5431891336748143</v>
      </c>
      <c r="N34">
        <v>1.8171689358701039E-2</v>
      </c>
      <c r="AC34">
        <v>7222.8453061224573</v>
      </c>
      <c r="AD34">
        <v>4.2937051517864164</v>
      </c>
      <c r="AF34">
        <v>7222.8453061224573</v>
      </c>
      <c r="AG34">
        <v>4.2937948364698801</v>
      </c>
      <c r="AI34">
        <v>7222.8453061224573</v>
      </c>
      <c r="AL34">
        <v>7222.8453061224573</v>
      </c>
      <c r="AM34">
        <v>4.4304903982299111</v>
      </c>
      <c r="AO34">
        <v>7222.8453061224573</v>
      </c>
      <c r="AP34">
        <v>4.5431891336748143</v>
      </c>
    </row>
    <row r="35" spans="1:42" x14ac:dyDescent="0.3">
      <c r="A35">
        <v>7386.2073469387842</v>
      </c>
      <c r="B35">
        <v>9.5510151853775468E-2</v>
      </c>
      <c r="C35">
        <f t="shared" si="0"/>
        <v>4.2979568334198959</v>
      </c>
      <c r="D35">
        <v>4.296293350808396</v>
      </c>
      <c r="E35">
        <f t="shared" si="1"/>
        <v>3.8704032543207444E-2</v>
      </c>
      <c r="F35">
        <v>4.296293350808396</v>
      </c>
      <c r="G35">
        <v>4.2962036093673284</v>
      </c>
      <c r="H35">
        <f t="shared" si="2"/>
        <v>2.0888108362240453E-3</v>
      </c>
      <c r="I35">
        <f t="shared" si="3"/>
        <v>4.4745202190950106</v>
      </c>
      <c r="J35">
        <v>4.4707866542149857</v>
      </c>
      <c r="K35">
        <f t="shared" si="4"/>
        <v>8.3440563394751907E-2</v>
      </c>
      <c r="M35">
        <v>4.575457405191937</v>
      </c>
      <c r="N35">
        <v>1.8300755440339701E-2</v>
      </c>
      <c r="AC35">
        <v>7386.2073469387842</v>
      </c>
      <c r="AD35">
        <v>4.2962036093673284</v>
      </c>
      <c r="AF35">
        <v>7386.2073469387842</v>
      </c>
      <c r="AG35">
        <v>4.296293350808396</v>
      </c>
      <c r="AI35">
        <v>7386.2073469387842</v>
      </c>
      <c r="AL35">
        <v>7386.2073469387842</v>
      </c>
      <c r="AM35">
        <v>4.4707866542149857</v>
      </c>
      <c r="AO35">
        <v>7386.2073469387842</v>
      </c>
      <c r="AP35">
        <v>4.575457405191937</v>
      </c>
    </row>
    <row r="36" spans="1:42" x14ac:dyDescent="0.3">
      <c r="A36">
        <v>7549.5693877551112</v>
      </c>
      <c r="B36">
        <v>9.5563344524386959E-2</v>
      </c>
      <c r="C36">
        <f t="shared" si="0"/>
        <v>4.3003505035974134</v>
      </c>
      <c r="D36">
        <v>4.2986867470580385</v>
      </c>
      <c r="E36">
        <f t="shared" si="1"/>
        <v>3.8688858919362412E-2</v>
      </c>
      <c r="F36">
        <v>4.2986867470580385</v>
      </c>
      <c r="G36">
        <v>4.2985969512585154</v>
      </c>
      <c r="H36">
        <f t="shared" si="2"/>
        <v>2.0889123773587016E-3</v>
      </c>
      <c r="I36">
        <f t="shared" si="3"/>
        <v>4.5131248237998571</v>
      </c>
      <c r="J36">
        <v>4.5093875557509859</v>
      </c>
      <c r="K36">
        <f t="shared" si="4"/>
        <v>8.2808878433027283E-2</v>
      </c>
      <c r="M36">
        <v>4.6063680778393588</v>
      </c>
      <c r="N36">
        <v>1.8424391422505737E-2</v>
      </c>
      <c r="AC36">
        <v>7549.5693877551112</v>
      </c>
      <c r="AD36">
        <v>4.2985969512585154</v>
      </c>
      <c r="AF36">
        <v>7549.5693877551112</v>
      </c>
      <c r="AG36">
        <v>4.2986867470580385</v>
      </c>
      <c r="AI36">
        <v>7549.5693877551112</v>
      </c>
      <c r="AL36">
        <v>7549.5693877551112</v>
      </c>
      <c r="AM36">
        <v>4.5093875557509859</v>
      </c>
      <c r="AO36">
        <v>7549.5693877551112</v>
      </c>
      <c r="AP36">
        <v>4.6063680778393588</v>
      </c>
    </row>
    <row r="37" spans="1:42" x14ac:dyDescent="0.3">
      <c r="A37">
        <v>7712.9314285714381</v>
      </c>
      <c r="B37">
        <v>9.5614345356128339E-2</v>
      </c>
      <c r="C37">
        <f t="shared" si="0"/>
        <v>4.3026455410257753</v>
      </c>
      <c r="D37">
        <v>4.3009815223725951</v>
      </c>
      <c r="E37">
        <f t="shared" si="1"/>
        <v>3.8674314147279489E-2</v>
      </c>
      <c r="F37">
        <v>4.3009815223725951</v>
      </c>
      <c r="G37">
        <v>4.3008916744552366</v>
      </c>
      <c r="H37">
        <f t="shared" si="2"/>
        <v>2.0890096107409103E-3</v>
      </c>
      <c r="I37">
        <f t="shared" si="3"/>
        <v>4.5501387089629706</v>
      </c>
      <c r="J37">
        <v>4.5463978903855367</v>
      </c>
      <c r="K37">
        <f t="shared" si="4"/>
        <v>8.2213286598607646E-2</v>
      </c>
      <c r="M37">
        <v>4.6360050629321501</v>
      </c>
      <c r="N37">
        <v>1.8542932932098598E-2</v>
      </c>
      <c r="AC37">
        <v>7712.9314285714381</v>
      </c>
      <c r="AD37">
        <v>4.3008916744552366</v>
      </c>
      <c r="AF37">
        <v>7712.9314285714381</v>
      </c>
      <c r="AG37">
        <v>4.3009815223725951</v>
      </c>
      <c r="AI37">
        <v>7712.9314285714381</v>
      </c>
      <c r="AL37">
        <v>7712.9314285714381</v>
      </c>
      <c r="AM37">
        <v>4.5463978903855367</v>
      </c>
      <c r="AO37">
        <v>7712.9314285714381</v>
      </c>
      <c r="AP37">
        <v>4.6360050629321501</v>
      </c>
    </row>
    <row r="38" spans="1:42" x14ac:dyDescent="0.3">
      <c r="A38">
        <v>7876.2934693877651</v>
      </c>
      <c r="B38">
        <v>9.5663287088429957E-2</v>
      </c>
      <c r="C38">
        <f t="shared" si="0"/>
        <v>4.3048479189793483</v>
      </c>
      <c r="D38">
        <v>4.303183649278755</v>
      </c>
      <c r="E38">
        <f t="shared" si="1"/>
        <v>3.8660359945721132E-2</v>
      </c>
      <c r="F38">
        <v>4.303183649278755</v>
      </c>
      <c r="G38">
        <v>4.303093751359321</v>
      </c>
      <c r="H38">
        <f t="shared" si="2"/>
        <v>2.0891025519905681E-3</v>
      </c>
      <c r="I38">
        <f t="shared" si="3"/>
        <v>4.5856582094258531</v>
      </c>
      <c r="J38">
        <v>4.581913982639823</v>
      </c>
      <c r="K38">
        <f t="shared" si="4"/>
        <v>8.1650803767578287E-2</v>
      </c>
      <c r="M38">
        <v>4.6644454948252516</v>
      </c>
      <c r="N38">
        <v>1.8656688489631278E-2</v>
      </c>
      <c r="AC38">
        <v>7876.2934693877651</v>
      </c>
      <c r="AD38">
        <v>4.303093751359321</v>
      </c>
      <c r="AF38">
        <v>7876.2934693877651</v>
      </c>
      <c r="AG38">
        <v>4.303183649278755</v>
      </c>
      <c r="AI38">
        <v>7876.2934693877651</v>
      </c>
      <c r="AL38">
        <v>7876.2934693877651</v>
      </c>
      <c r="AM38">
        <v>4.581913982639823</v>
      </c>
      <c r="AO38">
        <v>7876.2934693877651</v>
      </c>
      <c r="AP38">
        <v>4.6644454948252516</v>
      </c>
    </row>
    <row r="39" spans="1:42" x14ac:dyDescent="0.3">
      <c r="A39">
        <v>8039.655510204092</v>
      </c>
      <c r="B39">
        <v>9.5710294774848534E-2</v>
      </c>
      <c r="C39">
        <f t="shared" si="0"/>
        <v>4.3069632648681839</v>
      </c>
      <c r="D39">
        <v>4.3052987544862189</v>
      </c>
      <c r="E39">
        <f t="shared" si="1"/>
        <v>3.8646960273434464E-2</v>
      </c>
      <c r="F39">
        <v>4.3052987544862189</v>
      </c>
      <c r="G39">
        <v>4.3052088085200131</v>
      </c>
      <c r="H39">
        <f t="shared" si="2"/>
        <v>2.0891922102291276E-3</v>
      </c>
      <c r="I39">
        <f t="shared" si="3"/>
        <v>4.6197740814278152</v>
      </c>
      <c r="J39">
        <v>4.616026583262002</v>
      </c>
      <c r="K39">
        <f t="shared" si="4"/>
        <v>8.1118645625523483E-2</v>
      </c>
      <c r="M39">
        <v>4.6917620444812576</v>
      </c>
      <c r="N39">
        <v>1.8765948763091175E-2</v>
      </c>
      <c r="AC39">
        <v>8039.655510204092</v>
      </c>
      <c r="AD39">
        <v>4.3052088085200131</v>
      </c>
      <c r="AF39">
        <v>8039.655510204092</v>
      </c>
      <c r="AG39">
        <v>4.3052987544862189</v>
      </c>
      <c r="AI39">
        <v>8039.655510204092</v>
      </c>
      <c r="AL39">
        <v>8039.655510204092</v>
      </c>
      <c r="AM39">
        <v>4.616026583262002</v>
      </c>
      <c r="AO39">
        <v>8039.655510204092</v>
      </c>
      <c r="AP39">
        <v>4.6917620444812576</v>
      </c>
    </row>
    <row r="40" spans="1:42" x14ac:dyDescent="0.3">
      <c r="A40">
        <v>8203.017551020419</v>
      </c>
      <c r="B40">
        <v>9.5755475412218335E-2</v>
      </c>
      <c r="C40">
        <f t="shared" si="0"/>
        <v>4.3089963935498252</v>
      </c>
      <c r="D40">
        <v>4.3073316522515457</v>
      </c>
      <c r="E40">
        <f t="shared" si="1"/>
        <v>3.8634084279381233E-2</v>
      </c>
      <c r="F40">
        <v>4.3073316522515457</v>
      </c>
      <c r="G40">
        <v>4.3072416601279002</v>
      </c>
      <c r="H40">
        <f t="shared" si="2"/>
        <v>2.0892777921668717E-3</v>
      </c>
      <c r="I40">
        <f t="shared" si="3"/>
        <v>4.6525639778630348</v>
      </c>
      <c r="J40">
        <v>4.6488133333998496</v>
      </c>
      <c r="K40">
        <f t="shared" si="4"/>
        <v>8.0614570396684529E-2</v>
      </c>
      <c r="M40">
        <v>4.7180168851010507</v>
      </c>
      <c r="N40">
        <v>1.8870962431492912E-2</v>
      </c>
      <c r="AC40">
        <v>8203.017551020419</v>
      </c>
      <c r="AD40">
        <v>4.3072416601279002</v>
      </c>
      <c r="AF40">
        <v>8203.017551020419</v>
      </c>
      <c r="AG40">
        <v>4.3073316522515457</v>
      </c>
      <c r="AI40">
        <v>8203.017551020419</v>
      </c>
      <c r="AL40">
        <v>8203.017551020419</v>
      </c>
      <c r="AM40">
        <v>4.6488133333998496</v>
      </c>
      <c r="AO40">
        <v>8203.017551020419</v>
      </c>
      <c r="AP40">
        <v>4.7180168851010507</v>
      </c>
    </row>
    <row r="41" spans="1:42" x14ac:dyDescent="0.3">
      <c r="A41">
        <v>8366.379591836745</v>
      </c>
      <c r="B41">
        <v>9.5798936097479706E-2</v>
      </c>
      <c r="C41">
        <f t="shared" si="0"/>
        <v>4.3109521243865867</v>
      </c>
      <c r="D41">
        <v>4.3092871613415937</v>
      </c>
      <c r="E41">
        <f t="shared" si="1"/>
        <v>3.8621701121997122E-2</v>
      </c>
      <c r="F41">
        <v>4.3092871613415937</v>
      </c>
      <c r="G41">
        <v>4.3091971248077385</v>
      </c>
      <c r="H41">
        <f t="shared" si="2"/>
        <v>2.0893602696731659E-3</v>
      </c>
      <c r="I41">
        <f t="shared" si="3"/>
        <v>4.6841056231488274</v>
      </c>
      <c r="J41">
        <v>4.6803519532302369</v>
      </c>
      <c r="K41">
        <f t="shared" si="4"/>
        <v>8.0136321009498121E-2</v>
      </c>
      <c r="M41">
        <v>4.7432722530824254</v>
      </c>
      <c r="N41">
        <v>1.8971978426125465E-2</v>
      </c>
      <c r="AC41">
        <v>8366.379591836745</v>
      </c>
      <c r="AD41">
        <v>4.3091971248077385</v>
      </c>
      <c r="AF41">
        <v>8366.379591836745</v>
      </c>
      <c r="AG41">
        <v>4.3092871613415937</v>
      </c>
      <c r="AI41">
        <v>8366.379591836745</v>
      </c>
      <c r="AL41">
        <v>8366.379591836745</v>
      </c>
      <c r="AM41">
        <v>4.6803519532302369</v>
      </c>
      <c r="AO41">
        <v>8366.379591836745</v>
      </c>
      <c r="AP41">
        <v>4.7432722530824254</v>
      </c>
    </row>
    <row r="42" spans="1:42" x14ac:dyDescent="0.3">
      <c r="A42">
        <v>8529.7416326530711</v>
      </c>
      <c r="B42">
        <v>9.5840773209731944E-2</v>
      </c>
      <c r="C42">
        <f t="shared" si="0"/>
        <v>4.3128347944379373</v>
      </c>
      <c r="D42">
        <v>4.3111696182805845</v>
      </c>
      <c r="E42">
        <f t="shared" si="1"/>
        <v>3.8609783048036819E-2</v>
      </c>
      <c r="F42">
        <v>4.3111696182805845</v>
      </c>
      <c r="G42">
        <v>4.3110795389852115</v>
      </c>
      <c r="H42">
        <f t="shared" si="2"/>
        <v>2.0894398353318829E-3</v>
      </c>
      <c r="I42">
        <f t="shared" si="3"/>
        <v>4.7144689638314654</v>
      </c>
      <c r="J42">
        <v>4.7107123825859523</v>
      </c>
      <c r="K42">
        <f t="shared" si="4"/>
        <v>7.9681959396338028E-2</v>
      </c>
      <c r="M42">
        <v>4.767584154550411</v>
      </c>
      <c r="N42">
        <v>1.9069220754534599E-2</v>
      </c>
      <c r="AC42">
        <v>8529.7416326530711</v>
      </c>
      <c r="AD42">
        <v>4.3110795389852115</v>
      </c>
      <c r="AF42">
        <v>8529.7416326530711</v>
      </c>
      <c r="AG42">
        <v>4.3111696182805845</v>
      </c>
      <c r="AI42">
        <v>8529.7416326530711</v>
      </c>
      <c r="AL42">
        <v>8529.7416326530711</v>
      </c>
      <c r="AM42">
        <v>4.7107123825859523</v>
      </c>
      <c r="AO42">
        <v>8529.7416326530711</v>
      </c>
      <c r="AP42">
        <v>4.767584154550411</v>
      </c>
    </row>
    <row r="43" spans="1:42" x14ac:dyDescent="0.3">
      <c r="A43">
        <v>8693.1036734693971</v>
      </c>
      <c r="B43">
        <v>9.5881076059190995E-2</v>
      </c>
      <c r="C43">
        <f t="shared" si="0"/>
        <v>4.3146484226635948</v>
      </c>
      <c r="D43">
        <v>4.3129830415338137</v>
      </c>
      <c r="E43">
        <f t="shared" si="1"/>
        <v>3.8598304349279834E-2</v>
      </c>
      <c r="F43">
        <v>4.3129830415338137</v>
      </c>
      <c r="G43">
        <v>4.3128929210560178</v>
      </c>
      <c r="H43">
        <f t="shared" si="2"/>
        <v>2.0895161638251189E-3</v>
      </c>
      <c r="I43">
        <f t="shared" si="3"/>
        <v>4.7437188166335726</v>
      </c>
      <c r="J43">
        <v>4.7399594298229113</v>
      </c>
      <c r="K43">
        <f t="shared" si="4"/>
        <v>7.9249781784689194E-2</v>
      </c>
      <c r="M43">
        <v>4.7910044864931098</v>
      </c>
      <c r="N43">
        <v>1.9162896965609341E-2</v>
      </c>
      <c r="AC43">
        <v>8693.1036734693971</v>
      </c>
      <c r="AD43">
        <v>4.3128929210560178</v>
      </c>
      <c r="AF43">
        <v>8693.1036734693971</v>
      </c>
      <c r="AG43">
        <v>4.3129830415338137</v>
      </c>
      <c r="AI43">
        <v>8693.1036734693971</v>
      </c>
      <c r="AL43">
        <v>8693.1036734693971</v>
      </c>
      <c r="AM43">
        <v>4.7399594298229113</v>
      </c>
      <c r="AO43">
        <v>8693.1036734693971</v>
      </c>
      <c r="AP43">
        <v>4.7910044864931098</v>
      </c>
    </row>
    <row r="44" spans="1:42" x14ac:dyDescent="0.3">
      <c r="A44">
        <v>8856.4657142857232</v>
      </c>
      <c r="B44">
        <v>9.5919929859044156E-2</v>
      </c>
      <c r="C44">
        <f t="shared" si="0"/>
        <v>4.3163968436569871</v>
      </c>
      <c r="D44">
        <v>4.3147312652254737</v>
      </c>
      <c r="E44">
        <f t="shared" si="1"/>
        <v>3.858724051197876E-2</v>
      </c>
      <c r="F44">
        <v>4.3147312652254737</v>
      </c>
      <c r="G44">
        <v>4.3146411050463707</v>
      </c>
      <c r="H44">
        <f t="shared" si="2"/>
        <v>2.0895896768742218E-3</v>
      </c>
      <c r="I44">
        <f t="shared" si="3"/>
        <v>4.7719170243979629</v>
      </c>
      <c r="J44">
        <v>4.7681549329216839</v>
      </c>
      <c r="K44">
        <f t="shared" si="4"/>
        <v>7.8838157852371166E-2</v>
      </c>
      <c r="M44">
        <v>4.8135827672566975</v>
      </c>
      <c r="N44">
        <v>1.9253204969608542E-2</v>
      </c>
      <c r="AC44">
        <v>8856.4657142857232</v>
      </c>
      <c r="AD44">
        <v>4.3146411050463707</v>
      </c>
      <c r="AF44">
        <v>8856.4657142857232</v>
      </c>
      <c r="AG44">
        <v>4.3147312652254737</v>
      </c>
      <c r="AI44">
        <v>8856.4657142857232</v>
      </c>
      <c r="AL44">
        <v>8856.4657142857232</v>
      </c>
      <c r="AM44">
        <v>4.7681549329216839</v>
      </c>
      <c r="AO44">
        <v>8856.4657142857232</v>
      </c>
      <c r="AP44">
        <v>4.8135827672566975</v>
      </c>
    </row>
    <row r="45" spans="1:42" x14ac:dyDescent="0.3">
      <c r="A45">
        <v>9019.8277551020492</v>
      </c>
      <c r="B45">
        <v>9.5957406870651976E-2</v>
      </c>
      <c r="C45">
        <f t="shared" si="0"/>
        <v>4.3180833091793387</v>
      </c>
      <c r="D45">
        <v>4.3164175407171461</v>
      </c>
      <c r="E45">
        <f t="shared" si="1"/>
        <v>3.8576570735712759E-2</v>
      </c>
      <c r="F45">
        <v>4.3164175407171461</v>
      </c>
      <c r="G45">
        <v>4.3163273422439694</v>
      </c>
      <c r="H45">
        <f t="shared" si="2"/>
        <v>2.0896605188412774E-3</v>
      </c>
      <c r="I45">
        <f t="shared" si="3"/>
        <v>4.7991160303952309</v>
      </c>
      <c r="J45">
        <v>4.7953513301196962</v>
      </c>
      <c r="K45">
        <f t="shared" si="4"/>
        <v>7.8445702327074804E-2</v>
      </c>
      <c r="M45">
        <v>4.8353609881125541</v>
      </c>
      <c r="N45">
        <v>1.9340311935513072E-2</v>
      </c>
      <c r="AC45">
        <v>9019.8277551020492</v>
      </c>
      <c r="AD45">
        <v>4.3163273422439694</v>
      </c>
      <c r="AF45">
        <v>9019.8277551020492</v>
      </c>
      <c r="AG45">
        <v>4.3164175407171461</v>
      </c>
      <c r="AI45">
        <v>9019.8277551020492</v>
      </c>
      <c r="AL45">
        <v>9019.8277551020492</v>
      </c>
      <c r="AM45">
        <v>4.7953513301196962</v>
      </c>
      <c r="AO45">
        <v>9019.8277551020492</v>
      </c>
      <c r="AP45">
        <v>4.8353609881125541</v>
      </c>
    </row>
    <row r="46" spans="1:42" x14ac:dyDescent="0.3">
      <c r="A46">
        <v>9183.1897959183752</v>
      </c>
      <c r="B46">
        <v>9.5993581175666406E-2</v>
      </c>
      <c r="C46">
        <f t="shared" si="0"/>
        <v>4.3197111529049881</v>
      </c>
      <c r="D46">
        <v>4.3180452012776902</v>
      </c>
      <c r="E46">
        <f t="shared" si="1"/>
        <v>3.8566273723592226E-2</v>
      </c>
      <c r="F46">
        <v>4.3180452012776902</v>
      </c>
      <c r="G46">
        <v>4.3179549658419196</v>
      </c>
      <c r="H46">
        <f t="shared" si="2"/>
        <v>2.0897288371108315E-3</v>
      </c>
      <c r="I46">
        <f t="shared" si="3"/>
        <v>4.8253695990301679</v>
      </c>
      <c r="J46">
        <v>4.8216023806620738</v>
      </c>
      <c r="K46">
        <f t="shared" si="4"/>
        <v>7.8071084313443798E-2</v>
      </c>
      <c r="M46">
        <v>4.8563821981641544</v>
      </c>
      <c r="N46">
        <v>1.9424386219943676E-2</v>
      </c>
      <c r="AC46">
        <v>9183.1897959183752</v>
      </c>
      <c r="AD46">
        <v>4.3179549658419196</v>
      </c>
      <c r="AF46">
        <v>9183.1897959183752</v>
      </c>
      <c r="AG46">
        <v>4.3180452012776902</v>
      </c>
      <c r="AI46">
        <v>9183.1897959183752</v>
      </c>
      <c r="AL46">
        <v>9183.1897959183752</v>
      </c>
      <c r="AM46">
        <v>4.8216023806620738</v>
      </c>
      <c r="AO46">
        <v>9183.1897959183752</v>
      </c>
      <c r="AP46">
        <v>4.8563821981641544</v>
      </c>
    </row>
    <row r="47" spans="1:42" x14ac:dyDescent="0.3">
      <c r="A47">
        <v>9346.5518367347013</v>
      </c>
      <c r="B47">
        <v>9.6028519537158186E-2</v>
      </c>
      <c r="C47">
        <f t="shared" si="0"/>
        <v>4.3212833791721188</v>
      </c>
      <c r="D47">
        <v>4.3196172508799879</v>
      </c>
      <c r="E47">
        <f t="shared" si="1"/>
        <v>3.8556330282835199E-2</v>
      </c>
      <c r="F47">
        <v>4.3196172508799879</v>
      </c>
      <c r="G47">
        <v>4.3195269797448566</v>
      </c>
      <c r="H47">
        <f t="shared" si="2"/>
        <v>2.0897947639456076E-3</v>
      </c>
      <c r="I47">
        <f t="shared" si="3"/>
        <v>4.8507261832845403</v>
      </c>
      <c r="J47">
        <v>4.8469565328807445</v>
      </c>
      <c r="K47">
        <f t="shared" si="4"/>
        <v>7.7713114724676652E-2</v>
      </c>
      <c r="M47">
        <v>4.8766851936640929</v>
      </c>
      <c r="N47">
        <v>1.9505565397318965E-2</v>
      </c>
      <c r="AC47">
        <v>9346.5518367347013</v>
      </c>
      <c r="AD47">
        <v>4.3195269797448566</v>
      </c>
      <c r="AF47">
        <v>9346.5518367347013</v>
      </c>
      <c r="AG47">
        <v>4.3196172508799879</v>
      </c>
      <c r="AI47">
        <v>9346.5518367347013</v>
      </c>
      <c r="AL47">
        <v>9346.5518367347013</v>
      </c>
      <c r="AM47">
        <v>4.8469565328807445</v>
      </c>
      <c r="AO47">
        <v>9346.5518367347013</v>
      </c>
      <c r="AP47">
        <v>4.8766851936640929</v>
      </c>
    </row>
    <row r="48" spans="1:42" x14ac:dyDescent="0.3">
      <c r="A48">
        <v>9509.9138775510273</v>
      </c>
      <c r="B48">
        <v>9.6062284232723907E-2</v>
      </c>
      <c r="C48">
        <f t="shared" si="0"/>
        <v>4.3228027904725757</v>
      </c>
      <c r="D48">
        <v>4.3211364916760431</v>
      </c>
      <c r="E48">
        <f t="shared" si="1"/>
        <v>3.8546722515426388E-2</v>
      </c>
      <c r="F48">
        <v>4.3211364916760431</v>
      </c>
      <c r="G48">
        <v>4.3210461860519942</v>
      </c>
      <c r="H48">
        <f t="shared" si="2"/>
        <v>2.0898581709427547E-3</v>
      </c>
      <c r="I48">
        <f t="shared" si="3"/>
        <v>4.8752309810186709</v>
      </c>
      <c r="J48">
        <v>4.871458979225773</v>
      </c>
      <c r="K48">
        <f t="shared" si="4"/>
        <v>7.7370729870726782E-2</v>
      </c>
      <c r="M48">
        <v>4.8963061636462015</v>
      </c>
      <c r="N48">
        <v>1.9583917947789665E-2</v>
      </c>
      <c r="AC48">
        <v>9509.9138775510273</v>
      </c>
      <c r="AD48">
        <v>4.3210461860519942</v>
      </c>
      <c r="AF48">
        <v>9509.9138775510273</v>
      </c>
      <c r="AG48">
        <v>4.3211364916760431</v>
      </c>
      <c r="AI48">
        <v>9509.9138775510273</v>
      </c>
      <c r="AL48">
        <v>9509.9138775510273</v>
      </c>
      <c r="AM48">
        <v>4.871458979225773</v>
      </c>
      <c r="AO48">
        <v>9509.9138775510273</v>
      </c>
      <c r="AP48">
        <v>4.8963061636462015</v>
      </c>
    </row>
    <row r="49" spans="1:42" x14ac:dyDescent="0.3">
      <c r="A49">
        <v>9673.2759183673534</v>
      </c>
      <c r="B49">
        <v>9.6094935390547559E-2</v>
      </c>
      <c r="C49">
        <f t="shared" si="0"/>
        <v>4.3242720925746401</v>
      </c>
      <c r="D49">
        <v>4.3226056291076569</v>
      </c>
      <c r="E49">
        <f t="shared" si="1"/>
        <v>3.8537433151922248E-2</v>
      </c>
      <c r="F49">
        <v>4.3226056291076569</v>
      </c>
      <c r="G49">
        <v>4.3225152901219044</v>
      </c>
      <c r="H49">
        <f t="shared" si="2"/>
        <v>2.0899196804856804E-3</v>
      </c>
      <c r="I49">
        <f t="shared" si="3"/>
        <v>4.8989276296663222</v>
      </c>
      <c r="J49">
        <v>4.8951533550889064</v>
      </c>
      <c r="K49">
        <f t="shared" si="4"/>
        <v>7.7042872700549242E-2</v>
      </c>
      <c r="M49">
        <v>4.9152800502526928</v>
      </c>
      <c r="N49">
        <v>1.965927654765634E-2</v>
      </c>
      <c r="AC49">
        <v>9673.2759183673534</v>
      </c>
      <c r="AD49">
        <v>4.3225152901219044</v>
      </c>
      <c r="AF49">
        <v>9673.2759183673534</v>
      </c>
      <c r="AG49">
        <v>4.3226056291076569</v>
      </c>
      <c r="AI49">
        <v>9673.2759183673534</v>
      </c>
      <c r="AL49">
        <v>9673.2759183673534</v>
      </c>
      <c r="AM49">
        <v>4.8951533550889064</v>
      </c>
      <c r="AO49">
        <v>9673.2759183673534</v>
      </c>
      <c r="AP49">
        <v>4.9152800502526928</v>
      </c>
    </row>
    <row r="50" spans="1:42" x14ac:dyDescent="0.3">
      <c r="A50">
        <v>9836.6379591836794</v>
      </c>
      <c r="B50">
        <v>9.6126523398038718E-2</v>
      </c>
      <c r="C50">
        <f t="shared" si="0"/>
        <v>4.3256935529117424</v>
      </c>
      <c r="D50">
        <v>4.3240269303331536</v>
      </c>
      <c r="E50">
        <f t="shared" si="1"/>
        <v>3.8528447709084729E-2</v>
      </c>
      <c r="F50">
        <v>4.3240269303331536</v>
      </c>
      <c r="G50">
        <v>4.3239365590722709</v>
      </c>
      <c r="H50">
        <f t="shared" si="2"/>
        <v>2.0899791407095604E-3</v>
      </c>
      <c r="I50">
        <f t="shared" si="3"/>
        <v>4.9218526978357344</v>
      </c>
      <c r="J50">
        <v>4.9180762244963114</v>
      </c>
      <c r="K50">
        <f t="shared" si="4"/>
        <v>7.6728694889296567E-2</v>
      </c>
      <c r="M50">
        <v>4.9336361330840459</v>
      </c>
      <c r="N50">
        <v>1.9730679675674944E-2</v>
      </c>
      <c r="AC50">
        <v>9836.6379591836794</v>
      </c>
      <c r="AD50">
        <v>4.3239365590722709</v>
      </c>
      <c r="AF50">
        <v>9836.6379591836794</v>
      </c>
      <c r="AG50">
        <v>4.3240269303331536</v>
      </c>
      <c r="AI50">
        <v>9836.6379591836794</v>
      </c>
      <c r="AL50">
        <v>9836.6379591836794</v>
      </c>
      <c r="AM50">
        <v>4.9180762244963114</v>
      </c>
      <c r="AO50">
        <v>9836.6379591836794</v>
      </c>
      <c r="AP50">
        <v>4.9336361330840459</v>
      </c>
    </row>
    <row r="51" spans="1:42" x14ac:dyDescent="0.3">
      <c r="A51">
        <v>10000</v>
      </c>
      <c r="B51">
        <v>9.6157101190732883E-2</v>
      </c>
      <c r="C51">
        <f t="shared" si="0"/>
        <v>4.3270695535829793</v>
      </c>
      <c r="D51">
        <v>4.3254027771656771</v>
      </c>
      <c r="E51">
        <f t="shared" si="1"/>
        <v>3.8519750992262632E-2</v>
      </c>
      <c r="F51">
        <v>4.3254027771656771</v>
      </c>
      <c r="G51">
        <v>4.3253123746621203</v>
      </c>
      <c r="H51">
        <f t="shared" si="2"/>
        <v>2.0900366558716339E-3</v>
      </c>
      <c r="I51">
        <f t="shared" si="3"/>
        <v>4.9440446033000045</v>
      </c>
      <c r="J51">
        <v>4.9402660015344289</v>
      </c>
      <c r="K51">
        <f t="shared" si="4"/>
        <v>7.642733973422379E-2</v>
      </c>
      <c r="M51">
        <v>4.9514051732126765</v>
      </c>
      <c r="N51">
        <v>1.9795518752843123E-2</v>
      </c>
      <c r="AC51">
        <v>10000</v>
      </c>
      <c r="AD51">
        <v>4.3253123746621203</v>
      </c>
      <c r="AF51">
        <v>10000</v>
      </c>
      <c r="AG51">
        <v>4.3254027771656771</v>
      </c>
      <c r="AI51">
        <v>10000</v>
      </c>
      <c r="AL51">
        <v>10000</v>
      </c>
      <c r="AM51">
        <v>4.9402660015344289</v>
      </c>
      <c r="AO51">
        <v>10000</v>
      </c>
      <c r="AP51">
        <v>4.9514051732126765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nkduy2808@gmail.com</dc:creator>
  <cp:lastModifiedBy>nkduy2808@gmail.com</cp:lastModifiedBy>
  <dcterms:created xsi:type="dcterms:W3CDTF">2024-11-30T15:44:43Z</dcterms:created>
  <dcterms:modified xsi:type="dcterms:W3CDTF">2024-11-30T16:19:35Z</dcterms:modified>
</cp:coreProperties>
</file>