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BigProject1\00_spec\test\"/>
    </mc:Choice>
  </mc:AlternateContent>
  <xr:revisionPtr revIDLastSave="0" documentId="13_ncr:1_{DAD24267-F114-438F-AC01-C8984E139E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K5" i="1"/>
  <c r="K3" i="1"/>
  <c r="H3" i="1"/>
  <c r="H4" i="1"/>
  <c r="H5" i="1"/>
  <c r="H6" i="1"/>
  <c r="H7" i="1"/>
  <c r="H8" i="1"/>
  <c r="H9" i="1"/>
  <c r="H10" i="1"/>
  <c r="F10" i="1" s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F26" i="1" s="1"/>
  <c r="J26" i="1" s="1"/>
  <c r="H27" i="1"/>
  <c r="H28" i="1"/>
  <c r="H29" i="1"/>
  <c r="H30" i="1"/>
  <c r="H31" i="1"/>
  <c r="H32" i="1"/>
  <c r="H33" i="1"/>
  <c r="H34" i="1"/>
  <c r="F34" i="1" s="1"/>
  <c r="J34" i="1" s="1"/>
  <c r="H35" i="1"/>
  <c r="H36" i="1"/>
  <c r="H37" i="1"/>
  <c r="H38" i="1"/>
  <c r="H39" i="1"/>
  <c r="H40" i="1"/>
  <c r="H41" i="1"/>
  <c r="H42" i="1"/>
  <c r="F42" i="1" s="1"/>
  <c r="J42" i="1" s="1"/>
  <c r="H43" i="1"/>
  <c r="H44" i="1"/>
  <c r="H45" i="1"/>
  <c r="H46" i="1"/>
  <c r="H47" i="1"/>
  <c r="H48" i="1"/>
  <c r="H49" i="1"/>
  <c r="H50" i="1"/>
  <c r="F50" i="1" s="1"/>
  <c r="J50" i="1" s="1"/>
  <c r="H51" i="1"/>
  <c r="H52" i="1"/>
  <c r="H53" i="1"/>
  <c r="H54" i="1"/>
  <c r="H55" i="1"/>
  <c r="H56" i="1"/>
  <c r="H57" i="1"/>
  <c r="H58" i="1"/>
  <c r="F58" i="1" s="1"/>
  <c r="J58" i="1" s="1"/>
  <c r="H59" i="1"/>
  <c r="H60" i="1"/>
  <c r="H61" i="1"/>
  <c r="H62" i="1"/>
  <c r="H63" i="1"/>
  <c r="H64" i="1"/>
  <c r="H65" i="1"/>
  <c r="H66" i="1"/>
  <c r="F66" i="1" s="1"/>
  <c r="J66" i="1" s="1"/>
  <c r="H67" i="1"/>
  <c r="H68" i="1"/>
  <c r="H69" i="1"/>
  <c r="H70" i="1"/>
  <c r="H71" i="1"/>
  <c r="H72" i="1"/>
  <c r="H73" i="1"/>
  <c r="H74" i="1"/>
  <c r="F74" i="1" s="1"/>
  <c r="J74" i="1" s="1"/>
  <c r="H75" i="1"/>
  <c r="H76" i="1"/>
  <c r="H77" i="1"/>
  <c r="H78" i="1"/>
  <c r="H79" i="1"/>
  <c r="H80" i="1"/>
  <c r="H81" i="1"/>
  <c r="H82" i="1"/>
  <c r="F82" i="1" s="1"/>
  <c r="J82" i="1" s="1"/>
  <c r="H83" i="1"/>
  <c r="H84" i="1"/>
  <c r="H85" i="1"/>
  <c r="H86" i="1"/>
  <c r="H87" i="1"/>
  <c r="H88" i="1"/>
  <c r="F88" i="1" s="1"/>
  <c r="H89" i="1"/>
  <c r="H90" i="1"/>
  <c r="F90" i="1" s="1"/>
  <c r="J90" i="1" s="1"/>
  <c r="H91" i="1"/>
  <c r="H92" i="1"/>
  <c r="H93" i="1"/>
  <c r="H94" i="1"/>
  <c r="H95" i="1"/>
  <c r="H96" i="1"/>
  <c r="F96" i="1" s="1"/>
  <c r="H97" i="1"/>
  <c r="H98" i="1"/>
  <c r="F98" i="1" s="1"/>
  <c r="J98" i="1" s="1"/>
  <c r="H99" i="1"/>
  <c r="H100" i="1"/>
  <c r="H101" i="1"/>
  <c r="H102" i="1"/>
  <c r="H103" i="1"/>
  <c r="H104" i="1"/>
  <c r="H105" i="1"/>
  <c r="H106" i="1"/>
  <c r="F106" i="1" s="1"/>
  <c r="J106" i="1" s="1"/>
  <c r="H107" i="1"/>
  <c r="H108" i="1"/>
  <c r="H109" i="1"/>
  <c r="H110" i="1"/>
  <c r="H111" i="1"/>
  <c r="H112" i="1"/>
  <c r="H113" i="1"/>
  <c r="H114" i="1"/>
  <c r="F114" i="1" s="1"/>
  <c r="J114" i="1" s="1"/>
  <c r="H115" i="1"/>
  <c r="H116" i="1"/>
  <c r="H117" i="1"/>
  <c r="H118" i="1"/>
  <c r="H119" i="1"/>
  <c r="H120" i="1"/>
  <c r="H121" i="1"/>
  <c r="H122" i="1"/>
  <c r="F122" i="1" s="1"/>
  <c r="J122" i="1" s="1"/>
  <c r="H123" i="1"/>
  <c r="H124" i="1"/>
  <c r="H125" i="1"/>
  <c r="H126" i="1"/>
  <c r="H127" i="1"/>
  <c r="H128" i="1"/>
  <c r="F128" i="1" s="1"/>
  <c r="H129" i="1"/>
  <c r="H130" i="1"/>
  <c r="H131" i="1"/>
  <c r="H132" i="1"/>
  <c r="H133" i="1"/>
  <c r="H134" i="1"/>
  <c r="H135" i="1"/>
  <c r="H136" i="1"/>
  <c r="H137" i="1"/>
  <c r="H138" i="1"/>
  <c r="F138" i="1" s="1"/>
  <c r="J138" i="1" s="1"/>
  <c r="H139" i="1"/>
  <c r="H140" i="1"/>
  <c r="H141" i="1"/>
  <c r="H142" i="1"/>
  <c r="H143" i="1"/>
  <c r="H144" i="1"/>
  <c r="H145" i="1"/>
  <c r="H146" i="1"/>
  <c r="F146" i="1" s="1"/>
  <c r="J146" i="1" s="1"/>
  <c r="H147" i="1"/>
  <c r="H148" i="1"/>
  <c r="H149" i="1"/>
  <c r="H150" i="1"/>
  <c r="H151" i="1"/>
  <c r="H152" i="1"/>
  <c r="F152" i="1" s="1"/>
  <c r="H153" i="1"/>
  <c r="H154" i="1"/>
  <c r="F154" i="1" s="1"/>
  <c r="J154" i="1" s="1"/>
  <c r="H155" i="1"/>
  <c r="H156" i="1"/>
  <c r="H157" i="1"/>
  <c r="H158" i="1"/>
  <c r="H159" i="1"/>
  <c r="H160" i="1"/>
  <c r="F160" i="1" s="1"/>
  <c r="H161" i="1"/>
  <c r="H162" i="1"/>
  <c r="F162" i="1" s="1"/>
  <c r="J162" i="1" s="1"/>
  <c r="H163" i="1"/>
  <c r="H164" i="1"/>
  <c r="H165" i="1"/>
  <c r="H166" i="1"/>
  <c r="H167" i="1"/>
  <c r="H168" i="1"/>
  <c r="H169" i="1"/>
  <c r="H170" i="1"/>
  <c r="F170" i="1" s="1"/>
  <c r="J170" i="1" s="1"/>
  <c r="H171" i="1"/>
  <c r="H172" i="1"/>
  <c r="H173" i="1"/>
  <c r="H174" i="1"/>
  <c r="H175" i="1"/>
  <c r="H176" i="1"/>
  <c r="H177" i="1"/>
  <c r="H178" i="1"/>
  <c r="F178" i="1" s="1"/>
  <c r="J178" i="1" s="1"/>
  <c r="H179" i="1"/>
  <c r="H180" i="1"/>
  <c r="H181" i="1"/>
  <c r="H182" i="1"/>
  <c r="H183" i="1"/>
  <c r="H184" i="1"/>
  <c r="H185" i="1"/>
  <c r="H186" i="1"/>
  <c r="F186" i="1" s="1"/>
  <c r="J186" i="1" s="1"/>
  <c r="H187" i="1"/>
  <c r="H188" i="1"/>
  <c r="H189" i="1"/>
  <c r="H190" i="1"/>
  <c r="H191" i="1"/>
  <c r="H192" i="1"/>
  <c r="F192" i="1" s="1"/>
  <c r="H193" i="1"/>
  <c r="H194" i="1"/>
  <c r="H195" i="1"/>
  <c r="H196" i="1"/>
  <c r="H197" i="1"/>
  <c r="H198" i="1"/>
  <c r="H199" i="1"/>
  <c r="H200" i="1"/>
  <c r="F200" i="1" s="1"/>
  <c r="H201" i="1"/>
  <c r="H202" i="1"/>
  <c r="F202" i="1" s="1"/>
  <c r="J202" i="1" s="1"/>
  <c r="H203" i="1"/>
  <c r="H204" i="1"/>
  <c r="H205" i="1"/>
  <c r="H206" i="1"/>
  <c r="H207" i="1"/>
  <c r="H208" i="1"/>
  <c r="F208" i="1" s="1"/>
  <c r="H209" i="1"/>
  <c r="H210" i="1"/>
  <c r="F210" i="1" s="1"/>
  <c r="J210" i="1" s="1"/>
  <c r="H211" i="1"/>
  <c r="H212" i="1"/>
  <c r="H213" i="1"/>
  <c r="H214" i="1"/>
  <c r="H215" i="1"/>
  <c r="H216" i="1"/>
  <c r="F216" i="1" s="1"/>
  <c r="H217" i="1"/>
  <c r="H218" i="1"/>
  <c r="F218" i="1" s="1"/>
  <c r="J218" i="1" s="1"/>
  <c r="H219" i="1"/>
  <c r="H220" i="1"/>
  <c r="H221" i="1"/>
  <c r="H222" i="1"/>
  <c r="H223" i="1"/>
  <c r="H224" i="1"/>
  <c r="F224" i="1" s="1"/>
  <c r="H225" i="1"/>
  <c r="H226" i="1"/>
  <c r="F226" i="1" s="1"/>
  <c r="J226" i="1" s="1"/>
  <c r="H227" i="1"/>
  <c r="H228" i="1"/>
  <c r="H229" i="1"/>
  <c r="H230" i="1"/>
  <c r="H231" i="1"/>
  <c r="H232" i="1"/>
  <c r="H233" i="1"/>
  <c r="H234" i="1"/>
  <c r="F234" i="1" s="1"/>
  <c r="J234" i="1" s="1"/>
  <c r="H235" i="1"/>
  <c r="H236" i="1"/>
  <c r="H237" i="1"/>
  <c r="H238" i="1"/>
  <c r="H239" i="1"/>
  <c r="H240" i="1"/>
  <c r="F240" i="1" s="1"/>
  <c r="H241" i="1"/>
  <c r="H242" i="1"/>
  <c r="F242" i="1" s="1"/>
  <c r="J242" i="1" s="1"/>
  <c r="H243" i="1"/>
  <c r="H244" i="1"/>
  <c r="H245" i="1"/>
  <c r="H246" i="1"/>
  <c r="H247" i="1"/>
  <c r="H248" i="1"/>
  <c r="H249" i="1"/>
  <c r="H250" i="1"/>
  <c r="F250" i="1" s="1"/>
  <c r="J250" i="1" s="1"/>
  <c r="H251" i="1"/>
  <c r="H252" i="1"/>
  <c r="H253" i="1"/>
  <c r="H254" i="1"/>
  <c r="H255" i="1"/>
  <c r="H256" i="1"/>
  <c r="F256" i="1" s="1"/>
  <c r="H257" i="1"/>
  <c r="H258" i="1"/>
  <c r="H259" i="1"/>
  <c r="H260" i="1"/>
  <c r="H261" i="1"/>
  <c r="H262" i="1"/>
  <c r="H263" i="1"/>
  <c r="H264" i="1"/>
  <c r="F264" i="1" s="1"/>
  <c r="H265" i="1"/>
  <c r="H266" i="1"/>
  <c r="F266" i="1" s="1"/>
  <c r="J266" i="1" s="1"/>
  <c r="H267" i="1"/>
  <c r="H268" i="1"/>
  <c r="H269" i="1"/>
  <c r="H270" i="1"/>
  <c r="H271" i="1"/>
  <c r="H272" i="1"/>
  <c r="F272" i="1" s="1"/>
  <c r="H273" i="1"/>
  <c r="H274" i="1"/>
  <c r="F274" i="1" s="1"/>
  <c r="J274" i="1" s="1"/>
  <c r="H275" i="1"/>
  <c r="H276" i="1"/>
  <c r="H277" i="1"/>
  <c r="H278" i="1"/>
  <c r="H279" i="1"/>
  <c r="H280" i="1"/>
  <c r="F280" i="1" s="1"/>
  <c r="H281" i="1"/>
  <c r="H282" i="1"/>
  <c r="F282" i="1" s="1"/>
  <c r="H283" i="1"/>
  <c r="H284" i="1"/>
  <c r="H285" i="1"/>
  <c r="H286" i="1"/>
  <c r="H287" i="1"/>
  <c r="H288" i="1"/>
  <c r="F288" i="1" s="1"/>
  <c r="H289" i="1"/>
  <c r="H290" i="1"/>
  <c r="F290" i="1" s="1"/>
  <c r="J290" i="1" s="1"/>
  <c r="H291" i="1"/>
  <c r="H292" i="1"/>
  <c r="H293" i="1"/>
  <c r="H294" i="1"/>
  <c r="H295" i="1"/>
  <c r="H296" i="1"/>
  <c r="F296" i="1" s="1"/>
  <c r="H297" i="1"/>
  <c r="H298" i="1"/>
  <c r="F298" i="1" s="1"/>
  <c r="J298" i="1" s="1"/>
  <c r="H299" i="1"/>
  <c r="H300" i="1"/>
  <c r="H301" i="1"/>
  <c r="H302" i="1"/>
  <c r="H303" i="1"/>
  <c r="H304" i="1"/>
  <c r="F304" i="1" s="1"/>
  <c r="J304" i="1" s="1"/>
  <c r="H305" i="1"/>
  <c r="H306" i="1"/>
  <c r="F306" i="1" s="1"/>
  <c r="H307" i="1"/>
  <c r="H308" i="1"/>
  <c r="H309" i="1"/>
  <c r="H310" i="1"/>
  <c r="H311" i="1"/>
  <c r="H312" i="1"/>
  <c r="H313" i="1"/>
  <c r="H314" i="1"/>
  <c r="F314" i="1" s="1"/>
  <c r="H315" i="1"/>
  <c r="H316" i="1"/>
  <c r="H317" i="1"/>
  <c r="H318" i="1"/>
  <c r="H319" i="1"/>
  <c r="H320" i="1"/>
  <c r="F320" i="1" s="1"/>
  <c r="H321" i="1"/>
  <c r="H322" i="1"/>
  <c r="H323" i="1"/>
  <c r="H324" i="1"/>
  <c r="H325" i="1"/>
  <c r="H326" i="1"/>
  <c r="H327" i="1"/>
  <c r="H328" i="1"/>
  <c r="H329" i="1"/>
  <c r="H330" i="1"/>
  <c r="F330" i="1" s="1"/>
  <c r="H331" i="1"/>
  <c r="H332" i="1"/>
  <c r="H333" i="1"/>
  <c r="H334" i="1"/>
  <c r="H335" i="1"/>
  <c r="H336" i="1"/>
  <c r="F336" i="1" s="1"/>
  <c r="J336" i="1" s="1"/>
  <c r="H337" i="1"/>
  <c r="H338" i="1"/>
  <c r="F338" i="1" s="1"/>
  <c r="H339" i="1"/>
  <c r="H340" i="1"/>
  <c r="H341" i="1"/>
  <c r="H342" i="1"/>
  <c r="H343" i="1"/>
  <c r="H344" i="1"/>
  <c r="F344" i="1" s="1"/>
  <c r="H345" i="1"/>
  <c r="H346" i="1"/>
  <c r="F346" i="1" s="1"/>
  <c r="H347" i="1"/>
  <c r="H348" i="1"/>
  <c r="H349" i="1"/>
  <c r="H350" i="1"/>
  <c r="H351" i="1"/>
  <c r="H352" i="1"/>
  <c r="F352" i="1" s="1"/>
  <c r="J352" i="1" s="1"/>
  <c r="H353" i="1"/>
  <c r="H354" i="1"/>
  <c r="F354" i="1" s="1"/>
  <c r="H355" i="1"/>
  <c r="H356" i="1"/>
  <c r="H357" i="1"/>
  <c r="H358" i="1"/>
  <c r="H359" i="1"/>
  <c r="H360" i="1"/>
  <c r="F360" i="1" s="1"/>
  <c r="H361" i="1"/>
  <c r="H362" i="1"/>
  <c r="F362" i="1" s="1"/>
  <c r="H363" i="1"/>
  <c r="H364" i="1"/>
  <c r="H365" i="1"/>
  <c r="H366" i="1"/>
  <c r="H367" i="1"/>
  <c r="H368" i="1"/>
  <c r="H369" i="1"/>
  <c r="H370" i="1"/>
  <c r="F370" i="1" s="1"/>
  <c r="H371" i="1"/>
  <c r="H372" i="1"/>
  <c r="H373" i="1"/>
  <c r="H374" i="1"/>
  <c r="H375" i="1"/>
  <c r="H376" i="1"/>
  <c r="F376" i="1" s="1"/>
  <c r="G376" i="1" s="1"/>
  <c r="H377" i="1"/>
  <c r="H378" i="1"/>
  <c r="F378" i="1" s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F392" i="1" s="1"/>
  <c r="H393" i="1"/>
  <c r="H394" i="1"/>
  <c r="F394" i="1" s="1"/>
  <c r="H395" i="1"/>
  <c r="H396" i="1"/>
  <c r="H397" i="1"/>
  <c r="H398" i="1"/>
  <c r="H399" i="1"/>
  <c r="H400" i="1"/>
  <c r="F400" i="1" s="1"/>
  <c r="H401" i="1"/>
  <c r="H402" i="1"/>
  <c r="F402" i="1" s="1"/>
  <c r="H403" i="1"/>
  <c r="H404" i="1"/>
  <c r="H405" i="1"/>
  <c r="H406" i="1"/>
  <c r="H407" i="1"/>
  <c r="H408" i="1"/>
  <c r="F408" i="1" s="1"/>
  <c r="G408" i="1" s="1"/>
  <c r="H409" i="1"/>
  <c r="H410" i="1"/>
  <c r="F410" i="1" s="1"/>
  <c r="H411" i="1"/>
  <c r="H412" i="1"/>
  <c r="H413" i="1"/>
  <c r="H414" i="1"/>
  <c r="F414" i="1" s="1"/>
  <c r="J414" i="1" s="1"/>
  <c r="H415" i="1"/>
  <c r="H416" i="1"/>
  <c r="F416" i="1" s="1"/>
  <c r="H417" i="1"/>
  <c r="H418" i="1"/>
  <c r="F418" i="1" s="1"/>
  <c r="H419" i="1"/>
  <c r="H420" i="1"/>
  <c r="H421" i="1"/>
  <c r="F421" i="1" s="1"/>
  <c r="J421" i="1" s="1"/>
  <c r="H422" i="1"/>
  <c r="F422" i="1" s="1"/>
  <c r="J422" i="1" s="1"/>
  <c r="H423" i="1"/>
  <c r="H424" i="1"/>
  <c r="F424" i="1" s="1"/>
  <c r="H425" i="1"/>
  <c r="F425" i="1" s="1"/>
  <c r="J425" i="1" s="1"/>
  <c r="H426" i="1"/>
  <c r="F426" i="1" s="1"/>
  <c r="H427" i="1"/>
  <c r="H428" i="1"/>
  <c r="H429" i="1"/>
  <c r="H430" i="1"/>
  <c r="H431" i="1"/>
  <c r="H432" i="1"/>
  <c r="H433" i="1"/>
  <c r="H434" i="1"/>
  <c r="F434" i="1" s="1"/>
  <c r="H435" i="1"/>
  <c r="H436" i="1"/>
  <c r="H437" i="1"/>
  <c r="H438" i="1"/>
  <c r="H439" i="1"/>
  <c r="H440" i="1"/>
  <c r="F440" i="1" s="1"/>
  <c r="G440" i="1" s="1"/>
  <c r="H441" i="1"/>
  <c r="H442" i="1"/>
  <c r="F442" i="1" s="1"/>
  <c r="H443" i="1"/>
  <c r="H444" i="1"/>
  <c r="H445" i="1"/>
  <c r="F445" i="1" s="1"/>
  <c r="J445" i="1" s="1"/>
  <c r="H446" i="1"/>
  <c r="H447" i="1"/>
  <c r="H448" i="1"/>
  <c r="H449" i="1"/>
  <c r="F449" i="1" s="1"/>
  <c r="J449" i="1" s="1"/>
  <c r="H450" i="1"/>
  <c r="H451" i="1"/>
  <c r="H452" i="1"/>
  <c r="H453" i="1"/>
  <c r="F453" i="1" s="1"/>
  <c r="J453" i="1" s="1"/>
  <c r="H454" i="1"/>
  <c r="F454" i="1" s="1"/>
  <c r="J454" i="1" s="1"/>
  <c r="H455" i="1"/>
  <c r="H456" i="1"/>
  <c r="F456" i="1" s="1"/>
  <c r="H457" i="1"/>
  <c r="F457" i="1" s="1"/>
  <c r="J457" i="1" s="1"/>
  <c r="H458" i="1"/>
  <c r="F458" i="1" s="1"/>
  <c r="H459" i="1"/>
  <c r="H460" i="1"/>
  <c r="H461" i="1"/>
  <c r="H462" i="1"/>
  <c r="H463" i="1"/>
  <c r="H464" i="1"/>
  <c r="F464" i="1" s="1"/>
  <c r="H465" i="1"/>
  <c r="H466" i="1"/>
  <c r="F466" i="1" s="1"/>
  <c r="H467" i="1"/>
  <c r="H468" i="1"/>
  <c r="H469" i="1"/>
  <c r="H470" i="1"/>
  <c r="H471" i="1"/>
  <c r="H472" i="1"/>
  <c r="F472" i="1" s="1"/>
  <c r="H473" i="1"/>
  <c r="H474" i="1"/>
  <c r="F474" i="1" s="1"/>
  <c r="H475" i="1"/>
  <c r="H476" i="1"/>
  <c r="H477" i="1"/>
  <c r="H478" i="1"/>
  <c r="F478" i="1" s="1"/>
  <c r="J478" i="1" s="1"/>
  <c r="H479" i="1"/>
  <c r="H480" i="1"/>
  <c r="F480" i="1" s="1"/>
  <c r="H481" i="1"/>
  <c r="H482" i="1"/>
  <c r="F482" i="1" s="1"/>
  <c r="H483" i="1"/>
  <c r="H484" i="1"/>
  <c r="H485" i="1"/>
  <c r="F485" i="1" s="1"/>
  <c r="J485" i="1" s="1"/>
  <c r="H486" i="1"/>
  <c r="F486" i="1" s="1"/>
  <c r="J486" i="1" s="1"/>
  <c r="H487" i="1"/>
  <c r="H488" i="1"/>
  <c r="F488" i="1" s="1"/>
  <c r="H489" i="1"/>
  <c r="F489" i="1" s="1"/>
  <c r="J489" i="1" s="1"/>
  <c r="H490" i="1"/>
  <c r="F490" i="1" s="1"/>
  <c r="H491" i="1"/>
  <c r="H492" i="1"/>
  <c r="H493" i="1"/>
  <c r="H494" i="1"/>
  <c r="H495" i="1"/>
  <c r="H496" i="1"/>
  <c r="H497" i="1"/>
  <c r="H498" i="1"/>
  <c r="F498" i="1" s="1"/>
  <c r="H499" i="1"/>
  <c r="H500" i="1"/>
  <c r="H501" i="1"/>
  <c r="H502" i="1"/>
  <c r="H503" i="1"/>
  <c r="H504" i="1"/>
  <c r="F504" i="1" s="1"/>
  <c r="G504" i="1" s="1"/>
  <c r="H505" i="1"/>
  <c r="H506" i="1"/>
  <c r="F506" i="1" s="1"/>
  <c r="H507" i="1"/>
  <c r="H508" i="1"/>
  <c r="H509" i="1"/>
  <c r="F509" i="1" s="1"/>
  <c r="J509" i="1" s="1"/>
  <c r="H510" i="1"/>
  <c r="H511" i="1"/>
  <c r="H512" i="1"/>
  <c r="H513" i="1"/>
  <c r="F513" i="1" s="1"/>
  <c r="J513" i="1" s="1"/>
  <c r="H514" i="1"/>
  <c r="H515" i="1"/>
  <c r="H516" i="1"/>
  <c r="H517" i="1"/>
  <c r="F517" i="1" s="1"/>
  <c r="J517" i="1" s="1"/>
  <c r="H518" i="1"/>
  <c r="F518" i="1" s="1"/>
  <c r="J518" i="1" s="1"/>
  <c r="H519" i="1"/>
  <c r="H520" i="1"/>
  <c r="F520" i="1" s="1"/>
  <c r="H521" i="1"/>
  <c r="F521" i="1" s="1"/>
  <c r="J521" i="1" s="1"/>
  <c r="H522" i="1"/>
  <c r="F522" i="1" s="1"/>
  <c r="H523" i="1"/>
  <c r="H524" i="1"/>
  <c r="H525" i="1"/>
  <c r="H526" i="1"/>
  <c r="H527" i="1"/>
  <c r="H528" i="1"/>
  <c r="F528" i="1" s="1"/>
  <c r="H529" i="1"/>
  <c r="H530" i="1"/>
  <c r="F530" i="1" s="1"/>
  <c r="H531" i="1"/>
  <c r="H532" i="1"/>
  <c r="H533" i="1"/>
  <c r="H534" i="1"/>
  <c r="H535" i="1"/>
  <c r="H536" i="1"/>
  <c r="F536" i="1" s="1"/>
  <c r="G536" i="1" s="1"/>
  <c r="H537" i="1"/>
  <c r="H538" i="1"/>
  <c r="F538" i="1" s="1"/>
  <c r="H539" i="1"/>
  <c r="H540" i="1"/>
  <c r="H541" i="1"/>
  <c r="H542" i="1"/>
  <c r="F542" i="1" s="1"/>
  <c r="J542" i="1" s="1"/>
  <c r="H543" i="1"/>
  <c r="H544" i="1"/>
  <c r="F544" i="1" s="1"/>
  <c r="H545" i="1"/>
  <c r="H546" i="1"/>
  <c r="F546" i="1" s="1"/>
  <c r="H547" i="1"/>
  <c r="H548" i="1"/>
  <c r="H549" i="1"/>
  <c r="F549" i="1" s="1"/>
  <c r="J549" i="1" s="1"/>
  <c r="H550" i="1"/>
  <c r="F550" i="1" s="1"/>
  <c r="J550" i="1" s="1"/>
  <c r="H551" i="1"/>
  <c r="H552" i="1"/>
  <c r="F552" i="1" s="1"/>
  <c r="H553" i="1"/>
  <c r="F553" i="1" s="1"/>
  <c r="J553" i="1" s="1"/>
  <c r="H554" i="1"/>
  <c r="F554" i="1" s="1"/>
  <c r="H555" i="1"/>
  <c r="H556" i="1"/>
  <c r="H557" i="1"/>
  <c r="F557" i="1" s="1"/>
  <c r="H558" i="1"/>
  <c r="F558" i="1" s="1"/>
  <c r="J558" i="1" s="1"/>
  <c r="H559" i="1"/>
  <c r="H560" i="1"/>
  <c r="H561" i="1"/>
  <c r="H562" i="1"/>
  <c r="F562" i="1" s="1"/>
  <c r="H563" i="1"/>
  <c r="H564" i="1"/>
  <c r="H565" i="1"/>
  <c r="H566" i="1"/>
  <c r="H567" i="1"/>
  <c r="H568" i="1"/>
  <c r="F568" i="1" s="1"/>
  <c r="H569" i="1"/>
  <c r="H570" i="1"/>
  <c r="F570" i="1" s="1"/>
  <c r="H571" i="1"/>
  <c r="H572" i="1"/>
  <c r="H573" i="1"/>
  <c r="H574" i="1"/>
  <c r="H575" i="1"/>
  <c r="H576" i="1"/>
  <c r="H577" i="1"/>
  <c r="F577" i="1" s="1"/>
  <c r="H578" i="1"/>
  <c r="H579" i="1"/>
  <c r="H580" i="1"/>
  <c r="H581" i="1"/>
  <c r="F581" i="1" s="1"/>
  <c r="H582" i="1"/>
  <c r="F582" i="1" s="1"/>
  <c r="H583" i="1"/>
  <c r="H584" i="1"/>
  <c r="F584" i="1" s="1"/>
  <c r="H585" i="1"/>
  <c r="H586" i="1"/>
  <c r="F586" i="1" s="1"/>
  <c r="H587" i="1"/>
  <c r="H588" i="1"/>
  <c r="H589" i="1"/>
  <c r="H590" i="1"/>
  <c r="H591" i="1"/>
  <c r="H592" i="1"/>
  <c r="F592" i="1" s="1"/>
  <c r="H593" i="1"/>
  <c r="F593" i="1" s="1"/>
  <c r="H594" i="1"/>
  <c r="F594" i="1" s="1"/>
  <c r="H595" i="1"/>
  <c r="H596" i="1"/>
  <c r="H597" i="1"/>
  <c r="F597" i="1" s="1"/>
  <c r="H598" i="1"/>
  <c r="F598" i="1" s="1"/>
  <c r="H599" i="1"/>
  <c r="H600" i="1"/>
  <c r="F600" i="1" s="1"/>
  <c r="H601" i="1"/>
  <c r="H602" i="1"/>
  <c r="F602" i="1" s="1"/>
  <c r="H2" i="1"/>
  <c r="F322" i="1"/>
  <c r="F386" i="1"/>
  <c r="F450" i="1"/>
  <c r="F514" i="1"/>
  <c r="F578" i="1"/>
  <c r="F2" i="1"/>
  <c r="J2" i="1" s="1"/>
  <c r="E2" i="1"/>
  <c r="J589" i="1"/>
  <c r="O9" i="1"/>
  <c r="E3" i="1"/>
  <c r="B2" i="1"/>
  <c r="I602" i="1"/>
  <c r="E602" i="1"/>
  <c r="B602" i="1"/>
  <c r="I601" i="1"/>
  <c r="G601" i="1"/>
  <c r="F601" i="1"/>
  <c r="J601" i="1" s="1"/>
  <c r="E601" i="1"/>
  <c r="B601" i="1"/>
  <c r="I600" i="1"/>
  <c r="E600" i="1"/>
  <c r="B600" i="1"/>
  <c r="I599" i="1"/>
  <c r="F599" i="1"/>
  <c r="E599" i="1"/>
  <c r="B599" i="1"/>
  <c r="I598" i="1"/>
  <c r="E598" i="1"/>
  <c r="B598" i="1"/>
  <c r="I597" i="1"/>
  <c r="E597" i="1"/>
  <c r="B597" i="1"/>
  <c r="I596" i="1"/>
  <c r="F596" i="1"/>
  <c r="E596" i="1"/>
  <c r="B596" i="1"/>
  <c r="I595" i="1"/>
  <c r="F595" i="1"/>
  <c r="J595" i="1" s="1"/>
  <c r="E595" i="1"/>
  <c r="B595" i="1"/>
  <c r="I594" i="1"/>
  <c r="E594" i="1"/>
  <c r="B594" i="1"/>
  <c r="I593" i="1"/>
  <c r="E593" i="1"/>
  <c r="B593" i="1"/>
  <c r="I592" i="1"/>
  <c r="E592" i="1"/>
  <c r="B592" i="1"/>
  <c r="I591" i="1"/>
  <c r="G591" i="1"/>
  <c r="F591" i="1"/>
  <c r="J591" i="1" s="1"/>
  <c r="E591" i="1"/>
  <c r="B591" i="1"/>
  <c r="I590" i="1"/>
  <c r="F590" i="1"/>
  <c r="E590" i="1"/>
  <c r="B590" i="1"/>
  <c r="I589" i="1"/>
  <c r="F589" i="1"/>
  <c r="G589" i="1" s="1"/>
  <c r="E589" i="1"/>
  <c r="B589" i="1"/>
  <c r="I588" i="1"/>
  <c r="F588" i="1"/>
  <c r="E588" i="1"/>
  <c r="B588" i="1"/>
  <c r="I587" i="1"/>
  <c r="F587" i="1"/>
  <c r="J587" i="1" s="1"/>
  <c r="E587" i="1"/>
  <c r="B587" i="1"/>
  <c r="I586" i="1"/>
  <c r="E586" i="1"/>
  <c r="B586" i="1"/>
  <c r="I585" i="1"/>
  <c r="G585" i="1"/>
  <c r="F585" i="1"/>
  <c r="J585" i="1" s="1"/>
  <c r="E585" i="1"/>
  <c r="B585" i="1"/>
  <c r="I584" i="1"/>
  <c r="E584" i="1"/>
  <c r="B584" i="1"/>
  <c r="I583" i="1"/>
  <c r="G583" i="1"/>
  <c r="F583" i="1"/>
  <c r="J583" i="1" s="1"/>
  <c r="E583" i="1"/>
  <c r="B583" i="1"/>
  <c r="I582" i="1"/>
  <c r="E582" i="1"/>
  <c r="B582" i="1"/>
  <c r="I581" i="1"/>
  <c r="E581" i="1"/>
  <c r="B581" i="1"/>
  <c r="I580" i="1"/>
  <c r="F580" i="1"/>
  <c r="E580" i="1"/>
  <c r="B580" i="1"/>
  <c r="I579" i="1"/>
  <c r="F579" i="1"/>
  <c r="J579" i="1" s="1"/>
  <c r="E579" i="1"/>
  <c r="B579" i="1"/>
  <c r="I578" i="1"/>
  <c r="E578" i="1"/>
  <c r="B578" i="1"/>
  <c r="I577" i="1"/>
  <c r="E577" i="1"/>
  <c r="B577" i="1"/>
  <c r="I576" i="1"/>
  <c r="F576" i="1"/>
  <c r="J576" i="1" s="1"/>
  <c r="E576" i="1"/>
  <c r="B576" i="1"/>
  <c r="I575" i="1"/>
  <c r="F575" i="1"/>
  <c r="J575" i="1" s="1"/>
  <c r="E575" i="1"/>
  <c r="B575" i="1"/>
  <c r="I574" i="1"/>
  <c r="F574" i="1"/>
  <c r="E574" i="1"/>
  <c r="B574" i="1"/>
  <c r="I573" i="1"/>
  <c r="F573" i="1"/>
  <c r="G573" i="1" s="1"/>
  <c r="E573" i="1"/>
  <c r="B573" i="1"/>
  <c r="I572" i="1"/>
  <c r="F572" i="1"/>
  <c r="E572" i="1"/>
  <c r="B572" i="1"/>
  <c r="I571" i="1"/>
  <c r="F571" i="1"/>
  <c r="J571" i="1" s="1"/>
  <c r="E571" i="1"/>
  <c r="B571" i="1"/>
  <c r="I570" i="1"/>
  <c r="E570" i="1"/>
  <c r="B570" i="1"/>
  <c r="I569" i="1"/>
  <c r="F569" i="1"/>
  <c r="J569" i="1" s="1"/>
  <c r="E569" i="1"/>
  <c r="B569" i="1"/>
  <c r="I568" i="1"/>
  <c r="E568" i="1"/>
  <c r="B568" i="1"/>
  <c r="I567" i="1"/>
  <c r="G567" i="1"/>
  <c r="F567" i="1"/>
  <c r="J567" i="1" s="1"/>
  <c r="E567" i="1"/>
  <c r="B567" i="1"/>
  <c r="I566" i="1"/>
  <c r="F566" i="1"/>
  <c r="E566" i="1"/>
  <c r="B566" i="1"/>
  <c r="I565" i="1"/>
  <c r="F565" i="1"/>
  <c r="G565" i="1" s="1"/>
  <c r="E565" i="1"/>
  <c r="B565" i="1"/>
  <c r="I564" i="1"/>
  <c r="F564" i="1"/>
  <c r="E564" i="1"/>
  <c r="B564" i="1"/>
  <c r="I563" i="1"/>
  <c r="F563" i="1"/>
  <c r="J563" i="1" s="1"/>
  <c r="E563" i="1"/>
  <c r="B563" i="1"/>
  <c r="I562" i="1"/>
  <c r="E562" i="1"/>
  <c r="B562" i="1"/>
  <c r="I561" i="1"/>
  <c r="G561" i="1"/>
  <c r="F561" i="1"/>
  <c r="J561" i="1" s="1"/>
  <c r="E561" i="1"/>
  <c r="B561" i="1"/>
  <c r="I560" i="1"/>
  <c r="F560" i="1"/>
  <c r="G560" i="1" s="1"/>
  <c r="E560" i="1"/>
  <c r="B560" i="1"/>
  <c r="I559" i="1"/>
  <c r="G559" i="1"/>
  <c r="F559" i="1"/>
  <c r="J559" i="1" s="1"/>
  <c r="E559" i="1"/>
  <c r="B559" i="1"/>
  <c r="I558" i="1"/>
  <c r="E558" i="1"/>
  <c r="B558" i="1"/>
  <c r="I557" i="1"/>
  <c r="E557" i="1"/>
  <c r="B557" i="1"/>
  <c r="I556" i="1"/>
  <c r="F556" i="1"/>
  <c r="E556" i="1"/>
  <c r="B556" i="1"/>
  <c r="I555" i="1"/>
  <c r="F555" i="1"/>
  <c r="J555" i="1" s="1"/>
  <c r="E555" i="1"/>
  <c r="B555" i="1"/>
  <c r="I554" i="1"/>
  <c r="E554" i="1"/>
  <c r="B554" i="1"/>
  <c r="I553" i="1"/>
  <c r="E553" i="1"/>
  <c r="B553" i="1"/>
  <c r="I552" i="1"/>
  <c r="E552" i="1"/>
  <c r="B552" i="1"/>
  <c r="I551" i="1"/>
  <c r="F551" i="1"/>
  <c r="J551" i="1" s="1"/>
  <c r="E551" i="1"/>
  <c r="B551" i="1"/>
  <c r="I550" i="1"/>
  <c r="E550" i="1"/>
  <c r="B550" i="1"/>
  <c r="I549" i="1"/>
  <c r="E549" i="1"/>
  <c r="B549" i="1"/>
  <c r="I548" i="1"/>
  <c r="G548" i="1"/>
  <c r="F548" i="1"/>
  <c r="J548" i="1" s="1"/>
  <c r="E548" i="1"/>
  <c r="B548" i="1"/>
  <c r="I547" i="1"/>
  <c r="G547" i="1"/>
  <c r="F547" i="1"/>
  <c r="J547" i="1" s="1"/>
  <c r="E547" i="1"/>
  <c r="B547" i="1"/>
  <c r="I546" i="1"/>
  <c r="E546" i="1"/>
  <c r="B546" i="1"/>
  <c r="I545" i="1"/>
  <c r="F545" i="1"/>
  <c r="J545" i="1" s="1"/>
  <c r="E545" i="1"/>
  <c r="B545" i="1"/>
  <c r="I544" i="1"/>
  <c r="E544" i="1"/>
  <c r="B544" i="1"/>
  <c r="I543" i="1"/>
  <c r="F543" i="1"/>
  <c r="J543" i="1" s="1"/>
  <c r="E543" i="1"/>
  <c r="B543" i="1"/>
  <c r="I542" i="1"/>
  <c r="E542" i="1"/>
  <c r="B542" i="1"/>
  <c r="I541" i="1"/>
  <c r="F541" i="1"/>
  <c r="J541" i="1" s="1"/>
  <c r="E541" i="1"/>
  <c r="B541" i="1"/>
  <c r="I540" i="1"/>
  <c r="F540" i="1"/>
  <c r="J540" i="1" s="1"/>
  <c r="E540" i="1"/>
  <c r="B540" i="1"/>
  <c r="I539" i="1"/>
  <c r="F539" i="1"/>
  <c r="J539" i="1" s="1"/>
  <c r="E539" i="1"/>
  <c r="B539" i="1"/>
  <c r="I538" i="1"/>
  <c r="E538" i="1"/>
  <c r="B538" i="1"/>
  <c r="I537" i="1"/>
  <c r="F537" i="1"/>
  <c r="J537" i="1" s="1"/>
  <c r="E537" i="1"/>
  <c r="B537" i="1"/>
  <c r="I536" i="1"/>
  <c r="E536" i="1"/>
  <c r="B536" i="1"/>
  <c r="I535" i="1"/>
  <c r="F535" i="1"/>
  <c r="G535" i="1" s="1"/>
  <c r="E535" i="1"/>
  <c r="B535" i="1"/>
  <c r="I534" i="1"/>
  <c r="F534" i="1"/>
  <c r="J534" i="1" s="1"/>
  <c r="E534" i="1"/>
  <c r="B534" i="1"/>
  <c r="I533" i="1"/>
  <c r="F533" i="1"/>
  <c r="J533" i="1" s="1"/>
  <c r="E533" i="1"/>
  <c r="B533" i="1"/>
  <c r="I532" i="1"/>
  <c r="G532" i="1"/>
  <c r="F532" i="1"/>
  <c r="J532" i="1" s="1"/>
  <c r="E532" i="1"/>
  <c r="B532" i="1"/>
  <c r="I531" i="1"/>
  <c r="G531" i="1"/>
  <c r="F531" i="1"/>
  <c r="J531" i="1" s="1"/>
  <c r="E531" i="1"/>
  <c r="B531" i="1"/>
  <c r="I530" i="1"/>
  <c r="E530" i="1"/>
  <c r="B530" i="1"/>
  <c r="I529" i="1"/>
  <c r="F529" i="1"/>
  <c r="J529" i="1" s="1"/>
  <c r="E529" i="1"/>
  <c r="B529" i="1"/>
  <c r="I528" i="1"/>
  <c r="E528" i="1"/>
  <c r="B528" i="1"/>
  <c r="I527" i="1"/>
  <c r="F527" i="1"/>
  <c r="G527" i="1" s="1"/>
  <c r="E527" i="1"/>
  <c r="B527" i="1"/>
  <c r="I526" i="1"/>
  <c r="F526" i="1"/>
  <c r="J526" i="1" s="1"/>
  <c r="E526" i="1"/>
  <c r="B526" i="1"/>
  <c r="I525" i="1"/>
  <c r="F525" i="1"/>
  <c r="J525" i="1" s="1"/>
  <c r="E525" i="1"/>
  <c r="B525" i="1"/>
  <c r="I524" i="1"/>
  <c r="G524" i="1"/>
  <c r="F524" i="1"/>
  <c r="J524" i="1" s="1"/>
  <c r="E524" i="1"/>
  <c r="B524" i="1"/>
  <c r="I523" i="1"/>
  <c r="F523" i="1"/>
  <c r="J523" i="1" s="1"/>
  <c r="E523" i="1"/>
  <c r="B523" i="1"/>
  <c r="I522" i="1"/>
  <c r="E522" i="1"/>
  <c r="B522" i="1"/>
  <c r="I521" i="1"/>
  <c r="E521" i="1"/>
  <c r="B521" i="1"/>
  <c r="I520" i="1"/>
  <c r="E520" i="1"/>
  <c r="B520" i="1"/>
  <c r="I519" i="1"/>
  <c r="F519" i="1"/>
  <c r="J519" i="1" s="1"/>
  <c r="E519" i="1"/>
  <c r="B519" i="1"/>
  <c r="I518" i="1"/>
  <c r="E518" i="1"/>
  <c r="B518" i="1"/>
  <c r="I517" i="1"/>
  <c r="E517" i="1"/>
  <c r="B517" i="1"/>
  <c r="I516" i="1"/>
  <c r="F516" i="1"/>
  <c r="J516" i="1" s="1"/>
  <c r="E516" i="1"/>
  <c r="B516" i="1"/>
  <c r="I515" i="1"/>
  <c r="F515" i="1"/>
  <c r="J515" i="1" s="1"/>
  <c r="E515" i="1"/>
  <c r="B515" i="1"/>
  <c r="I514" i="1"/>
  <c r="E514" i="1"/>
  <c r="B514" i="1"/>
  <c r="I513" i="1"/>
  <c r="E513" i="1"/>
  <c r="B513" i="1"/>
  <c r="I512" i="1"/>
  <c r="F512" i="1"/>
  <c r="E512" i="1"/>
  <c r="B512" i="1"/>
  <c r="I511" i="1"/>
  <c r="F511" i="1"/>
  <c r="J511" i="1" s="1"/>
  <c r="E511" i="1"/>
  <c r="B511" i="1"/>
  <c r="I510" i="1"/>
  <c r="F510" i="1"/>
  <c r="J510" i="1" s="1"/>
  <c r="E510" i="1"/>
  <c r="B510" i="1"/>
  <c r="I509" i="1"/>
  <c r="E509" i="1"/>
  <c r="B509" i="1"/>
  <c r="I508" i="1"/>
  <c r="G508" i="1"/>
  <c r="F508" i="1"/>
  <c r="J508" i="1" s="1"/>
  <c r="E508" i="1"/>
  <c r="B508" i="1"/>
  <c r="I507" i="1"/>
  <c r="G507" i="1"/>
  <c r="F507" i="1"/>
  <c r="J507" i="1" s="1"/>
  <c r="E507" i="1"/>
  <c r="B507" i="1"/>
  <c r="I506" i="1"/>
  <c r="E506" i="1"/>
  <c r="B506" i="1"/>
  <c r="I505" i="1"/>
  <c r="F505" i="1"/>
  <c r="J505" i="1" s="1"/>
  <c r="E505" i="1"/>
  <c r="B505" i="1"/>
  <c r="I504" i="1"/>
  <c r="E504" i="1"/>
  <c r="B504" i="1"/>
  <c r="I503" i="1"/>
  <c r="F503" i="1"/>
  <c r="G503" i="1" s="1"/>
  <c r="E503" i="1"/>
  <c r="B503" i="1"/>
  <c r="I502" i="1"/>
  <c r="F502" i="1"/>
  <c r="J502" i="1" s="1"/>
  <c r="E502" i="1"/>
  <c r="B502" i="1"/>
  <c r="I501" i="1"/>
  <c r="F501" i="1"/>
  <c r="J501" i="1" s="1"/>
  <c r="E501" i="1"/>
  <c r="B501" i="1"/>
  <c r="I500" i="1"/>
  <c r="F500" i="1"/>
  <c r="J500" i="1" s="1"/>
  <c r="E500" i="1"/>
  <c r="B500" i="1"/>
  <c r="I499" i="1"/>
  <c r="G499" i="1"/>
  <c r="F499" i="1"/>
  <c r="J499" i="1" s="1"/>
  <c r="E499" i="1"/>
  <c r="B499" i="1"/>
  <c r="I498" i="1"/>
  <c r="E498" i="1"/>
  <c r="B498" i="1"/>
  <c r="I497" i="1"/>
  <c r="F497" i="1"/>
  <c r="J497" i="1" s="1"/>
  <c r="E497" i="1"/>
  <c r="B497" i="1"/>
  <c r="I496" i="1"/>
  <c r="F496" i="1"/>
  <c r="E496" i="1"/>
  <c r="B496" i="1"/>
  <c r="I495" i="1"/>
  <c r="F495" i="1"/>
  <c r="G495" i="1" s="1"/>
  <c r="E495" i="1"/>
  <c r="B495" i="1"/>
  <c r="I494" i="1"/>
  <c r="F494" i="1"/>
  <c r="J494" i="1" s="1"/>
  <c r="E494" i="1"/>
  <c r="B494" i="1"/>
  <c r="I493" i="1"/>
  <c r="F493" i="1"/>
  <c r="J493" i="1" s="1"/>
  <c r="E493" i="1"/>
  <c r="B493" i="1"/>
  <c r="I492" i="1"/>
  <c r="G492" i="1"/>
  <c r="F492" i="1"/>
  <c r="J492" i="1" s="1"/>
  <c r="E492" i="1"/>
  <c r="B492" i="1"/>
  <c r="I491" i="1"/>
  <c r="F491" i="1"/>
  <c r="J491" i="1" s="1"/>
  <c r="E491" i="1"/>
  <c r="B491" i="1"/>
  <c r="I490" i="1"/>
  <c r="E490" i="1"/>
  <c r="B490" i="1"/>
  <c r="I489" i="1"/>
  <c r="E489" i="1"/>
  <c r="B489" i="1"/>
  <c r="I488" i="1"/>
  <c r="E488" i="1"/>
  <c r="B488" i="1"/>
  <c r="I487" i="1"/>
  <c r="F487" i="1"/>
  <c r="J487" i="1" s="1"/>
  <c r="E487" i="1"/>
  <c r="B487" i="1"/>
  <c r="I486" i="1"/>
  <c r="E486" i="1"/>
  <c r="B486" i="1"/>
  <c r="I485" i="1"/>
  <c r="E485" i="1"/>
  <c r="B485" i="1"/>
  <c r="I484" i="1"/>
  <c r="F484" i="1"/>
  <c r="J484" i="1" s="1"/>
  <c r="E484" i="1"/>
  <c r="B484" i="1"/>
  <c r="I483" i="1"/>
  <c r="G483" i="1"/>
  <c r="F483" i="1"/>
  <c r="J483" i="1" s="1"/>
  <c r="E483" i="1"/>
  <c r="B483" i="1"/>
  <c r="I482" i="1"/>
  <c r="E482" i="1"/>
  <c r="B482" i="1"/>
  <c r="I481" i="1"/>
  <c r="F481" i="1"/>
  <c r="J481" i="1" s="1"/>
  <c r="E481" i="1"/>
  <c r="B481" i="1"/>
  <c r="I480" i="1"/>
  <c r="E480" i="1"/>
  <c r="B480" i="1"/>
  <c r="I479" i="1"/>
  <c r="F479" i="1"/>
  <c r="J479" i="1" s="1"/>
  <c r="E479" i="1"/>
  <c r="B479" i="1"/>
  <c r="I478" i="1"/>
  <c r="E478" i="1"/>
  <c r="B478" i="1"/>
  <c r="I477" i="1"/>
  <c r="F477" i="1"/>
  <c r="J477" i="1" s="1"/>
  <c r="E477" i="1"/>
  <c r="B477" i="1"/>
  <c r="I476" i="1"/>
  <c r="F476" i="1"/>
  <c r="J476" i="1" s="1"/>
  <c r="E476" i="1"/>
  <c r="B476" i="1"/>
  <c r="I475" i="1"/>
  <c r="F475" i="1"/>
  <c r="J475" i="1" s="1"/>
  <c r="E475" i="1"/>
  <c r="B475" i="1"/>
  <c r="I474" i="1"/>
  <c r="E474" i="1"/>
  <c r="B474" i="1"/>
  <c r="I473" i="1"/>
  <c r="F473" i="1"/>
  <c r="J473" i="1" s="1"/>
  <c r="E473" i="1"/>
  <c r="B473" i="1"/>
  <c r="I472" i="1"/>
  <c r="E472" i="1"/>
  <c r="B472" i="1"/>
  <c r="I471" i="1"/>
  <c r="F471" i="1"/>
  <c r="G471" i="1" s="1"/>
  <c r="E471" i="1"/>
  <c r="B471" i="1"/>
  <c r="I470" i="1"/>
  <c r="F470" i="1"/>
  <c r="J470" i="1" s="1"/>
  <c r="E470" i="1"/>
  <c r="B470" i="1"/>
  <c r="I469" i="1"/>
  <c r="F469" i="1"/>
  <c r="J469" i="1" s="1"/>
  <c r="E469" i="1"/>
  <c r="B469" i="1"/>
  <c r="I468" i="1"/>
  <c r="G468" i="1"/>
  <c r="F468" i="1"/>
  <c r="J468" i="1" s="1"/>
  <c r="E468" i="1"/>
  <c r="B468" i="1"/>
  <c r="I467" i="1"/>
  <c r="G467" i="1"/>
  <c r="F467" i="1"/>
  <c r="J467" i="1" s="1"/>
  <c r="E467" i="1"/>
  <c r="B467" i="1"/>
  <c r="I466" i="1"/>
  <c r="E466" i="1"/>
  <c r="B466" i="1"/>
  <c r="I465" i="1"/>
  <c r="F465" i="1"/>
  <c r="J465" i="1" s="1"/>
  <c r="E465" i="1"/>
  <c r="B465" i="1"/>
  <c r="I464" i="1"/>
  <c r="E464" i="1"/>
  <c r="B464" i="1"/>
  <c r="I463" i="1"/>
  <c r="F463" i="1"/>
  <c r="G463" i="1" s="1"/>
  <c r="E463" i="1"/>
  <c r="B463" i="1"/>
  <c r="I462" i="1"/>
  <c r="F462" i="1"/>
  <c r="J462" i="1" s="1"/>
  <c r="E462" i="1"/>
  <c r="B462" i="1"/>
  <c r="I461" i="1"/>
  <c r="F461" i="1"/>
  <c r="J461" i="1" s="1"/>
  <c r="E461" i="1"/>
  <c r="B461" i="1"/>
  <c r="I460" i="1"/>
  <c r="G460" i="1"/>
  <c r="F460" i="1"/>
  <c r="J460" i="1" s="1"/>
  <c r="E460" i="1"/>
  <c r="B460" i="1"/>
  <c r="I459" i="1"/>
  <c r="F459" i="1"/>
  <c r="J459" i="1" s="1"/>
  <c r="E459" i="1"/>
  <c r="B459" i="1"/>
  <c r="I458" i="1"/>
  <c r="E458" i="1"/>
  <c r="B458" i="1"/>
  <c r="I457" i="1"/>
  <c r="E457" i="1"/>
  <c r="B457" i="1"/>
  <c r="I456" i="1"/>
  <c r="E456" i="1"/>
  <c r="B456" i="1"/>
  <c r="I455" i="1"/>
  <c r="F455" i="1"/>
  <c r="J455" i="1" s="1"/>
  <c r="E455" i="1"/>
  <c r="B455" i="1"/>
  <c r="I454" i="1"/>
  <c r="E454" i="1"/>
  <c r="B454" i="1"/>
  <c r="I453" i="1"/>
  <c r="E453" i="1"/>
  <c r="B453" i="1"/>
  <c r="I452" i="1"/>
  <c r="F452" i="1"/>
  <c r="J452" i="1" s="1"/>
  <c r="E452" i="1"/>
  <c r="B452" i="1"/>
  <c r="I451" i="1"/>
  <c r="F451" i="1"/>
  <c r="J451" i="1" s="1"/>
  <c r="E451" i="1"/>
  <c r="B451" i="1"/>
  <c r="I450" i="1"/>
  <c r="E450" i="1"/>
  <c r="B450" i="1"/>
  <c r="I449" i="1"/>
  <c r="E449" i="1"/>
  <c r="B449" i="1"/>
  <c r="I448" i="1"/>
  <c r="F448" i="1"/>
  <c r="E448" i="1"/>
  <c r="B448" i="1"/>
  <c r="I447" i="1"/>
  <c r="F447" i="1"/>
  <c r="J447" i="1" s="1"/>
  <c r="E447" i="1"/>
  <c r="B447" i="1"/>
  <c r="I446" i="1"/>
  <c r="F446" i="1"/>
  <c r="J446" i="1" s="1"/>
  <c r="E446" i="1"/>
  <c r="B446" i="1"/>
  <c r="I445" i="1"/>
  <c r="E445" i="1"/>
  <c r="B445" i="1"/>
  <c r="I444" i="1"/>
  <c r="G444" i="1"/>
  <c r="F444" i="1"/>
  <c r="J444" i="1" s="1"/>
  <c r="E444" i="1"/>
  <c r="B444" i="1"/>
  <c r="I443" i="1"/>
  <c r="F443" i="1"/>
  <c r="J443" i="1" s="1"/>
  <c r="E443" i="1"/>
  <c r="B443" i="1"/>
  <c r="I442" i="1"/>
  <c r="E442" i="1"/>
  <c r="B442" i="1"/>
  <c r="I441" i="1"/>
  <c r="F441" i="1"/>
  <c r="J441" i="1" s="1"/>
  <c r="E441" i="1"/>
  <c r="B441" i="1"/>
  <c r="I440" i="1"/>
  <c r="E440" i="1"/>
  <c r="B440" i="1"/>
  <c r="I439" i="1"/>
  <c r="F439" i="1"/>
  <c r="G439" i="1" s="1"/>
  <c r="E439" i="1"/>
  <c r="B439" i="1"/>
  <c r="I438" i="1"/>
  <c r="F438" i="1"/>
  <c r="J438" i="1" s="1"/>
  <c r="E438" i="1"/>
  <c r="B438" i="1"/>
  <c r="I437" i="1"/>
  <c r="F437" i="1"/>
  <c r="J437" i="1" s="1"/>
  <c r="E437" i="1"/>
  <c r="B437" i="1"/>
  <c r="I436" i="1"/>
  <c r="F436" i="1"/>
  <c r="J436" i="1" s="1"/>
  <c r="E436" i="1"/>
  <c r="B436" i="1"/>
  <c r="I435" i="1"/>
  <c r="G435" i="1"/>
  <c r="F435" i="1"/>
  <c r="J435" i="1" s="1"/>
  <c r="E435" i="1"/>
  <c r="B435" i="1"/>
  <c r="I434" i="1"/>
  <c r="E434" i="1"/>
  <c r="B434" i="1"/>
  <c r="I433" i="1"/>
  <c r="F433" i="1"/>
  <c r="J433" i="1" s="1"/>
  <c r="E433" i="1"/>
  <c r="B433" i="1"/>
  <c r="I432" i="1"/>
  <c r="F432" i="1"/>
  <c r="E432" i="1"/>
  <c r="B432" i="1"/>
  <c r="I431" i="1"/>
  <c r="F431" i="1"/>
  <c r="G431" i="1" s="1"/>
  <c r="E431" i="1"/>
  <c r="B431" i="1"/>
  <c r="I430" i="1"/>
  <c r="F430" i="1"/>
  <c r="J430" i="1" s="1"/>
  <c r="E430" i="1"/>
  <c r="B430" i="1"/>
  <c r="I429" i="1"/>
  <c r="F429" i="1"/>
  <c r="J429" i="1" s="1"/>
  <c r="E429" i="1"/>
  <c r="B429" i="1"/>
  <c r="I428" i="1"/>
  <c r="G428" i="1"/>
  <c r="F428" i="1"/>
  <c r="J428" i="1" s="1"/>
  <c r="E428" i="1"/>
  <c r="B428" i="1"/>
  <c r="I427" i="1"/>
  <c r="F427" i="1"/>
  <c r="J427" i="1" s="1"/>
  <c r="E427" i="1"/>
  <c r="B427" i="1"/>
  <c r="I426" i="1"/>
  <c r="E426" i="1"/>
  <c r="B426" i="1"/>
  <c r="I425" i="1"/>
  <c r="E425" i="1"/>
  <c r="B425" i="1"/>
  <c r="I424" i="1"/>
  <c r="E424" i="1"/>
  <c r="B424" i="1"/>
  <c r="I423" i="1"/>
  <c r="F423" i="1"/>
  <c r="J423" i="1" s="1"/>
  <c r="E423" i="1"/>
  <c r="B423" i="1"/>
  <c r="I422" i="1"/>
  <c r="E422" i="1"/>
  <c r="B422" i="1"/>
  <c r="I421" i="1"/>
  <c r="E421" i="1"/>
  <c r="B421" i="1"/>
  <c r="I420" i="1"/>
  <c r="G420" i="1"/>
  <c r="F420" i="1"/>
  <c r="J420" i="1" s="1"/>
  <c r="E420" i="1"/>
  <c r="B420" i="1"/>
  <c r="I419" i="1"/>
  <c r="G419" i="1"/>
  <c r="F419" i="1"/>
  <c r="J419" i="1" s="1"/>
  <c r="E419" i="1"/>
  <c r="B419" i="1"/>
  <c r="I418" i="1"/>
  <c r="E418" i="1"/>
  <c r="B418" i="1"/>
  <c r="I417" i="1"/>
  <c r="F417" i="1"/>
  <c r="J417" i="1" s="1"/>
  <c r="E417" i="1"/>
  <c r="B417" i="1"/>
  <c r="I416" i="1"/>
  <c r="E416" i="1"/>
  <c r="B416" i="1"/>
  <c r="I415" i="1"/>
  <c r="F415" i="1"/>
  <c r="J415" i="1" s="1"/>
  <c r="E415" i="1"/>
  <c r="B415" i="1"/>
  <c r="I414" i="1"/>
  <c r="E414" i="1"/>
  <c r="B414" i="1"/>
  <c r="I413" i="1"/>
  <c r="F413" i="1"/>
  <c r="J413" i="1" s="1"/>
  <c r="E413" i="1"/>
  <c r="B413" i="1"/>
  <c r="I412" i="1"/>
  <c r="F412" i="1"/>
  <c r="J412" i="1" s="1"/>
  <c r="E412" i="1"/>
  <c r="B412" i="1"/>
  <c r="I411" i="1"/>
  <c r="F411" i="1"/>
  <c r="J411" i="1" s="1"/>
  <c r="E411" i="1"/>
  <c r="B411" i="1"/>
  <c r="I410" i="1"/>
  <c r="E410" i="1"/>
  <c r="B410" i="1"/>
  <c r="I409" i="1"/>
  <c r="F409" i="1"/>
  <c r="J409" i="1" s="1"/>
  <c r="E409" i="1"/>
  <c r="B409" i="1"/>
  <c r="I408" i="1"/>
  <c r="E408" i="1"/>
  <c r="B408" i="1"/>
  <c r="I407" i="1"/>
  <c r="F407" i="1"/>
  <c r="G407" i="1" s="1"/>
  <c r="E407" i="1"/>
  <c r="B407" i="1"/>
  <c r="I406" i="1"/>
  <c r="F406" i="1"/>
  <c r="J406" i="1" s="1"/>
  <c r="E406" i="1"/>
  <c r="B406" i="1"/>
  <c r="I405" i="1"/>
  <c r="F405" i="1"/>
  <c r="J405" i="1" s="1"/>
  <c r="E405" i="1"/>
  <c r="B405" i="1"/>
  <c r="I404" i="1"/>
  <c r="G404" i="1"/>
  <c r="F404" i="1"/>
  <c r="J404" i="1" s="1"/>
  <c r="E404" i="1"/>
  <c r="B404" i="1"/>
  <c r="I403" i="1"/>
  <c r="G403" i="1"/>
  <c r="F403" i="1"/>
  <c r="J403" i="1" s="1"/>
  <c r="E403" i="1"/>
  <c r="B403" i="1"/>
  <c r="I402" i="1"/>
  <c r="E402" i="1"/>
  <c r="B402" i="1"/>
  <c r="I401" i="1"/>
  <c r="F401" i="1"/>
  <c r="J401" i="1" s="1"/>
  <c r="E401" i="1"/>
  <c r="B401" i="1"/>
  <c r="I400" i="1"/>
  <c r="E400" i="1"/>
  <c r="B400" i="1"/>
  <c r="I399" i="1"/>
  <c r="F399" i="1"/>
  <c r="G399" i="1" s="1"/>
  <c r="E399" i="1"/>
  <c r="B399" i="1"/>
  <c r="I398" i="1"/>
  <c r="F398" i="1"/>
  <c r="J398" i="1" s="1"/>
  <c r="E398" i="1"/>
  <c r="B398" i="1"/>
  <c r="I397" i="1"/>
  <c r="F397" i="1"/>
  <c r="J397" i="1" s="1"/>
  <c r="E397" i="1"/>
  <c r="B397" i="1"/>
  <c r="I396" i="1"/>
  <c r="G396" i="1"/>
  <c r="F396" i="1"/>
  <c r="J396" i="1" s="1"/>
  <c r="E396" i="1"/>
  <c r="B396" i="1"/>
  <c r="I395" i="1"/>
  <c r="F395" i="1"/>
  <c r="J395" i="1" s="1"/>
  <c r="E395" i="1"/>
  <c r="B395" i="1"/>
  <c r="I394" i="1"/>
  <c r="E394" i="1"/>
  <c r="B394" i="1"/>
  <c r="I393" i="1"/>
  <c r="F393" i="1"/>
  <c r="J393" i="1" s="1"/>
  <c r="E393" i="1"/>
  <c r="B393" i="1"/>
  <c r="I392" i="1"/>
  <c r="E392" i="1"/>
  <c r="B392" i="1"/>
  <c r="I391" i="1"/>
  <c r="F391" i="1"/>
  <c r="J391" i="1" s="1"/>
  <c r="E391" i="1"/>
  <c r="B391" i="1"/>
  <c r="I390" i="1"/>
  <c r="F390" i="1"/>
  <c r="J390" i="1" s="1"/>
  <c r="E390" i="1"/>
  <c r="B390" i="1"/>
  <c r="I389" i="1"/>
  <c r="F389" i="1"/>
  <c r="J389" i="1" s="1"/>
  <c r="E389" i="1"/>
  <c r="B389" i="1"/>
  <c r="I388" i="1"/>
  <c r="F388" i="1"/>
  <c r="J388" i="1" s="1"/>
  <c r="E388" i="1"/>
  <c r="B388" i="1"/>
  <c r="I387" i="1"/>
  <c r="F387" i="1"/>
  <c r="J387" i="1" s="1"/>
  <c r="E387" i="1"/>
  <c r="B387" i="1"/>
  <c r="I386" i="1"/>
  <c r="E386" i="1"/>
  <c r="B386" i="1"/>
  <c r="I385" i="1"/>
  <c r="F385" i="1"/>
  <c r="J385" i="1" s="1"/>
  <c r="E385" i="1"/>
  <c r="B385" i="1"/>
  <c r="I384" i="1"/>
  <c r="F384" i="1"/>
  <c r="E384" i="1"/>
  <c r="B384" i="1"/>
  <c r="I383" i="1"/>
  <c r="F383" i="1"/>
  <c r="J383" i="1" s="1"/>
  <c r="E383" i="1"/>
  <c r="B383" i="1"/>
  <c r="I382" i="1"/>
  <c r="F382" i="1"/>
  <c r="J382" i="1" s="1"/>
  <c r="E382" i="1"/>
  <c r="B382" i="1"/>
  <c r="I381" i="1"/>
  <c r="F381" i="1"/>
  <c r="J381" i="1" s="1"/>
  <c r="E381" i="1"/>
  <c r="B381" i="1"/>
  <c r="I380" i="1"/>
  <c r="G380" i="1"/>
  <c r="F380" i="1"/>
  <c r="J380" i="1" s="1"/>
  <c r="E380" i="1"/>
  <c r="B380" i="1"/>
  <c r="I379" i="1"/>
  <c r="F379" i="1"/>
  <c r="J379" i="1" s="1"/>
  <c r="E379" i="1"/>
  <c r="B379" i="1"/>
  <c r="I378" i="1"/>
  <c r="E378" i="1"/>
  <c r="B378" i="1"/>
  <c r="I377" i="1"/>
  <c r="F377" i="1"/>
  <c r="J377" i="1" s="1"/>
  <c r="E377" i="1"/>
  <c r="B377" i="1"/>
  <c r="I376" i="1"/>
  <c r="E376" i="1"/>
  <c r="B376" i="1"/>
  <c r="I375" i="1"/>
  <c r="F375" i="1"/>
  <c r="G375" i="1" s="1"/>
  <c r="E375" i="1"/>
  <c r="B375" i="1"/>
  <c r="I374" i="1"/>
  <c r="F374" i="1"/>
  <c r="J374" i="1" s="1"/>
  <c r="E374" i="1"/>
  <c r="B374" i="1"/>
  <c r="I373" i="1"/>
  <c r="F373" i="1"/>
  <c r="J373" i="1" s="1"/>
  <c r="E373" i="1"/>
  <c r="B373" i="1"/>
  <c r="I372" i="1"/>
  <c r="F372" i="1"/>
  <c r="J372" i="1" s="1"/>
  <c r="E372" i="1"/>
  <c r="B372" i="1"/>
  <c r="I371" i="1"/>
  <c r="G371" i="1"/>
  <c r="F371" i="1"/>
  <c r="J371" i="1" s="1"/>
  <c r="E371" i="1"/>
  <c r="B371" i="1"/>
  <c r="I370" i="1"/>
  <c r="E370" i="1"/>
  <c r="B370" i="1"/>
  <c r="I369" i="1"/>
  <c r="F369" i="1"/>
  <c r="J369" i="1" s="1"/>
  <c r="E369" i="1"/>
  <c r="B369" i="1"/>
  <c r="I368" i="1"/>
  <c r="F368" i="1"/>
  <c r="E368" i="1"/>
  <c r="B368" i="1"/>
  <c r="I367" i="1"/>
  <c r="F367" i="1"/>
  <c r="G367" i="1" s="1"/>
  <c r="E367" i="1"/>
  <c r="B367" i="1"/>
  <c r="I366" i="1"/>
  <c r="F366" i="1"/>
  <c r="J366" i="1" s="1"/>
  <c r="E366" i="1"/>
  <c r="B366" i="1"/>
  <c r="I365" i="1"/>
  <c r="F365" i="1"/>
  <c r="J365" i="1" s="1"/>
  <c r="E365" i="1"/>
  <c r="B365" i="1"/>
  <c r="I364" i="1"/>
  <c r="G364" i="1"/>
  <c r="F364" i="1"/>
  <c r="J364" i="1" s="1"/>
  <c r="E364" i="1"/>
  <c r="B364" i="1"/>
  <c r="I363" i="1"/>
  <c r="F363" i="1"/>
  <c r="J363" i="1" s="1"/>
  <c r="E363" i="1"/>
  <c r="B363" i="1"/>
  <c r="I362" i="1"/>
  <c r="E362" i="1"/>
  <c r="B362" i="1"/>
  <c r="I361" i="1"/>
  <c r="F361" i="1"/>
  <c r="J361" i="1" s="1"/>
  <c r="E361" i="1"/>
  <c r="B361" i="1"/>
  <c r="I360" i="1"/>
  <c r="E360" i="1"/>
  <c r="B360" i="1"/>
  <c r="I359" i="1"/>
  <c r="F359" i="1"/>
  <c r="J359" i="1" s="1"/>
  <c r="E359" i="1"/>
  <c r="B359" i="1"/>
  <c r="I358" i="1"/>
  <c r="F358" i="1"/>
  <c r="J358" i="1" s="1"/>
  <c r="E358" i="1"/>
  <c r="B358" i="1"/>
  <c r="I357" i="1"/>
  <c r="F357" i="1"/>
  <c r="E357" i="1"/>
  <c r="B357" i="1"/>
  <c r="I356" i="1"/>
  <c r="G356" i="1"/>
  <c r="F356" i="1"/>
  <c r="J356" i="1" s="1"/>
  <c r="E356" i="1"/>
  <c r="B356" i="1"/>
  <c r="I355" i="1"/>
  <c r="G355" i="1"/>
  <c r="F355" i="1"/>
  <c r="J355" i="1" s="1"/>
  <c r="E355" i="1"/>
  <c r="B355" i="1"/>
  <c r="I354" i="1"/>
  <c r="E354" i="1"/>
  <c r="B354" i="1"/>
  <c r="I353" i="1"/>
  <c r="F353" i="1"/>
  <c r="E353" i="1"/>
  <c r="B353" i="1"/>
  <c r="I352" i="1"/>
  <c r="E352" i="1"/>
  <c r="B352" i="1"/>
  <c r="I351" i="1"/>
  <c r="F351" i="1"/>
  <c r="J351" i="1" s="1"/>
  <c r="E351" i="1"/>
  <c r="B351" i="1"/>
  <c r="I350" i="1"/>
  <c r="F350" i="1"/>
  <c r="J350" i="1" s="1"/>
  <c r="E350" i="1"/>
  <c r="B350" i="1"/>
  <c r="I349" i="1"/>
  <c r="F349" i="1"/>
  <c r="E349" i="1"/>
  <c r="B349" i="1"/>
  <c r="I348" i="1"/>
  <c r="F348" i="1"/>
  <c r="J348" i="1" s="1"/>
  <c r="E348" i="1"/>
  <c r="B348" i="1"/>
  <c r="I347" i="1"/>
  <c r="F347" i="1"/>
  <c r="J347" i="1" s="1"/>
  <c r="E347" i="1"/>
  <c r="B347" i="1"/>
  <c r="I346" i="1"/>
  <c r="E346" i="1"/>
  <c r="B346" i="1"/>
  <c r="I345" i="1"/>
  <c r="F345" i="1"/>
  <c r="E345" i="1"/>
  <c r="B345" i="1"/>
  <c r="I344" i="1"/>
  <c r="E344" i="1"/>
  <c r="B344" i="1"/>
  <c r="I343" i="1"/>
  <c r="F343" i="1"/>
  <c r="G343" i="1" s="1"/>
  <c r="E343" i="1"/>
  <c r="B343" i="1"/>
  <c r="I342" i="1"/>
  <c r="F342" i="1"/>
  <c r="J342" i="1" s="1"/>
  <c r="E342" i="1"/>
  <c r="B342" i="1"/>
  <c r="I341" i="1"/>
  <c r="F341" i="1"/>
  <c r="E341" i="1"/>
  <c r="B341" i="1"/>
  <c r="I340" i="1"/>
  <c r="G340" i="1"/>
  <c r="F340" i="1"/>
  <c r="J340" i="1" s="1"/>
  <c r="E340" i="1"/>
  <c r="B340" i="1"/>
  <c r="I339" i="1"/>
  <c r="F339" i="1"/>
  <c r="J339" i="1" s="1"/>
  <c r="E339" i="1"/>
  <c r="B339" i="1"/>
  <c r="I338" i="1"/>
  <c r="E338" i="1"/>
  <c r="B338" i="1"/>
  <c r="I337" i="1"/>
  <c r="F337" i="1"/>
  <c r="E337" i="1"/>
  <c r="B337" i="1"/>
  <c r="I336" i="1"/>
  <c r="E336" i="1"/>
  <c r="B336" i="1"/>
  <c r="I335" i="1"/>
  <c r="F335" i="1"/>
  <c r="J335" i="1" s="1"/>
  <c r="E335" i="1"/>
  <c r="B335" i="1"/>
  <c r="I334" i="1"/>
  <c r="F334" i="1"/>
  <c r="J334" i="1" s="1"/>
  <c r="E334" i="1"/>
  <c r="B334" i="1"/>
  <c r="I333" i="1"/>
  <c r="F333" i="1"/>
  <c r="E333" i="1"/>
  <c r="B333" i="1"/>
  <c r="I332" i="1"/>
  <c r="G332" i="1"/>
  <c r="F332" i="1"/>
  <c r="J332" i="1" s="1"/>
  <c r="E332" i="1"/>
  <c r="B332" i="1"/>
  <c r="I331" i="1"/>
  <c r="F331" i="1"/>
  <c r="J331" i="1" s="1"/>
  <c r="E331" i="1"/>
  <c r="B331" i="1"/>
  <c r="I330" i="1"/>
  <c r="E330" i="1"/>
  <c r="B330" i="1"/>
  <c r="I329" i="1"/>
  <c r="F329" i="1"/>
  <c r="E329" i="1"/>
  <c r="B329" i="1"/>
  <c r="I328" i="1"/>
  <c r="F328" i="1"/>
  <c r="J328" i="1" s="1"/>
  <c r="E328" i="1"/>
  <c r="B328" i="1"/>
  <c r="I327" i="1"/>
  <c r="G327" i="1"/>
  <c r="F327" i="1"/>
  <c r="J327" i="1" s="1"/>
  <c r="E327" i="1"/>
  <c r="B327" i="1"/>
  <c r="I326" i="1"/>
  <c r="F326" i="1"/>
  <c r="J326" i="1" s="1"/>
  <c r="E326" i="1"/>
  <c r="B326" i="1"/>
  <c r="I325" i="1"/>
  <c r="F325" i="1"/>
  <c r="E325" i="1"/>
  <c r="B325" i="1"/>
  <c r="I324" i="1"/>
  <c r="F324" i="1"/>
  <c r="J324" i="1" s="1"/>
  <c r="E324" i="1"/>
  <c r="B324" i="1"/>
  <c r="I323" i="1"/>
  <c r="G323" i="1"/>
  <c r="F323" i="1"/>
  <c r="J323" i="1" s="1"/>
  <c r="E323" i="1"/>
  <c r="B323" i="1"/>
  <c r="I322" i="1"/>
  <c r="E322" i="1"/>
  <c r="B322" i="1"/>
  <c r="I321" i="1"/>
  <c r="F321" i="1"/>
  <c r="E321" i="1"/>
  <c r="B321" i="1"/>
  <c r="I320" i="1"/>
  <c r="E320" i="1"/>
  <c r="B320" i="1"/>
  <c r="I319" i="1"/>
  <c r="F319" i="1"/>
  <c r="J319" i="1" s="1"/>
  <c r="E319" i="1"/>
  <c r="B319" i="1"/>
  <c r="I318" i="1"/>
  <c r="F318" i="1"/>
  <c r="J318" i="1" s="1"/>
  <c r="E318" i="1"/>
  <c r="B318" i="1"/>
  <c r="I317" i="1"/>
  <c r="F317" i="1"/>
  <c r="E317" i="1"/>
  <c r="B317" i="1"/>
  <c r="I316" i="1"/>
  <c r="G316" i="1"/>
  <c r="F316" i="1"/>
  <c r="J316" i="1" s="1"/>
  <c r="E316" i="1"/>
  <c r="B316" i="1"/>
  <c r="I315" i="1"/>
  <c r="F315" i="1"/>
  <c r="J315" i="1" s="1"/>
  <c r="E315" i="1"/>
  <c r="B315" i="1"/>
  <c r="I314" i="1"/>
  <c r="E314" i="1"/>
  <c r="B314" i="1"/>
  <c r="I313" i="1"/>
  <c r="F313" i="1"/>
  <c r="E313" i="1"/>
  <c r="B313" i="1"/>
  <c r="I312" i="1"/>
  <c r="F312" i="1"/>
  <c r="J312" i="1" s="1"/>
  <c r="E312" i="1"/>
  <c r="B312" i="1"/>
  <c r="I311" i="1"/>
  <c r="F311" i="1"/>
  <c r="J311" i="1" s="1"/>
  <c r="E311" i="1"/>
  <c r="B311" i="1"/>
  <c r="I310" i="1"/>
  <c r="F310" i="1"/>
  <c r="E310" i="1"/>
  <c r="B310" i="1"/>
  <c r="I309" i="1"/>
  <c r="F309" i="1"/>
  <c r="E309" i="1"/>
  <c r="B309" i="1"/>
  <c r="I308" i="1"/>
  <c r="F308" i="1"/>
  <c r="J308" i="1" s="1"/>
  <c r="E308" i="1"/>
  <c r="B308" i="1"/>
  <c r="I307" i="1"/>
  <c r="F307" i="1"/>
  <c r="J307" i="1" s="1"/>
  <c r="E307" i="1"/>
  <c r="B307" i="1"/>
  <c r="I306" i="1"/>
  <c r="E306" i="1"/>
  <c r="B306" i="1"/>
  <c r="I305" i="1"/>
  <c r="F305" i="1"/>
  <c r="J305" i="1" s="1"/>
  <c r="E305" i="1"/>
  <c r="B305" i="1"/>
  <c r="I304" i="1"/>
  <c r="E304" i="1"/>
  <c r="B304" i="1"/>
  <c r="I303" i="1"/>
  <c r="F303" i="1"/>
  <c r="J303" i="1" s="1"/>
  <c r="E303" i="1"/>
  <c r="B303" i="1"/>
  <c r="I302" i="1"/>
  <c r="G302" i="1"/>
  <c r="F302" i="1"/>
  <c r="J302" i="1" s="1"/>
  <c r="E302" i="1"/>
  <c r="B302" i="1"/>
  <c r="I301" i="1"/>
  <c r="F301" i="1"/>
  <c r="E301" i="1"/>
  <c r="B301" i="1"/>
  <c r="I300" i="1"/>
  <c r="F300" i="1"/>
  <c r="J300" i="1" s="1"/>
  <c r="E300" i="1"/>
  <c r="B300" i="1"/>
  <c r="I299" i="1"/>
  <c r="F299" i="1"/>
  <c r="J299" i="1" s="1"/>
  <c r="E299" i="1"/>
  <c r="B299" i="1"/>
  <c r="I298" i="1"/>
  <c r="E298" i="1"/>
  <c r="B298" i="1"/>
  <c r="I297" i="1"/>
  <c r="G297" i="1"/>
  <c r="F297" i="1"/>
  <c r="J297" i="1" s="1"/>
  <c r="E297" i="1"/>
  <c r="B297" i="1"/>
  <c r="I296" i="1"/>
  <c r="E296" i="1"/>
  <c r="B296" i="1"/>
  <c r="I295" i="1"/>
  <c r="F295" i="1"/>
  <c r="J295" i="1" s="1"/>
  <c r="E295" i="1"/>
  <c r="B295" i="1"/>
  <c r="I294" i="1"/>
  <c r="F294" i="1"/>
  <c r="J294" i="1" s="1"/>
  <c r="E294" i="1"/>
  <c r="B294" i="1"/>
  <c r="I293" i="1"/>
  <c r="F293" i="1"/>
  <c r="E293" i="1"/>
  <c r="B293" i="1"/>
  <c r="I292" i="1"/>
  <c r="F292" i="1"/>
  <c r="J292" i="1" s="1"/>
  <c r="E292" i="1"/>
  <c r="B292" i="1"/>
  <c r="I291" i="1"/>
  <c r="F291" i="1"/>
  <c r="J291" i="1" s="1"/>
  <c r="E291" i="1"/>
  <c r="B291" i="1"/>
  <c r="I290" i="1"/>
  <c r="E290" i="1"/>
  <c r="B290" i="1"/>
  <c r="I289" i="1"/>
  <c r="F289" i="1"/>
  <c r="J289" i="1" s="1"/>
  <c r="E289" i="1"/>
  <c r="B289" i="1"/>
  <c r="I288" i="1"/>
  <c r="E288" i="1"/>
  <c r="B288" i="1"/>
  <c r="I287" i="1"/>
  <c r="F287" i="1"/>
  <c r="J287" i="1" s="1"/>
  <c r="E287" i="1"/>
  <c r="B287" i="1"/>
  <c r="I286" i="1"/>
  <c r="G286" i="1"/>
  <c r="F286" i="1"/>
  <c r="J286" i="1" s="1"/>
  <c r="E286" i="1"/>
  <c r="B286" i="1"/>
  <c r="I285" i="1"/>
  <c r="F285" i="1"/>
  <c r="E285" i="1"/>
  <c r="B285" i="1"/>
  <c r="I284" i="1"/>
  <c r="F284" i="1"/>
  <c r="J284" i="1" s="1"/>
  <c r="E284" i="1"/>
  <c r="B284" i="1"/>
  <c r="I283" i="1"/>
  <c r="G283" i="1"/>
  <c r="F283" i="1"/>
  <c r="J283" i="1" s="1"/>
  <c r="E283" i="1"/>
  <c r="B283" i="1"/>
  <c r="I282" i="1"/>
  <c r="E282" i="1"/>
  <c r="B282" i="1"/>
  <c r="I281" i="1"/>
  <c r="F281" i="1"/>
  <c r="J281" i="1" s="1"/>
  <c r="E281" i="1"/>
  <c r="B281" i="1"/>
  <c r="I280" i="1"/>
  <c r="E280" i="1"/>
  <c r="B280" i="1"/>
  <c r="I279" i="1"/>
  <c r="G279" i="1"/>
  <c r="F279" i="1"/>
  <c r="J279" i="1" s="1"/>
  <c r="E279" i="1"/>
  <c r="B279" i="1"/>
  <c r="I278" i="1"/>
  <c r="F278" i="1"/>
  <c r="J278" i="1" s="1"/>
  <c r="E278" i="1"/>
  <c r="B278" i="1"/>
  <c r="I277" i="1"/>
  <c r="G277" i="1"/>
  <c r="F277" i="1"/>
  <c r="J277" i="1" s="1"/>
  <c r="E277" i="1"/>
  <c r="B277" i="1"/>
  <c r="I276" i="1"/>
  <c r="F276" i="1"/>
  <c r="J276" i="1" s="1"/>
  <c r="E276" i="1"/>
  <c r="B276" i="1"/>
  <c r="I275" i="1"/>
  <c r="F275" i="1"/>
  <c r="J275" i="1" s="1"/>
  <c r="E275" i="1"/>
  <c r="B275" i="1"/>
  <c r="I274" i="1"/>
  <c r="E274" i="1"/>
  <c r="B274" i="1"/>
  <c r="I273" i="1"/>
  <c r="F273" i="1"/>
  <c r="J273" i="1" s="1"/>
  <c r="E273" i="1"/>
  <c r="B273" i="1"/>
  <c r="I272" i="1"/>
  <c r="E272" i="1"/>
  <c r="B272" i="1"/>
  <c r="I271" i="1"/>
  <c r="F271" i="1"/>
  <c r="J271" i="1" s="1"/>
  <c r="E271" i="1"/>
  <c r="B271" i="1"/>
  <c r="I270" i="1"/>
  <c r="G270" i="1"/>
  <c r="F270" i="1"/>
  <c r="J270" i="1" s="1"/>
  <c r="E270" i="1"/>
  <c r="B270" i="1"/>
  <c r="I269" i="1"/>
  <c r="F269" i="1"/>
  <c r="J269" i="1" s="1"/>
  <c r="E269" i="1"/>
  <c r="B269" i="1"/>
  <c r="I268" i="1"/>
  <c r="F268" i="1"/>
  <c r="J268" i="1" s="1"/>
  <c r="E268" i="1"/>
  <c r="B268" i="1"/>
  <c r="I267" i="1"/>
  <c r="F267" i="1"/>
  <c r="J267" i="1" s="1"/>
  <c r="E267" i="1"/>
  <c r="B267" i="1"/>
  <c r="I266" i="1"/>
  <c r="E266" i="1"/>
  <c r="B266" i="1"/>
  <c r="I265" i="1"/>
  <c r="F265" i="1"/>
  <c r="J265" i="1" s="1"/>
  <c r="E265" i="1"/>
  <c r="B265" i="1"/>
  <c r="I264" i="1"/>
  <c r="E264" i="1"/>
  <c r="B264" i="1"/>
  <c r="I263" i="1"/>
  <c r="G263" i="1"/>
  <c r="F263" i="1"/>
  <c r="J263" i="1" s="1"/>
  <c r="E263" i="1"/>
  <c r="B263" i="1"/>
  <c r="I262" i="1"/>
  <c r="F262" i="1"/>
  <c r="J262" i="1" s="1"/>
  <c r="E262" i="1"/>
  <c r="B262" i="1"/>
  <c r="I261" i="1"/>
  <c r="F261" i="1"/>
  <c r="J261" i="1" s="1"/>
  <c r="E261" i="1"/>
  <c r="B261" i="1"/>
  <c r="I260" i="1"/>
  <c r="F260" i="1"/>
  <c r="J260" i="1" s="1"/>
  <c r="E260" i="1"/>
  <c r="B260" i="1"/>
  <c r="I259" i="1"/>
  <c r="F259" i="1"/>
  <c r="J259" i="1" s="1"/>
  <c r="E259" i="1"/>
  <c r="B259" i="1"/>
  <c r="I258" i="1"/>
  <c r="F258" i="1"/>
  <c r="J258" i="1" s="1"/>
  <c r="E258" i="1"/>
  <c r="B258" i="1"/>
  <c r="I257" i="1"/>
  <c r="F257" i="1"/>
  <c r="J257" i="1" s="1"/>
  <c r="E257" i="1"/>
  <c r="B257" i="1"/>
  <c r="I256" i="1"/>
  <c r="E256" i="1"/>
  <c r="B256" i="1"/>
  <c r="I255" i="1"/>
  <c r="F255" i="1"/>
  <c r="J255" i="1" s="1"/>
  <c r="E255" i="1"/>
  <c r="B255" i="1"/>
  <c r="I254" i="1"/>
  <c r="F254" i="1"/>
  <c r="J254" i="1" s="1"/>
  <c r="E254" i="1"/>
  <c r="B254" i="1"/>
  <c r="I253" i="1"/>
  <c r="F253" i="1"/>
  <c r="J253" i="1" s="1"/>
  <c r="E253" i="1"/>
  <c r="B253" i="1"/>
  <c r="I252" i="1"/>
  <c r="G252" i="1"/>
  <c r="F252" i="1"/>
  <c r="J252" i="1" s="1"/>
  <c r="E252" i="1"/>
  <c r="B252" i="1"/>
  <c r="I251" i="1"/>
  <c r="F251" i="1"/>
  <c r="J251" i="1" s="1"/>
  <c r="E251" i="1"/>
  <c r="B251" i="1"/>
  <c r="I250" i="1"/>
  <c r="E250" i="1"/>
  <c r="B250" i="1"/>
  <c r="I249" i="1"/>
  <c r="F249" i="1"/>
  <c r="J249" i="1" s="1"/>
  <c r="E249" i="1"/>
  <c r="B249" i="1"/>
  <c r="I248" i="1"/>
  <c r="F248" i="1"/>
  <c r="J248" i="1" s="1"/>
  <c r="E248" i="1"/>
  <c r="B248" i="1"/>
  <c r="I247" i="1"/>
  <c r="F247" i="1"/>
  <c r="J247" i="1" s="1"/>
  <c r="E247" i="1"/>
  <c r="B247" i="1"/>
  <c r="I246" i="1"/>
  <c r="F246" i="1"/>
  <c r="J246" i="1" s="1"/>
  <c r="E246" i="1"/>
  <c r="B246" i="1"/>
  <c r="I245" i="1"/>
  <c r="G245" i="1"/>
  <c r="F245" i="1"/>
  <c r="J245" i="1" s="1"/>
  <c r="E245" i="1"/>
  <c r="B245" i="1"/>
  <c r="I244" i="1"/>
  <c r="G244" i="1"/>
  <c r="F244" i="1"/>
  <c r="J244" i="1" s="1"/>
  <c r="E244" i="1"/>
  <c r="B244" i="1"/>
  <c r="I243" i="1"/>
  <c r="F243" i="1"/>
  <c r="J243" i="1" s="1"/>
  <c r="E243" i="1"/>
  <c r="B243" i="1"/>
  <c r="I242" i="1"/>
  <c r="E242" i="1"/>
  <c r="B242" i="1"/>
  <c r="I241" i="1"/>
  <c r="F241" i="1"/>
  <c r="J241" i="1" s="1"/>
  <c r="E241" i="1"/>
  <c r="B241" i="1"/>
  <c r="I240" i="1"/>
  <c r="E240" i="1"/>
  <c r="B240" i="1"/>
  <c r="I239" i="1"/>
  <c r="F239" i="1"/>
  <c r="J239" i="1" s="1"/>
  <c r="E239" i="1"/>
  <c r="B239" i="1"/>
  <c r="I238" i="1"/>
  <c r="G238" i="1"/>
  <c r="F238" i="1"/>
  <c r="J238" i="1" s="1"/>
  <c r="E238" i="1"/>
  <c r="B238" i="1"/>
  <c r="I237" i="1"/>
  <c r="F237" i="1"/>
  <c r="J237" i="1" s="1"/>
  <c r="E237" i="1"/>
  <c r="B237" i="1"/>
  <c r="I236" i="1"/>
  <c r="G236" i="1"/>
  <c r="F236" i="1"/>
  <c r="J236" i="1" s="1"/>
  <c r="E236" i="1"/>
  <c r="B236" i="1"/>
  <c r="I235" i="1"/>
  <c r="F235" i="1"/>
  <c r="J235" i="1" s="1"/>
  <c r="E235" i="1"/>
  <c r="B235" i="1"/>
  <c r="I234" i="1"/>
  <c r="E234" i="1"/>
  <c r="B234" i="1"/>
  <c r="I233" i="1"/>
  <c r="F233" i="1"/>
  <c r="J233" i="1" s="1"/>
  <c r="E233" i="1"/>
  <c r="B233" i="1"/>
  <c r="I232" i="1"/>
  <c r="F232" i="1"/>
  <c r="J232" i="1" s="1"/>
  <c r="E232" i="1"/>
  <c r="B232" i="1"/>
  <c r="I231" i="1"/>
  <c r="G231" i="1"/>
  <c r="F231" i="1"/>
  <c r="J231" i="1" s="1"/>
  <c r="E231" i="1"/>
  <c r="B231" i="1"/>
  <c r="I230" i="1"/>
  <c r="F230" i="1"/>
  <c r="J230" i="1" s="1"/>
  <c r="E230" i="1"/>
  <c r="B230" i="1"/>
  <c r="I229" i="1"/>
  <c r="G229" i="1"/>
  <c r="F229" i="1"/>
  <c r="J229" i="1" s="1"/>
  <c r="E229" i="1"/>
  <c r="B229" i="1"/>
  <c r="I228" i="1"/>
  <c r="G228" i="1"/>
  <c r="F228" i="1"/>
  <c r="J228" i="1" s="1"/>
  <c r="E228" i="1"/>
  <c r="B228" i="1"/>
  <c r="I227" i="1"/>
  <c r="F227" i="1"/>
  <c r="J227" i="1" s="1"/>
  <c r="E227" i="1"/>
  <c r="B227" i="1"/>
  <c r="I226" i="1"/>
  <c r="E226" i="1"/>
  <c r="B226" i="1"/>
  <c r="I225" i="1"/>
  <c r="F225" i="1"/>
  <c r="J225" i="1" s="1"/>
  <c r="E225" i="1"/>
  <c r="B225" i="1"/>
  <c r="I224" i="1"/>
  <c r="E224" i="1"/>
  <c r="B224" i="1"/>
  <c r="I223" i="1"/>
  <c r="F223" i="1"/>
  <c r="J223" i="1" s="1"/>
  <c r="E223" i="1"/>
  <c r="B223" i="1"/>
  <c r="I222" i="1"/>
  <c r="G222" i="1"/>
  <c r="F222" i="1"/>
  <c r="J222" i="1" s="1"/>
  <c r="E222" i="1"/>
  <c r="B222" i="1"/>
  <c r="I221" i="1"/>
  <c r="F221" i="1"/>
  <c r="J221" i="1" s="1"/>
  <c r="E221" i="1"/>
  <c r="B221" i="1"/>
  <c r="I220" i="1"/>
  <c r="G220" i="1"/>
  <c r="F220" i="1"/>
  <c r="J220" i="1" s="1"/>
  <c r="E220" i="1"/>
  <c r="B220" i="1"/>
  <c r="I219" i="1"/>
  <c r="F219" i="1"/>
  <c r="J219" i="1" s="1"/>
  <c r="E219" i="1"/>
  <c r="B219" i="1"/>
  <c r="I218" i="1"/>
  <c r="E218" i="1"/>
  <c r="B218" i="1"/>
  <c r="I217" i="1"/>
  <c r="F217" i="1"/>
  <c r="J217" i="1" s="1"/>
  <c r="E217" i="1"/>
  <c r="B217" i="1"/>
  <c r="I216" i="1"/>
  <c r="E216" i="1"/>
  <c r="B216" i="1"/>
  <c r="I215" i="1"/>
  <c r="G215" i="1"/>
  <c r="F215" i="1"/>
  <c r="J215" i="1" s="1"/>
  <c r="E215" i="1"/>
  <c r="B215" i="1"/>
  <c r="I214" i="1"/>
  <c r="F214" i="1"/>
  <c r="J214" i="1" s="1"/>
  <c r="E214" i="1"/>
  <c r="B214" i="1"/>
  <c r="I213" i="1"/>
  <c r="G213" i="1"/>
  <c r="F213" i="1"/>
  <c r="J213" i="1" s="1"/>
  <c r="E213" i="1"/>
  <c r="B213" i="1"/>
  <c r="I212" i="1"/>
  <c r="F212" i="1"/>
  <c r="J212" i="1" s="1"/>
  <c r="E212" i="1"/>
  <c r="B212" i="1"/>
  <c r="I211" i="1"/>
  <c r="F211" i="1"/>
  <c r="J211" i="1" s="1"/>
  <c r="E211" i="1"/>
  <c r="B211" i="1"/>
  <c r="I210" i="1"/>
  <c r="E210" i="1"/>
  <c r="B210" i="1"/>
  <c r="I209" i="1"/>
  <c r="F209" i="1"/>
  <c r="J209" i="1" s="1"/>
  <c r="E209" i="1"/>
  <c r="B209" i="1"/>
  <c r="I208" i="1"/>
  <c r="E208" i="1"/>
  <c r="B208" i="1"/>
  <c r="I207" i="1"/>
  <c r="F207" i="1"/>
  <c r="J207" i="1" s="1"/>
  <c r="E207" i="1"/>
  <c r="B207" i="1"/>
  <c r="I206" i="1"/>
  <c r="G206" i="1"/>
  <c r="F206" i="1"/>
  <c r="J206" i="1" s="1"/>
  <c r="E206" i="1"/>
  <c r="B206" i="1"/>
  <c r="I205" i="1"/>
  <c r="F205" i="1"/>
  <c r="J205" i="1" s="1"/>
  <c r="E205" i="1"/>
  <c r="B205" i="1"/>
  <c r="I204" i="1"/>
  <c r="F204" i="1"/>
  <c r="J204" i="1" s="1"/>
  <c r="E204" i="1"/>
  <c r="B204" i="1"/>
  <c r="I203" i="1"/>
  <c r="F203" i="1"/>
  <c r="J203" i="1" s="1"/>
  <c r="E203" i="1"/>
  <c r="B203" i="1"/>
  <c r="I202" i="1"/>
  <c r="E202" i="1"/>
  <c r="B202" i="1"/>
  <c r="I201" i="1"/>
  <c r="F201" i="1"/>
  <c r="J201" i="1" s="1"/>
  <c r="E201" i="1"/>
  <c r="B201" i="1"/>
  <c r="I200" i="1"/>
  <c r="E200" i="1"/>
  <c r="B200" i="1"/>
  <c r="I199" i="1"/>
  <c r="G199" i="1"/>
  <c r="F199" i="1"/>
  <c r="J199" i="1" s="1"/>
  <c r="E199" i="1"/>
  <c r="B199" i="1"/>
  <c r="I198" i="1"/>
  <c r="F198" i="1"/>
  <c r="J198" i="1" s="1"/>
  <c r="E198" i="1"/>
  <c r="B198" i="1"/>
  <c r="I197" i="1"/>
  <c r="F197" i="1"/>
  <c r="J197" i="1" s="1"/>
  <c r="E197" i="1"/>
  <c r="B197" i="1"/>
  <c r="I196" i="1"/>
  <c r="F196" i="1"/>
  <c r="J196" i="1" s="1"/>
  <c r="E196" i="1"/>
  <c r="B196" i="1"/>
  <c r="I195" i="1"/>
  <c r="F195" i="1"/>
  <c r="J195" i="1" s="1"/>
  <c r="E195" i="1"/>
  <c r="B195" i="1"/>
  <c r="I194" i="1"/>
  <c r="F194" i="1"/>
  <c r="J194" i="1" s="1"/>
  <c r="E194" i="1"/>
  <c r="B194" i="1"/>
  <c r="I193" i="1"/>
  <c r="F193" i="1"/>
  <c r="J193" i="1" s="1"/>
  <c r="E193" i="1"/>
  <c r="B193" i="1"/>
  <c r="I192" i="1"/>
  <c r="E192" i="1"/>
  <c r="B192" i="1"/>
  <c r="I191" i="1"/>
  <c r="F191" i="1"/>
  <c r="J191" i="1" s="1"/>
  <c r="E191" i="1"/>
  <c r="B191" i="1"/>
  <c r="I190" i="1"/>
  <c r="F190" i="1"/>
  <c r="J190" i="1" s="1"/>
  <c r="E190" i="1"/>
  <c r="B190" i="1"/>
  <c r="I189" i="1"/>
  <c r="F189" i="1"/>
  <c r="J189" i="1" s="1"/>
  <c r="E189" i="1"/>
  <c r="B189" i="1"/>
  <c r="I188" i="1"/>
  <c r="G188" i="1"/>
  <c r="F188" i="1"/>
  <c r="J188" i="1" s="1"/>
  <c r="E188" i="1"/>
  <c r="B188" i="1"/>
  <c r="I187" i="1"/>
  <c r="F187" i="1"/>
  <c r="J187" i="1" s="1"/>
  <c r="E187" i="1"/>
  <c r="B187" i="1"/>
  <c r="I186" i="1"/>
  <c r="E186" i="1"/>
  <c r="B186" i="1"/>
  <c r="I185" i="1"/>
  <c r="F185" i="1"/>
  <c r="J185" i="1" s="1"/>
  <c r="E185" i="1"/>
  <c r="B185" i="1"/>
  <c r="I184" i="1"/>
  <c r="F184" i="1"/>
  <c r="J184" i="1" s="1"/>
  <c r="E184" i="1"/>
  <c r="B184" i="1"/>
  <c r="I183" i="1"/>
  <c r="F183" i="1"/>
  <c r="J183" i="1" s="1"/>
  <c r="E183" i="1"/>
  <c r="B183" i="1"/>
  <c r="I182" i="1"/>
  <c r="F182" i="1"/>
  <c r="J182" i="1" s="1"/>
  <c r="E182" i="1"/>
  <c r="B182" i="1"/>
  <c r="I181" i="1"/>
  <c r="G181" i="1"/>
  <c r="F181" i="1"/>
  <c r="J181" i="1" s="1"/>
  <c r="E181" i="1"/>
  <c r="B181" i="1"/>
  <c r="I180" i="1"/>
  <c r="G180" i="1"/>
  <c r="F180" i="1"/>
  <c r="J180" i="1" s="1"/>
  <c r="E180" i="1"/>
  <c r="B180" i="1"/>
  <c r="I179" i="1"/>
  <c r="F179" i="1"/>
  <c r="J179" i="1" s="1"/>
  <c r="E179" i="1"/>
  <c r="B179" i="1"/>
  <c r="I178" i="1"/>
  <c r="E178" i="1"/>
  <c r="B178" i="1"/>
  <c r="I177" i="1"/>
  <c r="F177" i="1"/>
  <c r="J177" i="1" s="1"/>
  <c r="E177" i="1"/>
  <c r="B177" i="1"/>
  <c r="I176" i="1"/>
  <c r="F176" i="1"/>
  <c r="J176" i="1" s="1"/>
  <c r="E176" i="1"/>
  <c r="B176" i="1"/>
  <c r="I175" i="1"/>
  <c r="F175" i="1"/>
  <c r="J175" i="1" s="1"/>
  <c r="E175" i="1"/>
  <c r="B175" i="1"/>
  <c r="I174" i="1"/>
  <c r="G174" i="1"/>
  <c r="F174" i="1"/>
  <c r="J174" i="1" s="1"/>
  <c r="E174" i="1"/>
  <c r="B174" i="1"/>
  <c r="I173" i="1"/>
  <c r="F173" i="1"/>
  <c r="J173" i="1" s="1"/>
  <c r="E173" i="1"/>
  <c r="B173" i="1"/>
  <c r="I172" i="1"/>
  <c r="G172" i="1"/>
  <c r="F172" i="1"/>
  <c r="J172" i="1" s="1"/>
  <c r="E172" i="1"/>
  <c r="B172" i="1"/>
  <c r="I171" i="1"/>
  <c r="F171" i="1"/>
  <c r="J171" i="1" s="1"/>
  <c r="E171" i="1"/>
  <c r="B171" i="1"/>
  <c r="I170" i="1"/>
  <c r="E170" i="1"/>
  <c r="B170" i="1"/>
  <c r="I169" i="1"/>
  <c r="F169" i="1"/>
  <c r="J169" i="1" s="1"/>
  <c r="E169" i="1"/>
  <c r="B169" i="1"/>
  <c r="I168" i="1"/>
  <c r="F168" i="1"/>
  <c r="J168" i="1" s="1"/>
  <c r="E168" i="1"/>
  <c r="B168" i="1"/>
  <c r="I167" i="1"/>
  <c r="G167" i="1"/>
  <c r="F167" i="1"/>
  <c r="J167" i="1" s="1"/>
  <c r="E167" i="1"/>
  <c r="B167" i="1"/>
  <c r="I166" i="1"/>
  <c r="F166" i="1"/>
  <c r="J166" i="1" s="1"/>
  <c r="E166" i="1"/>
  <c r="B166" i="1"/>
  <c r="I165" i="1"/>
  <c r="G165" i="1"/>
  <c r="F165" i="1"/>
  <c r="J165" i="1" s="1"/>
  <c r="E165" i="1"/>
  <c r="B165" i="1"/>
  <c r="I164" i="1"/>
  <c r="G164" i="1"/>
  <c r="F164" i="1"/>
  <c r="J164" i="1" s="1"/>
  <c r="E164" i="1"/>
  <c r="B164" i="1"/>
  <c r="I163" i="1"/>
  <c r="F163" i="1"/>
  <c r="J163" i="1" s="1"/>
  <c r="E163" i="1"/>
  <c r="B163" i="1"/>
  <c r="I162" i="1"/>
  <c r="E162" i="1"/>
  <c r="B162" i="1"/>
  <c r="I161" i="1"/>
  <c r="F161" i="1"/>
  <c r="J161" i="1" s="1"/>
  <c r="E161" i="1"/>
  <c r="B161" i="1"/>
  <c r="I160" i="1"/>
  <c r="E160" i="1"/>
  <c r="B160" i="1"/>
  <c r="I159" i="1"/>
  <c r="F159" i="1"/>
  <c r="J159" i="1" s="1"/>
  <c r="E159" i="1"/>
  <c r="B159" i="1"/>
  <c r="I158" i="1"/>
  <c r="G158" i="1"/>
  <c r="F158" i="1"/>
  <c r="J158" i="1" s="1"/>
  <c r="E158" i="1"/>
  <c r="B158" i="1"/>
  <c r="I157" i="1"/>
  <c r="F157" i="1"/>
  <c r="J157" i="1" s="1"/>
  <c r="E157" i="1"/>
  <c r="B157" i="1"/>
  <c r="I156" i="1"/>
  <c r="G156" i="1"/>
  <c r="F156" i="1"/>
  <c r="J156" i="1" s="1"/>
  <c r="E156" i="1"/>
  <c r="B156" i="1"/>
  <c r="I155" i="1"/>
  <c r="F155" i="1"/>
  <c r="J155" i="1" s="1"/>
  <c r="E155" i="1"/>
  <c r="B155" i="1"/>
  <c r="I154" i="1"/>
  <c r="E154" i="1"/>
  <c r="B154" i="1"/>
  <c r="I153" i="1"/>
  <c r="F153" i="1"/>
  <c r="J153" i="1" s="1"/>
  <c r="E153" i="1"/>
  <c r="B153" i="1"/>
  <c r="I152" i="1"/>
  <c r="E152" i="1"/>
  <c r="B152" i="1"/>
  <c r="I151" i="1"/>
  <c r="G151" i="1"/>
  <c r="F151" i="1"/>
  <c r="J151" i="1" s="1"/>
  <c r="E151" i="1"/>
  <c r="B151" i="1"/>
  <c r="I150" i="1"/>
  <c r="F150" i="1"/>
  <c r="J150" i="1" s="1"/>
  <c r="E150" i="1"/>
  <c r="B150" i="1"/>
  <c r="I149" i="1"/>
  <c r="G149" i="1"/>
  <c r="F149" i="1"/>
  <c r="J149" i="1" s="1"/>
  <c r="E149" i="1"/>
  <c r="B149" i="1"/>
  <c r="I148" i="1"/>
  <c r="F148" i="1"/>
  <c r="J148" i="1" s="1"/>
  <c r="E148" i="1"/>
  <c r="B148" i="1"/>
  <c r="I147" i="1"/>
  <c r="F147" i="1"/>
  <c r="J147" i="1" s="1"/>
  <c r="E147" i="1"/>
  <c r="B147" i="1"/>
  <c r="I146" i="1"/>
  <c r="E146" i="1"/>
  <c r="B146" i="1"/>
  <c r="I145" i="1"/>
  <c r="F145" i="1"/>
  <c r="J145" i="1" s="1"/>
  <c r="E145" i="1"/>
  <c r="B145" i="1"/>
  <c r="I144" i="1"/>
  <c r="G144" i="1"/>
  <c r="F144" i="1"/>
  <c r="J144" i="1" s="1"/>
  <c r="E144" i="1"/>
  <c r="B144" i="1"/>
  <c r="I143" i="1"/>
  <c r="F143" i="1"/>
  <c r="J143" i="1" s="1"/>
  <c r="E143" i="1"/>
  <c r="B143" i="1"/>
  <c r="I142" i="1"/>
  <c r="G142" i="1"/>
  <c r="F142" i="1"/>
  <c r="J142" i="1" s="1"/>
  <c r="E142" i="1"/>
  <c r="B142" i="1"/>
  <c r="I141" i="1"/>
  <c r="F141" i="1"/>
  <c r="J141" i="1" s="1"/>
  <c r="E141" i="1"/>
  <c r="B141" i="1"/>
  <c r="I140" i="1"/>
  <c r="F140" i="1"/>
  <c r="J140" i="1" s="1"/>
  <c r="E140" i="1"/>
  <c r="B140" i="1"/>
  <c r="I139" i="1"/>
  <c r="F139" i="1"/>
  <c r="J139" i="1" s="1"/>
  <c r="E139" i="1"/>
  <c r="B139" i="1"/>
  <c r="I138" i="1"/>
  <c r="E138" i="1"/>
  <c r="B138" i="1"/>
  <c r="I137" i="1"/>
  <c r="F137" i="1"/>
  <c r="J137" i="1" s="1"/>
  <c r="E137" i="1"/>
  <c r="B137" i="1"/>
  <c r="I136" i="1"/>
  <c r="G136" i="1"/>
  <c r="F136" i="1"/>
  <c r="J136" i="1" s="1"/>
  <c r="E136" i="1"/>
  <c r="B136" i="1"/>
  <c r="I135" i="1"/>
  <c r="G135" i="1"/>
  <c r="F135" i="1"/>
  <c r="J135" i="1" s="1"/>
  <c r="E135" i="1"/>
  <c r="B135" i="1"/>
  <c r="I134" i="1"/>
  <c r="F134" i="1"/>
  <c r="J134" i="1" s="1"/>
  <c r="E134" i="1"/>
  <c r="B134" i="1"/>
  <c r="I133" i="1"/>
  <c r="F133" i="1"/>
  <c r="J133" i="1" s="1"/>
  <c r="E133" i="1"/>
  <c r="B133" i="1"/>
  <c r="I132" i="1"/>
  <c r="F132" i="1"/>
  <c r="J132" i="1" s="1"/>
  <c r="E132" i="1"/>
  <c r="B132" i="1"/>
  <c r="I131" i="1"/>
  <c r="F131" i="1"/>
  <c r="J131" i="1" s="1"/>
  <c r="E131" i="1"/>
  <c r="B131" i="1"/>
  <c r="I130" i="1"/>
  <c r="F130" i="1"/>
  <c r="J130" i="1" s="1"/>
  <c r="E130" i="1"/>
  <c r="B130" i="1"/>
  <c r="I129" i="1"/>
  <c r="F129" i="1"/>
  <c r="J129" i="1" s="1"/>
  <c r="E129" i="1"/>
  <c r="B129" i="1"/>
  <c r="I128" i="1"/>
  <c r="E128" i="1"/>
  <c r="B128" i="1"/>
  <c r="I127" i="1"/>
  <c r="F127" i="1"/>
  <c r="J127" i="1" s="1"/>
  <c r="E127" i="1"/>
  <c r="B127" i="1"/>
  <c r="I126" i="1"/>
  <c r="F126" i="1"/>
  <c r="J126" i="1" s="1"/>
  <c r="E126" i="1"/>
  <c r="B126" i="1"/>
  <c r="I125" i="1"/>
  <c r="F125" i="1"/>
  <c r="J125" i="1" s="1"/>
  <c r="E125" i="1"/>
  <c r="B125" i="1"/>
  <c r="I124" i="1"/>
  <c r="G124" i="1"/>
  <c r="F124" i="1"/>
  <c r="J124" i="1" s="1"/>
  <c r="E124" i="1"/>
  <c r="B124" i="1"/>
  <c r="I123" i="1"/>
  <c r="F123" i="1"/>
  <c r="J123" i="1" s="1"/>
  <c r="E123" i="1"/>
  <c r="B123" i="1"/>
  <c r="I122" i="1"/>
  <c r="E122" i="1"/>
  <c r="B122" i="1"/>
  <c r="I121" i="1"/>
  <c r="F121" i="1"/>
  <c r="J121" i="1" s="1"/>
  <c r="E121" i="1"/>
  <c r="B121" i="1"/>
  <c r="I120" i="1"/>
  <c r="F120" i="1"/>
  <c r="J120" i="1" s="1"/>
  <c r="E120" i="1"/>
  <c r="B120" i="1"/>
  <c r="I119" i="1"/>
  <c r="F119" i="1"/>
  <c r="J119" i="1" s="1"/>
  <c r="E119" i="1"/>
  <c r="B119" i="1"/>
  <c r="I118" i="1"/>
  <c r="F118" i="1"/>
  <c r="J118" i="1" s="1"/>
  <c r="E118" i="1"/>
  <c r="B118" i="1"/>
  <c r="I117" i="1"/>
  <c r="G117" i="1"/>
  <c r="F117" i="1"/>
  <c r="J117" i="1" s="1"/>
  <c r="E117" i="1"/>
  <c r="B117" i="1"/>
  <c r="I116" i="1"/>
  <c r="G116" i="1"/>
  <c r="F116" i="1"/>
  <c r="J116" i="1" s="1"/>
  <c r="E116" i="1"/>
  <c r="B116" i="1"/>
  <c r="I115" i="1"/>
  <c r="F115" i="1"/>
  <c r="J115" i="1" s="1"/>
  <c r="E115" i="1"/>
  <c r="B115" i="1"/>
  <c r="I114" i="1"/>
  <c r="E114" i="1"/>
  <c r="B114" i="1"/>
  <c r="I113" i="1"/>
  <c r="F113" i="1"/>
  <c r="J113" i="1" s="1"/>
  <c r="E113" i="1"/>
  <c r="B113" i="1"/>
  <c r="I112" i="1"/>
  <c r="F112" i="1"/>
  <c r="J112" i="1" s="1"/>
  <c r="E112" i="1"/>
  <c r="B112" i="1"/>
  <c r="I111" i="1"/>
  <c r="F111" i="1"/>
  <c r="J111" i="1" s="1"/>
  <c r="E111" i="1"/>
  <c r="B111" i="1"/>
  <c r="I110" i="1"/>
  <c r="G110" i="1"/>
  <c r="F110" i="1"/>
  <c r="J110" i="1" s="1"/>
  <c r="E110" i="1"/>
  <c r="B110" i="1"/>
  <c r="I109" i="1"/>
  <c r="G109" i="1"/>
  <c r="F109" i="1"/>
  <c r="J109" i="1" s="1"/>
  <c r="E109" i="1"/>
  <c r="B109" i="1"/>
  <c r="I108" i="1"/>
  <c r="G108" i="1"/>
  <c r="F108" i="1"/>
  <c r="J108" i="1" s="1"/>
  <c r="E108" i="1"/>
  <c r="B108" i="1"/>
  <c r="I107" i="1"/>
  <c r="F107" i="1"/>
  <c r="J107" i="1" s="1"/>
  <c r="E107" i="1"/>
  <c r="B107" i="1"/>
  <c r="I106" i="1"/>
  <c r="E106" i="1"/>
  <c r="B106" i="1"/>
  <c r="I105" i="1"/>
  <c r="F105" i="1"/>
  <c r="J105" i="1" s="1"/>
  <c r="E105" i="1"/>
  <c r="B105" i="1"/>
  <c r="I104" i="1"/>
  <c r="F104" i="1"/>
  <c r="J104" i="1" s="1"/>
  <c r="E104" i="1"/>
  <c r="B104" i="1"/>
  <c r="I103" i="1"/>
  <c r="G103" i="1"/>
  <c r="F103" i="1"/>
  <c r="J103" i="1" s="1"/>
  <c r="E103" i="1"/>
  <c r="B103" i="1"/>
  <c r="I102" i="1"/>
  <c r="F102" i="1"/>
  <c r="J102" i="1" s="1"/>
  <c r="E102" i="1"/>
  <c r="B102" i="1"/>
  <c r="I101" i="1"/>
  <c r="G101" i="1"/>
  <c r="F101" i="1"/>
  <c r="J101" i="1" s="1"/>
  <c r="E101" i="1"/>
  <c r="B101" i="1"/>
  <c r="I100" i="1"/>
  <c r="G100" i="1"/>
  <c r="F100" i="1"/>
  <c r="J100" i="1" s="1"/>
  <c r="E100" i="1"/>
  <c r="B100" i="1"/>
  <c r="I99" i="1"/>
  <c r="F99" i="1"/>
  <c r="J99" i="1" s="1"/>
  <c r="E99" i="1"/>
  <c r="B99" i="1"/>
  <c r="I98" i="1"/>
  <c r="E98" i="1"/>
  <c r="B98" i="1"/>
  <c r="I97" i="1"/>
  <c r="F97" i="1"/>
  <c r="J97" i="1" s="1"/>
  <c r="E97" i="1"/>
  <c r="B97" i="1"/>
  <c r="I96" i="1"/>
  <c r="E96" i="1"/>
  <c r="B96" i="1"/>
  <c r="I95" i="1"/>
  <c r="F95" i="1"/>
  <c r="J95" i="1" s="1"/>
  <c r="E95" i="1"/>
  <c r="B95" i="1"/>
  <c r="I94" i="1"/>
  <c r="G94" i="1"/>
  <c r="F94" i="1"/>
  <c r="J94" i="1" s="1"/>
  <c r="E94" i="1"/>
  <c r="B94" i="1"/>
  <c r="I93" i="1"/>
  <c r="F93" i="1"/>
  <c r="J93" i="1" s="1"/>
  <c r="E93" i="1"/>
  <c r="B93" i="1"/>
  <c r="I92" i="1"/>
  <c r="G92" i="1"/>
  <c r="F92" i="1"/>
  <c r="J92" i="1" s="1"/>
  <c r="E92" i="1"/>
  <c r="B92" i="1"/>
  <c r="I91" i="1"/>
  <c r="F91" i="1"/>
  <c r="J91" i="1" s="1"/>
  <c r="E91" i="1"/>
  <c r="B91" i="1"/>
  <c r="I90" i="1"/>
  <c r="E90" i="1"/>
  <c r="B90" i="1"/>
  <c r="I89" i="1"/>
  <c r="F89" i="1"/>
  <c r="J89" i="1" s="1"/>
  <c r="E89" i="1"/>
  <c r="B89" i="1"/>
  <c r="I88" i="1"/>
  <c r="E88" i="1"/>
  <c r="B88" i="1"/>
  <c r="I87" i="1"/>
  <c r="G87" i="1"/>
  <c r="F87" i="1"/>
  <c r="J87" i="1" s="1"/>
  <c r="E87" i="1"/>
  <c r="B87" i="1"/>
  <c r="I86" i="1"/>
  <c r="F86" i="1"/>
  <c r="J86" i="1" s="1"/>
  <c r="E86" i="1"/>
  <c r="B86" i="1"/>
  <c r="I85" i="1"/>
  <c r="G85" i="1"/>
  <c r="F85" i="1"/>
  <c r="J85" i="1" s="1"/>
  <c r="E85" i="1"/>
  <c r="B85" i="1"/>
  <c r="I84" i="1"/>
  <c r="F84" i="1"/>
  <c r="J84" i="1" s="1"/>
  <c r="E84" i="1"/>
  <c r="B84" i="1"/>
  <c r="I83" i="1"/>
  <c r="F83" i="1"/>
  <c r="J83" i="1" s="1"/>
  <c r="E83" i="1"/>
  <c r="B83" i="1"/>
  <c r="I82" i="1"/>
  <c r="E82" i="1"/>
  <c r="B82" i="1"/>
  <c r="I81" i="1"/>
  <c r="F81" i="1"/>
  <c r="J81" i="1" s="1"/>
  <c r="E81" i="1"/>
  <c r="B81" i="1"/>
  <c r="I80" i="1"/>
  <c r="G80" i="1"/>
  <c r="F80" i="1"/>
  <c r="J80" i="1" s="1"/>
  <c r="E80" i="1"/>
  <c r="B80" i="1"/>
  <c r="I79" i="1"/>
  <c r="F79" i="1"/>
  <c r="J79" i="1" s="1"/>
  <c r="E79" i="1"/>
  <c r="B79" i="1"/>
  <c r="I78" i="1"/>
  <c r="F78" i="1"/>
  <c r="J78" i="1" s="1"/>
  <c r="E78" i="1"/>
  <c r="B78" i="1"/>
  <c r="I77" i="1"/>
  <c r="G77" i="1"/>
  <c r="F77" i="1"/>
  <c r="J77" i="1" s="1"/>
  <c r="E77" i="1"/>
  <c r="B77" i="1"/>
  <c r="I76" i="1"/>
  <c r="F76" i="1"/>
  <c r="J76" i="1" s="1"/>
  <c r="E76" i="1"/>
  <c r="B76" i="1"/>
  <c r="I75" i="1"/>
  <c r="F75" i="1"/>
  <c r="J75" i="1" s="1"/>
  <c r="E75" i="1"/>
  <c r="B75" i="1"/>
  <c r="I74" i="1"/>
  <c r="E74" i="1"/>
  <c r="B74" i="1"/>
  <c r="I73" i="1"/>
  <c r="F73" i="1"/>
  <c r="J73" i="1" s="1"/>
  <c r="E73" i="1"/>
  <c r="B73" i="1"/>
  <c r="I72" i="1"/>
  <c r="F72" i="1"/>
  <c r="J72" i="1" s="1"/>
  <c r="E72" i="1"/>
  <c r="B72" i="1"/>
  <c r="I71" i="1"/>
  <c r="F71" i="1"/>
  <c r="J71" i="1" s="1"/>
  <c r="E71" i="1"/>
  <c r="B71" i="1"/>
  <c r="I70" i="1"/>
  <c r="G70" i="1"/>
  <c r="F70" i="1"/>
  <c r="J70" i="1" s="1"/>
  <c r="E70" i="1"/>
  <c r="B70" i="1"/>
  <c r="I69" i="1"/>
  <c r="G69" i="1"/>
  <c r="F69" i="1"/>
  <c r="J69" i="1" s="1"/>
  <c r="E69" i="1"/>
  <c r="B69" i="1"/>
  <c r="I68" i="1"/>
  <c r="F68" i="1"/>
  <c r="J68" i="1" s="1"/>
  <c r="E68" i="1"/>
  <c r="B68" i="1"/>
  <c r="I67" i="1"/>
  <c r="F67" i="1"/>
  <c r="J67" i="1" s="1"/>
  <c r="E67" i="1"/>
  <c r="B67" i="1"/>
  <c r="I66" i="1"/>
  <c r="E66" i="1"/>
  <c r="B66" i="1"/>
  <c r="I65" i="1"/>
  <c r="F65" i="1"/>
  <c r="J65" i="1" s="1"/>
  <c r="E65" i="1"/>
  <c r="B65" i="1"/>
  <c r="I64" i="1"/>
  <c r="G64" i="1"/>
  <c r="F64" i="1"/>
  <c r="J64" i="1" s="1"/>
  <c r="E64" i="1"/>
  <c r="B64" i="1"/>
  <c r="I63" i="1"/>
  <c r="F63" i="1"/>
  <c r="J63" i="1" s="1"/>
  <c r="E63" i="1"/>
  <c r="B63" i="1"/>
  <c r="I62" i="1"/>
  <c r="F62" i="1"/>
  <c r="J62" i="1" s="1"/>
  <c r="E62" i="1"/>
  <c r="B62" i="1"/>
  <c r="I61" i="1"/>
  <c r="G61" i="1"/>
  <c r="F61" i="1"/>
  <c r="J61" i="1" s="1"/>
  <c r="E61" i="1"/>
  <c r="B61" i="1"/>
  <c r="I60" i="1"/>
  <c r="F60" i="1"/>
  <c r="J60" i="1" s="1"/>
  <c r="E60" i="1"/>
  <c r="B60" i="1"/>
  <c r="I59" i="1"/>
  <c r="F59" i="1"/>
  <c r="J59" i="1" s="1"/>
  <c r="E59" i="1"/>
  <c r="B59" i="1"/>
  <c r="I58" i="1"/>
  <c r="E58" i="1"/>
  <c r="B58" i="1"/>
  <c r="I57" i="1"/>
  <c r="F57" i="1"/>
  <c r="J57" i="1" s="1"/>
  <c r="E57" i="1"/>
  <c r="B57" i="1"/>
  <c r="I56" i="1"/>
  <c r="F56" i="1"/>
  <c r="J56" i="1" s="1"/>
  <c r="E56" i="1"/>
  <c r="B56" i="1"/>
  <c r="I55" i="1"/>
  <c r="F55" i="1"/>
  <c r="J55" i="1" s="1"/>
  <c r="E55" i="1"/>
  <c r="B55" i="1"/>
  <c r="I54" i="1"/>
  <c r="G54" i="1"/>
  <c r="F54" i="1"/>
  <c r="J54" i="1" s="1"/>
  <c r="E54" i="1"/>
  <c r="B54" i="1"/>
  <c r="I53" i="1"/>
  <c r="G53" i="1"/>
  <c r="F53" i="1"/>
  <c r="J53" i="1" s="1"/>
  <c r="E53" i="1"/>
  <c r="B53" i="1"/>
  <c r="I52" i="1"/>
  <c r="F52" i="1"/>
  <c r="J52" i="1" s="1"/>
  <c r="E52" i="1"/>
  <c r="B52" i="1"/>
  <c r="I51" i="1"/>
  <c r="F51" i="1"/>
  <c r="J51" i="1" s="1"/>
  <c r="E51" i="1"/>
  <c r="B51" i="1"/>
  <c r="I50" i="1"/>
  <c r="E50" i="1"/>
  <c r="B50" i="1"/>
  <c r="I49" i="1"/>
  <c r="F49" i="1"/>
  <c r="J49" i="1" s="1"/>
  <c r="E49" i="1"/>
  <c r="B49" i="1"/>
  <c r="I48" i="1"/>
  <c r="G48" i="1"/>
  <c r="F48" i="1"/>
  <c r="J48" i="1" s="1"/>
  <c r="E48" i="1"/>
  <c r="B48" i="1"/>
  <c r="I47" i="1"/>
  <c r="F47" i="1"/>
  <c r="J47" i="1" s="1"/>
  <c r="E47" i="1"/>
  <c r="B47" i="1"/>
  <c r="I46" i="1"/>
  <c r="F46" i="1"/>
  <c r="J46" i="1" s="1"/>
  <c r="E46" i="1"/>
  <c r="B46" i="1"/>
  <c r="I45" i="1"/>
  <c r="G45" i="1"/>
  <c r="F45" i="1"/>
  <c r="J45" i="1" s="1"/>
  <c r="E45" i="1"/>
  <c r="B45" i="1"/>
  <c r="I44" i="1"/>
  <c r="F44" i="1"/>
  <c r="J44" i="1" s="1"/>
  <c r="E44" i="1"/>
  <c r="B44" i="1"/>
  <c r="I43" i="1"/>
  <c r="F43" i="1"/>
  <c r="J43" i="1" s="1"/>
  <c r="E43" i="1"/>
  <c r="B43" i="1"/>
  <c r="I42" i="1"/>
  <c r="E42" i="1"/>
  <c r="B42" i="1"/>
  <c r="I41" i="1"/>
  <c r="F41" i="1"/>
  <c r="J41" i="1" s="1"/>
  <c r="E41" i="1"/>
  <c r="B41" i="1"/>
  <c r="I40" i="1"/>
  <c r="F40" i="1"/>
  <c r="J40" i="1" s="1"/>
  <c r="E40" i="1"/>
  <c r="B40" i="1"/>
  <c r="I39" i="1"/>
  <c r="F39" i="1"/>
  <c r="J39" i="1" s="1"/>
  <c r="E39" i="1"/>
  <c r="B39" i="1"/>
  <c r="I38" i="1"/>
  <c r="G38" i="1"/>
  <c r="F38" i="1"/>
  <c r="J38" i="1" s="1"/>
  <c r="E38" i="1"/>
  <c r="B38" i="1"/>
  <c r="I37" i="1"/>
  <c r="G37" i="1"/>
  <c r="F37" i="1"/>
  <c r="J37" i="1" s="1"/>
  <c r="E37" i="1"/>
  <c r="B37" i="1"/>
  <c r="I36" i="1"/>
  <c r="F36" i="1"/>
  <c r="J36" i="1" s="1"/>
  <c r="E36" i="1"/>
  <c r="B36" i="1"/>
  <c r="I35" i="1"/>
  <c r="F35" i="1"/>
  <c r="J35" i="1" s="1"/>
  <c r="E35" i="1"/>
  <c r="B35" i="1"/>
  <c r="I34" i="1"/>
  <c r="E34" i="1"/>
  <c r="B34" i="1"/>
  <c r="I33" i="1"/>
  <c r="F33" i="1"/>
  <c r="J33" i="1" s="1"/>
  <c r="E33" i="1"/>
  <c r="B33" i="1"/>
  <c r="I32" i="1"/>
  <c r="G32" i="1"/>
  <c r="F32" i="1"/>
  <c r="J32" i="1" s="1"/>
  <c r="E32" i="1"/>
  <c r="B32" i="1"/>
  <c r="I31" i="1"/>
  <c r="F31" i="1"/>
  <c r="J31" i="1" s="1"/>
  <c r="E31" i="1"/>
  <c r="B31" i="1"/>
  <c r="I30" i="1"/>
  <c r="F30" i="1"/>
  <c r="J30" i="1" s="1"/>
  <c r="E30" i="1"/>
  <c r="B30" i="1"/>
  <c r="I29" i="1"/>
  <c r="G29" i="1"/>
  <c r="F29" i="1"/>
  <c r="J29" i="1" s="1"/>
  <c r="E29" i="1"/>
  <c r="B29" i="1"/>
  <c r="I28" i="1"/>
  <c r="F28" i="1"/>
  <c r="J28" i="1" s="1"/>
  <c r="E28" i="1"/>
  <c r="B28" i="1"/>
  <c r="I27" i="1"/>
  <c r="F27" i="1"/>
  <c r="J27" i="1" s="1"/>
  <c r="E27" i="1"/>
  <c r="B27" i="1"/>
  <c r="I26" i="1"/>
  <c r="E26" i="1"/>
  <c r="B26" i="1"/>
  <c r="I25" i="1"/>
  <c r="F25" i="1"/>
  <c r="J25" i="1" s="1"/>
  <c r="E25" i="1"/>
  <c r="B25" i="1"/>
  <c r="I24" i="1"/>
  <c r="F24" i="1"/>
  <c r="J24" i="1" s="1"/>
  <c r="E24" i="1"/>
  <c r="B24" i="1"/>
  <c r="I23" i="1"/>
  <c r="F23" i="1"/>
  <c r="J23" i="1" s="1"/>
  <c r="E23" i="1"/>
  <c r="B23" i="1"/>
  <c r="I22" i="1"/>
  <c r="G22" i="1"/>
  <c r="F22" i="1"/>
  <c r="J22" i="1" s="1"/>
  <c r="E22" i="1"/>
  <c r="B22" i="1"/>
  <c r="I21" i="1"/>
  <c r="G21" i="1"/>
  <c r="F21" i="1"/>
  <c r="J21" i="1" s="1"/>
  <c r="E21" i="1"/>
  <c r="B21" i="1"/>
  <c r="I20" i="1"/>
  <c r="F20" i="1"/>
  <c r="J20" i="1" s="1"/>
  <c r="E20" i="1"/>
  <c r="B20" i="1"/>
  <c r="I19" i="1"/>
  <c r="F19" i="1"/>
  <c r="J19" i="1" s="1"/>
  <c r="E19" i="1"/>
  <c r="B19" i="1"/>
  <c r="I18" i="1"/>
  <c r="F18" i="1"/>
  <c r="J18" i="1" s="1"/>
  <c r="E18" i="1"/>
  <c r="B18" i="1"/>
  <c r="I17" i="1"/>
  <c r="F17" i="1"/>
  <c r="J17" i="1" s="1"/>
  <c r="E17" i="1"/>
  <c r="B17" i="1"/>
  <c r="I16" i="1"/>
  <c r="G16" i="1"/>
  <c r="F16" i="1"/>
  <c r="J16" i="1" s="1"/>
  <c r="E16" i="1"/>
  <c r="B16" i="1"/>
  <c r="I15" i="1"/>
  <c r="F15" i="1"/>
  <c r="J15" i="1" s="1"/>
  <c r="E15" i="1"/>
  <c r="B15" i="1"/>
  <c r="I14" i="1"/>
  <c r="F14" i="1"/>
  <c r="J14" i="1" s="1"/>
  <c r="E14" i="1"/>
  <c r="B14" i="1"/>
  <c r="I13" i="1"/>
  <c r="G13" i="1"/>
  <c r="F13" i="1"/>
  <c r="J13" i="1" s="1"/>
  <c r="E13" i="1"/>
  <c r="B13" i="1"/>
  <c r="I12" i="1"/>
  <c r="F12" i="1"/>
  <c r="J12" i="1" s="1"/>
  <c r="E12" i="1"/>
  <c r="B12" i="1"/>
  <c r="I11" i="1"/>
  <c r="F11" i="1"/>
  <c r="J11" i="1" s="1"/>
  <c r="E11" i="1"/>
  <c r="B11" i="1"/>
  <c r="O10" i="1"/>
  <c r="N10" i="1"/>
  <c r="I10" i="1"/>
  <c r="E10" i="1"/>
  <c r="B10" i="1"/>
  <c r="N9" i="1"/>
  <c r="I9" i="1"/>
  <c r="F9" i="1"/>
  <c r="J9" i="1" s="1"/>
  <c r="E9" i="1"/>
  <c r="B9" i="1"/>
  <c r="I8" i="1"/>
  <c r="F8" i="1"/>
  <c r="J8" i="1" s="1"/>
  <c r="E8" i="1"/>
  <c r="B8" i="1"/>
  <c r="I7" i="1"/>
  <c r="G7" i="1"/>
  <c r="F7" i="1"/>
  <c r="J7" i="1" s="1"/>
  <c r="E7" i="1"/>
  <c r="B7" i="1"/>
  <c r="I6" i="1"/>
  <c r="F6" i="1"/>
  <c r="J6" i="1" s="1"/>
  <c r="E6" i="1"/>
  <c r="B6" i="1"/>
  <c r="I5" i="1"/>
  <c r="F5" i="1"/>
  <c r="J5" i="1" s="1"/>
  <c r="E5" i="1"/>
  <c r="B5" i="1"/>
  <c r="I4" i="1"/>
  <c r="G4" i="1"/>
  <c r="F4" i="1"/>
  <c r="J4" i="1" s="1"/>
  <c r="E4" i="1"/>
  <c r="B4" i="1"/>
  <c r="I3" i="1"/>
  <c r="F3" i="1"/>
  <c r="J3" i="1" s="1"/>
  <c r="B3" i="1"/>
  <c r="A2" i="1"/>
  <c r="J282" i="1" l="1"/>
  <c r="G282" i="1"/>
  <c r="J593" i="1"/>
  <c r="G593" i="1"/>
  <c r="J577" i="1"/>
  <c r="G577" i="1"/>
  <c r="J600" i="1"/>
  <c r="G600" i="1"/>
  <c r="G592" i="1"/>
  <c r="J592" i="1"/>
  <c r="G584" i="1"/>
  <c r="J584" i="1"/>
  <c r="G568" i="1"/>
  <c r="J568" i="1"/>
  <c r="G472" i="1"/>
  <c r="J472" i="1"/>
  <c r="J344" i="1"/>
  <c r="G344" i="1"/>
  <c r="J320" i="1"/>
  <c r="G320" i="1"/>
  <c r="J296" i="1"/>
  <c r="G296" i="1"/>
  <c r="J288" i="1"/>
  <c r="G288" i="1"/>
  <c r="J280" i="1"/>
  <c r="G280" i="1"/>
  <c r="J272" i="1"/>
  <c r="G272" i="1"/>
  <c r="J264" i="1"/>
  <c r="G264" i="1"/>
  <c r="J256" i="1"/>
  <c r="G256" i="1"/>
  <c r="J240" i="1"/>
  <c r="G240" i="1"/>
  <c r="J224" i="1"/>
  <c r="G224" i="1"/>
  <c r="G216" i="1"/>
  <c r="J216" i="1"/>
  <c r="J208" i="1"/>
  <c r="G208" i="1"/>
  <c r="J200" i="1"/>
  <c r="G200" i="1"/>
  <c r="J192" i="1"/>
  <c r="G192" i="1"/>
  <c r="J160" i="1"/>
  <c r="G160" i="1"/>
  <c r="J152" i="1"/>
  <c r="G152" i="1"/>
  <c r="J128" i="1"/>
  <c r="G128" i="1"/>
  <c r="J96" i="1"/>
  <c r="G96" i="1"/>
  <c r="J88" i="1"/>
  <c r="G88" i="1"/>
  <c r="G597" i="1"/>
  <c r="J597" i="1"/>
  <c r="G581" i="1"/>
  <c r="J581" i="1"/>
  <c r="G14" i="1"/>
  <c r="G30" i="1"/>
  <c r="G46" i="1"/>
  <c r="G62" i="1"/>
  <c r="G78" i="1"/>
  <c r="G104" i="1"/>
  <c r="G111" i="1"/>
  <c r="G118" i="1"/>
  <c r="G125" i="1"/>
  <c r="G132" i="1"/>
  <c r="G168" i="1"/>
  <c r="G175" i="1"/>
  <c r="G182" i="1"/>
  <c r="G189" i="1"/>
  <c r="G196" i="1"/>
  <c r="G232" i="1"/>
  <c r="G239" i="1"/>
  <c r="G246" i="1"/>
  <c r="G253" i="1"/>
  <c r="G260" i="1"/>
  <c r="G284" i="1"/>
  <c r="G289" i="1"/>
  <c r="G291" i="1"/>
  <c r="G308" i="1"/>
  <c r="G319" i="1"/>
  <c r="G328" i="1"/>
  <c r="G347" i="1"/>
  <c r="G372" i="1"/>
  <c r="G411" i="1"/>
  <c r="G436" i="1"/>
  <c r="G475" i="1"/>
  <c r="G500" i="1"/>
  <c r="G539" i="1"/>
  <c r="G20" i="1"/>
  <c r="G36" i="1"/>
  <c r="G52" i="1"/>
  <c r="G68" i="1"/>
  <c r="G84" i="1"/>
  <c r="G120" i="1"/>
  <c r="G127" i="1"/>
  <c r="G134" i="1"/>
  <c r="G141" i="1"/>
  <c r="G148" i="1"/>
  <c r="G184" i="1"/>
  <c r="G191" i="1"/>
  <c r="G198" i="1"/>
  <c r="G205" i="1"/>
  <c r="G212" i="1"/>
  <c r="G248" i="1"/>
  <c r="G255" i="1"/>
  <c r="G262" i="1"/>
  <c r="G269" i="1"/>
  <c r="G276" i="1"/>
  <c r="G312" i="1"/>
  <c r="G363" i="1"/>
  <c r="G388" i="1"/>
  <c r="G427" i="1"/>
  <c r="G452" i="1"/>
  <c r="G491" i="1"/>
  <c r="G516" i="1"/>
  <c r="G555" i="1"/>
  <c r="G576" i="1"/>
  <c r="G3" i="1"/>
  <c r="G86" i="1"/>
  <c r="G93" i="1"/>
  <c r="G143" i="1"/>
  <c r="G150" i="1"/>
  <c r="G157" i="1"/>
  <c r="G207" i="1"/>
  <c r="G214" i="1"/>
  <c r="G221" i="1"/>
  <c r="G271" i="1"/>
  <c r="G278" i="1"/>
  <c r="G303" i="1"/>
  <c r="G331" i="1"/>
  <c r="G379" i="1"/>
  <c r="G443" i="1"/>
  <c r="G24" i="1"/>
  <c r="G40" i="1"/>
  <c r="G56" i="1"/>
  <c r="G72" i="1"/>
  <c r="G112" i="1"/>
  <c r="G119" i="1"/>
  <c r="G126" i="1"/>
  <c r="G133" i="1"/>
  <c r="G140" i="1"/>
  <c r="G176" i="1"/>
  <c r="G183" i="1"/>
  <c r="G190" i="1"/>
  <c r="G197" i="1"/>
  <c r="G204" i="1"/>
  <c r="G247" i="1"/>
  <c r="G254" i="1"/>
  <c r="G261" i="1"/>
  <c r="G268" i="1"/>
  <c r="G292" i="1"/>
  <c r="G311" i="1"/>
  <c r="G348" i="1"/>
  <c r="G387" i="1"/>
  <c r="G412" i="1"/>
  <c r="G451" i="1"/>
  <c r="G476" i="1"/>
  <c r="G515" i="1"/>
  <c r="G540" i="1"/>
  <c r="G569" i="1"/>
  <c r="G575" i="1"/>
  <c r="J560" i="1"/>
  <c r="G5" i="1"/>
  <c r="G12" i="1"/>
  <c r="G28" i="1"/>
  <c r="G44" i="1"/>
  <c r="G60" i="1"/>
  <c r="G76" i="1"/>
  <c r="G95" i="1"/>
  <c r="G102" i="1"/>
  <c r="G159" i="1"/>
  <c r="G166" i="1"/>
  <c r="G173" i="1"/>
  <c r="G223" i="1"/>
  <c r="G230" i="1"/>
  <c r="G237" i="1"/>
  <c r="G287" i="1"/>
  <c r="G315" i="1"/>
  <c r="G324" i="1"/>
  <c r="G335" i="1"/>
  <c r="G339" i="1"/>
  <c r="G395" i="1"/>
  <c r="G459" i="1"/>
  <c r="G484" i="1"/>
  <c r="G523" i="1"/>
  <c r="J562" i="1"/>
  <c r="G562" i="1"/>
  <c r="J10" i="1"/>
  <c r="G10" i="1"/>
  <c r="J578" i="1"/>
  <c r="G578" i="1"/>
  <c r="J546" i="1"/>
  <c r="G546" i="1"/>
  <c r="J514" i="1"/>
  <c r="G514" i="1"/>
  <c r="J482" i="1"/>
  <c r="G482" i="1"/>
  <c r="J466" i="1"/>
  <c r="G466" i="1"/>
  <c r="J450" i="1"/>
  <c r="G450" i="1"/>
  <c r="J434" i="1"/>
  <c r="G434" i="1"/>
  <c r="J410" i="1"/>
  <c r="G410" i="1"/>
  <c r="J394" i="1"/>
  <c r="G394" i="1"/>
  <c r="J378" i="1"/>
  <c r="G378" i="1"/>
  <c r="J362" i="1"/>
  <c r="G362" i="1"/>
  <c r="J346" i="1"/>
  <c r="G346" i="1"/>
  <c r="J330" i="1"/>
  <c r="G330" i="1"/>
  <c r="J314" i="1"/>
  <c r="G314" i="1"/>
  <c r="G9" i="1"/>
  <c r="G18" i="1"/>
  <c r="G26" i="1"/>
  <c r="G34" i="1"/>
  <c r="G42" i="1"/>
  <c r="G50" i="1"/>
  <c r="G58" i="1"/>
  <c r="G66" i="1"/>
  <c r="G74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94" i="1"/>
  <c r="G299" i="1"/>
  <c r="G304" i="1"/>
  <c r="J313" i="1"/>
  <c r="G313" i="1"/>
  <c r="J440" i="1"/>
  <c r="J400" i="1"/>
  <c r="G400" i="1"/>
  <c r="J528" i="1"/>
  <c r="G528" i="1"/>
  <c r="J570" i="1"/>
  <c r="G570" i="1"/>
  <c r="J538" i="1"/>
  <c r="G538" i="1"/>
  <c r="J506" i="1"/>
  <c r="G506" i="1"/>
  <c r="J474" i="1"/>
  <c r="G474" i="1"/>
  <c r="J458" i="1"/>
  <c r="G458" i="1"/>
  <c r="J442" i="1"/>
  <c r="G442" i="1"/>
  <c r="J426" i="1"/>
  <c r="G426" i="1"/>
  <c r="J418" i="1"/>
  <c r="G418" i="1"/>
  <c r="J402" i="1"/>
  <c r="G402" i="1"/>
  <c r="J386" i="1"/>
  <c r="G386" i="1"/>
  <c r="J370" i="1"/>
  <c r="G370" i="1"/>
  <c r="J354" i="1"/>
  <c r="G354" i="1"/>
  <c r="J338" i="1"/>
  <c r="G338" i="1"/>
  <c r="J322" i="1"/>
  <c r="G322" i="1"/>
  <c r="J306" i="1"/>
  <c r="G306" i="1"/>
  <c r="G6" i="1"/>
  <c r="G15" i="1"/>
  <c r="G23" i="1"/>
  <c r="G31" i="1"/>
  <c r="G39" i="1"/>
  <c r="G47" i="1"/>
  <c r="G55" i="1"/>
  <c r="G63" i="1"/>
  <c r="G71" i="1"/>
  <c r="G79" i="1"/>
  <c r="J301" i="1"/>
  <c r="G301" i="1"/>
  <c r="J317" i="1"/>
  <c r="G317" i="1"/>
  <c r="J337" i="1"/>
  <c r="G337" i="1"/>
  <c r="G352" i="1"/>
  <c r="J416" i="1"/>
  <c r="G416" i="1"/>
  <c r="J480" i="1"/>
  <c r="G480" i="1"/>
  <c r="J544" i="1"/>
  <c r="G544" i="1"/>
  <c r="J408" i="1"/>
  <c r="J310" i="1"/>
  <c r="G310" i="1"/>
  <c r="J341" i="1"/>
  <c r="G341" i="1"/>
  <c r="J360" i="1"/>
  <c r="G360" i="1"/>
  <c r="J424" i="1"/>
  <c r="G424" i="1"/>
  <c r="J488" i="1"/>
  <c r="G488" i="1"/>
  <c r="J552" i="1"/>
  <c r="G552" i="1"/>
  <c r="J376" i="1"/>
  <c r="J333" i="1"/>
  <c r="G333" i="1"/>
  <c r="J464" i="1"/>
  <c r="G464" i="1"/>
  <c r="J602" i="1"/>
  <c r="G602" i="1"/>
  <c r="J498" i="1"/>
  <c r="G498" i="1"/>
  <c r="G8" i="1"/>
  <c r="G17" i="1"/>
  <c r="G25" i="1"/>
  <c r="G33" i="1"/>
  <c r="G41" i="1"/>
  <c r="G49" i="1"/>
  <c r="G57" i="1"/>
  <c r="G65" i="1"/>
  <c r="G73" i="1"/>
  <c r="G81" i="1"/>
  <c r="G89" i="1"/>
  <c r="G97" i="1"/>
  <c r="G105" i="1"/>
  <c r="G113" i="1"/>
  <c r="G121" i="1"/>
  <c r="G129" i="1"/>
  <c r="G137" i="1"/>
  <c r="G145" i="1"/>
  <c r="G153" i="1"/>
  <c r="G161" i="1"/>
  <c r="G169" i="1"/>
  <c r="G177" i="1"/>
  <c r="G185" i="1"/>
  <c r="G193" i="1"/>
  <c r="G201" i="1"/>
  <c r="G209" i="1"/>
  <c r="G217" i="1"/>
  <c r="G225" i="1"/>
  <c r="G233" i="1"/>
  <c r="G241" i="1"/>
  <c r="G249" i="1"/>
  <c r="G257" i="1"/>
  <c r="G265" i="1"/>
  <c r="G273" i="1"/>
  <c r="G281" i="1"/>
  <c r="J293" i="1"/>
  <c r="G293" i="1"/>
  <c r="G298" i="1"/>
  <c r="J321" i="1"/>
  <c r="G321" i="1"/>
  <c r="J345" i="1"/>
  <c r="G345" i="1"/>
  <c r="J368" i="1"/>
  <c r="G368" i="1"/>
  <c r="J432" i="1"/>
  <c r="G432" i="1"/>
  <c r="J496" i="1"/>
  <c r="G496" i="1"/>
  <c r="J594" i="1"/>
  <c r="G594" i="1"/>
  <c r="J530" i="1"/>
  <c r="G530" i="1"/>
  <c r="J325" i="1"/>
  <c r="G325" i="1"/>
  <c r="J349" i="1"/>
  <c r="G349" i="1"/>
  <c r="J599" i="1"/>
  <c r="G599" i="1"/>
  <c r="J554" i="1"/>
  <c r="G554" i="1"/>
  <c r="J490" i="1"/>
  <c r="G490" i="1"/>
  <c r="G11" i="1"/>
  <c r="G19" i="1"/>
  <c r="G27" i="1"/>
  <c r="G35" i="1"/>
  <c r="G43" i="1"/>
  <c r="G51" i="1"/>
  <c r="G59" i="1"/>
  <c r="G67" i="1"/>
  <c r="G75" i="1"/>
  <c r="G83" i="1"/>
  <c r="G91" i="1"/>
  <c r="G99" i="1"/>
  <c r="G107" i="1"/>
  <c r="G115" i="1"/>
  <c r="G123" i="1"/>
  <c r="G131" i="1"/>
  <c r="G139" i="1"/>
  <c r="G147" i="1"/>
  <c r="G155" i="1"/>
  <c r="G163" i="1"/>
  <c r="G171" i="1"/>
  <c r="G179" i="1"/>
  <c r="G187" i="1"/>
  <c r="G195" i="1"/>
  <c r="G203" i="1"/>
  <c r="G211" i="1"/>
  <c r="G219" i="1"/>
  <c r="G227" i="1"/>
  <c r="G235" i="1"/>
  <c r="G243" i="1"/>
  <c r="G251" i="1"/>
  <c r="G259" i="1"/>
  <c r="G267" i="1"/>
  <c r="G275" i="1"/>
  <c r="J285" i="1"/>
  <c r="G285" i="1"/>
  <c r="G290" i="1"/>
  <c r="G295" i="1"/>
  <c r="G300" i="1"/>
  <c r="G305" i="1"/>
  <c r="G307" i="1"/>
  <c r="G336" i="1"/>
  <c r="J353" i="1"/>
  <c r="G353" i="1"/>
  <c r="J384" i="1"/>
  <c r="G384" i="1"/>
  <c r="J448" i="1"/>
  <c r="G448" i="1"/>
  <c r="J512" i="1"/>
  <c r="G512" i="1"/>
  <c r="J536" i="1"/>
  <c r="J586" i="1"/>
  <c r="G586" i="1"/>
  <c r="J522" i="1"/>
  <c r="G522" i="1"/>
  <c r="J309" i="1"/>
  <c r="G309" i="1"/>
  <c r="J329" i="1"/>
  <c r="G329" i="1"/>
  <c r="J357" i="1"/>
  <c r="G357" i="1"/>
  <c r="J392" i="1"/>
  <c r="G392" i="1"/>
  <c r="J456" i="1"/>
  <c r="G456" i="1"/>
  <c r="J520" i="1"/>
  <c r="G520" i="1"/>
  <c r="J557" i="1"/>
  <c r="G557" i="1"/>
  <c r="J504" i="1"/>
  <c r="J564" i="1"/>
  <c r="G564" i="1"/>
  <c r="G566" i="1"/>
  <c r="J566" i="1"/>
  <c r="J588" i="1"/>
  <c r="G588" i="1"/>
  <c r="G590" i="1"/>
  <c r="J590" i="1"/>
  <c r="J535" i="1"/>
  <c r="J503" i="1"/>
  <c r="J471" i="1"/>
  <c r="J439" i="1"/>
  <c r="J407" i="1"/>
  <c r="J375" i="1"/>
  <c r="J343" i="1"/>
  <c r="G365" i="1"/>
  <c r="G373" i="1"/>
  <c r="G381" i="1"/>
  <c r="G389" i="1"/>
  <c r="G397" i="1"/>
  <c r="G405" i="1"/>
  <c r="G413" i="1"/>
  <c r="G421" i="1"/>
  <c r="G429" i="1"/>
  <c r="G437" i="1"/>
  <c r="G445" i="1"/>
  <c r="G453" i="1"/>
  <c r="G461" i="1"/>
  <c r="G469" i="1"/>
  <c r="G477" i="1"/>
  <c r="G485" i="1"/>
  <c r="G493" i="1"/>
  <c r="G501" i="1"/>
  <c r="G509" i="1"/>
  <c r="G517" i="1"/>
  <c r="G525" i="1"/>
  <c r="G533" i="1"/>
  <c r="G541" i="1"/>
  <c r="G549" i="1"/>
  <c r="J572" i="1"/>
  <c r="G572" i="1"/>
  <c r="G574" i="1"/>
  <c r="J574" i="1"/>
  <c r="J527" i="1"/>
  <c r="J495" i="1"/>
  <c r="J463" i="1"/>
  <c r="J431" i="1"/>
  <c r="J399" i="1"/>
  <c r="J367" i="1"/>
  <c r="G351" i="1"/>
  <c r="G359" i="1"/>
  <c r="G383" i="1"/>
  <c r="G391" i="1"/>
  <c r="G415" i="1"/>
  <c r="G423" i="1"/>
  <c r="G447" i="1"/>
  <c r="G455" i="1"/>
  <c r="G479" i="1"/>
  <c r="G487" i="1"/>
  <c r="G511" i="1"/>
  <c r="G519" i="1"/>
  <c r="G543" i="1"/>
  <c r="G551" i="1"/>
  <c r="J556" i="1"/>
  <c r="G556" i="1"/>
  <c r="J596" i="1"/>
  <c r="G596" i="1"/>
  <c r="G598" i="1"/>
  <c r="J598" i="1"/>
  <c r="G361" i="1"/>
  <c r="G369" i="1"/>
  <c r="G377" i="1"/>
  <c r="G385" i="1"/>
  <c r="G393" i="1"/>
  <c r="G401" i="1"/>
  <c r="G409" i="1"/>
  <c r="G417" i="1"/>
  <c r="G425" i="1"/>
  <c r="G433" i="1"/>
  <c r="G441" i="1"/>
  <c r="G449" i="1"/>
  <c r="G457" i="1"/>
  <c r="G465" i="1"/>
  <c r="G473" i="1"/>
  <c r="G481" i="1"/>
  <c r="G489" i="1"/>
  <c r="G497" i="1"/>
  <c r="G505" i="1"/>
  <c r="G513" i="1"/>
  <c r="G521" i="1"/>
  <c r="G529" i="1"/>
  <c r="G537" i="1"/>
  <c r="G545" i="1"/>
  <c r="G553" i="1"/>
  <c r="G558" i="1"/>
  <c r="J580" i="1"/>
  <c r="G580" i="1"/>
  <c r="G582" i="1"/>
  <c r="J582" i="1"/>
  <c r="G318" i="1"/>
  <c r="G326" i="1"/>
  <c r="G334" i="1"/>
  <c r="G342" i="1"/>
  <c r="G350" i="1"/>
  <c r="G358" i="1"/>
  <c r="G366" i="1"/>
  <c r="G374" i="1"/>
  <c r="G382" i="1"/>
  <c r="G390" i="1"/>
  <c r="G398" i="1"/>
  <c r="G406" i="1"/>
  <c r="G414" i="1"/>
  <c r="G422" i="1"/>
  <c r="G430" i="1"/>
  <c r="G438" i="1"/>
  <c r="G446" i="1"/>
  <c r="G454" i="1"/>
  <c r="G462" i="1"/>
  <c r="G470" i="1"/>
  <c r="G478" i="1"/>
  <c r="G486" i="1"/>
  <c r="G494" i="1"/>
  <c r="G502" i="1"/>
  <c r="G510" i="1"/>
  <c r="G518" i="1"/>
  <c r="G526" i="1"/>
  <c r="G534" i="1"/>
  <c r="G542" i="1"/>
  <c r="G550" i="1"/>
  <c r="J573" i="1"/>
  <c r="J565" i="1"/>
  <c r="G563" i="1"/>
  <c r="G571" i="1"/>
  <c r="G579" i="1"/>
  <c r="G587" i="1"/>
  <c r="G595" i="1"/>
  <c r="G2" i="1"/>
</calcChain>
</file>

<file path=xl/sharedStrings.xml><?xml version="1.0" encoding="utf-8"?>
<sst xmlns="http://schemas.openxmlformats.org/spreadsheetml/2006/main" count="628" uniqueCount="621">
  <si>
    <t>t</t>
  </si>
  <si>
    <t>T</t>
  </si>
  <si>
    <t>Variable, Temperature setting</t>
  </si>
  <si>
    <t>Operating point value</t>
  </si>
  <si>
    <t>Req(sim)</t>
  </si>
  <si>
    <t>Req(cal)</t>
  </si>
  <si>
    <t>%error</t>
  </si>
  <si>
    <t>RTH</t>
  </si>
  <si>
    <t>Req(sim)=-23.64T+9180.2</t>
  </si>
  <si>
    <t>%error1</t>
  </si>
  <si>
    <t>V(ve1)-V(ve2), Temperature=20</t>
  </si>
  <si>
    <t>A</t>
  </si>
  <si>
    <t>B</t>
  </si>
  <si>
    <t>C</t>
  </si>
  <si>
    <t>D</t>
  </si>
  <si>
    <t>V(ve1)-V(ve2), Temperature=20.1</t>
  </si>
  <si>
    <t>V(ve1)-V(ve2), Temperature=20.2</t>
  </si>
  <si>
    <t>V(ve1)-V(ve2), Temperature=20.3</t>
  </si>
  <si>
    <t>V(ve1)-V(ve2), Temperature=20.4</t>
  </si>
  <si>
    <t>V(ve1)-V(ve2), Temperature=20.5</t>
  </si>
  <si>
    <t>V(ve1)-V(ve2), Temperature=20.6</t>
  </si>
  <si>
    <t>Ve</t>
  </si>
  <si>
    <t>V(ve1)-V(ve2), Temperature=20.7</t>
  </si>
  <si>
    <t>Ve(T) = -0.02364T+9.1802</t>
  </si>
  <si>
    <t>V(ve1)-V(ve2), Temperature=20.8</t>
  </si>
  <si>
    <t>V(ve1)-V(ve2), Temperature=20.9</t>
  </si>
  <si>
    <t>Veconvert(T) = T/12 -24.429</t>
  </si>
  <si>
    <t>V(ve1)-V(ve2), Temperature=21</t>
  </si>
  <si>
    <t>V(ve1)-V(ve2), Temperature=21.1</t>
  </si>
  <si>
    <t>Veconvert(T) = Ve(T) * -3.525 + 7.931</t>
  </si>
  <si>
    <t>V(ve1)-V(ve2), Temperature=21.2</t>
  </si>
  <si>
    <t>V(ve1)-V(ve2), Temperature=21.3</t>
  </si>
  <si>
    <t>V(ve1)-V(ve2), Temperature=21.4</t>
  </si>
  <si>
    <t>V(ve1)-V(ve2), Temperature=21.5</t>
  </si>
  <si>
    <t>V(ve1)-V(ve2), Temperature=21.6</t>
  </si>
  <si>
    <t>V(ve1)-V(ve2), Temperature=21.7</t>
  </si>
  <si>
    <t>V(ve1)-V(ve2), Temperature=21.8</t>
  </si>
  <si>
    <t>V(ve1)-V(ve2), Temperature=21.9</t>
  </si>
  <si>
    <t>V(ve1)-V(ve2), Temperature=22</t>
  </si>
  <si>
    <t>V(ve1)-V(ve2), Temperature=22.1</t>
  </si>
  <si>
    <t>V(ve1)-V(ve2), Temperature=22.2</t>
  </si>
  <si>
    <t>V(ve1)-V(ve2), Temperature=22.3</t>
  </si>
  <si>
    <t>V(ve1)-V(ve2), Temperature=22.4</t>
  </si>
  <si>
    <t>V(ve1)-V(ve2), Temperature=22.5</t>
  </si>
  <si>
    <t>V(ve1)-V(ve2), Temperature=22.6</t>
  </si>
  <si>
    <t>V(ve1)-V(ve2), Temperature=22.7</t>
  </si>
  <si>
    <t>V(ve1)-V(ve2), Temperature=22.8</t>
  </si>
  <si>
    <t>V(ve1)-V(ve2), Temperature=22.9</t>
  </si>
  <si>
    <t>V(ve1)-V(ve2), Temperature=23</t>
  </si>
  <si>
    <t>V(ve1)-V(ve2), Temperature=23.1</t>
  </si>
  <si>
    <t>V(ve1)-V(ve2), Temperature=23.2</t>
  </si>
  <si>
    <t>V(ve1)-V(ve2), Temperature=23.3</t>
  </si>
  <si>
    <t>V(ve1)-V(ve2), Temperature=23.4</t>
  </si>
  <si>
    <t>V(ve1)-V(ve2), Temperature=23.5</t>
  </si>
  <si>
    <t>V(ve1)-V(ve2), Temperature=23.6</t>
  </si>
  <si>
    <t>V(ve1)-V(ve2), Temperature=23.7</t>
  </si>
  <si>
    <t>V(ve1)-V(ve2), Temperature=23.8</t>
  </si>
  <si>
    <t>V(ve1)-V(ve2), Temperature=23.9</t>
  </si>
  <si>
    <t>V(ve1)-V(ve2), Temperature=24</t>
  </si>
  <si>
    <t>V(ve1)-V(ve2), Temperature=24.1</t>
  </si>
  <si>
    <t>V(ve1)-V(ve2), Temperature=24.2</t>
  </si>
  <si>
    <t>V(ve1)-V(ve2), Temperature=24.3</t>
  </si>
  <si>
    <t>V(ve1)-V(ve2), Temperature=24.4</t>
  </si>
  <si>
    <t>V(ve1)-V(ve2), Temperature=24.5</t>
  </si>
  <si>
    <t>V(ve1)-V(ve2), Temperature=24.6</t>
  </si>
  <si>
    <t>V(ve1)-V(ve2), Temperature=24.7</t>
  </si>
  <si>
    <t>V(ve1)-V(ve2), Temperature=24.8</t>
  </si>
  <si>
    <t>V(ve1)-V(ve2), Temperature=24.9</t>
  </si>
  <si>
    <t>V(ve1)-V(ve2), Temperature=25</t>
  </si>
  <si>
    <t>V(ve1)-V(ve2), Temperature=25.1</t>
  </si>
  <si>
    <t>V(ve1)-V(ve2), Temperature=25.2</t>
  </si>
  <si>
    <t>V(ve1)-V(ve2), Temperature=25.3</t>
  </si>
  <si>
    <t>V(ve1)-V(ve2), Temperature=25.4</t>
  </si>
  <si>
    <t>V(ve1)-V(ve2), Temperature=25.5</t>
  </si>
  <si>
    <t>V(ve1)-V(ve2), Temperature=25.6</t>
  </si>
  <si>
    <t>V(ve1)-V(ve2), Temperature=25.7</t>
  </si>
  <si>
    <t>V(ve1)-V(ve2), Temperature=25.8</t>
  </si>
  <si>
    <t>V(ve1)-V(ve2), Temperature=25.9</t>
  </si>
  <si>
    <t>V(ve1)-V(ve2), Temperature=26</t>
  </si>
  <si>
    <t>V(ve1)-V(ve2), Temperature=26.1</t>
  </si>
  <si>
    <t>V(ve1)-V(ve2), Temperature=26.2</t>
  </si>
  <si>
    <t>V(ve1)-V(ve2), Temperature=26.3</t>
  </si>
  <si>
    <t>V(ve1)-V(ve2), Temperature=26.4</t>
  </si>
  <si>
    <t>V(ve1)-V(ve2), Temperature=26.5</t>
  </si>
  <si>
    <t>V(ve1)-V(ve2), Temperature=26.6</t>
  </si>
  <si>
    <t>V(ve1)-V(ve2), Temperature=26.7</t>
  </si>
  <si>
    <t>V(ve1)-V(ve2), Temperature=26.8</t>
  </si>
  <si>
    <t>V(ve1)-V(ve2), Temperature=26.9</t>
  </si>
  <si>
    <t>V(ve1)-V(ve2), Temperature=27</t>
  </si>
  <si>
    <t>V(ve1)-V(ve2), Temperature=27.1</t>
  </si>
  <si>
    <t>V(ve1)-V(ve2), Temperature=27.2</t>
  </si>
  <si>
    <t>V(ve1)-V(ve2), Temperature=27.3</t>
  </si>
  <si>
    <t>V(ve1)-V(ve2), Temperature=27.4</t>
  </si>
  <si>
    <t>V(ve1)-V(ve2), Temperature=27.5</t>
  </si>
  <si>
    <t>V(ve1)-V(ve2), Temperature=27.6</t>
  </si>
  <si>
    <t>V(ve1)-V(ve2), Temperature=27.7</t>
  </si>
  <si>
    <t>V(ve1)-V(ve2), Temperature=27.8</t>
  </si>
  <si>
    <t>V(ve1)-V(ve2), Temperature=27.9</t>
  </si>
  <si>
    <t>V(ve1)-V(ve2), Temperature=28</t>
  </si>
  <si>
    <t>V(ve1)-V(ve2), Temperature=28.1</t>
  </si>
  <si>
    <t>V(ve1)-V(ve2), Temperature=28.2</t>
  </si>
  <si>
    <t>V(ve1)-V(ve2), Temperature=28.3</t>
  </si>
  <si>
    <t>V(ve1)-V(ve2), Temperature=28.4</t>
  </si>
  <si>
    <t>V(ve1)-V(ve2), Temperature=28.5</t>
  </si>
  <si>
    <t>V(ve1)-V(ve2), Temperature=28.6</t>
  </si>
  <si>
    <t>V(ve1)-V(ve2), Temperature=28.7</t>
  </si>
  <si>
    <t>V(ve1)-V(ve2), Temperature=28.8</t>
  </si>
  <si>
    <t>V(ve1)-V(ve2), Temperature=28.9</t>
  </si>
  <si>
    <t>V(ve1)-V(ve2), Temperature=29</t>
  </si>
  <si>
    <t>V(ve1)-V(ve2), Temperature=29.1</t>
  </si>
  <si>
    <t>V(ve1)-V(ve2), Temperature=29.2</t>
  </si>
  <si>
    <t>V(ve1)-V(ve2), Temperature=29.3</t>
  </si>
  <si>
    <t>V(ve1)-V(ve2), Temperature=29.4</t>
  </si>
  <si>
    <t>V(ve1)-V(ve2), Temperature=29.5</t>
  </si>
  <si>
    <t>V(ve1)-V(ve2), Temperature=29.6</t>
  </si>
  <si>
    <t>V(ve1)-V(ve2), Temperature=29.7</t>
  </si>
  <si>
    <t>V(ve1)-V(ve2), Temperature=29.8</t>
  </si>
  <si>
    <t>V(ve1)-V(ve2), Temperature=29.9</t>
  </si>
  <si>
    <t>V(ve1)-V(ve2), Temperature=30</t>
  </si>
  <si>
    <t>V(ve1)-V(ve2), Temperature=30.1</t>
  </si>
  <si>
    <t>V(ve1)-V(ve2), Temperature=30.2</t>
  </si>
  <si>
    <t>V(ve1)-V(ve2), Temperature=30.3</t>
  </si>
  <si>
    <t>V(ve1)-V(ve2), Temperature=30.4</t>
  </si>
  <si>
    <t>V(ve1)-V(ve2), Temperature=30.5</t>
  </si>
  <si>
    <t>V(ve1)-V(ve2), Temperature=30.6</t>
  </si>
  <si>
    <t>V(ve1)-V(ve2), Temperature=30.7</t>
  </si>
  <si>
    <t>V(ve1)-V(ve2), Temperature=30.8</t>
  </si>
  <si>
    <t>V(ve1)-V(ve2), Temperature=30.9</t>
  </si>
  <si>
    <t>V(ve1)-V(ve2), Temperature=31</t>
  </si>
  <si>
    <t>V(ve1)-V(ve2), Temperature=31.1</t>
  </si>
  <si>
    <t>V(ve1)-V(ve2), Temperature=31.2</t>
  </si>
  <si>
    <t>V(ve1)-V(ve2), Temperature=31.3</t>
  </si>
  <si>
    <t>V(ve1)-V(ve2), Temperature=31.4</t>
  </si>
  <si>
    <t>V(ve1)-V(ve2), Temperature=31.5</t>
  </si>
  <si>
    <t>V(ve1)-V(ve2), Temperature=31.6</t>
  </si>
  <si>
    <t>V(ve1)-V(ve2), Temperature=31.7</t>
  </si>
  <si>
    <t>V(ve1)-V(ve2), Temperature=31.8</t>
  </si>
  <si>
    <t>V(ve1)-V(ve2), Temperature=31.9</t>
  </si>
  <si>
    <t>V(ve1)-V(ve2), Temperature=32</t>
  </si>
  <si>
    <t>V(ve1)-V(ve2), Temperature=32.1</t>
  </si>
  <si>
    <t>V(ve1)-V(ve2), Temperature=32.2</t>
  </si>
  <si>
    <t>V(ve1)-V(ve2), Temperature=32.3</t>
  </si>
  <si>
    <t>V(ve1)-V(ve2), Temperature=32.4</t>
  </si>
  <si>
    <t>V(ve1)-V(ve2), Temperature=32.5</t>
  </si>
  <si>
    <t>V(ve1)-V(ve2), Temperature=32.6</t>
  </si>
  <si>
    <t>V(ve1)-V(ve2), Temperature=32.7</t>
  </si>
  <si>
    <t>V(ve1)-V(ve2), Temperature=32.8</t>
  </si>
  <si>
    <t>V(ve1)-V(ve2), Temperature=32.9</t>
  </si>
  <si>
    <t>V(ve1)-V(ve2), Temperature=33</t>
  </si>
  <si>
    <t>V(ve1)-V(ve2), Temperature=33.1</t>
  </si>
  <si>
    <t>V(ve1)-V(ve2), Temperature=33.2</t>
  </si>
  <si>
    <t>V(ve1)-V(ve2), Temperature=33.3</t>
  </si>
  <si>
    <t>V(ve1)-V(ve2), Temperature=33.4</t>
  </si>
  <si>
    <t>V(ve1)-V(ve2), Temperature=33.5</t>
  </si>
  <si>
    <t>V(ve1)-V(ve2), Temperature=33.6</t>
  </si>
  <si>
    <t>V(ve1)-V(ve2), Temperature=33.7</t>
  </si>
  <si>
    <t>V(ve1)-V(ve2), Temperature=33.8</t>
  </si>
  <si>
    <t>V(ve1)-V(ve2), Temperature=33.9</t>
  </si>
  <si>
    <t>V(ve1)-V(ve2), Temperature=34</t>
  </si>
  <si>
    <t>V(ve1)-V(ve2), Temperature=34.1</t>
  </si>
  <si>
    <t>V(ve1)-V(ve2), Temperature=34.2</t>
  </si>
  <si>
    <t>V(ve1)-V(ve2), Temperature=34.3</t>
  </si>
  <si>
    <t>V(ve1)-V(ve2), Temperature=34.4</t>
  </si>
  <si>
    <t>V(ve1)-V(ve2), Temperature=34.5</t>
  </si>
  <si>
    <t>V(ve1)-V(ve2), Temperature=34.6</t>
  </si>
  <si>
    <t>V(ve1)-V(ve2), Temperature=34.7</t>
  </si>
  <si>
    <t>V(ve1)-V(ve2), Temperature=34.8</t>
  </si>
  <si>
    <t>V(ve1)-V(ve2), Temperature=34.9</t>
  </si>
  <si>
    <t>V(ve1)-V(ve2), Temperature=35</t>
  </si>
  <si>
    <t>V(ve1)-V(ve2), Temperature=35.1</t>
  </si>
  <si>
    <t>V(ve1)-V(ve2), Temperature=35.2</t>
  </si>
  <si>
    <t>V(ve1)-V(ve2), Temperature=35.3</t>
  </si>
  <si>
    <t>V(ve1)-V(ve2), Temperature=35.4</t>
  </si>
  <si>
    <t>V(ve1)-V(ve2), Temperature=35.5</t>
  </si>
  <si>
    <t>V(ve1)-V(ve2), Temperature=35.6</t>
  </si>
  <si>
    <t>V(ve1)-V(ve2), Temperature=35.7</t>
  </si>
  <si>
    <t>V(ve1)-V(ve2), Temperature=35.8</t>
  </si>
  <si>
    <t>V(ve1)-V(ve2), Temperature=35.9</t>
  </si>
  <si>
    <t>V(ve1)-V(ve2), Temperature=36</t>
  </si>
  <si>
    <t>V(ve1)-V(ve2), Temperature=36.1</t>
  </si>
  <si>
    <t>V(ve1)-V(ve2), Temperature=36.2</t>
  </si>
  <si>
    <t>V(ve1)-V(ve2), Temperature=36.3</t>
  </si>
  <si>
    <t>V(ve1)-V(ve2), Temperature=36.4</t>
  </si>
  <si>
    <t>V(ve1)-V(ve2), Temperature=36.5</t>
  </si>
  <si>
    <t>V(ve1)-V(ve2), Temperature=36.6</t>
  </si>
  <si>
    <t>V(ve1)-V(ve2), Temperature=36.7</t>
  </si>
  <si>
    <t>V(ve1)-V(ve2), Temperature=36.8</t>
  </si>
  <si>
    <t>V(ve1)-V(ve2), Temperature=36.9</t>
  </si>
  <si>
    <t>V(ve1)-V(ve2), Temperature=37</t>
  </si>
  <si>
    <t>V(ve1)-V(ve2), Temperature=37.1</t>
  </si>
  <si>
    <t>V(ve1)-V(ve2), Temperature=37.2</t>
  </si>
  <si>
    <t>V(ve1)-V(ve2), Temperature=37.3</t>
  </si>
  <si>
    <t>V(ve1)-V(ve2), Temperature=37.4</t>
  </si>
  <si>
    <t>V(ve1)-V(ve2), Temperature=37.5</t>
  </si>
  <si>
    <t>V(ve1)-V(ve2), Temperature=37.6</t>
  </si>
  <si>
    <t>V(ve1)-V(ve2), Temperature=37.7</t>
  </si>
  <si>
    <t>V(ve1)-V(ve2), Temperature=37.8</t>
  </si>
  <si>
    <t>V(ve1)-V(ve2), Temperature=37.9</t>
  </si>
  <si>
    <t>V(ve1)-V(ve2), Temperature=38</t>
  </si>
  <si>
    <t>V(ve1)-V(ve2), Temperature=38.1</t>
  </si>
  <si>
    <t>V(ve1)-V(ve2), Temperature=38.2</t>
  </si>
  <si>
    <t>V(ve1)-V(ve2), Temperature=38.3</t>
  </si>
  <si>
    <t>V(ve1)-V(ve2), Temperature=38.4</t>
  </si>
  <si>
    <t>V(ve1)-V(ve2), Temperature=38.5</t>
  </si>
  <si>
    <t>V(ve1)-V(ve2), Temperature=38.6</t>
  </si>
  <si>
    <t>V(ve1)-V(ve2), Temperature=38.7</t>
  </si>
  <si>
    <t>V(ve1)-V(ve2), Temperature=38.8</t>
  </si>
  <si>
    <t>V(ve1)-V(ve2), Temperature=38.9</t>
  </si>
  <si>
    <t>V(ve1)-V(ve2), Temperature=39</t>
  </si>
  <si>
    <t>V(ve1)-V(ve2), Temperature=39.1</t>
  </si>
  <si>
    <t>V(ve1)-V(ve2), Temperature=39.2</t>
  </si>
  <si>
    <t>V(ve1)-V(ve2), Temperature=39.3</t>
  </si>
  <si>
    <t>V(ve1)-V(ve2), Temperature=39.4</t>
  </si>
  <si>
    <t>V(ve1)-V(ve2), Temperature=39.5</t>
  </si>
  <si>
    <t>V(ve1)-V(ve2), Temperature=39.6</t>
  </si>
  <si>
    <t>V(ve1)-V(ve2), Temperature=39.7</t>
  </si>
  <si>
    <t>V(ve1)-V(ve2), Temperature=39.8</t>
  </si>
  <si>
    <t>V(ve1)-V(ve2), Temperature=39.9</t>
  </si>
  <si>
    <t>V(ve1)-V(ve2), Temperature=40</t>
  </si>
  <si>
    <t>V(ve1)-V(ve2), Temperature=40.1</t>
  </si>
  <si>
    <t>V(ve1)-V(ve2), Temperature=40.2</t>
  </si>
  <si>
    <t>V(ve1)-V(ve2), Temperature=40.3</t>
  </si>
  <si>
    <t>V(ve1)-V(ve2), Temperature=40.4</t>
  </si>
  <si>
    <t>V(ve1)-V(ve2), Temperature=40.5</t>
  </si>
  <si>
    <t>V(ve1)-V(ve2), Temperature=40.6</t>
  </si>
  <si>
    <t>V(ve1)-V(ve2), Temperature=40.7</t>
  </si>
  <si>
    <t>V(ve1)-V(ve2), Temperature=40.8</t>
  </si>
  <si>
    <t>V(ve1)-V(ve2), Temperature=40.9</t>
  </si>
  <si>
    <t>V(ve1)-V(ve2), Temperature=41</t>
  </si>
  <si>
    <t>V(ve1)-V(ve2), Temperature=41.1</t>
  </si>
  <si>
    <t>V(ve1)-V(ve2), Temperature=41.2</t>
  </si>
  <si>
    <t>V(ve1)-V(ve2), Temperature=41.3</t>
  </si>
  <si>
    <t>V(ve1)-V(ve2), Temperature=41.4</t>
  </si>
  <si>
    <t>V(ve1)-V(ve2), Temperature=41.5</t>
  </si>
  <si>
    <t>V(ve1)-V(ve2), Temperature=41.6</t>
  </si>
  <si>
    <t>V(ve1)-V(ve2), Temperature=41.7</t>
  </si>
  <si>
    <t>V(ve1)-V(ve2), Temperature=41.8</t>
  </si>
  <si>
    <t>V(ve1)-V(ve2), Temperature=41.9</t>
  </si>
  <si>
    <t>V(ve1)-V(ve2), Temperature=42</t>
  </si>
  <si>
    <t>V(ve1)-V(ve2), Temperature=42.1</t>
  </si>
  <si>
    <t>V(ve1)-V(ve2), Temperature=42.2</t>
  </si>
  <si>
    <t>V(ve1)-V(ve2), Temperature=42.3</t>
  </si>
  <si>
    <t>V(ve1)-V(ve2), Temperature=42.4</t>
  </si>
  <si>
    <t>V(ve1)-V(ve2), Temperature=42.5</t>
  </si>
  <si>
    <t>V(ve1)-V(ve2), Temperature=42.6</t>
  </si>
  <si>
    <t>V(ve1)-V(ve2), Temperature=42.7</t>
  </si>
  <si>
    <t>V(ve1)-V(ve2), Temperature=42.8</t>
  </si>
  <si>
    <t>V(ve1)-V(ve2), Temperature=42.9</t>
  </si>
  <si>
    <t>V(ve1)-V(ve2), Temperature=43</t>
  </si>
  <si>
    <t>V(ve1)-V(ve2), Temperature=43.1</t>
  </si>
  <si>
    <t>V(ve1)-V(ve2), Temperature=43.2</t>
  </si>
  <si>
    <t>V(ve1)-V(ve2), Temperature=43.3</t>
  </si>
  <si>
    <t>V(ve1)-V(ve2), Temperature=43.4</t>
  </si>
  <si>
    <t>V(ve1)-V(ve2), Temperature=43.5</t>
  </si>
  <si>
    <t>V(ve1)-V(ve2), Temperature=43.6</t>
  </si>
  <si>
    <t>V(ve1)-V(ve2), Temperature=43.7</t>
  </si>
  <si>
    <t>V(ve1)-V(ve2), Temperature=43.8</t>
  </si>
  <si>
    <t>V(ve1)-V(ve2), Temperature=43.9</t>
  </si>
  <si>
    <t>V(ve1)-V(ve2), Temperature=44</t>
  </si>
  <si>
    <t>V(ve1)-V(ve2), Temperature=44.1</t>
  </si>
  <si>
    <t>V(ve1)-V(ve2), Temperature=44.2</t>
  </si>
  <si>
    <t>V(ve1)-V(ve2), Temperature=44.3</t>
  </si>
  <si>
    <t>V(ve1)-V(ve2), Temperature=44.4</t>
  </si>
  <si>
    <t>V(ve1)-V(ve2), Temperature=44.5</t>
  </si>
  <si>
    <t>V(ve1)-V(ve2), Temperature=44.6</t>
  </si>
  <si>
    <t>V(ve1)-V(ve2), Temperature=44.7</t>
  </si>
  <si>
    <t>V(ve1)-V(ve2), Temperature=44.8</t>
  </si>
  <si>
    <t>V(ve1)-V(ve2), Temperature=44.9</t>
  </si>
  <si>
    <t>V(ve1)-V(ve2), Temperature=45</t>
  </si>
  <si>
    <t>V(ve1)-V(ve2), Temperature=45.1</t>
  </si>
  <si>
    <t>V(ve1)-V(ve2), Temperature=45.2</t>
  </si>
  <si>
    <t>V(ve1)-V(ve2), Temperature=45.3</t>
  </si>
  <si>
    <t>V(ve1)-V(ve2), Temperature=45.4</t>
  </si>
  <si>
    <t>V(ve1)-V(ve2), Temperature=45.5</t>
  </si>
  <si>
    <t>V(ve1)-V(ve2), Temperature=45.6</t>
  </si>
  <si>
    <t>V(ve1)-V(ve2), Temperature=45.7</t>
  </si>
  <si>
    <t>V(ve1)-V(ve2), Temperature=45.8</t>
  </si>
  <si>
    <t>V(ve1)-V(ve2), Temperature=45.9</t>
  </si>
  <si>
    <t>V(ve1)-V(ve2), Temperature=46</t>
  </si>
  <si>
    <t>V(ve1)-V(ve2), Temperature=46.1</t>
  </si>
  <si>
    <t>V(ve1)-V(ve2), Temperature=46.2</t>
  </si>
  <si>
    <t>V(ve1)-V(ve2), Temperature=46.3</t>
  </si>
  <si>
    <t>V(ve1)-V(ve2), Temperature=46.4</t>
  </si>
  <si>
    <t>V(ve1)-V(ve2), Temperature=46.5</t>
  </si>
  <si>
    <t>V(ve1)-V(ve2), Temperature=46.6</t>
  </si>
  <si>
    <t>V(ve1)-V(ve2), Temperature=46.7</t>
  </si>
  <si>
    <t>V(ve1)-V(ve2), Temperature=46.8</t>
  </si>
  <si>
    <t>V(ve1)-V(ve2), Temperature=46.9</t>
  </si>
  <si>
    <t>V(ve1)-V(ve2), Temperature=47</t>
  </si>
  <si>
    <t>V(ve1)-V(ve2), Temperature=47.1</t>
  </si>
  <si>
    <t>V(ve1)-V(ve2), Temperature=47.2</t>
  </si>
  <si>
    <t>V(ve1)-V(ve2), Temperature=47.3</t>
  </si>
  <si>
    <t>V(ve1)-V(ve2), Temperature=47.4</t>
  </si>
  <si>
    <t>V(ve1)-V(ve2), Temperature=47.5</t>
  </si>
  <si>
    <t>V(ve1)-V(ve2), Temperature=47.6</t>
  </si>
  <si>
    <t>V(ve1)-V(ve2), Temperature=47.7</t>
  </si>
  <si>
    <t>V(ve1)-V(ve2), Temperature=47.8</t>
  </si>
  <si>
    <t>V(ve1)-V(ve2), Temperature=47.9</t>
  </si>
  <si>
    <t>V(ve1)-V(ve2), Temperature=48</t>
  </si>
  <si>
    <t>V(ve1)-V(ve2), Temperature=48.1</t>
  </si>
  <si>
    <t>V(ve1)-V(ve2), Temperature=48.2</t>
  </si>
  <si>
    <t>V(ve1)-V(ve2), Temperature=48.3</t>
  </si>
  <si>
    <t>V(ve1)-V(ve2), Temperature=48.4</t>
  </si>
  <si>
    <t>V(ve1)-V(ve2), Temperature=48.5</t>
  </si>
  <si>
    <t>V(ve1)-V(ve2), Temperature=48.6</t>
  </si>
  <si>
    <t>V(ve1)-V(ve2), Temperature=48.7</t>
  </si>
  <si>
    <t>V(ve1)-V(ve2), Temperature=48.8</t>
  </si>
  <si>
    <t>V(ve1)-V(ve2), Temperature=48.9</t>
  </si>
  <si>
    <t>V(ve1)-V(ve2), Temperature=49</t>
  </si>
  <si>
    <t>V(ve1)-V(ve2), Temperature=49.1</t>
  </si>
  <si>
    <t>V(ve1)-V(ve2), Temperature=49.2</t>
  </si>
  <si>
    <t>V(ve1)-V(ve2), Temperature=49.3</t>
  </si>
  <si>
    <t>V(ve1)-V(ve2), Temperature=49.4</t>
  </si>
  <si>
    <t>V(ve1)-V(ve2), Temperature=49.5</t>
  </si>
  <si>
    <t>V(ve1)-V(ve2), Temperature=49.6</t>
  </si>
  <si>
    <t>V(ve1)-V(ve2), Temperature=49.7</t>
  </si>
  <si>
    <t>V(ve1)-V(ve2), Temperature=49.8</t>
  </si>
  <si>
    <t>V(ve1)-V(ve2), Temperature=49.9</t>
  </si>
  <si>
    <t>V(ve1)-V(ve2), Temperature=50</t>
  </si>
  <si>
    <t>V(ve1)-V(ve2), Temperature=50.1</t>
  </si>
  <si>
    <t>V(ve1)-V(ve2), Temperature=50.2</t>
  </si>
  <si>
    <t>V(ve1)-V(ve2), Temperature=50.3</t>
  </si>
  <si>
    <t>V(ve1)-V(ve2), Temperature=50.4</t>
  </si>
  <si>
    <t>V(ve1)-V(ve2), Temperature=50.5</t>
  </si>
  <si>
    <t>V(ve1)-V(ve2), Temperature=50.6</t>
  </si>
  <si>
    <t>V(ve1)-V(ve2), Temperature=50.7</t>
  </si>
  <si>
    <t>V(ve1)-V(ve2), Temperature=50.8</t>
  </si>
  <si>
    <t>V(ve1)-V(ve2), Temperature=50.9</t>
  </si>
  <si>
    <t>V(ve1)-V(ve2), Temperature=51</t>
  </si>
  <si>
    <t>V(ve1)-V(ve2), Temperature=51.1</t>
  </si>
  <si>
    <t>V(ve1)-V(ve2), Temperature=51.2</t>
  </si>
  <si>
    <t>V(ve1)-V(ve2), Temperature=51.3</t>
  </si>
  <si>
    <t>V(ve1)-V(ve2), Temperature=51.4</t>
  </si>
  <si>
    <t>V(ve1)-V(ve2), Temperature=51.5</t>
  </si>
  <si>
    <t>V(ve1)-V(ve2), Temperature=51.6</t>
  </si>
  <si>
    <t>V(ve1)-V(ve2), Temperature=51.7</t>
  </si>
  <si>
    <t>V(ve1)-V(ve2), Temperature=51.8</t>
  </si>
  <si>
    <t>V(ve1)-V(ve2), Temperature=51.9</t>
  </si>
  <si>
    <t>V(ve1)-V(ve2), Temperature=52</t>
  </si>
  <si>
    <t>V(ve1)-V(ve2), Temperature=52.1</t>
  </si>
  <si>
    <t>V(ve1)-V(ve2), Temperature=52.2</t>
  </si>
  <si>
    <t>V(ve1)-V(ve2), Temperature=52.3</t>
  </si>
  <si>
    <t>V(ve1)-V(ve2), Temperature=52.4</t>
  </si>
  <si>
    <t>V(ve1)-V(ve2), Temperature=52.5</t>
  </si>
  <si>
    <t>V(ve1)-V(ve2), Temperature=52.6</t>
  </si>
  <si>
    <t>V(ve1)-V(ve2), Temperature=52.7</t>
  </si>
  <si>
    <t>V(ve1)-V(ve2), Temperature=52.8</t>
  </si>
  <si>
    <t>V(ve1)-V(ve2), Temperature=52.9</t>
  </si>
  <si>
    <t>V(ve1)-V(ve2), Temperature=53</t>
  </si>
  <si>
    <t>V(ve1)-V(ve2), Temperature=53.1</t>
  </si>
  <si>
    <t>V(ve1)-V(ve2), Temperature=53.2</t>
  </si>
  <si>
    <t>V(ve1)-V(ve2), Temperature=53.3</t>
  </si>
  <si>
    <t>V(ve1)-V(ve2), Temperature=53.4</t>
  </si>
  <si>
    <t>V(ve1)-V(ve2), Temperature=53.5</t>
  </si>
  <si>
    <t>V(ve1)-V(ve2), Temperature=53.6</t>
  </si>
  <si>
    <t>V(ve1)-V(ve2), Temperature=53.7</t>
  </si>
  <si>
    <t>V(ve1)-V(ve2), Temperature=53.8</t>
  </si>
  <si>
    <t>V(ve1)-V(ve2), Temperature=53.9</t>
  </si>
  <si>
    <t>V(ve1)-V(ve2), Temperature=54</t>
  </si>
  <si>
    <t>V(ve1)-V(ve2), Temperature=54.1</t>
  </si>
  <si>
    <t>V(ve1)-V(ve2), Temperature=54.2</t>
  </si>
  <si>
    <t>V(ve1)-V(ve2), Temperature=54.3</t>
  </si>
  <si>
    <t>V(ve1)-V(ve2), Temperature=54.4</t>
  </si>
  <si>
    <t>V(ve1)-V(ve2), Temperature=54.5</t>
  </si>
  <si>
    <t>V(ve1)-V(ve2), Temperature=54.6</t>
  </si>
  <si>
    <t>V(ve1)-V(ve2), Temperature=54.7</t>
  </si>
  <si>
    <t>V(ve1)-V(ve2), Temperature=54.8</t>
  </si>
  <si>
    <t>V(ve1)-V(ve2), Temperature=54.9</t>
  </si>
  <si>
    <t>V(ve1)-V(ve2), Temperature=55</t>
  </si>
  <si>
    <t>V(ve1)-V(ve2), Temperature=55.1</t>
  </si>
  <si>
    <t>V(ve1)-V(ve2), Temperature=55.2</t>
  </si>
  <si>
    <t>V(ve1)-V(ve2), Temperature=55.3</t>
  </si>
  <si>
    <t>V(ve1)-V(ve2), Temperature=55.4</t>
  </si>
  <si>
    <t>V(ve1)-V(ve2), Temperature=55.5</t>
  </si>
  <si>
    <t>V(ve1)-V(ve2), Temperature=55.6</t>
  </si>
  <si>
    <t>V(ve1)-V(ve2), Temperature=55.7</t>
  </si>
  <si>
    <t>V(ve1)-V(ve2), Temperature=55.8</t>
  </si>
  <si>
    <t>V(ve1)-V(ve2), Temperature=55.9</t>
  </si>
  <si>
    <t>V(ve1)-V(ve2), Temperature=56</t>
  </si>
  <si>
    <t>V(ve1)-V(ve2), Temperature=56.1</t>
  </si>
  <si>
    <t>V(ve1)-V(ve2), Temperature=56.2</t>
  </si>
  <si>
    <t>V(ve1)-V(ve2), Temperature=56.3</t>
  </si>
  <si>
    <t>V(ve1)-V(ve2), Temperature=56.4</t>
  </si>
  <si>
    <t>V(ve1)-V(ve2), Temperature=56.5</t>
  </si>
  <si>
    <t>V(ve1)-V(ve2), Temperature=56.6</t>
  </si>
  <si>
    <t>V(ve1)-V(ve2), Temperature=56.7</t>
  </si>
  <si>
    <t>V(ve1)-V(ve2), Temperature=56.8</t>
  </si>
  <si>
    <t>V(ve1)-V(ve2), Temperature=56.9</t>
  </si>
  <si>
    <t>V(ve1)-V(ve2), Temperature=57</t>
  </si>
  <si>
    <t>V(ve1)-V(ve2), Temperature=57.1</t>
  </si>
  <si>
    <t>V(ve1)-V(ve2), Temperature=57.2</t>
  </si>
  <si>
    <t>V(ve1)-V(ve2), Temperature=57.3</t>
  </si>
  <si>
    <t>V(ve1)-V(ve2), Temperature=57.4</t>
  </si>
  <si>
    <t>V(ve1)-V(ve2), Temperature=57.5</t>
  </si>
  <si>
    <t>V(ve1)-V(ve2), Temperature=57.6</t>
  </si>
  <si>
    <t>V(ve1)-V(ve2), Temperature=57.7</t>
  </si>
  <si>
    <t>V(ve1)-V(ve2), Temperature=57.8</t>
  </si>
  <si>
    <t>V(ve1)-V(ve2), Temperature=57.9</t>
  </si>
  <si>
    <t>V(ve1)-V(ve2), Temperature=58</t>
  </si>
  <si>
    <t>V(ve1)-V(ve2), Temperature=58.1</t>
  </si>
  <si>
    <t>V(ve1)-V(ve2), Temperature=58.2</t>
  </si>
  <si>
    <t>V(ve1)-V(ve2), Temperature=58.3</t>
  </si>
  <si>
    <t>V(ve1)-V(ve2), Temperature=58.4</t>
  </si>
  <si>
    <t>V(ve1)-V(ve2), Temperature=58.5</t>
  </si>
  <si>
    <t>V(ve1)-V(ve2), Temperature=58.6</t>
  </si>
  <si>
    <t>V(ve1)-V(ve2), Temperature=58.7</t>
  </si>
  <si>
    <t>V(ve1)-V(ve2), Temperature=58.8</t>
  </si>
  <si>
    <t>V(ve1)-V(ve2), Temperature=58.9</t>
  </si>
  <si>
    <t>V(ve1)-V(ve2), Temperature=59</t>
  </si>
  <si>
    <t>V(ve1)-V(ve2), Temperature=59.1</t>
  </si>
  <si>
    <t>V(ve1)-V(ve2), Temperature=59.2</t>
  </si>
  <si>
    <t>V(ve1)-V(ve2), Temperature=59.3</t>
  </si>
  <si>
    <t>V(ve1)-V(ve2), Temperature=59.4</t>
  </si>
  <si>
    <t>V(ve1)-V(ve2), Temperature=59.5</t>
  </si>
  <si>
    <t>V(ve1)-V(ve2), Temperature=59.6</t>
  </si>
  <si>
    <t>V(ve1)-V(ve2), Temperature=59.7</t>
  </si>
  <si>
    <t>V(ve1)-V(ve2), Temperature=59.8</t>
  </si>
  <si>
    <t>V(ve1)-V(ve2), Temperature=59.9</t>
  </si>
  <si>
    <t>V(ve1)-V(ve2), Temperature=60</t>
  </si>
  <si>
    <t>V(ve1)-V(ve2), Temperature=60.1</t>
  </si>
  <si>
    <t>V(ve1)-V(ve2), Temperature=60.2</t>
  </si>
  <si>
    <t>V(ve1)-V(ve2), Temperature=60.3</t>
  </si>
  <si>
    <t>V(ve1)-V(ve2), Temperature=60.4</t>
  </si>
  <si>
    <t>V(ve1)-V(ve2), Temperature=60.5</t>
  </si>
  <si>
    <t>V(ve1)-V(ve2), Temperature=60.6</t>
  </si>
  <si>
    <t>V(ve1)-V(ve2), Temperature=60.7</t>
  </si>
  <si>
    <t>V(ve1)-V(ve2), Temperature=60.8</t>
  </si>
  <si>
    <t>V(ve1)-V(ve2), Temperature=60.9</t>
  </si>
  <si>
    <t>V(ve1)-V(ve2), Temperature=61</t>
  </si>
  <si>
    <t>V(ve1)-V(ve2), Temperature=61.1</t>
  </si>
  <si>
    <t>V(ve1)-V(ve2), Temperature=61.2</t>
  </si>
  <si>
    <t>V(ve1)-V(ve2), Temperature=61.3</t>
  </si>
  <si>
    <t>V(ve1)-V(ve2), Temperature=61.4</t>
  </si>
  <si>
    <t>V(ve1)-V(ve2), Temperature=61.5</t>
  </si>
  <si>
    <t>V(ve1)-V(ve2), Temperature=61.6</t>
  </si>
  <si>
    <t>V(ve1)-V(ve2), Temperature=61.7</t>
  </si>
  <si>
    <t>V(ve1)-V(ve2), Temperature=61.8</t>
  </si>
  <si>
    <t>V(ve1)-V(ve2), Temperature=61.9</t>
  </si>
  <si>
    <t>V(ve1)-V(ve2), Temperature=62</t>
  </si>
  <si>
    <t>V(ve1)-V(ve2), Temperature=62.1</t>
  </si>
  <si>
    <t>V(ve1)-V(ve2), Temperature=62.2</t>
  </si>
  <si>
    <t>V(ve1)-V(ve2), Temperature=62.3</t>
  </si>
  <si>
    <t>V(ve1)-V(ve2), Temperature=62.4</t>
  </si>
  <si>
    <t>V(ve1)-V(ve2), Temperature=62.5</t>
  </si>
  <si>
    <t>V(ve1)-V(ve2), Temperature=62.6</t>
  </si>
  <si>
    <t>V(ve1)-V(ve2), Temperature=62.7</t>
  </si>
  <si>
    <t>V(ve1)-V(ve2), Temperature=62.8</t>
  </si>
  <si>
    <t>V(ve1)-V(ve2), Temperature=62.9</t>
  </si>
  <si>
    <t>V(ve1)-V(ve2), Temperature=63</t>
  </si>
  <si>
    <t>V(ve1)-V(ve2), Temperature=63.1</t>
  </si>
  <si>
    <t>V(ve1)-V(ve2), Temperature=63.2</t>
  </si>
  <si>
    <t>V(ve1)-V(ve2), Temperature=63.3</t>
  </si>
  <si>
    <t>V(ve1)-V(ve2), Temperature=63.4</t>
  </si>
  <si>
    <t>V(ve1)-V(ve2), Temperature=63.5</t>
  </si>
  <si>
    <t>V(ve1)-V(ve2), Temperature=63.6</t>
  </si>
  <si>
    <t>V(ve1)-V(ve2), Temperature=63.7</t>
  </si>
  <si>
    <t>V(ve1)-V(ve2), Temperature=63.8</t>
  </si>
  <si>
    <t>V(ve1)-V(ve2), Temperature=63.9</t>
  </si>
  <si>
    <t>V(ve1)-V(ve2), Temperature=64</t>
  </si>
  <si>
    <t>V(ve1)-V(ve2), Temperature=64.1</t>
  </si>
  <si>
    <t>V(ve1)-V(ve2), Temperature=64.2</t>
  </si>
  <si>
    <t>V(ve1)-V(ve2), Temperature=64.3</t>
  </si>
  <si>
    <t>V(ve1)-V(ve2), Temperature=64.4</t>
  </si>
  <si>
    <t>V(ve1)-V(ve2), Temperature=64.5</t>
  </si>
  <si>
    <t>V(ve1)-V(ve2), Temperature=64.6</t>
  </si>
  <si>
    <t>V(ve1)-V(ve2), Temperature=64.7</t>
  </si>
  <si>
    <t>V(ve1)-V(ve2), Temperature=64.8</t>
  </si>
  <si>
    <t>V(ve1)-V(ve2), Temperature=64.9</t>
  </si>
  <si>
    <t>V(ve1)-V(ve2), Temperature=65</t>
  </si>
  <si>
    <t>V(ve1)-V(ve2), Temperature=65.1</t>
  </si>
  <si>
    <t>V(ve1)-V(ve2), Temperature=65.2</t>
  </si>
  <si>
    <t>V(ve1)-V(ve2), Temperature=65.3</t>
  </si>
  <si>
    <t>V(ve1)-V(ve2), Temperature=65.4</t>
  </si>
  <si>
    <t>V(ve1)-V(ve2), Temperature=65.5</t>
  </si>
  <si>
    <t>V(ve1)-V(ve2), Temperature=65.6</t>
  </si>
  <si>
    <t>V(ve1)-V(ve2), Temperature=65.7</t>
  </si>
  <si>
    <t>V(ve1)-V(ve2), Temperature=65.8</t>
  </si>
  <si>
    <t>V(ve1)-V(ve2), Temperature=65.9</t>
  </si>
  <si>
    <t>V(ve1)-V(ve2), Temperature=66</t>
  </si>
  <si>
    <t>V(ve1)-V(ve2), Temperature=66.1</t>
  </si>
  <si>
    <t>V(ve1)-V(ve2), Temperature=66.2</t>
  </si>
  <si>
    <t>V(ve1)-V(ve2), Temperature=66.3</t>
  </si>
  <si>
    <t>V(ve1)-V(ve2), Temperature=66.4</t>
  </si>
  <si>
    <t>V(ve1)-V(ve2), Temperature=66.5</t>
  </si>
  <si>
    <t>V(ve1)-V(ve2), Temperature=66.6</t>
  </si>
  <si>
    <t>V(ve1)-V(ve2), Temperature=66.7</t>
  </si>
  <si>
    <t>V(ve1)-V(ve2), Temperature=66.8</t>
  </si>
  <si>
    <t>V(ve1)-V(ve2), Temperature=66.9</t>
  </si>
  <si>
    <t>V(ve1)-V(ve2), Temperature=67</t>
  </si>
  <si>
    <t>V(ve1)-V(ve2), Temperature=67.1</t>
  </si>
  <si>
    <t>V(ve1)-V(ve2), Temperature=67.2</t>
  </si>
  <si>
    <t>V(ve1)-V(ve2), Temperature=67.3</t>
  </si>
  <si>
    <t>V(ve1)-V(ve2), Temperature=67.4</t>
  </si>
  <si>
    <t>V(ve1)-V(ve2), Temperature=67.5</t>
  </si>
  <si>
    <t>V(ve1)-V(ve2), Temperature=67.6</t>
  </si>
  <si>
    <t>V(ve1)-V(ve2), Temperature=67.7</t>
  </si>
  <si>
    <t>V(ve1)-V(ve2), Temperature=67.8</t>
  </si>
  <si>
    <t>V(ve1)-V(ve2), Temperature=67.9</t>
  </si>
  <si>
    <t>V(ve1)-V(ve2), Temperature=68</t>
  </si>
  <si>
    <t>V(ve1)-V(ve2), Temperature=68.1</t>
  </si>
  <si>
    <t>V(ve1)-V(ve2), Temperature=68.2</t>
  </si>
  <si>
    <t>V(ve1)-V(ve2), Temperature=68.3</t>
  </si>
  <si>
    <t>V(ve1)-V(ve2), Temperature=68.4</t>
  </si>
  <si>
    <t>V(ve1)-V(ve2), Temperature=68.5</t>
  </si>
  <si>
    <t>V(ve1)-V(ve2), Temperature=68.6</t>
  </si>
  <si>
    <t>V(ve1)-V(ve2), Temperature=68.7</t>
  </si>
  <si>
    <t>V(ve1)-V(ve2), Temperature=68.8</t>
  </si>
  <si>
    <t>V(ve1)-V(ve2), Temperature=68.9</t>
  </si>
  <si>
    <t>V(ve1)-V(ve2), Temperature=69</t>
  </si>
  <si>
    <t>V(ve1)-V(ve2), Temperature=69.1</t>
  </si>
  <si>
    <t>V(ve1)-V(ve2), Temperature=69.2</t>
  </si>
  <si>
    <t>V(ve1)-V(ve2), Temperature=69.3</t>
  </si>
  <si>
    <t>V(ve1)-V(ve2), Temperature=69.4</t>
  </si>
  <si>
    <t>V(ve1)-V(ve2), Temperature=69.5</t>
  </si>
  <si>
    <t>V(ve1)-V(ve2), Temperature=69.6</t>
  </si>
  <si>
    <t>V(ve1)-V(ve2), Temperature=69.7</t>
  </si>
  <si>
    <t>V(ve1)-V(ve2), Temperature=69.8</t>
  </si>
  <si>
    <t>V(ve1)-V(ve2), Temperature=69.9</t>
  </si>
  <si>
    <t>V(ve1)-V(ve2), Temperature=70</t>
  </si>
  <si>
    <t>V(ve1)-V(ve2), Temperature=70.1</t>
  </si>
  <si>
    <t>V(ve1)-V(ve2), Temperature=70.2</t>
  </si>
  <si>
    <t>V(ve1)-V(ve2), Temperature=70.3</t>
  </si>
  <si>
    <t>V(ve1)-V(ve2), Temperature=70.4</t>
  </si>
  <si>
    <t>V(ve1)-V(ve2), Temperature=70.5</t>
  </si>
  <si>
    <t>V(ve1)-V(ve2), Temperature=70.6</t>
  </si>
  <si>
    <t>V(ve1)-V(ve2), Temperature=70.7</t>
  </si>
  <si>
    <t>V(ve1)-V(ve2), Temperature=70.8</t>
  </si>
  <si>
    <t>V(ve1)-V(ve2), Temperature=70.9</t>
  </si>
  <si>
    <t>V(ve1)-V(ve2), Temperature=71</t>
  </si>
  <si>
    <t>V(ve1)-V(ve2), Temperature=71.1</t>
  </si>
  <si>
    <t>V(ve1)-V(ve2), Temperature=71.2</t>
  </si>
  <si>
    <t>V(ve1)-V(ve2), Temperature=71.3</t>
  </si>
  <si>
    <t>V(ve1)-V(ve2), Temperature=71.4</t>
  </si>
  <si>
    <t>V(ve1)-V(ve2), Temperature=71.5</t>
  </si>
  <si>
    <t>V(ve1)-V(ve2), Temperature=71.6</t>
  </si>
  <si>
    <t>V(ve1)-V(ve2), Temperature=71.7</t>
  </si>
  <si>
    <t>V(ve1)-V(ve2), Temperature=71.8</t>
  </si>
  <si>
    <t>V(ve1)-V(ve2), Temperature=71.9</t>
  </si>
  <si>
    <t>V(ve1)-V(ve2), Temperature=72</t>
  </si>
  <si>
    <t>V(ve1)-V(ve2), Temperature=72.1</t>
  </si>
  <si>
    <t>V(ve1)-V(ve2), Temperature=72.2</t>
  </si>
  <si>
    <t>V(ve1)-V(ve2), Temperature=72.3</t>
  </si>
  <si>
    <t>V(ve1)-V(ve2), Temperature=72.4</t>
  </si>
  <si>
    <t>V(ve1)-V(ve2), Temperature=72.5</t>
  </si>
  <si>
    <t>V(ve1)-V(ve2), Temperature=72.6</t>
  </si>
  <si>
    <t>V(ve1)-V(ve2), Temperature=72.7</t>
  </si>
  <si>
    <t>V(ve1)-V(ve2), Temperature=72.8</t>
  </si>
  <si>
    <t>V(ve1)-V(ve2), Temperature=72.9</t>
  </si>
  <si>
    <t>V(ve1)-V(ve2), Temperature=73</t>
  </si>
  <si>
    <t>V(ve1)-V(ve2), Temperature=73.1</t>
  </si>
  <si>
    <t>V(ve1)-V(ve2), Temperature=73.2</t>
  </si>
  <si>
    <t>V(ve1)-V(ve2), Temperature=73.3</t>
  </si>
  <si>
    <t>V(ve1)-V(ve2), Temperature=73.4</t>
  </si>
  <si>
    <t>V(ve1)-V(ve2), Temperature=73.5</t>
  </si>
  <si>
    <t>V(ve1)-V(ve2), Temperature=73.6</t>
  </si>
  <si>
    <t>V(ve1)-V(ve2), Temperature=73.7</t>
  </si>
  <si>
    <t>V(ve1)-V(ve2), Temperature=73.8</t>
  </si>
  <si>
    <t>V(ve1)-V(ve2), Temperature=73.9</t>
  </si>
  <si>
    <t>V(ve1)-V(ve2), Temperature=74</t>
  </si>
  <si>
    <t>V(ve1)-V(ve2), Temperature=74.1</t>
  </si>
  <si>
    <t>V(ve1)-V(ve2), Temperature=74.2</t>
  </si>
  <si>
    <t>V(ve1)-V(ve2), Temperature=74.3</t>
  </si>
  <si>
    <t>V(ve1)-V(ve2), Temperature=74.4</t>
  </si>
  <si>
    <t>V(ve1)-V(ve2), Temperature=74.5</t>
  </si>
  <si>
    <t>V(ve1)-V(ve2), Temperature=74.6</t>
  </si>
  <si>
    <t>V(ve1)-V(ve2), Temperature=74.7</t>
  </si>
  <si>
    <t>V(ve1)-V(ve2), Temperature=74.8</t>
  </si>
  <si>
    <t>V(ve1)-V(ve2), Temperature=74.9</t>
  </si>
  <si>
    <t>V(ve1)-V(ve2), Temperature=75</t>
  </si>
  <si>
    <t>V(ve1)-V(ve2), Temperature=75.1</t>
  </si>
  <si>
    <t>V(ve1)-V(ve2), Temperature=75.2</t>
  </si>
  <si>
    <t>V(ve1)-V(ve2), Temperature=75.3</t>
  </si>
  <si>
    <t>V(ve1)-V(ve2), Temperature=75.4</t>
  </si>
  <si>
    <t>V(ve1)-V(ve2), Temperature=75.5</t>
  </si>
  <si>
    <t>V(ve1)-V(ve2), Temperature=75.6</t>
  </si>
  <si>
    <t>V(ve1)-V(ve2), Temperature=75.7</t>
  </si>
  <si>
    <t>V(ve1)-V(ve2), Temperature=75.8</t>
  </si>
  <si>
    <t>V(ve1)-V(ve2), Temperature=75.9</t>
  </si>
  <si>
    <t>V(ve1)-V(ve2), Temperature=76</t>
  </si>
  <si>
    <t>V(ve1)-V(ve2), Temperature=76.1</t>
  </si>
  <si>
    <t>V(ve1)-V(ve2), Temperature=76.2</t>
  </si>
  <si>
    <t>V(ve1)-V(ve2), Temperature=76.3</t>
  </si>
  <si>
    <t>V(ve1)-V(ve2), Temperature=76.4</t>
  </si>
  <si>
    <t>V(ve1)-V(ve2), Temperature=76.5</t>
  </si>
  <si>
    <t>V(ve1)-V(ve2), Temperature=76.6</t>
  </si>
  <si>
    <t>V(ve1)-V(ve2), Temperature=76.7</t>
  </si>
  <si>
    <t>V(ve1)-V(ve2), Temperature=76.8</t>
  </si>
  <si>
    <t>V(ve1)-V(ve2), Temperature=76.9</t>
  </si>
  <si>
    <t>V(ve1)-V(ve2), Temperature=77</t>
  </si>
  <si>
    <t>V(ve1)-V(ve2), Temperature=77.1</t>
  </si>
  <si>
    <t>V(ve1)-V(ve2), Temperature=77.2</t>
  </si>
  <si>
    <t>V(ve1)-V(ve2), Temperature=77.3</t>
  </si>
  <si>
    <t>V(ve1)-V(ve2), Temperature=77.4</t>
  </si>
  <si>
    <t>V(ve1)-V(ve2), Temperature=77.5</t>
  </si>
  <si>
    <t>V(ve1)-V(ve2), Temperature=77.6</t>
  </si>
  <si>
    <t>V(ve1)-V(ve2), Temperature=77.7</t>
  </si>
  <si>
    <t>V(ve1)-V(ve2), Temperature=77.8</t>
  </si>
  <si>
    <t>V(ve1)-V(ve2), Temperature=77.9</t>
  </si>
  <si>
    <t>V(ve1)-V(ve2), Temperature=78</t>
  </si>
  <si>
    <t>V(ve1)-V(ve2), Temperature=78.1</t>
  </si>
  <si>
    <t>V(ve1)-V(ve2), Temperature=78.2</t>
  </si>
  <si>
    <t>V(ve1)-V(ve2), Temperature=78.3</t>
  </si>
  <si>
    <t>V(ve1)-V(ve2), Temperature=78.4</t>
  </si>
  <si>
    <t>V(ve1)-V(ve2), Temperature=78.5</t>
  </si>
  <si>
    <t>V(ve1)-V(ve2), Temperature=78.6</t>
  </si>
  <si>
    <t>V(ve1)-V(ve2), Temperature=78.7</t>
  </si>
  <si>
    <t>V(ve1)-V(ve2), Temperature=78.8</t>
  </si>
  <si>
    <t>V(ve1)-V(ve2), Temperature=78.9</t>
  </si>
  <si>
    <t>V(ve1)-V(ve2), Temperature=79</t>
  </si>
  <si>
    <t>V(ve1)-V(ve2), Temperature=79.1</t>
  </si>
  <si>
    <t>V(ve1)-V(ve2), Temperature=79.2</t>
  </si>
  <si>
    <t>V(ve1)-V(ve2), Temperature=79.3</t>
  </si>
  <si>
    <t>V(ve1)-V(ve2), Temperature=79.4</t>
  </si>
  <si>
    <t>V(ve1)-V(ve2), Temperature=79.5</t>
  </si>
  <si>
    <t>V(ve1)-V(ve2), Temperature=79.6</t>
  </si>
  <si>
    <t>V(ve1)-V(ve2), Temperature=79.7</t>
  </si>
  <si>
    <t>V(ve1)-V(ve2), Temperature=79.8</t>
  </si>
  <si>
    <t>V(ve1)-V(ve2), Temperature=79.9</t>
  </si>
  <si>
    <t>V(ve1)-V(ve2), Temperature=80</t>
  </si>
  <si>
    <t>MAX ERROR</t>
  </si>
  <si>
    <t>MIN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</si>
</sst>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%"/>
    <numFmt numFmtId="165" formatCode="0.000000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1" applyNumberFormat="0" applyAlignment="0" applyProtection="0"/>
  </cellStyleXfs>
  <cellXfs count="9">
    <xf numFmtId="0" fontId="0" fillId="0" borderId="0" xfId="0">
      <alignment vertical="center"/>
    </xf>
    <xf numFmtId="0" fontId="0" fillId="0" borderId="2" xfId="0" applyBorder="1">
      <alignment vertical="center"/>
    </xf>
    <xf numFmtId="164" fontId="0" fillId="0" borderId="2" xfId="1" applyNumberFormat="1" applyFont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3" borderId="3" xfId="0" applyFill="1" applyBorder="1">
      <alignment vertical="center"/>
    </xf>
    <xf numFmtId="164" fontId="0" fillId="0" borderId="3" xfId="1" applyNumberFormat="1" applyFont="1" applyBorder="1">
      <alignment vertical="center"/>
    </xf>
    <xf numFmtId="0" fontId="2" fillId="2" borderId="4" xfId="2" applyBorder="1" applyAlignment="1">
      <alignment vertical="center"/>
    </xf>
    <xf numFmtId="165" fontId="0" fillId="0" borderId="2" xfId="0" applyNumberFormat="1" applyBorder="1">
      <alignment vertical="center"/>
    </xf>
  </cellXfs>
  <cellStyles count="3">
    <cellStyle name="Check Cell" xfId="2" builtinId="23"/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02"/>
  <sheetViews>
    <sheetView tabSelected="1" zoomScaleNormal="100" workbookViewId="0">
      <selection activeCell="F1" sqref="F1"/>
    </sheetView>
  </sheetViews>
  <sheetFormatPr defaultColWidth="8.85546875" defaultRowHeight="15"/>
  <cols>
    <col min="3" max="3" width="36.28515625" customWidth="1"/>
    <col min="4" max="4" width="28.28515625" customWidth="1"/>
    <col min="5" max="5" width="10.7109375"/>
    <col min="6" max="7" width="12.85546875"/>
    <col min="8" max="8" width="18.28515625" customWidth="1"/>
    <col min="9" max="9" width="26.28515625" customWidth="1"/>
    <col min="10" max="10" width="12.85546875"/>
    <col min="11" max="11" width="38.140625" customWidth="1"/>
    <col min="12" max="15" width="9.7109375"/>
  </cols>
  <sheetData>
    <row r="1" spans="1:15" ht="15.75" thickTop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5">
      <c r="A2" s="1">
        <f>20</f>
        <v>20</v>
      </c>
      <c r="B2" s="1">
        <f>A2+273.15</f>
        <v>293.14999999999998</v>
      </c>
      <c r="C2" s="1" t="s">
        <v>10</v>
      </c>
      <c r="D2" s="1">
        <v>2.2186499999999998</v>
      </c>
      <c r="E2" s="1">
        <f>D2/0.001</f>
        <v>2218.6499999999996</v>
      </c>
      <c r="F2" s="1">
        <f>(H2*2700)/(H2+2700)</f>
        <v>2220.0154437302513</v>
      </c>
      <c r="G2" s="1">
        <f>ABS(E2-F2)*100/F2</f>
        <v>6.150604646052809E-2</v>
      </c>
      <c r="H2" s="8">
        <f>ROUND(10000*EXP(($L$3)+($M$3/B2)+($N$3/(B2^2))+($O$3/(B2^3))),6)</f>
        <v>12487.988665000001</v>
      </c>
      <c r="I2" s="1">
        <f>-23.64*B2+9180.2</f>
        <v>2250.1340000000009</v>
      </c>
      <c r="J2" s="2">
        <f>ABS(I2-F2)/F2</f>
        <v>1.3566822859187864E-2</v>
      </c>
      <c r="K2" s="5" t="s">
        <v>619</v>
      </c>
      <c r="L2" s="4" t="s">
        <v>11</v>
      </c>
      <c r="M2" s="4" t="s">
        <v>12</v>
      </c>
      <c r="N2" s="4" t="s">
        <v>13</v>
      </c>
      <c r="O2" s="4" t="s">
        <v>14</v>
      </c>
    </row>
    <row r="3" spans="1:15">
      <c r="A3" s="1">
        <v>20.100000000000001</v>
      </c>
      <c r="B3" s="1">
        <f t="shared" ref="B3:B66" si="0">A3+273.15</f>
        <v>293.25</v>
      </c>
      <c r="C3" s="1" t="s">
        <v>15</v>
      </c>
      <c r="D3" s="1">
        <v>2.2171099999999999</v>
      </c>
      <c r="E3" s="1">
        <f>D3/0.001</f>
        <v>2217.1099999999997</v>
      </c>
      <c r="F3" s="1">
        <f t="shared" ref="F3:F66" si="1">(H3*2700)/(H3+2700)</f>
        <v>2218.2339431784494</v>
      </c>
      <c r="G3" s="1">
        <f t="shared" ref="G3:G66" si="2">ABS(E3-F3)*100/F3</f>
        <v>5.0668378865362899E-2</v>
      </c>
      <c r="H3" s="8">
        <f t="shared" ref="H3:H66" si="3">ROUND(10000*EXP(($L$3)+($M$3/B3)+($N$3/(B3^2))+($O$3/(B3^3))),6)</f>
        <v>12431.825699999999</v>
      </c>
      <c r="I3" s="1">
        <f t="shared" ref="I3:I66" si="4">-23.64*B3+9180.2</f>
        <v>2247.77</v>
      </c>
      <c r="J3" s="2">
        <f t="shared" ref="J3:J66" si="5">ABS(I3-F3)/F3</f>
        <v>1.3315122560620965E-2</v>
      </c>
      <c r="K3" s="6">
        <f>MAX(J:J)</f>
        <v>2.995855077437708E-2</v>
      </c>
      <c r="L3" s="1">
        <v>-14.633699999999999</v>
      </c>
      <c r="M3" s="1">
        <v>4791.8419999999996</v>
      </c>
      <c r="N3" s="1">
        <v>-115334</v>
      </c>
      <c r="O3" s="1">
        <v>-3730535</v>
      </c>
    </row>
    <row r="4" spans="1:15">
      <c r="A4" s="1">
        <v>20.2</v>
      </c>
      <c r="B4" s="1">
        <f t="shared" si="0"/>
        <v>293.35000000000002</v>
      </c>
      <c r="C4" s="1" t="s">
        <v>16</v>
      </c>
      <c r="D4" s="1">
        <v>2.21556</v>
      </c>
      <c r="E4" s="1">
        <f t="shared" ref="E4:E66" si="6">D4/0.001</f>
        <v>2215.56</v>
      </c>
      <c r="F4" s="1">
        <f t="shared" si="1"/>
        <v>2216.4483258320283</v>
      </c>
      <c r="G4" s="1">
        <f t="shared" si="2"/>
        <v>4.0078797311681916E-2</v>
      </c>
      <c r="H4" s="8">
        <f t="shared" si="3"/>
        <v>12375.948216999999</v>
      </c>
      <c r="I4" s="1">
        <f t="shared" si="4"/>
        <v>2245.4059999999999</v>
      </c>
      <c r="J4" s="2">
        <f t="shared" si="5"/>
        <v>1.3064899294280299E-2</v>
      </c>
      <c r="K4" s="5" t="s">
        <v>620</v>
      </c>
    </row>
    <row r="5" spans="1:15">
      <c r="A5" s="1">
        <v>20.3</v>
      </c>
      <c r="B5" s="1">
        <f t="shared" si="0"/>
        <v>293.45</v>
      </c>
      <c r="C5" s="1" t="s">
        <v>17</v>
      </c>
      <c r="D5" s="1">
        <v>2.214</v>
      </c>
      <c r="E5" s="1">
        <f t="shared" si="6"/>
        <v>2214</v>
      </c>
      <c r="F5" s="1">
        <f t="shared" si="1"/>
        <v>2214.658595602179</v>
      </c>
      <c r="G5" s="1">
        <f t="shared" si="2"/>
        <v>2.9738019371783664E-2</v>
      </c>
      <c r="H5" s="8">
        <f t="shared" si="3"/>
        <v>12320.354608</v>
      </c>
      <c r="I5" s="1">
        <f t="shared" si="4"/>
        <v>2243.0419999999999</v>
      </c>
      <c r="J5" s="2">
        <f t="shared" si="5"/>
        <v>1.2816153448745562E-2</v>
      </c>
      <c r="K5" s="6">
        <f>MIN(J:J)</f>
        <v>2.7432455401079691E-5</v>
      </c>
    </row>
    <row r="6" spans="1:15">
      <c r="A6" s="1">
        <v>20.399999999999999</v>
      </c>
      <c r="B6" s="1">
        <f t="shared" si="0"/>
        <v>293.55</v>
      </c>
      <c r="C6" s="1" t="s">
        <v>18</v>
      </c>
      <c r="D6" s="1">
        <v>2.21191</v>
      </c>
      <c r="E6" s="1">
        <f t="shared" si="6"/>
        <v>2211.91</v>
      </c>
      <c r="F6" s="1">
        <f t="shared" si="1"/>
        <v>2212.8647565161909</v>
      </c>
      <c r="G6" s="1">
        <f t="shared" si="2"/>
        <v>4.314572381252061E-2</v>
      </c>
      <c r="H6" s="8">
        <f t="shared" si="3"/>
        <v>12265.043276</v>
      </c>
      <c r="I6" s="1">
        <f t="shared" si="4"/>
        <v>2240.6779999999999</v>
      </c>
      <c r="J6" s="2">
        <f t="shared" si="5"/>
        <v>1.2568885378967554E-2</v>
      </c>
    </row>
    <row r="7" spans="1:15">
      <c r="A7" s="1">
        <v>20.5</v>
      </c>
      <c r="B7" s="1">
        <f t="shared" si="0"/>
        <v>293.64999999999998</v>
      </c>
      <c r="C7" s="1" t="s">
        <v>19</v>
      </c>
      <c r="D7" s="1">
        <v>2.21034</v>
      </c>
      <c r="E7" s="1">
        <f t="shared" si="6"/>
        <v>2210.34</v>
      </c>
      <c r="F7" s="1">
        <f t="shared" si="1"/>
        <v>2211.0668126882551</v>
      </c>
      <c r="G7" s="1">
        <f t="shared" si="2"/>
        <v>3.2871584163995611E-2</v>
      </c>
      <c r="H7" s="8">
        <f t="shared" si="3"/>
        <v>12210.012634000001</v>
      </c>
      <c r="I7" s="1">
        <f t="shared" si="4"/>
        <v>2238.3139999999999</v>
      </c>
      <c r="J7" s="2">
        <f t="shared" si="5"/>
        <v>1.2323095419544145E-2</v>
      </c>
    </row>
    <row r="8" spans="1:15">
      <c r="A8" s="1">
        <v>20.6</v>
      </c>
      <c r="B8" s="1">
        <f t="shared" si="0"/>
        <v>293.75</v>
      </c>
      <c r="C8" s="1" t="s">
        <v>20</v>
      </c>
      <c r="D8" s="1">
        <v>2.2084999999999999</v>
      </c>
      <c r="E8" s="1">
        <f t="shared" si="6"/>
        <v>2208.5</v>
      </c>
      <c r="F8" s="1">
        <f t="shared" si="1"/>
        <v>2209.2647682558877</v>
      </c>
      <c r="G8" s="1">
        <f t="shared" si="2"/>
        <v>3.4616414785424356E-2</v>
      </c>
      <c r="H8" s="8">
        <f t="shared" si="3"/>
        <v>12155.261103000001</v>
      </c>
      <c r="I8" s="1">
        <f t="shared" si="4"/>
        <v>2235.9499999999998</v>
      </c>
      <c r="J8" s="2">
        <f t="shared" si="5"/>
        <v>1.2078783913789958E-2</v>
      </c>
      <c r="K8" s="3" t="s">
        <v>8</v>
      </c>
      <c r="L8" s="4" t="s">
        <v>0</v>
      </c>
      <c r="M8" s="4" t="s">
        <v>1</v>
      </c>
      <c r="N8" s="4" t="s">
        <v>4</v>
      </c>
      <c r="O8" s="4" t="s">
        <v>21</v>
      </c>
    </row>
    <row r="9" spans="1:15">
      <c r="A9" s="1">
        <v>20.7</v>
      </c>
      <c r="B9" s="1">
        <f t="shared" si="0"/>
        <v>293.85000000000002</v>
      </c>
      <c r="C9" s="1" t="s">
        <v>22</v>
      </c>
      <c r="D9" s="1">
        <v>2.2066499999999998</v>
      </c>
      <c r="E9" s="1">
        <f t="shared" si="6"/>
        <v>2206.65</v>
      </c>
      <c r="F9" s="1">
        <f t="shared" si="1"/>
        <v>2207.4586274798939</v>
      </c>
      <c r="G9" s="1">
        <f t="shared" si="2"/>
        <v>3.6631602958602794E-2</v>
      </c>
      <c r="H9" s="8">
        <f t="shared" si="3"/>
        <v>12100.787114999999</v>
      </c>
      <c r="I9" s="1">
        <f t="shared" si="4"/>
        <v>2233.5859999999998</v>
      </c>
      <c r="J9" s="2">
        <f t="shared" si="5"/>
        <v>1.1835951167942699E-2</v>
      </c>
      <c r="K9" s="3" t="s">
        <v>23</v>
      </c>
      <c r="L9" s="1">
        <v>20</v>
      </c>
      <c r="M9" s="1">
        <v>293.14999999999998</v>
      </c>
      <c r="N9" s="1">
        <f>2250.134</f>
        <v>2250.134</v>
      </c>
      <c r="O9" s="1">
        <f>N9*0.001</f>
        <v>2.2501340000000001</v>
      </c>
    </row>
    <row r="10" spans="1:15">
      <c r="A10" s="1">
        <v>20.8</v>
      </c>
      <c r="B10" s="1">
        <f t="shared" si="0"/>
        <v>293.95</v>
      </c>
      <c r="C10" s="1" t="s">
        <v>24</v>
      </c>
      <c r="D10" s="1">
        <v>2.2045300000000001</v>
      </c>
      <c r="E10" s="1">
        <f t="shared" si="6"/>
        <v>2204.5300000000002</v>
      </c>
      <c r="F10" s="1">
        <f t="shared" si="1"/>
        <v>2205.6483947146949</v>
      </c>
      <c r="G10" s="1">
        <f t="shared" si="2"/>
        <v>5.070593832519376E-2</v>
      </c>
      <c r="H10" s="8">
        <f t="shared" si="3"/>
        <v>12046.589112</v>
      </c>
      <c r="I10" s="1">
        <f t="shared" si="4"/>
        <v>2231.2220000000002</v>
      </c>
      <c r="J10" s="2">
        <f t="shared" si="5"/>
        <v>1.1594597464666777E-2</v>
      </c>
      <c r="K10" s="1"/>
      <c r="L10" s="1">
        <v>80</v>
      </c>
      <c r="M10" s="1">
        <v>353.15</v>
      </c>
      <c r="N10" s="1">
        <f>831.73</f>
        <v>831.73</v>
      </c>
      <c r="O10" s="1">
        <f>N10*0.001</f>
        <v>0.83172999999999997</v>
      </c>
    </row>
    <row r="11" spans="1:15">
      <c r="A11" s="1">
        <v>20.9</v>
      </c>
      <c r="B11" s="1">
        <f t="shared" si="0"/>
        <v>294.05</v>
      </c>
      <c r="C11" s="1" t="s">
        <v>25</v>
      </c>
      <c r="D11" s="1">
        <v>2.2029299999999998</v>
      </c>
      <c r="E11" s="1">
        <f t="shared" si="6"/>
        <v>2202.9299999999998</v>
      </c>
      <c r="F11" s="1">
        <f t="shared" si="1"/>
        <v>2203.8340743772778</v>
      </c>
      <c r="G11" s="1">
        <f t="shared" si="2"/>
        <v>4.1022796942344737E-2</v>
      </c>
      <c r="H11" s="8">
        <f t="shared" si="3"/>
        <v>11992.665545</v>
      </c>
      <c r="I11" s="1">
        <f t="shared" si="4"/>
        <v>2228.8580000000002</v>
      </c>
      <c r="J11" s="2">
        <f t="shared" si="5"/>
        <v>1.1354723077232202E-2</v>
      </c>
      <c r="K11" s="3" t="s">
        <v>26</v>
      </c>
    </row>
    <row r="12" spans="1:15">
      <c r="A12" s="1">
        <v>21</v>
      </c>
      <c r="B12" s="1">
        <f t="shared" si="0"/>
        <v>294.14999999999998</v>
      </c>
      <c r="C12" s="1" t="s">
        <v>27</v>
      </c>
      <c r="D12" s="1">
        <v>2.20106</v>
      </c>
      <c r="E12" s="1">
        <f t="shared" si="6"/>
        <v>2201.06</v>
      </c>
      <c r="F12" s="1">
        <f t="shared" si="1"/>
        <v>2202.015670948761</v>
      </c>
      <c r="G12" s="1">
        <f t="shared" si="2"/>
        <v>4.3399825049805059E-2</v>
      </c>
      <c r="H12" s="8">
        <f t="shared" si="3"/>
        <v>11939.014874</v>
      </c>
      <c r="I12" s="1">
        <f t="shared" si="4"/>
        <v>2226.4940000000001</v>
      </c>
      <c r="J12" s="2">
        <f t="shared" si="5"/>
        <v>1.1116328268768589E-2</v>
      </c>
      <c r="K12" s="1"/>
      <c r="L12" s="4" t="s">
        <v>0</v>
      </c>
      <c r="M12" s="4" t="s">
        <v>1</v>
      </c>
      <c r="N12" s="4"/>
      <c r="O12" s="4" t="s">
        <v>21</v>
      </c>
    </row>
    <row r="13" spans="1:15">
      <c r="A13" s="1">
        <v>21.1</v>
      </c>
      <c r="B13" s="1">
        <f t="shared" si="0"/>
        <v>294.25</v>
      </c>
      <c r="C13" s="1" t="s">
        <v>28</v>
      </c>
      <c r="D13" s="1">
        <v>2.1994400000000001</v>
      </c>
      <c r="E13" s="1">
        <f t="shared" si="6"/>
        <v>2199.44</v>
      </c>
      <c r="F13" s="1">
        <f t="shared" si="1"/>
        <v>2200.1931890102883</v>
      </c>
      <c r="G13" s="1">
        <f t="shared" si="2"/>
        <v>3.4232858007665727E-2</v>
      </c>
      <c r="H13" s="8">
        <f t="shared" si="3"/>
        <v>11885.635569</v>
      </c>
      <c r="I13" s="1">
        <f t="shared" si="4"/>
        <v>2224.13</v>
      </c>
      <c r="J13" s="2">
        <f t="shared" si="5"/>
        <v>1.087941327574026E-2</v>
      </c>
      <c r="K13" s="3" t="s">
        <v>29</v>
      </c>
      <c r="L13" s="1">
        <v>20</v>
      </c>
      <c r="M13" s="1">
        <v>293.14999999999998</v>
      </c>
      <c r="N13" s="1"/>
      <c r="O13" s="1">
        <v>0</v>
      </c>
    </row>
    <row r="14" spans="1:15">
      <c r="A14" s="1">
        <v>21.2</v>
      </c>
      <c r="B14" s="1">
        <f t="shared" si="0"/>
        <v>294.35000000000002</v>
      </c>
      <c r="C14" s="1" t="s">
        <v>30</v>
      </c>
      <c r="D14" s="1">
        <v>2.1975600000000002</v>
      </c>
      <c r="E14" s="1">
        <f t="shared" si="6"/>
        <v>2197.56</v>
      </c>
      <c r="F14" s="1">
        <f t="shared" si="1"/>
        <v>2198.3666332114622</v>
      </c>
      <c r="G14" s="1">
        <f t="shared" si="2"/>
        <v>3.6692387851786606E-2</v>
      </c>
      <c r="H14" s="8">
        <f t="shared" si="3"/>
        <v>11832.526109</v>
      </c>
      <c r="I14" s="1">
        <f t="shared" si="4"/>
        <v>2221.7660000000001</v>
      </c>
      <c r="J14" s="2">
        <f t="shared" si="5"/>
        <v>1.0643978322376183E-2</v>
      </c>
      <c r="K14" s="1"/>
      <c r="L14" s="1">
        <v>80</v>
      </c>
      <c r="M14" s="1">
        <v>353.15</v>
      </c>
      <c r="N14" s="1"/>
      <c r="O14" s="1">
        <v>5</v>
      </c>
    </row>
    <row r="15" spans="1:15">
      <c r="A15" s="1">
        <v>21.3</v>
      </c>
      <c r="B15" s="1">
        <f t="shared" si="0"/>
        <v>294.45</v>
      </c>
      <c r="C15" s="1" t="s">
        <v>31</v>
      </c>
      <c r="D15" s="1">
        <v>2.1959300000000002</v>
      </c>
      <c r="E15" s="1">
        <f t="shared" si="6"/>
        <v>2195.9299999999998</v>
      </c>
      <c r="F15" s="1">
        <f t="shared" si="1"/>
        <v>2196.5360082721168</v>
      </c>
      <c r="G15" s="1">
        <f t="shared" si="2"/>
        <v>2.7589271008292469E-2</v>
      </c>
      <c r="H15" s="8">
        <f t="shared" si="3"/>
        <v>11779.684982000001</v>
      </c>
      <c r="I15" s="1">
        <f t="shared" si="4"/>
        <v>2219.402</v>
      </c>
      <c r="J15" s="2">
        <f t="shared" si="5"/>
        <v>1.0410023619813358E-2</v>
      </c>
    </row>
    <row r="16" spans="1:15">
      <c r="A16" s="1">
        <v>21.4</v>
      </c>
      <c r="B16" s="1">
        <f t="shared" si="0"/>
        <v>294.55</v>
      </c>
      <c r="C16" s="1" t="s">
        <v>32</v>
      </c>
      <c r="D16" s="1">
        <v>2.1937600000000002</v>
      </c>
      <c r="E16" s="1">
        <f t="shared" si="6"/>
        <v>2193.7600000000002</v>
      </c>
      <c r="F16" s="1">
        <f t="shared" si="1"/>
        <v>2194.7013190892353</v>
      </c>
      <c r="G16" s="1">
        <f t="shared" si="2"/>
        <v>4.2890532804970738E-2</v>
      </c>
      <c r="H16" s="8">
        <f t="shared" si="3"/>
        <v>11727.110688000001</v>
      </c>
      <c r="I16" s="1">
        <f t="shared" si="4"/>
        <v>2217.038</v>
      </c>
      <c r="J16" s="2">
        <f t="shared" si="5"/>
        <v>1.0177549316840093E-2</v>
      </c>
    </row>
    <row r="17" spans="1:10">
      <c r="A17" s="1">
        <v>21.5</v>
      </c>
      <c r="B17" s="1">
        <f t="shared" si="0"/>
        <v>294.64999999999998</v>
      </c>
      <c r="C17" s="1" t="s">
        <v>33</v>
      </c>
      <c r="D17" s="1">
        <v>2.1918600000000001</v>
      </c>
      <c r="E17" s="1">
        <f t="shared" si="6"/>
        <v>2191.86</v>
      </c>
      <c r="F17" s="1">
        <f t="shared" si="1"/>
        <v>2192.8625704957303</v>
      </c>
      <c r="G17" s="1">
        <f t="shared" si="2"/>
        <v>4.5719714003944645E-2</v>
      </c>
      <c r="H17" s="8">
        <f t="shared" si="3"/>
        <v>11674.801732</v>
      </c>
      <c r="I17" s="1">
        <f t="shared" si="4"/>
        <v>2214.674</v>
      </c>
      <c r="J17" s="2">
        <f t="shared" si="5"/>
        <v>9.9465556107963694E-3</v>
      </c>
    </row>
    <row r="18" spans="1:10">
      <c r="A18" s="1">
        <v>21.6</v>
      </c>
      <c r="B18" s="1">
        <f t="shared" si="0"/>
        <v>294.75</v>
      </c>
      <c r="C18" s="1" t="s">
        <v>34</v>
      </c>
      <c r="D18" s="1">
        <v>2.18994</v>
      </c>
      <c r="E18" s="1">
        <f t="shared" si="6"/>
        <v>2189.94</v>
      </c>
      <c r="F18" s="1">
        <f t="shared" si="1"/>
        <v>2191.0197675060949</v>
      </c>
      <c r="G18" s="1">
        <f t="shared" si="2"/>
        <v>4.9281504535392741E-2</v>
      </c>
      <c r="H18" s="8">
        <f t="shared" si="3"/>
        <v>11622.756631</v>
      </c>
      <c r="I18" s="1">
        <f t="shared" si="4"/>
        <v>2212.31</v>
      </c>
      <c r="J18" s="2">
        <f t="shared" si="5"/>
        <v>9.7170426345073117E-3</v>
      </c>
    </row>
    <row r="19" spans="1:10">
      <c r="A19" s="1">
        <v>21.7</v>
      </c>
      <c r="B19" s="1">
        <f t="shared" si="0"/>
        <v>294.85000000000002</v>
      </c>
      <c r="C19" s="1" t="s">
        <v>35</v>
      </c>
      <c r="D19" s="1">
        <v>2.1882799999999998</v>
      </c>
      <c r="E19" s="1">
        <f t="shared" si="6"/>
        <v>2188.2800000000002</v>
      </c>
      <c r="F19" s="1">
        <f t="shared" si="1"/>
        <v>2189.1729151791292</v>
      </c>
      <c r="G19" s="1">
        <f t="shared" si="2"/>
        <v>4.078778669961363E-2</v>
      </c>
      <c r="H19" s="8">
        <f t="shared" si="3"/>
        <v>11570.973910000001</v>
      </c>
      <c r="I19" s="1">
        <f t="shared" si="4"/>
        <v>2209.9459999999999</v>
      </c>
      <c r="J19" s="2">
        <f t="shared" si="5"/>
        <v>9.4890105193773493E-3</v>
      </c>
    </row>
    <row r="20" spans="1:10">
      <c r="A20" s="1">
        <v>21.8</v>
      </c>
      <c r="B20" s="1">
        <f t="shared" si="0"/>
        <v>294.95</v>
      </c>
      <c r="C20" s="1" t="s">
        <v>36</v>
      </c>
      <c r="D20" s="1">
        <v>2.18635</v>
      </c>
      <c r="E20" s="1">
        <f t="shared" si="6"/>
        <v>2186.35</v>
      </c>
      <c r="F20" s="1">
        <f t="shared" si="1"/>
        <v>2187.322018654856</v>
      </c>
      <c r="G20" s="1">
        <f t="shared" si="2"/>
        <v>4.4438754173649016E-2</v>
      </c>
      <c r="H20" s="8">
        <f t="shared" si="3"/>
        <v>11519.452103</v>
      </c>
      <c r="I20" s="1">
        <f t="shared" si="4"/>
        <v>2207.5819999999999</v>
      </c>
      <c r="J20" s="2">
        <f t="shared" si="5"/>
        <v>9.2624593783420979E-3</v>
      </c>
    </row>
    <row r="21" spans="1:10">
      <c r="A21" s="1">
        <v>21.9</v>
      </c>
      <c r="B21" s="1">
        <f t="shared" si="0"/>
        <v>295.05</v>
      </c>
      <c r="C21" s="1" t="s">
        <v>37</v>
      </c>
      <c r="D21" s="1">
        <v>2.1846700000000001</v>
      </c>
      <c r="E21" s="1">
        <f t="shared" si="6"/>
        <v>2184.67</v>
      </c>
      <c r="F21" s="1">
        <f t="shared" si="1"/>
        <v>2185.4670831930475</v>
      </c>
      <c r="G21" s="1">
        <f t="shared" si="2"/>
        <v>3.6471983457325205E-2</v>
      </c>
      <c r="H21" s="8">
        <f t="shared" si="3"/>
        <v>11468.189754000001</v>
      </c>
      <c r="I21" s="1">
        <f t="shared" si="4"/>
        <v>2205.2179999999998</v>
      </c>
      <c r="J21" s="2">
        <f t="shared" si="5"/>
        <v>9.0373892880122927E-3</v>
      </c>
    </row>
    <row r="22" spans="1:10">
      <c r="A22" s="1">
        <v>22</v>
      </c>
      <c r="B22" s="1">
        <f t="shared" si="0"/>
        <v>295.14999999999998</v>
      </c>
      <c r="C22" s="1" t="s">
        <v>38</v>
      </c>
      <c r="D22" s="1">
        <v>2.1827299999999998</v>
      </c>
      <c r="E22" s="1">
        <f t="shared" si="6"/>
        <v>2182.73</v>
      </c>
      <c r="F22" s="1">
        <f t="shared" si="1"/>
        <v>2183.6081140670917</v>
      </c>
      <c r="G22" s="1">
        <f t="shared" si="2"/>
        <v>4.021390383351181E-2</v>
      </c>
      <c r="H22" s="8">
        <f t="shared" si="3"/>
        <v>11417.185414</v>
      </c>
      <c r="I22" s="1">
        <f t="shared" si="4"/>
        <v>2202.8539999999998</v>
      </c>
      <c r="J22" s="2">
        <f t="shared" si="5"/>
        <v>8.8138003375805192E-3</v>
      </c>
    </row>
    <row r="23" spans="1:10">
      <c r="A23" s="1">
        <v>22.1</v>
      </c>
      <c r="B23" s="1">
        <f t="shared" si="0"/>
        <v>295.25</v>
      </c>
      <c r="C23" s="1" t="s">
        <v>39</v>
      </c>
      <c r="D23" s="1">
        <v>2.1810399999999999</v>
      </c>
      <c r="E23" s="1">
        <f t="shared" si="6"/>
        <v>2181.04</v>
      </c>
      <c r="F23" s="1">
        <f t="shared" si="1"/>
        <v>2181.7451166742612</v>
      </c>
      <c r="G23" s="1">
        <f t="shared" si="2"/>
        <v>3.2318929872803173E-2</v>
      </c>
      <c r="H23" s="8">
        <f t="shared" si="3"/>
        <v>11366.437644</v>
      </c>
      <c r="I23" s="1">
        <f t="shared" si="4"/>
        <v>2200.4899999999998</v>
      </c>
      <c r="J23" s="2">
        <f t="shared" si="5"/>
        <v>8.5916925778719202E-3</v>
      </c>
    </row>
    <row r="24" spans="1:10">
      <c r="A24" s="1">
        <v>22.2</v>
      </c>
      <c r="B24" s="1">
        <f t="shared" si="0"/>
        <v>295.35000000000002</v>
      </c>
      <c r="C24" s="1" t="s">
        <v>40</v>
      </c>
      <c r="D24" s="1">
        <v>2.1785600000000001</v>
      </c>
      <c r="E24" s="1">
        <f t="shared" si="6"/>
        <v>2178.56</v>
      </c>
      <c r="F24" s="1">
        <f t="shared" si="1"/>
        <v>2179.8780965394644</v>
      </c>
      <c r="G24" s="1">
        <f t="shared" si="2"/>
        <v>6.046652524088126E-2</v>
      </c>
      <c r="H24" s="8">
        <f t="shared" si="3"/>
        <v>11315.945014999999</v>
      </c>
      <c r="I24" s="1">
        <f t="shared" si="4"/>
        <v>2198.1260000000002</v>
      </c>
      <c r="J24" s="2">
        <f t="shared" si="5"/>
        <v>8.3710660194733603E-3</v>
      </c>
    </row>
    <row r="25" spans="1:10">
      <c r="A25" s="1">
        <v>22.3</v>
      </c>
      <c r="B25" s="1">
        <f t="shared" si="0"/>
        <v>295.45</v>
      </c>
      <c r="C25" s="1" t="s">
        <v>41</v>
      </c>
      <c r="D25" s="1">
        <v>2.1773699999999998</v>
      </c>
      <c r="E25" s="1">
        <f t="shared" si="6"/>
        <v>2177.37</v>
      </c>
      <c r="F25" s="1">
        <f t="shared" si="1"/>
        <v>2178.0070591322251</v>
      </c>
      <c r="G25" s="1">
        <f t="shared" si="2"/>
        <v>2.9249635787637205E-2</v>
      </c>
      <c r="H25" s="8">
        <f t="shared" si="3"/>
        <v>11265.706103</v>
      </c>
      <c r="I25" s="1">
        <f t="shared" si="4"/>
        <v>2195.7620000000002</v>
      </c>
      <c r="J25" s="2">
        <f t="shared" si="5"/>
        <v>8.1519207173043357E-3</v>
      </c>
    </row>
    <row r="26" spans="1:10">
      <c r="A26" s="1">
        <v>22.4</v>
      </c>
      <c r="B26" s="1">
        <f t="shared" si="0"/>
        <v>295.55</v>
      </c>
      <c r="C26" s="1" t="s">
        <v>42</v>
      </c>
      <c r="D26" s="1">
        <v>2.1748799999999999</v>
      </c>
      <c r="E26" s="1">
        <f t="shared" si="6"/>
        <v>2174.88</v>
      </c>
      <c r="F26" s="1">
        <f t="shared" si="1"/>
        <v>2176.1320101650795</v>
      </c>
      <c r="G26" s="1">
        <f t="shared" si="2"/>
        <v>5.7533741484018637E-2</v>
      </c>
      <c r="H26" s="8">
        <f t="shared" si="3"/>
        <v>11215.719497</v>
      </c>
      <c r="I26" s="1">
        <f t="shared" si="4"/>
        <v>2193.3980000000001</v>
      </c>
      <c r="J26" s="2">
        <f t="shared" si="5"/>
        <v>7.9342566325334707E-3</v>
      </c>
    </row>
    <row r="27" spans="1:10">
      <c r="A27" s="1">
        <v>22.5</v>
      </c>
      <c r="B27" s="1">
        <f t="shared" si="0"/>
        <v>295.64999999999998</v>
      </c>
      <c r="C27" s="1" t="s">
        <v>43</v>
      </c>
      <c r="D27" s="1">
        <v>2.1731600000000002</v>
      </c>
      <c r="E27" s="1">
        <f t="shared" si="6"/>
        <v>2173.16</v>
      </c>
      <c r="F27" s="1">
        <f t="shared" si="1"/>
        <v>2174.252955336211</v>
      </c>
      <c r="G27" s="1">
        <f t="shared" si="2"/>
        <v>5.0268085575266248E-2</v>
      </c>
      <c r="H27" s="8">
        <f t="shared" si="3"/>
        <v>11165.983792000001</v>
      </c>
      <c r="I27" s="1">
        <f t="shared" si="4"/>
        <v>2191.0340000000001</v>
      </c>
      <c r="J27" s="2">
        <f t="shared" si="5"/>
        <v>7.7180737515401875E-3</v>
      </c>
    </row>
    <row r="28" spans="1:10">
      <c r="A28" s="1">
        <v>22.6</v>
      </c>
      <c r="B28" s="1">
        <f t="shared" si="0"/>
        <v>295.75</v>
      </c>
      <c r="C28" s="1" t="s">
        <v>44</v>
      </c>
      <c r="D28" s="1">
        <v>2.17117</v>
      </c>
      <c r="E28" s="1">
        <f t="shared" si="6"/>
        <v>2171.17</v>
      </c>
      <c r="F28" s="1">
        <f t="shared" si="1"/>
        <v>2172.3699004808996</v>
      </c>
      <c r="G28" s="1">
        <f t="shared" si="2"/>
        <v>5.5234630190459912E-2</v>
      </c>
      <c r="H28" s="8">
        <f t="shared" si="3"/>
        <v>11116.497593</v>
      </c>
      <c r="I28" s="1">
        <f t="shared" si="4"/>
        <v>2188.67</v>
      </c>
      <c r="J28" s="2">
        <f t="shared" si="5"/>
        <v>7.5033720157382704E-3</v>
      </c>
    </row>
    <row r="29" spans="1:10">
      <c r="A29" s="1">
        <v>22.7</v>
      </c>
      <c r="B29" s="1">
        <f t="shared" si="0"/>
        <v>295.85000000000002</v>
      </c>
      <c r="C29" s="1" t="s">
        <v>45</v>
      </c>
      <c r="D29" s="1">
        <v>2.1694300000000002</v>
      </c>
      <c r="E29" s="1">
        <f t="shared" si="6"/>
        <v>2169.4299999999998</v>
      </c>
      <c r="F29" s="1">
        <f t="shared" si="1"/>
        <v>2170.4828514218598</v>
      </c>
      <c r="G29" s="1">
        <f t="shared" si="2"/>
        <v>4.8507705148199153E-2</v>
      </c>
      <c r="H29" s="8">
        <f t="shared" si="3"/>
        <v>11067.259511</v>
      </c>
      <c r="I29" s="1">
        <f t="shared" si="4"/>
        <v>2186.306</v>
      </c>
      <c r="J29" s="2">
        <f t="shared" si="5"/>
        <v>7.2901513908643365E-3</v>
      </c>
    </row>
    <row r="30" spans="1:10">
      <c r="A30" s="1">
        <v>22.8</v>
      </c>
      <c r="B30" s="1">
        <f t="shared" si="0"/>
        <v>295.95</v>
      </c>
      <c r="C30" s="1" t="s">
        <v>46</v>
      </c>
      <c r="D30" s="1">
        <v>2.16743</v>
      </c>
      <c r="E30" s="1">
        <f t="shared" si="6"/>
        <v>2167.4299999999998</v>
      </c>
      <c r="F30" s="1">
        <f t="shared" si="1"/>
        <v>2168.5918141229758</v>
      </c>
      <c r="G30" s="1">
        <f t="shared" si="2"/>
        <v>5.3574587684491158E-2</v>
      </c>
      <c r="H30" s="8">
        <f t="shared" si="3"/>
        <v>11018.268167</v>
      </c>
      <c r="I30" s="1">
        <f t="shared" si="4"/>
        <v>2183.942</v>
      </c>
      <c r="J30" s="2">
        <f t="shared" si="5"/>
        <v>7.0784117956435699E-3</v>
      </c>
    </row>
    <row r="31" spans="1:10">
      <c r="A31" s="1">
        <v>22.9</v>
      </c>
      <c r="B31" s="1">
        <f t="shared" si="0"/>
        <v>296.05</v>
      </c>
      <c r="C31" s="1" t="s">
        <v>47</v>
      </c>
      <c r="D31" s="1">
        <v>2.16568</v>
      </c>
      <c r="E31" s="1">
        <f t="shared" si="6"/>
        <v>2165.6799999999998</v>
      </c>
      <c r="F31" s="1">
        <f t="shared" si="1"/>
        <v>2166.6967947326557</v>
      </c>
      <c r="G31" s="1">
        <f t="shared" si="2"/>
        <v>4.6928335110280786E-2</v>
      </c>
      <c r="H31" s="8">
        <f t="shared" si="3"/>
        <v>10969.522193000001</v>
      </c>
      <c r="I31" s="1">
        <f t="shared" si="4"/>
        <v>2181.578</v>
      </c>
      <c r="J31" s="2">
        <f t="shared" si="5"/>
        <v>6.8681530814653953E-3</v>
      </c>
    </row>
    <row r="32" spans="1:10">
      <c r="A32" s="1">
        <v>23</v>
      </c>
      <c r="B32" s="1">
        <f t="shared" si="0"/>
        <v>296.14999999999998</v>
      </c>
      <c r="C32" s="1" t="s">
        <v>48</v>
      </c>
      <c r="D32" s="1">
        <v>2.1636600000000001</v>
      </c>
      <c r="E32" s="1">
        <f t="shared" si="6"/>
        <v>2163.66</v>
      </c>
      <c r="F32" s="1">
        <f t="shared" si="1"/>
        <v>2164.7977992753326</v>
      </c>
      <c r="G32" s="1">
        <f t="shared" si="2"/>
        <v>5.2559147820348887E-2</v>
      </c>
      <c r="H32" s="8">
        <f t="shared" si="3"/>
        <v>10921.020224</v>
      </c>
      <c r="I32" s="1">
        <f t="shared" si="4"/>
        <v>2179.2139999999999</v>
      </c>
      <c r="J32" s="2">
        <f t="shared" si="5"/>
        <v>6.6593751755905971E-3</v>
      </c>
    </row>
    <row r="33" spans="1:10">
      <c r="A33" s="1">
        <v>23.1</v>
      </c>
      <c r="B33" s="1">
        <f t="shared" si="0"/>
        <v>296.25</v>
      </c>
      <c r="C33" s="1" t="s">
        <v>49</v>
      </c>
      <c r="D33" s="1">
        <v>2.1618900000000001</v>
      </c>
      <c r="E33" s="1">
        <f t="shared" si="6"/>
        <v>2161.89</v>
      </c>
      <c r="F33" s="1">
        <f t="shared" si="1"/>
        <v>2162.8948340419702</v>
      </c>
      <c r="G33" s="1">
        <f t="shared" si="2"/>
        <v>4.6457831705690768E-2</v>
      </c>
      <c r="H33" s="8">
        <f t="shared" si="3"/>
        <v>10872.760908</v>
      </c>
      <c r="I33" s="1">
        <f t="shared" si="4"/>
        <v>2176.85</v>
      </c>
      <c r="J33" s="2">
        <f t="shared" si="5"/>
        <v>6.4520778996686734E-3</v>
      </c>
    </row>
    <row r="34" spans="1:10">
      <c r="A34" s="1">
        <v>23.2</v>
      </c>
      <c r="B34" s="1">
        <f t="shared" si="0"/>
        <v>296.35000000000002</v>
      </c>
      <c r="C34" s="1" t="s">
        <v>50</v>
      </c>
      <c r="D34" s="1">
        <v>2.1598600000000001</v>
      </c>
      <c r="E34" s="1">
        <f t="shared" si="6"/>
        <v>2159.86</v>
      </c>
      <c r="F34" s="1">
        <f t="shared" si="1"/>
        <v>2160.9879052401775</v>
      </c>
      <c r="G34" s="1">
        <f t="shared" si="2"/>
        <v>5.2193963577598625E-2</v>
      </c>
      <c r="H34" s="8">
        <f t="shared" si="3"/>
        <v>10824.742897</v>
      </c>
      <c r="I34" s="1">
        <f t="shared" si="4"/>
        <v>2174.4859999999999</v>
      </c>
      <c r="J34" s="2">
        <f t="shared" si="5"/>
        <v>6.246261132276984E-3</v>
      </c>
    </row>
    <row r="35" spans="1:10">
      <c r="A35" s="1">
        <v>23.3</v>
      </c>
      <c r="B35" s="1">
        <f t="shared" si="0"/>
        <v>296.45</v>
      </c>
      <c r="C35" s="1" t="s">
        <v>51</v>
      </c>
      <c r="D35" s="1">
        <v>2.1578200000000001</v>
      </c>
      <c r="E35" s="1">
        <f t="shared" si="6"/>
        <v>2157.8200000000002</v>
      </c>
      <c r="F35" s="1">
        <f t="shared" si="1"/>
        <v>2159.0770193516933</v>
      </c>
      <c r="G35" s="1">
        <f t="shared" si="2"/>
        <v>5.8220218196316779E-2</v>
      </c>
      <c r="H35" s="8">
        <f t="shared" si="3"/>
        <v>10776.964856000001</v>
      </c>
      <c r="I35" s="1">
        <f t="shared" si="4"/>
        <v>2172.1219999999998</v>
      </c>
      <c r="J35" s="2">
        <f t="shared" si="5"/>
        <v>6.0419246425139628E-3</v>
      </c>
    </row>
    <row r="36" spans="1:10">
      <c r="A36" s="1">
        <v>23.4</v>
      </c>
      <c r="B36" s="1">
        <f t="shared" si="0"/>
        <v>296.55</v>
      </c>
      <c r="C36" s="1" t="s">
        <v>52</v>
      </c>
      <c r="D36" s="1">
        <v>2.1560299999999999</v>
      </c>
      <c r="E36" s="1">
        <f t="shared" si="6"/>
        <v>2156.0300000000002</v>
      </c>
      <c r="F36" s="1">
        <f t="shared" si="1"/>
        <v>2157.1621827776221</v>
      </c>
      <c r="G36" s="1">
        <f t="shared" si="2"/>
        <v>5.2484824120366431E-2</v>
      </c>
      <c r="H36" s="8">
        <f t="shared" si="3"/>
        <v>10729.425454</v>
      </c>
      <c r="I36" s="1">
        <f t="shared" si="4"/>
        <v>2169.7579999999998</v>
      </c>
      <c r="J36" s="2">
        <f t="shared" si="5"/>
        <v>5.8390682550159461E-3</v>
      </c>
    </row>
    <row r="37" spans="1:10">
      <c r="A37" s="1">
        <v>23.5</v>
      </c>
      <c r="B37" s="1">
        <f t="shared" si="0"/>
        <v>296.64999999999998</v>
      </c>
      <c r="C37" s="1" t="s">
        <v>53</v>
      </c>
      <c r="D37" s="1">
        <v>2.1542400000000002</v>
      </c>
      <c r="E37" s="1">
        <f t="shared" si="6"/>
        <v>2154.2399999999998</v>
      </c>
      <c r="F37" s="1">
        <f t="shared" si="1"/>
        <v>2155.2434020790229</v>
      </c>
      <c r="G37" s="1">
        <f t="shared" si="2"/>
        <v>4.6556322968216636E-2</v>
      </c>
      <c r="H37" s="8">
        <f t="shared" si="3"/>
        <v>10682.123369999999</v>
      </c>
      <c r="I37" s="1">
        <f t="shared" si="4"/>
        <v>2167.3939999999998</v>
      </c>
      <c r="J37" s="2">
        <f t="shared" si="5"/>
        <v>5.6376917378594066E-3</v>
      </c>
    </row>
    <row r="38" spans="1:10">
      <c r="A38" s="1">
        <v>23.6</v>
      </c>
      <c r="B38" s="1">
        <f t="shared" si="0"/>
        <v>296.75</v>
      </c>
      <c r="C38" s="1" t="s">
        <v>54</v>
      </c>
      <c r="D38" s="1">
        <v>2.1521699999999999</v>
      </c>
      <c r="E38" s="1">
        <f t="shared" si="6"/>
        <v>2152.17</v>
      </c>
      <c r="F38" s="1">
        <f t="shared" si="1"/>
        <v>2153.3206838998649</v>
      </c>
      <c r="G38" s="1">
        <f t="shared" si="2"/>
        <v>5.3437646722494687E-2</v>
      </c>
      <c r="H38" s="8">
        <f t="shared" si="3"/>
        <v>10635.057290999999</v>
      </c>
      <c r="I38" s="1">
        <f t="shared" si="4"/>
        <v>2165.0300000000002</v>
      </c>
      <c r="J38" s="2">
        <f t="shared" si="5"/>
        <v>5.4377948383092876E-3</v>
      </c>
    </row>
    <row r="39" spans="1:10">
      <c r="A39" s="1">
        <v>23.7</v>
      </c>
      <c r="B39" s="1">
        <f t="shared" si="0"/>
        <v>296.85000000000002</v>
      </c>
      <c r="C39" s="1" t="s">
        <v>55</v>
      </c>
      <c r="D39" s="1">
        <v>2.1501100000000002</v>
      </c>
      <c r="E39" s="1">
        <f t="shared" si="6"/>
        <v>2150.11</v>
      </c>
      <c r="F39" s="1">
        <f t="shared" si="1"/>
        <v>2151.3940348866331</v>
      </c>
      <c r="G39" s="1">
        <f t="shared" si="2"/>
        <v>5.968385455250378E-2</v>
      </c>
      <c r="H39" s="8">
        <f t="shared" si="3"/>
        <v>10588.225909999999</v>
      </c>
      <c r="I39" s="1">
        <f t="shared" si="4"/>
        <v>2162.6660000000002</v>
      </c>
      <c r="J39" s="2">
        <f t="shared" si="5"/>
        <v>5.2393773202783055E-3</v>
      </c>
    </row>
    <row r="40" spans="1:10">
      <c r="A40" s="1">
        <v>23.8</v>
      </c>
      <c r="B40" s="1">
        <f t="shared" si="0"/>
        <v>296.95</v>
      </c>
      <c r="C40" s="1" t="s">
        <v>56</v>
      </c>
      <c r="D40" s="1">
        <v>2.1482899999999998</v>
      </c>
      <c r="E40" s="1">
        <f t="shared" si="6"/>
        <v>2148.29</v>
      </c>
      <c r="F40" s="1">
        <f t="shared" si="1"/>
        <v>2149.4634618955447</v>
      </c>
      <c r="G40" s="1">
        <f t="shared" si="2"/>
        <v>5.4593246935674529E-2</v>
      </c>
      <c r="H40" s="8">
        <f t="shared" si="3"/>
        <v>10541.627931000001</v>
      </c>
      <c r="I40" s="1">
        <f t="shared" si="4"/>
        <v>2160.3020000000001</v>
      </c>
      <c r="J40" s="2">
        <f t="shared" si="5"/>
        <v>5.0424388674638228E-3</v>
      </c>
    </row>
    <row r="41" spans="1:10">
      <c r="A41" s="1">
        <v>23.9</v>
      </c>
      <c r="B41" s="1">
        <f t="shared" si="0"/>
        <v>297.05</v>
      </c>
      <c r="C41" s="1" t="s">
        <v>57</v>
      </c>
      <c r="D41" s="1">
        <v>2.1464599999999998</v>
      </c>
      <c r="E41" s="1">
        <f t="shared" si="6"/>
        <v>2146.46</v>
      </c>
      <c r="F41" s="1">
        <f t="shared" si="1"/>
        <v>2147.5289717480164</v>
      </c>
      <c r="G41" s="1">
        <f t="shared" si="2"/>
        <v>4.9776825462160404E-2</v>
      </c>
      <c r="H41" s="8">
        <f t="shared" si="3"/>
        <v>10495.262063</v>
      </c>
      <c r="I41" s="1">
        <f t="shared" si="4"/>
        <v>2157.9380000000001</v>
      </c>
      <c r="J41" s="2">
        <f t="shared" si="5"/>
        <v>4.8469791974499552E-3</v>
      </c>
    </row>
    <row r="42" spans="1:10">
      <c r="A42" s="1">
        <v>24</v>
      </c>
      <c r="B42" s="1">
        <f t="shared" si="0"/>
        <v>297.14999999999998</v>
      </c>
      <c r="C42" s="1" t="s">
        <v>58</v>
      </c>
      <c r="D42" s="1">
        <v>2.1443699999999999</v>
      </c>
      <c r="E42" s="1">
        <f t="shared" si="6"/>
        <v>2144.37</v>
      </c>
      <c r="F42" s="1">
        <f t="shared" si="1"/>
        <v>2145.5905714816386</v>
      </c>
      <c r="G42" s="1">
        <f t="shared" si="2"/>
        <v>5.6887436860603165E-2</v>
      </c>
      <c r="H42" s="8">
        <f t="shared" si="3"/>
        <v>10449.127026</v>
      </c>
      <c r="I42" s="1">
        <f t="shared" si="4"/>
        <v>2155.5740000000001</v>
      </c>
      <c r="J42" s="2">
        <f t="shared" si="5"/>
        <v>4.6529979442757547E-3</v>
      </c>
    </row>
    <row r="43" spans="1:10">
      <c r="A43" s="1">
        <v>24.1</v>
      </c>
      <c r="B43" s="1">
        <f t="shared" si="0"/>
        <v>297.25</v>
      </c>
      <c r="C43" s="1" t="s">
        <v>59</v>
      </c>
      <c r="D43" s="1">
        <v>2.1427800000000001</v>
      </c>
      <c r="E43" s="1">
        <f t="shared" si="6"/>
        <v>2142.7800000000002</v>
      </c>
      <c r="F43" s="1">
        <f t="shared" si="1"/>
        <v>2143.6482680173822</v>
      </c>
      <c r="G43" s="1">
        <f t="shared" si="2"/>
        <v>4.0504220320856224E-2</v>
      </c>
      <c r="H43" s="8">
        <f t="shared" si="3"/>
        <v>10403.221543</v>
      </c>
      <c r="I43" s="1">
        <f t="shared" si="4"/>
        <v>2153.21</v>
      </c>
      <c r="J43" s="2">
        <f t="shared" si="5"/>
        <v>4.4604948140402317E-3</v>
      </c>
    </row>
    <row r="44" spans="1:10">
      <c r="A44" s="1">
        <v>24.2</v>
      </c>
      <c r="B44" s="1">
        <f t="shared" si="0"/>
        <v>297.35000000000002</v>
      </c>
      <c r="C44" s="1" t="s">
        <v>60</v>
      </c>
      <c r="D44" s="1">
        <v>2.14093</v>
      </c>
      <c r="E44" s="1">
        <f t="shared" si="6"/>
        <v>2140.9299999999998</v>
      </c>
      <c r="F44" s="1">
        <f t="shared" si="1"/>
        <v>2141.7020685395337</v>
      </c>
      <c r="G44" s="1">
        <f t="shared" si="2"/>
        <v>3.6049296999574529E-2</v>
      </c>
      <c r="H44" s="8">
        <f t="shared" si="3"/>
        <v>10357.544349</v>
      </c>
      <c r="I44" s="1">
        <f t="shared" si="4"/>
        <v>2150.846</v>
      </c>
      <c r="J44" s="2">
        <f t="shared" si="5"/>
        <v>4.2694694069664585E-3</v>
      </c>
    </row>
    <row r="45" spans="1:10">
      <c r="A45" s="1">
        <v>24.3</v>
      </c>
      <c r="B45" s="1">
        <f t="shared" si="0"/>
        <v>297.45</v>
      </c>
      <c r="C45" s="1" t="s">
        <v>61</v>
      </c>
      <c r="D45" s="1">
        <v>2.1388199999999999</v>
      </c>
      <c r="E45" s="1">
        <f t="shared" si="6"/>
        <v>2138.8200000000002</v>
      </c>
      <c r="F45" s="1">
        <f t="shared" si="1"/>
        <v>2139.7519802889628</v>
      </c>
      <c r="G45" s="1">
        <f t="shared" si="2"/>
        <v>4.3555528750431061E-2</v>
      </c>
      <c r="H45" s="8">
        <f t="shared" si="3"/>
        <v>10312.094186</v>
      </c>
      <c r="I45" s="1">
        <f t="shared" si="4"/>
        <v>2148.482</v>
      </c>
      <c r="J45" s="2">
        <f t="shared" si="5"/>
        <v>4.0799213139918137E-3</v>
      </c>
    </row>
    <row r="46" spans="1:10">
      <c r="A46" s="1">
        <v>24.4</v>
      </c>
      <c r="B46" s="1">
        <f t="shared" si="0"/>
        <v>297.55</v>
      </c>
      <c r="C46" s="1" t="s">
        <v>62</v>
      </c>
      <c r="D46" s="1">
        <v>2.1366999999999998</v>
      </c>
      <c r="E46" s="1">
        <f t="shared" si="6"/>
        <v>2136.6999999999998</v>
      </c>
      <c r="F46" s="1">
        <f t="shared" si="1"/>
        <v>2137.7980104776098</v>
      </c>
      <c r="G46" s="1">
        <f t="shared" si="2"/>
        <v>5.1361750372507071E-2</v>
      </c>
      <c r="H46" s="8">
        <f t="shared" si="3"/>
        <v>10266.869801000001</v>
      </c>
      <c r="I46" s="1">
        <f t="shared" si="4"/>
        <v>2146.1179999999999</v>
      </c>
      <c r="J46" s="2">
        <f t="shared" si="5"/>
        <v>3.8918501568496653E-3</v>
      </c>
    </row>
    <row r="47" spans="1:10">
      <c r="A47" s="1">
        <v>24.5</v>
      </c>
      <c r="B47" s="1">
        <f t="shared" si="0"/>
        <v>297.64999999999998</v>
      </c>
      <c r="C47" s="1" t="s">
        <v>63</v>
      </c>
      <c r="D47" s="1">
        <v>2.13483</v>
      </c>
      <c r="E47" s="1">
        <f t="shared" si="6"/>
        <v>2134.83</v>
      </c>
      <c r="F47" s="1">
        <f t="shared" si="1"/>
        <v>2135.840166505016</v>
      </c>
      <c r="G47" s="1">
        <f t="shared" si="2"/>
        <v>4.7295978456526826E-2</v>
      </c>
      <c r="H47" s="8">
        <f t="shared" si="3"/>
        <v>10221.869951000001</v>
      </c>
      <c r="I47" s="1">
        <f t="shared" si="4"/>
        <v>2143.7539999999999</v>
      </c>
      <c r="J47" s="2">
        <f t="shared" si="5"/>
        <v>3.7052554863848861E-3</v>
      </c>
    </row>
    <row r="48" spans="1:10">
      <c r="A48" s="1">
        <v>24.6</v>
      </c>
      <c r="B48" s="1">
        <f t="shared" si="0"/>
        <v>297.75</v>
      </c>
      <c r="C48" s="1" t="s">
        <v>64</v>
      </c>
      <c r="D48" s="1">
        <v>2.1329500000000001</v>
      </c>
      <c r="E48" s="1">
        <f t="shared" si="6"/>
        <v>2132.9499999999998</v>
      </c>
      <c r="F48" s="1">
        <f t="shared" si="1"/>
        <v>2133.8784558322764</v>
      </c>
      <c r="G48" s="1">
        <f t="shared" si="2"/>
        <v>4.351024913058673E-2</v>
      </c>
      <c r="H48" s="8">
        <f t="shared" si="3"/>
        <v>10177.0934</v>
      </c>
      <c r="I48" s="1">
        <f t="shared" si="4"/>
        <v>2141.39</v>
      </c>
      <c r="J48" s="2">
        <f t="shared" si="5"/>
        <v>3.5201368415305489E-3</v>
      </c>
    </row>
    <row r="49" spans="1:10">
      <c r="A49" s="1">
        <v>24.7</v>
      </c>
      <c r="B49" s="1">
        <f t="shared" si="0"/>
        <v>297.85000000000002</v>
      </c>
      <c r="C49" s="1" t="s">
        <v>65</v>
      </c>
      <c r="D49" s="1">
        <v>2.1305499999999999</v>
      </c>
      <c r="E49" s="1">
        <f t="shared" si="6"/>
        <v>2130.5500000000002</v>
      </c>
      <c r="F49" s="1">
        <f t="shared" si="1"/>
        <v>2131.9128859391626</v>
      </c>
      <c r="G49" s="1">
        <f t="shared" si="2"/>
        <v>6.392784377594482E-2</v>
      </c>
      <c r="H49" s="8">
        <f t="shared" si="3"/>
        <v>10132.538918</v>
      </c>
      <c r="I49" s="1">
        <f t="shared" si="4"/>
        <v>2139.0259999999998</v>
      </c>
      <c r="J49" s="2">
        <f t="shared" si="5"/>
        <v>3.3364937693988951E-3</v>
      </c>
    </row>
    <row r="50" spans="1:10">
      <c r="A50" s="1">
        <v>24.8</v>
      </c>
      <c r="B50" s="1">
        <f t="shared" si="0"/>
        <v>297.95</v>
      </c>
      <c r="C50" s="1" t="s">
        <v>66</v>
      </c>
      <c r="D50" s="1">
        <v>2.12866</v>
      </c>
      <c r="E50" s="1">
        <f t="shared" si="6"/>
        <v>2128.66</v>
      </c>
      <c r="F50" s="1">
        <f t="shared" si="1"/>
        <v>2129.9434645023371</v>
      </c>
      <c r="G50" s="1">
        <f t="shared" si="2"/>
        <v>6.0258148806644166E-2</v>
      </c>
      <c r="H50" s="8">
        <f t="shared" si="3"/>
        <v>10088.205285</v>
      </c>
      <c r="I50" s="1">
        <f t="shared" si="4"/>
        <v>2136.6619999999998</v>
      </c>
      <c r="J50" s="2">
        <f t="shared" si="5"/>
        <v>3.1543257413325443E-3</v>
      </c>
    </row>
    <row r="51" spans="1:10">
      <c r="A51" s="1">
        <v>24.9</v>
      </c>
      <c r="B51" s="1">
        <f t="shared" si="0"/>
        <v>298.05</v>
      </c>
      <c r="C51" s="1" t="s">
        <v>67</v>
      </c>
      <c r="D51" s="1">
        <v>2.1272600000000002</v>
      </c>
      <c r="E51" s="1">
        <f t="shared" si="6"/>
        <v>2127.2600000000002</v>
      </c>
      <c r="F51" s="1">
        <f t="shared" si="1"/>
        <v>2127.9701991770557</v>
      </c>
      <c r="G51" s="1">
        <f t="shared" si="2"/>
        <v>3.3374488859392024E-2</v>
      </c>
      <c r="H51" s="8">
        <f t="shared" si="3"/>
        <v>10044.091286000001</v>
      </c>
      <c r="I51" s="1">
        <f t="shared" si="4"/>
        <v>2134.2979999999998</v>
      </c>
      <c r="J51" s="2">
        <f t="shared" si="5"/>
        <v>2.9736322554663411E-3</v>
      </c>
    </row>
    <row r="52" spans="1:10">
      <c r="A52" s="1">
        <v>25</v>
      </c>
      <c r="B52" s="1">
        <f t="shared" si="0"/>
        <v>298.14999999999998</v>
      </c>
      <c r="C52" s="1" t="s">
        <v>68</v>
      </c>
      <c r="D52" s="1">
        <v>2.1248499999999999</v>
      </c>
      <c r="E52" s="1">
        <f t="shared" si="6"/>
        <v>2124.85</v>
      </c>
      <c r="F52" s="1">
        <f t="shared" si="1"/>
        <v>2125.9930977764466</v>
      </c>
      <c r="G52" s="1">
        <f t="shared" si="2"/>
        <v>5.3767708730673672E-2</v>
      </c>
      <c r="H52" s="8">
        <f t="shared" si="3"/>
        <v>10000.195715</v>
      </c>
      <c r="I52" s="1">
        <f t="shared" si="4"/>
        <v>2131.9340000000002</v>
      </c>
      <c r="J52" s="2">
        <f t="shared" si="5"/>
        <v>2.7944127522178445E-3</v>
      </c>
    </row>
    <row r="53" spans="1:10">
      <c r="A53" s="1">
        <v>25.1</v>
      </c>
      <c r="B53" s="1">
        <f t="shared" si="0"/>
        <v>298.25</v>
      </c>
      <c r="C53" s="1" t="s">
        <v>69</v>
      </c>
      <c r="D53" s="1">
        <v>2.1229300000000002</v>
      </c>
      <c r="E53" s="1">
        <f t="shared" si="6"/>
        <v>2122.9299999999998</v>
      </c>
      <c r="F53" s="1">
        <f t="shared" si="1"/>
        <v>2124.01216813974</v>
      </c>
      <c r="G53" s="1">
        <f t="shared" si="2"/>
        <v>5.0949243887238267E-2</v>
      </c>
      <c r="H53" s="8">
        <f t="shared" si="3"/>
        <v>9956.5173720000003</v>
      </c>
      <c r="I53" s="1">
        <f t="shared" si="4"/>
        <v>2129.5700000000002</v>
      </c>
      <c r="J53" s="2">
        <f t="shared" si="5"/>
        <v>2.6166666762214804E-3</v>
      </c>
    </row>
    <row r="54" spans="1:10">
      <c r="A54" s="1">
        <v>25.2</v>
      </c>
      <c r="B54" s="1">
        <f t="shared" si="0"/>
        <v>298.35000000000002</v>
      </c>
      <c r="C54" s="1" t="s">
        <v>70</v>
      </c>
      <c r="D54" s="1">
        <v>2.121</v>
      </c>
      <c r="E54" s="1">
        <f t="shared" si="6"/>
        <v>2121</v>
      </c>
      <c r="F54" s="1">
        <f t="shared" si="1"/>
        <v>2122.0274181782484</v>
      </c>
      <c r="G54" s="1">
        <f t="shared" si="2"/>
        <v>4.8416819191261347E-2</v>
      </c>
      <c r="H54" s="8">
        <f t="shared" si="3"/>
        <v>9913.0550640000001</v>
      </c>
      <c r="I54" s="1">
        <f t="shared" si="4"/>
        <v>2127.2060000000001</v>
      </c>
      <c r="J54" s="2">
        <f t="shared" si="5"/>
        <v>2.440393454575421E-3</v>
      </c>
    </row>
    <row r="55" spans="1:10">
      <c r="A55" s="1">
        <v>25.3</v>
      </c>
      <c r="B55" s="1">
        <f t="shared" si="0"/>
        <v>298.45</v>
      </c>
      <c r="C55" s="1" t="s">
        <v>71</v>
      </c>
      <c r="D55" s="1">
        <v>2.1190699999999998</v>
      </c>
      <c r="E55" s="1">
        <f t="shared" si="6"/>
        <v>2119.0700000000002</v>
      </c>
      <c r="F55" s="1">
        <f t="shared" si="1"/>
        <v>2120.0388559694206</v>
      </c>
      <c r="G55" s="1">
        <f t="shared" si="2"/>
        <v>4.5699915673359189E-2</v>
      </c>
      <c r="H55" s="8">
        <f t="shared" si="3"/>
        <v>9869.8076070000006</v>
      </c>
      <c r="I55" s="1">
        <f t="shared" si="4"/>
        <v>2124.8420000000001</v>
      </c>
      <c r="J55" s="2">
        <f t="shared" si="5"/>
        <v>2.2655924522586865E-3</v>
      </c>
    </row>
    <row r="56" spans="1:10">
      <c r="A56" s="1">
        <v>25.4</v>
      </c>
      <c r="B56" s="1">
        <f t="shared" si="0"/>
        <v>298.55</v>
      </c>
      <c r="C56" s="1" t="s">
        <v>72</v>
      </c>
      <c r="D56" s="1">
        <v>2.1168800000000001</v>
      </c>
      <c r="E56" s="1">
        <f t="shared" si="6"/>
        <v>2116.88</v>
      </c>
      <c r="F56" s="1">
        <f t="shared" si="1"/>
        <v>2118.0464895760292</v>
      </c>
      <c r="G56" s="1">
        <f t="shared" si="2"/>
        <v>5.5073841946812245E-2</v>
      </c>
      <c r="H56" s="8">
        <f t="shared" si="3"/>
        <v>9826.7738219999992</v>
      </c>
      <c r="I56" s="1">
        <f t="shared" si="4"/>
        <v>2122.4780000000001</v>
      </c>
      <c r="J56" s="2">
        <f t="shared" si="5"/>
        <v>2.0922630573882764E-3</v>
      </c>
    </row>
    <row r="57" spans="1:10">
      <c r="A57" s="1">
        <v>25.5</v>
      </c>
      <c r="B57" s="1">
        <f t="shared" si="0"/>
        <v>298.64999999999998</v>
      </c>
      <c r="C57" s="1" t="s">
        <v>73</v>
      </c>
      <c r="D57" s="1">
        <v>2.1146799999999999</v>
      </c>
      <c r="E57" s="1">
        <f t="shared" si="6"/>
        <v>2114.6799999999998</v>
      </c>
      <c r="F57" s="1">
        <f t="shared" si="1"/>
        <v>2116.0503271852472</v>
      </c>
      <c r="G57" s="1">
        <f t="shared" si="2"/>
        <v>6.4758723724219341E-2</v>
      </c>
      <c r="H57" s="8">
        <f t="shared" si="3"/>
        <v>9783.9525379999995</v>
      </c>
      <c r="I57" s="1">
        <f t="shared" si="4"/>
        <v>2120.114</v>
      </c>
      <c r="J57" s="2">
        <f t="shared" si="5"/>
        <v>1.9204046154036078E-3</v>
      </c>
    </row>
    <row r="58" spans="1:10">
      <c r="A58" s="1">
        <v>25.6</v>
      </c>
      <c r="B58" s="1">
        <f t="shared" si="0"/>
        <v>298.75</v>
      </c>
      <c r="C58" s="1" t="s">
        <v>74</v>
      </c>
      <c r="D58" s="1">
        <v>2.1132300000000002</v>
      </c>
      <c r="E58" s="1">
        <f t="shared" si="6"/>
        <v>2113.23</v>
      </c>
      <c r="F58" s="1">
        <f t="shared" si="1"/>
        <v>2114.0503771122262</v>
      </c>
      <c r="G58" s="1">
        <f t="shared" si="2"/>
        <v>3.8805939589141893E-2</v>
      </c>
      <c r="H58" s="8">
        <f t="shared" si="3"/>
        <v>9741.3425920000009</v>
      </c>
      <c r="I58" s="1">
        <f t="shared" si="4"/>
        <v>2117.75</v>
      </c>
      <c r="J58" s="2">
        <f t="shared" si="5"/>
        <v>1.7500164271522405E-3</v>
      </c>
    </row>
    <row r="59" spans="1:10">
      <c r="A59" s="1">
        <v>25.7</v>
      </c>
      <c r="B59" s="1">
        <f t="shared" si="0"/>
        <v>298.85000000000002</v>
      </c>
      <c r="C59" s="1" t="s">
        <v>75</v>
      </c>
      <c r="D59" s="1">
        <v>2.11076</v>
      </c>
      <c r="E59" s="1">
        <f t="shared" si="6"/>
        <v>2110.7600000000002</v>
      </c>
      <c r="F59" s="1">
        <f t="shared" si="1"/>
        <v>2112.0466476140882</v>
      </c>
      <c r="G59" s="1">
        <f t="shared" si="2"/>
        <v>6.0919469536408276E-2</v>
      </c>
      <c r="H59" s="8">
        <f t="shared" si="3"/>
        <v>9698.9428250000001</v>
      </c>
      <c r="I59" s="1">
        <f t="shared" si="4"/>
        <v>2115.386</v>
      </c>
      <c r="J59" s="2">
        <f t="shared" si="5"/>
        <v>1.5810978368702756E-3</v>
      </c>
    </row>
    <row r="60" spans="1:10">
      <c r="A60" s="1">
        <v>25.8</v>
      </c>
      <c r="B60" s="1">
        <f t="shared" si="0"/>
        <v>298.95</v>
      </c>
      <c r="C60" s="1" t="s">
        <v>76</v>
      </c>
      <c r="D60" s="1">
        <v>2.1088</v>
      </c>
      <c r="E60" s="1">
        <f t="shared" si="6"/>
        <v>2108.8000000000002</v>
      </c>
      <c r="F60" s="1">
        <f t="shared" si="1"/>
        <v>2110.039147269159</v>
      </c>
      <c r="G60" s="1">
        <f t="shared" si="2"/>
        <v>5.8726269167211499E-2</v>
      </c>
      <c r="H60" s="8">
        <f t="shared" si="3"/>
        <v>9656.75209</v>
      </c>
      <c r="I60" s="1">
        <f t="shared" si="4"/>
        <v>2113.0219999999999</v>
      </c>
      <c r="J60" s="2">
        <f t="shared" si="5"/>
        <v>1.4136480523128589E-3</v>
      </c>
    </row>
    <row r="61" spans="1:10">
      <c r="A61" s="1">
        <v>25.9</v>
      </c>
      <c r="B61" s="1">
        <f t="shared" si="0"/>
        <v>299.05</v>
      </c>
      <c r="C61" s="1" t="s">
        <v>77</v>
      </c>
      <c r="D61" s="1">
        <v>2.1068199999999999</v>
      </c>
      <c r="E61" s="1">
        <f t="shared" si="6"/>
        <v>2106.8200000000002</v>
      </c>
      <c r="F61" s="1">
        <f t="shared" si="1"/>
        <v>2108.0278844585132</v>
      </c>
      <c r="G61" s="1">
        <f t="shared" si="2"/>
        <v>5.7299263800929437E-2</v>
      </c>
      <c r="H61" s="8">
        <f t="shared" si="3"/>
        <v>9614.769241</v>
      </c>
      <c r="I61" s="1">
        <f t="shared" si="4"/>
        <v>2110.6579999999999</v>
      </c>
      <c r="J61" s="2">
        <f t="shared" si="5"/>
        <v>1.247666390410342E-3</v>
      </c>
    </row>
    <row r="62" spans="1:10">
      <c r="A62" s="1">
        <v>26</v>
      </c>
      <c r="B62" s="1">
        <f t="shared" si="0"/>
        <v>299.14999999999998</v>
      </c>
      <c r="C62" s="1" t="s">
        <v>78</v>
      </c>
      <c r="D62" s="1">
        <v>2.1048300000000002</v>
      </c>
      <c r="E62" s="1">
        <f t="shared" si="6"/>
        <v>2104.83</v>
      </c>
      <c r="F62" s="1">
        <f t="shared" si="1"/>
        <v>2106.0128677940397</v>
      </c>
      <c r="G62" s="1">
        <f t="shared" si="2"/>
        <v>5.6166218741046832E-2</v>
      </c>
      <c r="H62" s="8">
        <f t="shared" si="3"/>
        <v>9572.9931419999994</v>
      </c>
      <c r="I62" s="1">
        <f t="shared" si="4"/>
        <v>2108.2939999999999</v>
      </c>
      <c r="J62" s="2">
        <f t="shared" si="5"/>
        <v>1.0831520741606572E-3</v>
      </c>
    </row>
    <row r="63" spans="1:10">
      <c r="A63" s="1">
        <v>26.1</v>
      </c>
      <c r="B63" s="1">
        <f t="shared" si="0"/>
        <v>299.25</v>
      </c>
      <c r="C63" s="1" t="s">
        <v>79</v>
      </c>
      <c r="D63" s="1">
        <v>2.10284</v>
      </c>
      <c r="E63" s="1">
        <f t="shared" si="6"/>
        <v>2102.84</v>
      </c>
      <c r="F63" s="1">
        <f t="shared" si="1"/>
        <v>2103.9941060282213</v>
      </c>
      <c r="G63" s="1">
        <f t="shared" si="2"/>
        <v>5.4853101770316541E-2</v>
      </c>
      <c r="H63" s="8">
        <f t="shared" si="3"/>
        <v>9531.4226650000001</v>
      </c>
      <c r="I63" s="1">
        <f t="shared" si="4"/>
        <v>2105.9299999999998</v>
      </c>
      <c r="J63" s="2">
        <f t="shared" si="5"/>
        <v>9.2010427511749046E-4</v>
      </c>
    </row>
    <row r="64" spans="1:10">
      <c r="A64" s="1">
        <v>26.2</v>
      </c>
      <c r="B64" s="1">
        <f t="shared" si="0"/>
        <v>299.35000000000002</v>
      </c>
      <c r="C64" s="1" t="s">
        <v>80</v>
      </c>
      <c r="D64" s="1">
        <v>2.1003400000000001</v>
      </c>
      <c r="E64" s="1">
        <f t="shared" si="6"/>
        <v>2100.34</v>
      </c>
      <c r="F64" s="1">
        <f t="shared" si="1"/>
        <v>2101.9716078619717</v>
      </c>
      <c r="G64" s="1">
        <f t="shared" si="2"/>
        <v>7.7622735524538508E-2</v>
      </c>
      <c r="H64" s="8">
        <f t="shared" si="3"/>
        <v>9490.0566859999999</v>
      </c>
      <c r="I64" s="1">
        <f t="shared" si="4"/>
        <v>2103.5659999999998</v>
      </c>
      <c r="J64" s="2">
        <f t="shared" si="5"/>
        <v>7.5852220461236955E-4</v>
      </c>
    </row>
    <row r="65" spans="1:10">
      <c r="A65" s="1">
        <v>26.3</v>
      </c>
      <c r="B65" s="1">
        <f t="shared" si="0"/>
        <v>299.45</v>
      </c>
      <c r="C65" s="1" t="s">
        <v>81</v>
      </c>
      <c r="D65" s="1">
        <v>2.09884</v>
      </c>
      <c r="E65" s="1">
        <f t="shared" si="6"/>
        <v>2098.84</v>
      </c>
      <c r="F65" s="1">
        <f t="shared" si="1"/>
        <v>2099.9453821397124</v>
      </c>
      <c r="G65" s="1">
        <f t="shared" si="2"/>
        <v>5.2638613799845801E-2</v>
      </c>
      <c r="H65" s="8">
        <f t="shared" si="3"/>
        <v>9448.8940889999994</v>
      </c>
      <c r="I65" s="1">
        <f t="shared" si="4"/>
        <v>2101.2020000000002</v>
      </c>
      <c r="J65" s="2">
        <f t="shared" si="5"/>
        <v>5.9840502089985128E-4</v>
      </c>
    </row>
    <row r="66" spans="1:10">
      <c r="A66" s="1">
        <v>26.4</v>
      </c>
      <c r="B66" s="1">
        <f t="shared" si="0"/>
        <v>299.55</v>
      </c>
      <c r="C66" s="1" t="s">
        <v>82</v>
      </c>
      <c r="D66" s="1">
        <v>2.0965699999999998</v>
      </c>
      <c r="E66" s="1">
        <f t="shared" si="6"/>
        <v>2096.5700000000002</v>
      </c>
      <c r="F66" s="1">
        <f t="shared" si="1"/>
        <v>2097.915437754124</v>
      </c>
      <c r="G66" s="1">
        <f t="shared" si="2"/>
        <v>6.4132125152011749E-2</v>
      </c>
      <c r="H66" s="8">
        <f t="shared" si="3"/>
        <v>9407.9337639999994</v>
      </c>
      <c r="I66" s="1">
        <f t="shared" si="4"/>
        <v>2098.8380000000002</v>
      </c>
      <c r="J66" s="2">
        <f t="shared" si="5"/>
        <v>4.3975187430042806E-4</v>
      </c>
    </row>
    <row r="67" spans="1:10">
      <c r="A67" s="1">
        <v>26.5</v>
      </c>
      <c r="B67" s="1">
        <f t="shared" ref="B67:B130" si="7">A67+273.15</f>
        <v>299.64999999999998</v>
      </c>
      <c r="C67" s="1" t="s">
        <v>83</v>
      </c>
      <c r="D67" s="1">
        <v>2.0943000000000001</v>
      </c>
      <c r="E67" s="1">
        <f t="shared" ref="E67:E130" si="8">D67/0.001</f>
        <v>2094.3000000000002</v>
      </c>
      <c r="F67" s="1">
        <f t="shared" ref="F67:F130" si="9">(H67*2700)/(H67+2700)</f>
        <v>2095.8817837972761</v>
      </c>
      <c r="G67" s="1">
        <f t="shared" ref="G67:G130" si="10">ABS(E67-F67)*100/F67</f>
        <v>7.5471040852792354E-2</v>
      </c>
      <c r="H67" s="8">
        <f t="shared" ref="H67:H130" si="11">ROUND(10000*EXP(($L$3)+($M$3/B67)+($N$3/(B67^2))+($O$3/(B67^3))),6)</f>
        <v>9367.17461</v>
      </c>
      <c r="I67" s="1">
        <f t="shared" ref="I67:I130" si="12">-23.64*B67+9180.2</f>
        <v>2096.4740000000002</v>
      </c>
      <c r="J67" s="2">
        <f t="shared" ref="J67:J130" si="13">ABS(I67-F67)/F67</f>
        <v>2.8256183497675025E-4</v>
      </c>
    </row>
    <row r="68" spans="1:10">
      <c r="A68" s="1">
        <v>26.6</v>
      </c>
      <c r="B68" s="1">
        <f t="shared" si="7"/>
        <v>299.75</v>
      </c>
      <c r="C68" s="1" t="s">
        <v>84</v>
      </c>
      <c r="D68" s="1">
        <v>2.0927699999999998</v>
      </c>
      <c r="E68" s="1">
        <f t="shared" si="8"/>
        <v>2092.77</v>
      </c>
      <c r="F68" s="1">
        <f t="shared" si="9"/>
        <v>2093.8444292642857</v>
      </c>
      <c r="G68" s="1">
        <f t="shared" si="10"/>
        <v>5.1313710286646115E-2</v>
      </c>
      <c r="H68" s="8">
        <f t="shared" si="11"/>
        <v>9326.6155290000006</v>
      </c>
      <c r="I68" s="1">
        <f t="shared" si="12"/>
        <v>2094.11</v>
      </c>
      <c r="J68" s="2">
        <f t="shared" si="13"/>
        <v>1.268340340871001E-4</v>
      </c>
    </row>
    <row r="69" spans="1:10">
      <c r="A69" s="1">
        <v>26.7</v>
      </c>
      <c r="B69" s="1">
        <f t="shared" si="7"/>
        <v>299.85000000000002</v>
      </c>
      <c r="C69" s="1" t="s">
        <v>85</v>
      </c>
      <c r="D69" s="1">
        <v>2.09049</v>
      </c>
      <c r="E69" s="1">
        <f t="shared" si="8"/>
        <v>2090.4899999999998</v>
      </c>
      <c r="F69" s="1">
        <f t="shared" si="9"/>
        <v>2091.8033833030204</v>
      </c>
      <c r="G69" s="1">
        <f t="shared" si="10"/>
        <v>6.2787129684565707E-2</v>
      </c>
      <c r="H69" s="8">
        <f t="shared" si="11"/>
        <v>9286.2554309999996</v>
      </c>
      <c r="I69" s="1">
        <f t="shared" si="12"/>
        <v>2091.7460000000001</v>
      </c>
      <c r="J69" s="2">
        <f t="shared" si="13"/>
        <v>2.7432455401079691E-5</v>
      </c>
    </row>
    <row r="70" spans="1:10">
      <c r="A70" s="1">
        <v>26.8</v>
      </c>
      <c r="B70" s="1">
        <f t="shared" si="7"/>
        <v>299.95</v>
      </c>
      <c r="C70" s="1" t="s">
        <v>86</v>
      </c>
      <c r="D70" s="1">
        <v>2.0884399999999999</v>
      </c>
      <c r="E70" s="1">
        <f t="shared" si="8"/>
        <v>2088.44</v>
      </c>
      <c r="F70" s="1">
        <f t="shared" si="9"/>
        <v>2089.7586552186121</v>
      </c>
      <c r="G70" s="1">
        <f t="shared" si="10"/>
        <v>6.3100837760336842E-2</v>
      </c>
      <c r="H70" s="8">
        <f t="shared" si="11"/>
        <v>9246.0932339999999</v>
      </c>
      <c r="I70" s="1">
        <f t="shared" si="12"/>
        <v>2089.3820000000001</v>
      </c>
      <c r="J70" s="2">
        <f t="shared" si="13"/>
        <v>1.8023862117833115E-4</v>
      </c>
    </row>
    <row r="71" spans="1:10">
      <c r="A71" s="1">
        <v>26.9</v>
      </c>
      <c r="B71" s="1">
        <f t="shared" si="7"/>
        <v>300.05</v>
      </c>
      <c r="C71" s="1" t="s">
        <v>87</v>
      </c>
      <c r="D71" s="1">
        <v>2.0861399999999999</v>
      </c>
      <c r="E71" s="1">
        <f t="shared" si="8"/>
        <v>2086.14</v>
      </c>
      <c r="F71" s="1">
        <f t="shared" si="9"/>
        <v>2087.7102543238011</v>
      </c>
      <c r="G71" s="1">
        <f t="shared" si="10"/>
        <v>7.5214188393677953E-2</v>
      </c>
      <c r="H71" s="8">
        <f t="shared" si="11"/>
        <v>9206.1278610000008</v>
      </c>
      <c r="I71" s="1">
        <f t="shared" si="12"/>
        <v>2087.018</v>
      </c>
      <c r="J71" s="2">
        <f t="shared" si="13"/>
        <v>3.3158544025320126E-4</v>
      </c>
    </row>
    <row r="72" spans="1:10">
      <c r="A72" s="1">
        <v>27</v>
      </c>
      <c r="B72" s="1">
        <f t="shared" si="7"/>
        <v>300.14999999999998</v>
      </c>
      <c r="C72" s="1" t="s">
        <v>88</v>
      </c>
      <c r="D72" s="1">
        <v>2.08433</v>
      </c>
      <c r="E72" s="1">
        <f t="shared" si="8"/>
        <v>2084.33</v>
      </c>
      <c r="F72" s="1">
        <f t="shared" si="9"/>
        <v>2085.6581899902544</v>
      </c>
      <c r="G72" s="1">
        <f t="shared" si="10"/>
        <v>6.3682054740747937E-2</v>
      </c>
      <c r="H72" s="8">
        <f t="shared" si="11"/>
        <v>9166.3582409999999</v>
      </c>
      <c r="I72" s="1">
        <f t="shared" si="12"/>
        <v>2084.654</v>
      </c>
      <c r="J72" s="2">
        <f t="shared" si="13"/>
        <v>4.8147390357338929E-4</v>
      </c>
    </row>
    <row r="73" spans="1:10">
      <c r="A73" s="1">
        <v>27.1</v>
      </c>
      <c r="B73" s="1">
        <f t="shared" si="7"/>
        <v>300.25</v>
      </c>
      <c r="C73" s="1" t="s">
        <v>89</v>
      </c>
      <c r="D73" s="1">
        <v>2.0822699999999998</v>
      </c>
      <c r="E73" s="1">
        <f t="shared" si="8"/>
        <v>2082.27</v>
      </c>
      <c r="F73" s="1">
        <f t="shared" si="9"/>
        <v>2083.6024717020032</v>
      </c>
      <c r="G73" s="1">
        <f t="shared" si="10"/>
        <v>6.3950380175675572E-2</v>
      </c>
      <c r="H73" s="8">
        <f t="shared" si="11"/>
        <v>9126.7833100000007</v>
      </c>
      <c r="I73" s="1">
        <f t="shared" si="12"/>
        <v>2082.29</v>
      </c>
      <c r="J73" s="2">
        <f t="shared" si="13"/>
        <v>6.2990504178617223E-4</v>
      </c>
    </row>
    <row r="74" spans="1:10">
      <c r="A74" s="1">
        <v>27.2</v>
      </c>
      <c r="B74" s="1">
        <f t="shared" si="7"/>
        <v>300.35000000000002</v>
      </c>
      <c r="C74" s="1" t="s">
        <v>90</v>
      </c>
      <c r="D74" s="1">
        <v>2.0799500000000002</v>
      </c>
      <c r="E74" s="1">
        <f t="shared" si="8"/>
        <v>2079.9499999999998</v>
      </c>
      <c r="F74" s="1">
        <f t="shared" si="9"/>
        <v>2081.5431090585548</v>
      </c>
      <c r="G74" s="1">
        <f t="shared" si="10"/>
        <v>7.6535001923430546E-2</v>
      </c>
      <c r="H74" s="8">
        <f t="shared" si="11"/>
        <v>9087.4020110000001</v>
      </c>
      <c r="I74" s="1">
        <f t="shared" si="12"/>
        <v>2079.9259999999999</v>
      </c>
      <c r="J74" s="2">
        <f t="shared" si="13"/>
        <v>7.7687992697219612E-4</v>
      </c>
    </row>
    <row r="75" spans="1:10">
      <c r="A75" s="1">
        <v>27.3</v>
      </c>
      <c r="B75" s="1">
        <f t="shared" si="7"/>
        <v>300.45</v>
      </c>
      <c r="C75" s="1" t="s">
        <v>91</v>
      </c>
      <c r="D75" s="1">
        <v>2.0781100000000001</v>
      </c>
      <c r="E75" s="1">
        <f t="shared" si="8"/>
        <v>2078.11</v>
      </c>
      <c r="F75" s="1">
        <f t="shared" si="9"/>
        <v>2079.4801116724566</v>
      </c>
      <c r="G75" s="1">
        <f t="shared" si="10"/>
        <v>6.5887221751523492E-2</v>
      </c>
      <c r="H75" s="8">
        <f t="shared" si="11"/>
        <v>9048.2132920000004</v>
      </c>
      <c r="I75" s="1">
        <f t="shared" si="12"/>
        <v>2077.5619999999999</v>
      </c>
      <c r="J75" s="2">
        <f t="shared" si="13"/>
        <v>9.2239962367998598E-4</v>
      </c>
    </row>
    <row r="76" spans="1:10">
      <c r="A76" s="1">
        <v>27.4</v>
      </c>
      <c r="B76" s="1">
        <f t="shared" si="7"/>
        <v>300.55</v>
      </c>
      <c r="C76" s="1" t="s">
        <v>92</v>
      </c>
      <c r="D76" s="1">
        <v>2.0765199999999999</v>
      </c>
      <c r="E76" s="1">
        <f t="shared" si="8"/>
        <v>2076.52</v>
      </c>
      <c r="F76" s="1">
        <f t="shared" si="9"/>
        <v>2077.4134892754005</v>
      </c>
      <c r="G76" s="1">
        <f t="shared" si="10"/>
        <v>4.300969835870979E-2</v>
      </c>
      <c r="H76" s="8">
        <f t="shared" si="11"/>
        <v>9009.2161080000005</v>
      </c>
      <c r="I76" s="1">
        <f t="shared" si="12"/>
        <v>2075.1979999999999</v>
      </c>
      <c r="J76" s="2">
        <f t="shared" si="13"/>
        <v>1.0664652399909921E-3</v>
      </c>
    </row>
    <row r="77" spans="1:10">
      <c r="A77" s="1">
        <v>27.5</v>
      </c>
      <c r="B77" s="1">
        <f t="shared" si="7"/>
        <v>300.64999999999998</v>
      </c>
      <c r="C77" s="1" t="s">
        <v>93</v>
      </c>
      <c r="D77" s="1">
        <v>2.0741700000000001</v>
      </c>
      <c r="E77" s="1">
        <f t="shared" si="8"/>
        <v>2074.17</v>
      </c>
      <c r="F77" s="1">
        <f t="shared" si="9"/>
        <v>2075.3432516680296</v>
      </c>
      <c r="G77" s="1">
        <f t="shared" si="10"/>
        <v>5.6532897248996954E-2</v>
      </c>
      <c r="H77" s="8">
        <f t="shared" si="11"/>
        <v>8970.40942</v>
      </c>
      <c r="I77" s="1">
        <f t="shared" si="12"/>
        <v>2072.8339999999998</v>
      </c>
      <c r="J77" s="2">
        <f t="shared" si="13"/>
        <v>1.209077903625312E-3</v>
      </c>
    </row>
    <row r="78" spans="1:10">
      <c r="A78" s="1">
        <v>27.6</v>
      </c>
      <c r="B78" s="1">
        <f t="shared" si="7"/>
        <v>300.75</v>
      </c>
      <c r="C78" s="1" t="s">
        <v>94</v>
      </c>
      <c r="D78" s="1">
        <v>2.0720700000000001</v>
      </c>
      <c r="E78" s="1">
        <f t="shared" si="8"/>
        <v>2072.0700000000002</v>
      </c>
      <c r="F78" s="1">
        <f t="shared" si="9"/>
        <v>2073.269408721585</v>
      </c>
      <c r="G78" s="1">
        <f t="shared" si="10"/>
        <v>5.7851078906548684E-2</v>
      </c>
      <c r="H78" s="8">
        <f t="shared" si="11"/>
        <v>8931.792195</v>
      </c>
      <c r="I78" s="1">
        <f t="shared" si="12"/>
        <v>2070.4699999999998</v>
      </c>
      <c r="J78" s="2">
        <f t="shared" si="13"/>
        <v>1.3502387628973839E-3</v>
      </c>
    </row>
    <row r="79" spans="1:10">
      <c r="A79" s="1">
        <v>27.7</v>
      </c>
      <c r="B79" s="1">
        <f t="shared" si="7"/>
        <v>300.85000000000002</v>
      </c>
      <c r="C79" s="1" t="s">
        <v>95</v>
      </c>
      <c r="D79" s="1">
        <v>2.0702099999999999</v>
      </c>
      <c r="E79" s="1">
        <f t="shared" si="8"/>
        <v>2070.21</v>
      </c>
      <c r="F79" s="1">
        <f t="shared" si="9"/>
        <v>2071.1919704880866</v>
      </c>
      <c r="G79" s="1">
        <f t="shared" si="10"/>
        <v>4.7410887164414377E-2</v>
      </c>
      <c r="H79" s="8">
        <f t="shared" si="11"/>
        <v>8893.3634079999993</v>
      </c>
      <c r="I79" s="1">
        <f t="shared" si="12"/>
        <v>2068.1060000000002</v>
      </c>
      <c r="J79" s="2">
        <f t="shared" si="13"/>
        <v>1.4899490400009168E-3</v>
      </c>
    </row>
    <row r="80" spans="1:10">
      <c r="A80" s="1">
        <v>27.8</v>
      </c>
      <c r="B80" s="1">
        <f t="shared" si="7"/>
        <v>300.95</v>
      </c>
      <c r="C80" s="1" t="s">
        <v>96</v>
      </c>
      <c r="D80" s="1">
        <v>2.0678399999999999</v>
      </c>
      <c r="E80" s="1">
        <f t="shared" si="8"/>
        <v>2067.84</v>
      </c>
      <c r="F80" s="1">
        <f t="shared" si="9"/>
        <v>2069.1109468781037</v>
      </c>
      <c r="G80" s="1">
        <f t="shared" si="10"/>
        <v>6.1424781499571333E-2</v>
      </c>
      <c r="H80" s="8">
        <f t="shared" si="11"/>
        <v>8855.1220360000007</v>
      </c>
      <c r="I80" s="1">
        <f t="shared" si="12"/>
        <v>2065.7420000000002</v>
      </c>
      <c r="J80" s="2">
        <f t="shared" si="13"/>
        <v>1.6282098759308414E-3</v>
      </c>
    </row>
    <row r="81" spans="1:10">
      <c r="A81" s="1">
        <v>27.9</v>
      </c>
      <c r="B81" s="1">
        <f t="shared" si="7"/>
        <v>301.05</v>
      </c>
      <c r="C81" s="1" t="s">
        <v>97</v>
      </c>
      <c r="D81" s="1">
        <v>2.0657199999999998</v>
      </c>
      <c r="E81" s="1">
        <f t="shared" si="8"/>
        <v>2065.7199999999998</v>
      </c>
      <c r="F81" s="1">
        <f t="shared" si="9"/>
        <v>2067.0263480401118</v>
      </c>
      <c r="G81" s="1">
        <f t="shared" si="10"/>
        <v>6.3199389855412721E-2</v>
      </c>
      <c r="H81" s="8">
        <f t="shared" si="11"/>
        <v>8817.0670649999993</v>
      </c>
      <c r="I81" s="1">
        <f t="shared" si="12"/>
        <v>2063.3780000000002</v>
      </c>
      <c r="J81" s="2">
        <f t="shared" si="13"/>
        <v>1.7650225134144327E-3</v>
      </c>
    </row>
    <row r="82" spans="1:10">
      <c r="A82" s="1">
        <v>28</v>
      </c>
      <c r="B82" s="1">
        <f t="shared" si="7"/>
        <v>301.14999999999998</v>
      </c>
      <c r="C82" s="1" t="s">
        <v>98</v>
      </c>
      <c r="D82" s="1">
        <v>2.0633400000000002</v>
      </c>
      <c r="E82" s="1">
        <f t="shared" si="8"/>
        <v>2063.34</v>
      </c>
      <c r="F82" s="1">
        <f t="shared" si="9"/>
        <v>2064.9381842571538</v>
      </c>
      <c r="G82" s="1">
        <f t="shared" si="10"/>
        <v>7.7396227612915036E-2</v>
      </c>
      <c r="H82" s="8">
        <f t="shared" si="11"/>
        <v>8779.1974879999998</v>
      </c>
      <c r="I82" s="1">
        <f t="shared" si="12"/>
        <v>2061.0140000000001</v>
      </c>
      <c r="J82" s="2">
        <f t="shared" si="13"/>
        <v>1.9003882474890549E-3</v>
      </c>
    </row>
    <row r="83" spans="1:10">
      <c r="A83" s="1">
        <v>28.1</v>
      </c>
      <c r="B83" s="1">
        <f t="shared" si="7"/>
        <v>301.25</v>
      </c>
      <c r="C83" s="1" t="s">
        <v>99</v>
      </c>
      <c r="D83" s="1">
        <v>2.06169</v>
      </c>
      <c r="E83" s="1">
        <f t="shared" si="8"/>
        <v>2061.69</v>
      </c>
      <c r="F83" s="1">
        <f t="shared" si="9"/>
        <v>2062.8464657278878</v>
      </c>
      <c r="G83" s="1">
        <f t="shared" si="10"/>
        <v>5.6061648169228581E-2</v>
      </c>
      <c r="H83" s="8">
        <f t="shared" si="11"/>
        <v>8741.5123010000007</v>
      </c>
      <c r="I83" s="1">
        <f t="shared" si="12"/>
        <v>2058.65</v>
      </c>
      <c r="J83" s="2">
        <f t="shared" si="13"/>
        <v>2.0343083198908602E-3</v>
      </c>
    </row>
    <row r="84" spans="1:10">
      <c r="A84" s="1">
        <v>28.2</v>
      </c>
      <c r="B84" s="1">
        <f t="shared" si="7"/>
        <v>301.35000000000002</v>
      </c>
      <c r="C84" s="1" t="s">
        <v>100</v>
      </c>
      <c r="D84" s="1">
        <v>2.0595500000000002</v>
      </c>
      <c r="E84" s="1">
        <f t="shared" si="8"/>
        <v>2059.5500000000002</v>
      </c>
      <c r="F84" s="1">
        <f t="shared" si="9"/>
        <v>2060.7512028434198</v>
      </c>
      <c r="G84" s="1">
        <f t="shared" si="10"/>
        <v>5.8289561678393491E-2</v>
      </c>
      <c r="H84" s="8">
        <f t="shared" si="11"/>
        <v>8704.0105079999994</v>
      </c>
      <c r="I84" s="1">
        <f t="shared" si="12"/>
        <v>2056.2860000000001</v>
      </c>
      <c r="J84" s="2">
        <f t="shared" si="13"/>
        <v>2.1667840529505443E-3</v>
      </c>
    </row>
    <row r="85" spans="1:10">
      <c r="A85" s="1">
        <v>28.3</v>
      </c>
      <c r="B85" s="1">
        <f t="shared" si="7"/>
        <v>301.45</v>
      </c>
      <c r="C85" s="1" t="s">
        <v>101</v>
      </c>
      <c r="D85" s="1">
        <v>2.0573899999999998</v>
      </c>
      <c r="E85" s="1">
        <f t="shared" si="8"/>
        <v>2057.39</v>
      </c>
      <c r="F85" s="1">
        <f t="shared" si="9"/>
        <v>2058.6524060237948</v>
      </c>
      <c r="G85" s="1">
        <f t="shared" si="10"/>
        <v>6.1321960914869786E-2</v>
      </c>
      <c r="H85" s="8">
        <f t="shared" si="11"/>
        <v>8666.6911180000006</v>
      </c>
      <c r="I85" s="1">
        <f t="shared" si="12"/>
        <v>2053.922</v>
      </c>
      <c r="J85" s="2">
        <f t="shared" si="13"/>
        <v>2.2978167707929753E-3</v>
      </c>
    </row>
    <row r="86" spans="1:10">
      <c r="A86" s="1">
        <v>28.4</v>
      </c>
      <c r="B86" s="1">
        <f t="shared" si="7"/>
        <v>301.55</v>
      </c>
      <c r="C86" s="1" t="s">
        <v>102</v>
      </c>
      <c r="D86" s="1">
        <v>2.0552299999999999</v>
      </c>
      <c r="E86" s="1">
        <f t="shared" si="8"/>
        <v>2055.23</v>
      </c>
      <c r="F86" s="1">
        <f t="shared" si="9"/>
        <v>2056.5500857751126</v>
      </c>
      <c r="G86" s="1">
        <f t="shared" si="10"/>
        <v>6.4189332622796913E-2</v>
      </c>
      <c r="H86" s="8">
        <f t="shared" si="11"/>
        <v>8629.5531460000002</v>
      </c>
      <c r="I86" s="1">
        <f t="shared" si="12"/>
        <v>2051.558</v>
      </c>
      <c r="J86" s="2">
        <f t="shared" si="13"/>
        <v>2.4274078271383863E-3</v>
      </c>
    </row>
    <row r="87" spans="1:10">
      <c r="A87" s="1">
        <v>28.5</v>
      </c>
      <c r="B87" s="1">
        <f t="shared" si="7"/>
        <v>301.64999999999998</v>
      </c>
      <c r="C87" s="1" t="s">
        <v>103</v>
      </c>
      <c r="D87" s="1">
        <v>2.0530599999999999</v>
      </c>
      <c r="E87" s="1">
        <f t="shared" si="8"/>
        <v>2053.06</v>
      </c>
      <c r="F87" s="1">
        <f t="shared" si="9"/>
        <v>2054.4442526917574</v>
      </c>
      <c r="G87" s="1">
        <f t="shared" si="10"/>
        <v>6.7378449911393121E-2</v>
      </c>
      <c r="H87" s="8">
        <f t="shared" si="11"/>
        <v>8592.5956129999995</v>
      </c>
      <c r="I87" s="1">
        <f t="shared" si="12"/>
        <v>2049.194</v>
      </c>
      <c r="J87" s="2">
        <f t="shared" si="13"/>
        <v>2.5555586066053886E-3</v>
      </c>
    </row>
    <row r="88" spans="1:10">
      <c r="A88" s="1">
        <v>28.6</v>
      </c>
      <c r="B88" s="1">
        <f t="shared" si="7"/>
        <v>301.75</v>
      </c>
      <c r="C88" s="1" t="s">
        <v>104</v>
      </c>
      <c r="D88" s="1">
        <v>2.0508799999999998</v>
      </c>
      <c r="E88" s="1">
        <f t="shared" si="8"/>
        <v>2050.88</v>
      </c>
      <c r="F88" s="1">
        <f t="shared" si="9"/>
        <v>2052.3349174586915</v>
      </c>
      <c r="G88" s="1">
        <f t="shared" si="10"/>
        <v>7.0890839809564454E-2</v>
      </c>
      <c r="H88" s="8">
        <f t="shared" si="11"/>
        <v>8555.8175460000002</v>
      </c>
      <c r="I88" s="1">
        <f t="shared" si="12"/>
        <v>2046.83</v>
      </c>
      <c r="J88" s="2">
        <f t="shared" si="13"/>
        <v>2.682270526054323E-3</v>
      </c>
    </row>
    <row r="89" spans="1:10">
      <c r="A89" s="1">
        <v>28.7</v>
      </c>
      <c r="B89" s="1">
        <f t="shared" si="7"/>
        <v>301.85000000000002</v>
      </c>
      <c r="C89" s="1" t="s">
        <v>105</v>
      </c>
      <c r="D89" s="1">
        <v>2.0491899999999998</v>
      </c>
      <c r="E89" s="1">
        <f t="shared" si="8"/>
        <v>2049.19</v>
      </c>
      <c r="F89" s="1">
        <f t="shared" si="9"/>
        <v>2050.2220908538266</v>
      </c>
      <c r="G89" s="1">
        <f t="shared" si="10"/>
        <v>5.0340441576096906E-2</v>
      </c>
      <c r="H89" s="8">
        <f t="shared" si="11"/>
        <v>8519.2179780000006</v>
      </c>
      <c r="I89" s="1">
        <f t="shared" si="12"/>
        <v>2044.4659999999999</v>
      </c>
      <c r="J89" s="2">
        <f t="shared" si="13"/>
        <v>2.8075450359768129E-3</v>
      </c>
    </row>
    <row r="90" spans="1:10">
      <c r="A90" s="1">
        <v>28.8</v>
      </c>
      <c r="B90" s="1">
        <f t="shared" si="7"/>
        <v>301.95</v>
      </c>
      <c r="C90" s="1" t="s">
        <v>106</v>
      </c>
      <c r="D90" s="1">
        <v>2.0467499999999998</v>
      </c>
      <c r="E90" s="1">
        <f t="shared" si="8"/>
        <v>2046.75</v>
      </c>
      <c r="F90" s="1">
        <f t="shared" si="9"/>
        <v>2048.1057836338705</v>
      </c>
      <c r="G90" s="1">
        <f t="shared" si="10"/>
        <v>6.6196953531617683E-2</v>
      </c>
      <c r="H90" s="8">
        <f t="shared" si="11"/>
        <v>8482.7959460000002</v>
      </c>
      <c r="I90" s="1">
        <f t="shared" si="12"/>
        <v>2042.1020000000001</v>
      </c>
      <c r="J90" s="2">
        <f t="shared" si="13"/>
        <v>2.9313835651682647E-3</v>
      </c>
    </row>
    <row r="91" spans="1:10">
      <c r="A91" s="1">
        <v>28.9</v>
      </c>
      <c r="B91" s="1">
        <f t="shared" si="7"/>
        <v>302.05</v>
      </c>
      <c r="C91" s="1" t="s">
        <v>107</v>
      </c>
      <c r="D91" s="1">
        <v>2.0443099999999998</v>
      </c>
      <c r="E91" s="1">
        <f t="shared" si="8"/>
        <v>2044.31</v>
      </c>
      <c r="F91" s="1">
        <f t="shared" si="9"/>
        <v>2045.9860067090638</v>
      </c>
      <c r="G91" s="1">
        <f t="shared" si="10"/>
        <v>8.1916821697116268E-2</v>
      </c>
      <c r="H91" s="8">
        <f t="shared" si="11"/>
        <v>8446.5504939999992</v>
      </c>
      <c r="I91" s="1">
        <f t="shared" si="12"/>
        <v>2039.7380000000001</v>
      </c>
      <c r="J91" s="2">
        <f t="shared" si="13"/>
        <v>3.0537876058661429E-3</v>
      </c>
    </row>
    <row r="92" spans="1:10">
      <c r="A92" s="1">
        <v>29</v>
      </c>
      <c r="B92" s="1">
        <f t="shared" si="7"/>
        <v>302.14999999999998</v>
      </c>
      <c r="C92" s="1" t="s">
        <v>108</v>
      </c>
      <c r="D92" s="1">
        <v>2.0425900000000001</v>
      </c>
      <c r="E92" s="1">
        <f t="shared" si="8"/>
        <v>2042.59</v>
      </c>
      <c r="F92" s="1">
        <f t="shared" si="9"/>
        <v>2043.8627710885773</v>
      </c>
      <c r="G92" s="1">
        <f t="shared" si="10"/>
        <v>6.2272825092828554E-2</v>
      </c>
      <c r="H92" s="8">
        <f t="shared" si="11"/>
        <v>8410.4806719999997</v>
      </c>
      <c r="I92" s="1">
        <f t="shared" si="12"/>
        <v>2037.374</v>
      </c>
      <c r="J92" s="2">
        <f t="shared" si="13"/>
        <v>3.1747586875029545E-3</v>
      </c>
    </row>
    <row r="93" spans="1:10">
      <c r="A93" s="1">
        <v>29.1</v>
      </c>
      <c r="B93" s="1">
        <f t="shared" si="7"/>
        <v>302.25</v>
      </c>
      <c r="C93" s="1" t="s">
        <v>109</v>
      </c>
      <c r="D93" s="1">
        <v>2.0403799999999999</v>
      </c>
      <c r="E93" s="1">
        <f t="shared" si="8"/>
        <v>2040.38</v>
      </c>
      <c r="F93" s="1">
        <f t="shared" si="9"/>
        <v>2041.7360878831537</v>
      </c>
      <c r="G93" s="1">
        <f t="shared" si="10"/>
        <v>6.6418372638921822E-2</v>
      </c>
      <c r="H93" s="8">
        <f t="shared" si="11"/>
        <v>8374.5855360000005</v>
      </c>
      <c r="I93" s="1">
        <f t="shared" si="12"/>
        <v>2035.01</v>
      </c>
      <c r="J93" s="2">
        <f t="shared" si="13"/>
        <v>3.2942983782625985E-3</v>
      </c>
    </row>
    <row r="94" spans="1:10">
      <c r="A94" s="1">
        <v>29.2</v>
      </c>
      <c r="B94" s="1">
        <f t="shared" si="7"/>
        <v>302.35000000000002</v>
      </c>
      <c r="C94" s="1" t="s">
        <v>110</v>
      </c>
      <c r="D94" s="1">
        <v>2.03816</v>
      </c>
      <c r="E94" s="1">
        <f t="shared" si="8"/>
        <v>2038.16</v>
      </c>
      <c r="F94" s="1">
        <f t="shared" si="9"/>
        <v>2039.605968128345</v>
      </c>
      <c r="G94" s="1">
        <f t="shared" si="10"/>
        <v>7.0894484078796366E-2</v>
      </c>
      <c r="H94" s="8">
        <f t="shared" si="11"/>
        <v>8338.8641449999996</v>
      </c>
      <c r="I94" s="1">
        <f t="shared" si="12"/>
        <v>2032.646</v>
      </c>
      <c r="J94" s="2">
        <f t="shared" si="13"/>
        <v>3.4124081989875253E-3</v>
      </c>
    </row>
    <row r="95" spans="1:10">
      <c r="A95" s="1">
        <v>29.3</v>
      </c>
      <c r="B95" s="1">
        <f t="shared" si="7"/>
        <v>302.45</v>
      </c>
      <c r="C95" s="1" t="s">
        <v>111</v>
      </c>
      <c r="D95" s="1">
        <v>2.0359400000000001</v>
      </c>
      <c r="E95" s="1">
        <f t="shared" si="8"/>
        <v>2035.94</v>
      </c>
      <c r="F95" s="1">
        <f t="shared" si="9"/>
        <v>2037.4724230223421</v>
      </c>
      <c r="G95" s="1">
        <f t="shared" si="10"/>
        <v>7.5211963854161512E-2</v>
      </c>
      <c r="H95" s="8">
        <f t="shared" si="11"/>
        <v>8303.3155650000008</v>
      </c>
      <c r="I95" s="1">
        <f t="shared" si="12"/>
        <v>2030.2819999999999</v>
      </c>
      <c r="J95" s="2">
        <f t="shared" si="13"/>
        <v>3.5290897393723177E-3</v>
      </c>
    </row>
    <row r="96" spans="1:10">
      <c r="A96" s="1">
        <v>29.4</v>
      </c>
      <c r="B96" s="1">
        <f t="shared" si="7"/>
        <v>302.55</v>
      </c>
      <c r="C96" s="1" t="s">
        <v>112</v>
      </c>
      <c r="D96" s="1">
        <v>2.0339399999999999</v>
      </c>
      <c r="E96" s="1">
        <f t="shared" si="8"/>
        <v>2033.94</v>
      </c>
      <c r="F96" s="1">
        <f t="shared" si="9"/>
        <v>2035.3354639307299</v>
      </c>
      <c r="G96" s="1">
        <f t="shared" si="10"/>
        <v>6.8561863902026898E-2</v>
      </c>
      <c r="H96" s="8">
        <f t="shared" si="11"/>
        <v>8267.9388689999996</v>
      </c>
      <c r="I96" s="1">
        <f t="shared" si="12"/>
        <v>2027.9179999999999</v>
      </c>
      <c r="J96" s="2">
        <f t="shared" si="13"/>
        <v>3.6443446607101818E-3</v>
      </c>
    </row>
    <row r="97" spans="1:10">
      <c r="A97" s="1">
        <v>29.5</v>
      </c>
      <c r="B97" s="1">
        <f t="shared" si="7"/>
        <v>302.64999999999998</v>
      </c>
      <c r="C97" s="1" t="s">
        <v>113</v>
      </c>
      <c r="D97" s="1">
        <v>2.03146</v>
      </c>
      <c r="E97" s="1">
        <f t="shared" si="8"/>
        <v>2031.46</v>
      </c>
      <c r="F97" s="1">
        <f t="shared" si="9"/>
        <v>2033.1951022083736</v>
      </c>
      <c r="G97" s="1">
        <f t="shared" si="10"/>
        <v>8.5338697033497751E-2</v>
      </c>
      <c r="H97" s="8">
        <f t="shared" si="11"/>
        <v>8232.7331340000001</v>
      </c>
      <c r="I97" s="1">
        <f t="shared" si="12"/>
        <v>2025.5540000000001</v>
      </c>
      <c r="J97" s="2">
        <f t="shared" si="13"/>
        <v>3.7581746090544947E-3</v>
      </c>
    </row>
    <row r="98" spans="1:10">
      <c r="A98" s="1">
        <v>29.6</v>
      </c>
      <c r="B98" s="1">
        <f t="shared" si="7"/>
        <v>302.75</v>
      </c>
      <c r="C98" s="1" t="s">
        <v>114</v>
      </c>
      <c r="D98" s="1">
        <v>2.02969</v>
      </c>
      <c r="E98" s="1">
        <f t="shared" si="8"/>
        <v>2029.69</v>
      </c>
      <c r="F98" s="1">
        <f t="shared" si="9"/>
        <v>2031.0513492598761</v>
      </c>
      <c r="G98" s="1">
        <f t="shared" si="10"/>
        <v>6.7026826297235678E-2</v>
      </c>
      <c r="H98" s="8">
        <f t="shared" si="11"/>
        <v>8197.6974420000006</v>
      </c>
      <c r="I98" s="1">
        <f t="shared" si="12"/>
        <v>2023.19</v>
      </c>
      <c r="J98" s="2">
        <f t="shared" si="13"/>
        <v>3.8705812449009664E-3</v>
      </c>
    </row>
    <row r="99" spans="1:10">
      <c r="A99" s="1">
        <v>29.7</v>
      </c>
      <c r="B99" s="1">
        <f t="shared" si="7"/>
        <v>302.85000000000002</v>
      </c>
      <c r="C99" s="1" t="s">
        <v>115</v>
      </c>
      <c r="D99" s="1">
        <v>2.0274399999999999</v>
      </c>
      <c r="E99" s="1">
        <f t="shared" si="8"/>
        <v>2027.44</v>
      </c>
      <c r="F99" s="1">
        <f t="shared" si="9"/>
        <v>2028.904216602431</v>
      </c>
      <c r="G99" s="1">
        <f t="shared" si="10"/>
        <v>7.2167852501332189E-2</v>
      </c>
      <c r="H99" s="8">
        <f t="shared" si="11"/>
        <v>8162.8308809999999</v>
      </c>
      <c r="I99" s="1">
        <f t="shared" si="12"/>
        <v>2020.826</v>
      </c>
      <c r="J99" s="2">
        <f t="shared" si="13"/>
        <v>3.981566274212112E-3</v>
      </c>
    </row>
    <row r="100" spans="1:10">
      <c r="A100" s="1">
        <v>29.8</v>
      </c>
      <c r="B100" s="1">
        <f t="shared" si="7"/>
        <v>302.95</v>
      </c>
      <c r="C100" s="1" t="s">
        <v>116</v>
      </c>
      <c r="D100" s="1">
        <v>2.0251800000000002</v>
      </c>
      <c r="E100" s="1">
        <f t="shared" si="8"/>
        <v>2025.18</v>
      </c>
      <c r="F100" s="1">
        <f t="shared" si="9"/>
        <v>2026.7537158067503</v>
      </c>
      <c r="G100" s="1">
        <f t="shared" si="10"/>
        <v>7.7647115901489622E-2</v>
      </c>
      <c r="H100" s="8">
        <f t="shared" si="11"/>
        <v>8128.1325440000001</v>
      </c>
      <c r="I100" s="1">
        <f t="shared" si="12"/>
        <v>2018.462</v>
      </c>
      <c r="J100" s="2">
        <f t="shared" si="13"/>
        <v>4.0911314197096555E-3</v>
      </c>
    </row>
    <row r="101" spans="1:10">
      <c r="A101" s="1">
        <v>29.9</v>
      </c>
      <c r="B101" s="1">
        <f t="shared" si="7"/>
        <v>303.05</v>
      </c>
      <c r="C101" s="1" t="s">
        <v>117</v>
      </c>
      <c r="D101" s="1">
        <v>2.02339</v>
      </c>
      <c r="E101" s="1">
        <f t="shared" si="8"/>
        <v>2023.39</v>
      </c>
      <c r="F101" s="1">
        <f t="shared" si="9"/>
        <v>2024.599858560834</v>
      </c>
      <c r="G101" s="1">
        <f t="shared" si="10"/>
        <v>5.9757909975058074E-2</v>
      </c>
      <c r="H101" s="8">
        <f t="shared" si="11"/>
        <v>8093.6015299999999</v>
      </c>
      <c r="I101" s="1">
        <f t="shared" si="12"/>
        <v>2016.098</v>
      </c>
      <c r="J101" s="2">
        <f t="shared" si="13"/>
        <v>4.1992784524234527E-3</v>
      </c>
    </row>
    <row r="102" spans="1:10">
      <c r="A102" s="1">
        <v>30</v>
      </c>
      <c r="B102" s="1">
        <f t="shared" si="7"/>
        <v>303.14999999999998</v>
      </c>
      <c r="C102" s="1" t="s">
        <v>118</v>
      </c>
      <c r="D102" s="1">
        <v>2.0208699999999999</v>
      </c>
      <c r="E102" s="1">
        <f t="shared" si="8"/>
        <v>2020.87</v>
      </c>
      <c r="F102" s="1">
        <f t="shared" si="9"/>
        <v>2022.4426566102441</v>
      </c>
      <c r="G102" s="1">
        <f t="shared" si="10"/>
        <v>7.7760257137774652E-2</v>
      </c>
      <c r="H102" s="8">
        <f t="shared" si="11"/>
        <v>8059.2369429999999</v>
      </c>
      <c r="I102" s="1">
        <f t="shared" si="12"/>
        <v>2013.7339999999999</v>
      </c>
      <c r="J102" s="2">
        <f t="shared" si="13"/>
        <v>4.3060091626234065E-3</v>
      </c>
    </row>
    <row r="103" spans="1:10">
      <c r="A103" s="1">
        <v>30.1</v>
      </c>
      <c r="B103" s="1">
        <f t="shared" si="7"/>
        <v>303.25</v>
      </c>
      <c r="C103" s="1" t="s">
        <v>119</v>
      </c>
      <c r="D103" s="1">
        <v>2.0188199999999998</v>
      </c>
      <c r="E103" s="1">
        <f t="shared" si="8"/>
        <v>2018.82</v>
      </c>
      <c r="F103" s="1">
        <f t="shared" si="9"/>
        <v>2020.282121759426</v>
      </c>
      <c r="G103" s="1">
        <f t="shared" si="10"/>
        <v>7.237215751593741E-2</v>
      </c>
      <c r="H103" s="8">
        <f t="shared" si="11"/>
        <v>8025.0378920000003</v>
      </c>
      <c r="I103" s="1">
        <f t="shared" si="12"/>
        <v>2011.37</v>
      </c>
      <c r="J103" s="2">
        <f t="shared" si="13"/>
        <v>4.4113253606702704E-3</v>
      </c>
    </row>
    <row r="104" spans="1:10">
      <c r="A104" s="1">
        <v>30.2</v>
      </c>
      <c r="B104" s="1">
        <f t="shared" si="7"/>
        <v>303.35000000000002</v>
      </c>
      <c r="C104" s="1" t="s">
        <v>120</v>
      </c>
      <c r="D104" s="1">
        <v>2.01701</v>
      </c>
      <c r="E104" s="1">
        <f t="shared" si="8"/>
        <v>2017.01</v>
      </c>
      <c r="F104" s="1">
        <f t="shared" si="9"/>
        <v>2018.1182659368642</v>
      </c>
      <c r="G104" s="1">
        <f t="shared" si="10"/>
        <v>5.4915807243323934E-2</v>
      </c>
      <c r="H104" s="8">
        <f t="shared" si="11"/>
        <v>7991.0034919999998</v>
      </c>
      <c r="I104" s="1">
        <f t="shared" si="12"/>
        <v>2009.0060000000001</v>
      </c>
      <c r="J104" s="2">
        <f t="shared" si="13"/>
        <v>4.5152289093592585E-3</v>
      </c>
    </row>
    <row r="105" spans="1:10">
      <c r="A105" s="1">
        <v>30.3</v>
      </c>
      <c r="B105" s="1">
        <f t="shared" si="7"/>
        <v>303.45</v>
      </c>
      <c r="C105" s="1" t="s">
        <v>121</v>
      </c>
      <c r="D105" s="1">
        <v>2.01471</v>
      </c>
      <c r="E105" s="1">
        <f t="shared" si="8"/>
        <v>2014.71</v>
      </c>
      <c r="F105" s="1">
        <f t="shared" si="9"/>
        <v>2015.9511010059839</v>
      </c>
      <c r="G105" s="1">
        <f t="shared" si="10"/>
        <v>6.1564043163772182E-2</v>
      </c>
      <c r="H105" s="8">
        <f t="shared" si="11"/>
        <v>7957.132861</v>
      </c>
      <c r="I105" s="1">
        <f t="shared" si="12"/>
        <v>2006.6420000000001</v>
      </c>
      <c r="J105" s="2">
        <f t="shared" si="13"/>
        <v>4.617721630915797E-3</v>
      </c>
    </row>
    <row r="106" spans="1:10">
      <c r="A106" s="1">
        <v>30.4</v>
      </c>
      <c r="B106" s="1">
        <f t="shared" si="7"/>
        <v>303.55</v>
      </c>
      <c r="C106" s="1" t="s">
        <v>122</v>
      </c>
      <c r="D106" s="1">
        <v>2.01241</v>
      </c>
      <c r="E106" s="1">
        <f t="shared" si="8"/>
        <v>2012.41</v>
      </c>
      <c r="F106" s="1">
        <f t="shared" si="9"/>
        <v>2013.780639085551</v>
      </c>
      <c r="G106" s="1">
        <f t="shared" si="10"/>
        <v>6.8062978605918117E-2</v>
      </c>
      <c r="H106" s="8">
        <f t="shared" si="11"/>
        <v>7923.4251249999998</v>
      </c>
      <c r="I106" s="1">
        <f t="shared" si="12"/>
        <v>2004.278</v>
      </c>
      <c r="J106" s="2">
        <f t="shared" si="13"/>
        <v>4.7188054652596567E-3</v>
      </c>
    </row>
    <row r="107" spans="1:10">
      <c r="A107" s="1">
        <v>30.5</v>
      </c>
      <c r="B107" s="1">
        <f t="shared" si="7"/>
        <v>303.64999999999998</v>
      </c>
      <c r="C107" s="1" t="s">
        <v>123</v>
      </c>
      <c r="D107" s="1">
        <v>2.0103300000000002</v>
      </c>
      <c r="E107" s="1">
        <f t="shared" si="8"/>
        <v>2010.33</v>
      </c>
      <c r="F107" s="1">
        <f t="shared" si="9"/>
        <v>2011.6068922973293</v>
      </c>
      <c r="G107" s="1">
        <f t="shared" si="10"/>
        <v>6.3476233960955974E-2</v>
      </c>
      <c r="H107" s="8">
        <f t="shared" si="11"/>
        <v>7889.879414</v>
      </c>
      <c r="I107" s="1">
        <f t="shared" si="12"/>
        <v>2001.914</v>
      </c>
      <c r="J107" s="2">
        <f t="shared" si="13"/>
        <v>4.8184823458522095E-3</v>
      </c>
    </row>
    <row r="108" spans="1:10">
      <c r="A108" s="1">
        <v>30.6</v>
      </c>
      <c r="B108" s="1">
        <f t="shared" si="7"/>
        <v>303.75</v>
      </c>
      <c r="C108" s="1" t="s">
        <v>124</v>
      </c>
      <c r="D108" s="1">
        <v>2.0080100000000001</v>
      </c>
      <c r="E108" s="1">
        <f t="shared" si="8"/>
        <v>2008.01</v>
      </c>
      <c r="F108" s="1">
        <f t="shared" si="9"/>
        <v>2009.4298727656596</v>
      </c>
      <c r="G108" s="1">
        <f t="shared" si="10"/>
        <v>7.0660478621501682E-2</v>
      </c>
      <c r="H108" s="8">
        <f t="shared" si="11"/>
        <v>7856.4948619999996</v>
      </c>
      <c r="I108" s="1">
        <f t="shared" si="12"/>
        <v>1999.55</v>
      </c>
      <c r="J108" s="2">
        <f t="shared" si="13"/>
        <v>4.9167541995688638E-3</v>
      </c>
    </row>
    <row r="109" spans="1:10">
      <c r="A109" s="1">
        <v>30.7</v>
      </c>
      <c r="B109" s="1">
        <f t="shared" si="7"/>
        <v>303.85000000000002</v>
      </c>
      <c r="C109" s="1" t="s">
        <v>125</v>
      </c>
      <c r="D109" s="1">
        <v>2.0059200000000001</v>
      </c>
      <c r="E109" s="1">
        <f t="shared" si="8"/>
        <v>2005.92</v>
      </c>
      <c r="F109" s="1">
        <f t="shared" si="9"/>
        <v>2007.2495927487366</v>
      </c>
      <c r="G109" s="1">
        <f t="shared" si="10"/>
        <v>6.6239532619150193E-2</v>
      </c>
      <c r="H109" s="8">
        <f t="shared" si="11"/>
        <v>7823.2706090000001</v>
      </c>
      <c r="I109" s="1">
        <f t="shared" si="12"/>
        <v>1997.1859999999999</v>
      </c>
      <c r="J109" s="2">
        <f t="shared" si="13"/>
        <v>5.0136230118525424E-3</v>
      </c>
    </row>
    <row r="110" spans="1:10">
      <c r="A110" s="1">
        <v>30.8</v>
      </c>
      <c r="B110" s="1">
        <f t="shared" si="7"/>
        <v>303.95</v>
      </c>
      <c r="C110" s="1" t="s">
        <v>126</v>
      </c>
      <c r="D110" s="1">
        <v>2.00359</v>
      </c>
      <c r="E110" s="1">
        <f t="shared" si="8"/>
        <v>2003.59</v>
      </c>
      <c r="F110" s="1">
        <f t="shared" si="9"/>
        <v>2005.0660646424053</v>
      </c>
      <c r="G110" s="1">
        <f t="shared" si="10"/>
        <v>7.3616758491628048E-2</v>
      </c>
      <c r="H110" s="8">
        <f t="shared" si="11"/>
        <v>7790.2058010000001</v>
      </c>
      <c r="I110" s="1">
        <f t="shared" si="12"/>
        <v>1994.8219999999999</v>
      </c>
      <c r="J110" s="2">
        <f t="shared" si="13"/>
        <v>5.1090908290008907E-3</v>
      </c>
    </row>
    <row r="111" spans="1:10">
      <c r="A111" s="1">
        <v>30.9</v>
      </c>
      <c r="B111" s="1">
        <f t="shared" si="7"/>
        <v>304.05</v>
      </c>
      <c r="C111" s="1" t="s">
        <v>127</v>
      </c>
      <c r="D111" s="1">
        <v>2.00149</v>
      </c>
      <c r="E111" s="1">
        <f t="shared" si="8"/>
        <v>2001.49</v>
      </c>
      <c r="F111" s="1">
        <f t="shared" si="9"/>
        <v>2002.8793007840598</v>
      </c>
      <c r="G111" s="1">
        <f t="shared" si="10"/>
        <v>6.9365177597865105E-2</v>
      </c>
      <c r="H111" s="8">
        <f t="shared" si="11"/>
        <v>7757.2995870000004</v>
      </c>
      <c r="I111" s="1">
        <f t="shared" si="12"/>
        <v>1992.4580000000001</v>
      </c>
      <c r="J111" s="2">
        <f t="shared" si="13"/>
        <v>5.2031596611838166E-3</v>
      </c>
    </row>
    <row r="112" spans="1:10">
      <c r="A112" s="1">
        <v>31</v>
      </c>
      <c r="B112" s="1">
        <f t="shared" si="7"/>
        <v>304.14999999999998</v>
      </c>
      <c r="C112" s="1" t="s">
        <v>128</v>
      </c>
      <c r="D112" s="1">
        <v>1.9993700000000001</v>
      </c>
      <c r="E112" s="1">
        <f t="shared" si="8"/>
        <v>1999.37</v>
      </c>
      <c r="F112" s="1">
        <f t="shared" si="9"/>
        <v>2000.6893136515807</v>
      </c>
      <c r="G112" s="1">
        <f t="shared" si="10"/>
        <v>6.5942954889526631E-2</v>
      </c>
      <c r="H112" s="8">
        <f t="shared" si="11"/>
        <v>7724.5511219999999</v>
      </c>
      <c r="I112" s="1">
        <f t="shared" si="12"/>
        <v>1990.0940000000001</v>
      </c>
      <c r="J112" s="2">
        <f t="shared" si="13"/>
        <v>5.2958315812876144E-3</v>
      </c>
    </row>
    <row r="113" spans="1:10">
      <c r="A113" s="1">
        <v>31.1</v>
      </c>
      <c r="B113" s="1">
        <f t="shared" si="7"/>
        <v>304.25</v>
      </c>
      <c r="C113" s="1" t="s">
        <v>129</v>
      </c>
      <c r="D113" s="1">
        <v>1.99678</v>
      </c>
      <c r="E113" s="1">
        <f t="shared" si="8"/>
        <v>1996.78</v>
      </c>
      <c r="F113" s="1">
        <f t="shared" si="9"/>
        <v>1998.4961158673452</v>
      </c>
      <c r="G113" s="1">
        <f t="shared" si="10"/>
        <v>8.5870362905381956E-2</v>
      </c>
      <c r="H113" s="8">
        <f t="shared" si="11"/>
        <v>7691.9595669999999</v>
      </c>
      <c r="I113" s="1">
        <f t="shared" si="12"/>
        <v>1987.73</v>
      </c>
      <c r="J113" s="2">
        <f t="shared" si="13"/>
        <v>5.3871087273405704E-3</v>
      </c>
    </row>
    <row r="114" spans="1:10">
      <c r="A114" s="1">
        <v>31.2</v>
      </c>
      <c r="B114" s="1">
        <f t="shared" si="7"/>
        <v>304.35000000000002</v>
      </c>
      <c r="C114" s="1" t="s">
        <v>130</v>
      </c>
      <c r="D114" s="1">
        <v>1.9946600000000001</v>
      </c>
      <c r="E114" s="1">
        <f t="shared" si="8"/>
        <v>1994.66</v>
      </c>
      <c r="F114" s="1">
        <f t="shared" si="9"/>
        <v>1996.2997199306187</v>
      </c>
      <c r="G114" s="1">
        <f t="shared" si="10"/>
        <v>8.2137963265136754E-2</v>
      </c>
      <c r="H114" s="8">
        <f t="shared" si="11"/>
        <v>7659.524085</v>
      </c>
      <c r="I114" s="1">
        <f t="shared" si="12"/>
        <v>1985.366</v>
      </c>
      <c r="J114" s="2">
        <f t="shared" si="13"/>
        <v>5.4769931696422502E-3</v>
      </c>
    </row>
    <row r="115" spans="1:10">
      <c r="A115" s="1">
        <v>31.3</v>
      </c>
      <c r="B115" s="1">
        <f t="shared" si="7"/>
        <v>304.45</v>
      </c>
      <c r="C115" s="1" t="s">
        <v>131</v>
      </c>
      <c r="D115" s="1">
        <v>1.9927600000000001</v>
      </c>
      <c r="E115" s="1">
        <f t="shared" si="8"/>
        <v>1992.76</v>
      </c>
      <c r="F115" s="1">
        <f t="shared" si="9"/>
        <v>1994.1001386233656</v>
      </c>
      <c r="G115" s="1">
        <f t="shared" si="10"/>
        <v>6.7205181796477706E-2</v>
      </c>
      <c r="H115" s="8">
        <f t="shared" si="11"/>
        <v>7627.2438469999997</v>
      </c>
      <c r="I115" s="1">
        <f t="shared" si="12"/>
        <v>1983.002</v>
      </c>
      <c r="J115" s="2">
        <f t="shared" si="13"/>
        <v>5.5654871129126576E-3</v>
      </c>
    </row>
    <row r="116" spans="1:10">
      <c r="A116" s="1">
        <v>31.4</v>
      </c>
      <c r="B116" s="1">
        <f t="shared" si="7"/>
        <v>304.55</v>
      </c>
      <c r="C116" s="1" t="s">
        <v>132</v>
      </c>
      <c r="D116" s="1">
        <v>1.9901500000000001</v>
      </c>
      <c r="E116" s="1">
        <f t="shared" si="8"/>
        <v>1990.15</v>
      </c>
      <c r="F116" s="1">
        <f t="shared" si="9"/>
        <v>1991.8973847436107</v>
      </c>
      <c r="G116" s="1">
        <f t="shared" si="10"/>
        <v>8.7724636670253292E-2</v>
      </c>
      <c r="H116" s="8">
        <f t="shared" si="11"/>
        <v>7595.1180279999999</v>
      </c>
      <c r="I116" s="1">
        <f t="shared" si="12"/>
        <v>1980.6379999999999</v>
      </c>
      <c r="J116" s="2">
        <f t="shared" si="13"/>
        <v>5.6525927639892179E-3</v>
      </c>
    </row>
    <row r="117" spans="1:10">
      <c r="A117" s="1">
        <v>31.5</v>
      </c>
      <c r="B117" s="1">
        <f t="shared" si="7"/>
        <v>304.64999999999998</v>
      </c>
      <c r="C117" s="1" t="s">
        <v>133</v>
      </c>
      <c r="D117" s="1">
        <v>1.988</v>
      </c>
      <c r="E117" s="1">
        <f t="shared" si="8"/>
        <v>1988</v>
      </c>
      <c r="F117" s="1">
        <f t="shared" si="9"/>
        <v>1989.6914709670737</v>
      </c>
      <c r="G117" s="1">
        <f t="shared" si="10"/>
        <v>8.5011721252015504E-2</v>
      </c>
      <c r="H117" s="8">
        <f t="shared" si="11"/>
        <v>7563.1458050000001</v>
      </c>
      <c r="I117" s="1">
        <f t="shared" si="12"/>
        <v>1978.2739999999999</v>
      </c>
      <c r="J117" s="2">
        <f t="shared" si="13"/>
        <v>5.7383122628175097E-3</v>
      </c>
    </row>
    <row r="118" spans="1:10">
      <c r="A118" s="1">
        <v>31.6</v>
      </c>
      <c r="B118" s="1">
        <f t="shared" si="7"/>
        <v>304.75</v>
      </c>
      <c r="C118" s="1" t="s">
        <v>134</v>
      </c>
      <c r="D118" s="1">
        <v>1.9860800000000001</v>
      </c>
      <c r="E118" s="1">
        <f t="shared" si="8"/>
        <v>1986.08</v>
      </c>
      <c r="F118" s="1">
        <f t="shared" si="9"/>
        <v>1987.4824104000711</v>
      </c>
      <c r="G118" s="1">
        <f t="shared" si="10"/>
        <v>7.0562154046378556E-2</v>
      </c>
      <c r="H118" s="8">
        <f t="shared" si="11"/>
        <v>7531.3263649999999</v>
      </c>
      <c r="I118" s="1">
        <f t="shared" si="12"/>
        <v>1975.91</v>
      </c>
      <c r="J118" s="2">
        <f t="shared" si="13"/>
        <v>5.8226479588020848E-3</v>
      </c>
    </row>
    <row r="119" spans="1:10">
      <c r="A119" s="1">
        <v>31.7</v>
      </c>
      <c r="B119" s="1">
        <f t="shared" si="7"/>
        <v>304.85000000000002</v>
      </c>
      <c r="C119" s="1" t="s">
        <v>135</v>
      </c>
      <c r="D119" s="1">
        <v>1.9839199999999999</v>
      </c>
      <c r="E119" s="1">
        <f t="shared" si="8"/>
        <v>1983.92</v>
      </c>
      <c r="F119" s="1">
        <f t="shared" si="9"/>
        <v>1985.2702158217878</v>
      </c>
      <c r="G119" s="1">
        <f t="shared" si="10"/>
        <v>6.801168984589992E-2</v>
      </c>
      <c r="H119" s="8">
        <f t="shared" si="11"/>
        <v>7499.6588940000001</v>
      </c>
      <c r="I119" s="1">
        <f t="shared" si="12"/>
        <v>1973.546</v>
      </c>
      <c r="J119" s="2">
        <f t="shared" si="13"/>
        <v>5.9056020325850772E-3</v>
      </c>
    </row>
    <row r="120" spans="1:10">
      <c r="A120" s="1">
        <v>31.8</v>
      </c>
      <c r="B120" s="1">
        <f t="shared" si="7"/>
        <v>304.95</v>
      </c>
      <c r="C120" s="1" t="s">
        <v>136</v>
      </c>
      <c r="D120" s="1">
        <v>1.9812799999999999</v>
      </c>
      <c r="E120" s="1">
        <f t="shared" si="8"/>
        <v>1981.28</v>
      </c>
      <c r="F120" s="1">
        <f t="shared" si="9"/>
        <v>1983.0549003787294</v>
      </c>
      <c r="G120" s="1">
        <f t="shared" si="10"/>
        <v>8.9503340446622184E-2</v>
      </c>
      <c r="H120" s="8">
        <f t="shared" si="11"/>
        <v>7468.1425870000003</v>
      </c>
      <c r="I120" s="1">
        <f t="shared" si="12"/>
        <v>1971.182</v>
      </c>
      <c r="J120" s="2">
        <f t="shared" si="13"/>
        <v>5.9871768433954276E-3</v>
      </c>
    </row>
    <row r="121" spans="1:10">
      <c r="A121" s="1">
        <v>31.9</v>
      </c>
      <c r="B121" s="1">
        <f t="shared" si="7"/>
        <v>305.05</v>
      </c>
      <c r="C121" s="1" t="s">
        <v>137</v>
      </c>
      <c r="D121" s="1">
        <v>1.9791000000000001</v>
      </c>
      <c r="E121" s="1">
        <f t="shared" si="8"/>
        <v>1979.1</v>
      </c>
      <c r="F121" s="1">
        <f t="shared" si="9"/>
        <v>1980.8364772411012</v>
      </c>
      <c r="G121" s="1">
        <f t="shared" si="10"/>
        <v>8.7663836013351301E-2</v>
      </c>
      <c r="H121" s="8">
        <f t="shared" si="11"/>
        <v>7436.7766430000001</v>
      </c>
      <c r="I121" s="1">
        <f t="shared" si="12"/>
        <v>1968.818</v>
      </c>
      <c r="J121" s="2">
        <f t="shared" si="13"/>
        <v>6.0673747576783735E-3</v>
      </c>
    </row>
    <row r="122" spans="1:10">
      <c r="A122" s="1">
        <v>32</v>
      </c>
      <c r="B122" s="1">
        <f t="shared" si="7"/>
        <v>305.14999999999998</v>
      </c>
      <c r="C122" s="1" t="s">
        <v>138</v>
      </c>
      <c r="D122" s="1">
        <v>1.97715</v>
      </c>
      <c r="E122" s="1">
        <f t="shared" si="8"/>
        <v>1977.15</v>
      </c>
      <c r="F122" s="1">
        <f t="shared" si="9"/>
        <v>1978.6149594603633</v>
      </c>
      <c r="G122" s="1">
        <f t="shared" si="10"/>
        <v>7.4039643406047351E-2</v>
      </c>
      <c r="H122" s="8">
        <f t="shared" si="11"/>
        <v>7405.5602630000003</v>
      </c>
      <c r="I122" s="1">
        <f t="shared" si="12"/>
        <v>1966.454</v>
      </c>
      <c r="J122" s="2">
        <f t="shared" si="13"/>
        <v>6.1461980777098822E-3</v>
      </c>
    </row>
    <row r="123" spans="1:10">
      <c r="A123" s="1">
        <v>32.1</v>
      </c>
      <c r="B123" s="1">
        <f t="shared" si="7"/>
        <v>305.25</v>
      </c>
      <c r="C123" s="1" t="s">
        <v>139</v>
      </c>
      <c r="D123" s="1">
        <v>1.97496</v>
      </c>
      <c r="E123" s="1">
        <f t="shared" si="8"/>
        <v>1974.96</v>
      </c>
      <c r="F123" s="1">
        <f t="shared" si="9"/>
        <v>1976.3903603961294</v>
      </c>
      <c r="G123" s="1">
        <f t="shared" si="10"/>
        <v>7.2372362504472876E-2</v>
      </c>
      <c r="H123" s="8">
        <f t="shared" si="11"/>
        <v>7374.4926560000004</v>
      </c>
      <c r="I123" s="1">
        <f t="shared" si="12"/>
        <v>1964.09</v>
      </c>
      <c r="J123" s="2">
        <f t="shared" si="13"/>
        <v>6.2236492560427655E-3</v>
      </c>
    </row>
    <row r="124" spans="1:10">
      <c r="A124" s="1">
        <v>32.200000000000003</v>
      </c>
      <c r="B124" s="1">
        <f t="shared" si="7"/>
        <v>305.35000000000002</v>
      </c>
      <c r="C124" s="1" t="s">
        <v>140</v>
      </c>
      <c r="D124" s="1">
        <v>1.9722900000000001</v>
      </c>
      <c r="E124" s="1">
        <f t="shared" si="8"/>
        <v>1972.29</v>
      </c>
      <c r="F124" s="1">
        <f t="shared" si="9"/>
        <v>1974.1626932917825</v>
      </c>
      <c r="G124" s="1">
        <f t="shared" si="10"/>
        <v>9.4860129722132272E-2</v>
      </c>
      <c r="H124" s="8">
        <f t="shared" si="11"/>
        <v>7343.5730329999997</v>
      </c>
      <c r="I124" s="1">
        <f t="shared" si="12"/>
        <v>1961.7260000000001</v>
      </c>
      <c r="J124" s="2">
        <f t="shared" si="13"/>
        <v>6.2997306828066098E-3</v>
      </c>
    </row>
    <row r="125" spans="1:10">
      <c r="A125" s="1">
        <v>32.299999999999997</v>
      </c>
      <c r="B125" s="1">
        <f t="shared" si="7"/>
        <v>305.45</v>
      </c>
      <c r="C125" s="1" t="s">
        <v>141</v>
      </c>
      <c r="D125" s="1">
        <v>1.9703200000000001</v>
      </c>
      <c r="E125" s="1">
        <f t="shared" si="8"/>
        <v>1970.32</v>
      </c>
      <c r="F125" s="1">
        <f t="shared" si="9"/>
        <v>1971.9319715613583</v>
      </c>
      <c r="G125" s="1">
        <f t="shared" si="10"/>
        <v>8.1745799784462878E-2</v>
      </c>
      <c r="H125" s="8">
        <f t="shared" si="11"/>
        <v>7312.8006109999997</v>
      </c>
      <c r="I125" s="1">
        <f t="shared" si="12"/>
        <v>1959.3620000000001</v>
      </c>
      <c r="J125" s="2">
        <f t="shared" si="13"/>
        <v>6.3744448300645093E-3</v>
      </c>
    </row>
    <row r="126" spans="1:10">
      <c r="A126" s="1">
        <v>32.4</v>
      </c>
      <c r="B126" s="1">
        <f t="shared" si="7"/>
        <v>305.55</v>
      </c>
      <c r="C126" s="1" t="s">
        <v>142</v>
      </c>
      <c r="D126" s="1">
        <v>1.9678800000000001</v>
      </c>
      <c r="E126" s="1">
        <f t="shared" si="8"/>
        <v>1967.88</v>
      </c>
      <c r="F126" s="1">
        <f t="shared" si="9"/>
        <v>1969.6982087213364</v>
      </c>
      <c r="G126" s="1">
        <f t="shared" si="10"/>
        <v>9.2309000093807589E-2</v>
      </c>
      <c r="H126" s="8">
        <f t="shared" si="11"/>
        <v>7282.1746119999998</v>
      </c>
      <c r="I126" s="1">
        <f t="shared" si="12"/>
        <v>1956.998</v>
      </c>
      <c r="J126" s="2">
        <f t="shared" si="13"/>
        <v>6.447794217968511E-3</v>
      </c>
    </row>
    <row r="127" spans="1:10">
      <c r="A127" s="1">
        <v>32.5</v>
      </c>
      <c r="B127" s="1">
        <f t="shared" si="7"/>
        <v>305.64999999999998</v>
      </c>
      <c r="C127" s="1" t="s">
        <v>143</v>
      </c>
      <c r="D127" s="1">
        <v>1.9654199999999999</v>
      </c>
      <c r="E127" s="1">
        <f t="shared" si="8"/>
        <v>1965.42</v>
      </c>
      <c r="F127" s="1">
        <f t="shared" si="9"/>
        <v>1967.4614181726279</v>
      </c>
      <c r="G127" s="1">
        <f t="shared" si="10"/>
        <v>0.10375899388786303</v>
      </c>
      <c r="H127" s="8">
        <f t="shared" si="11"/>
        <v>7251.6942600000002</v>
      </c>
      <c r="I127" s="1">
        <f t="shared" si="12"/>
        <v>1954.634</v>
      </c>
      <c r="J127" s="2">
        <f t="shared" si="13"/>
        <v>6.5197813050595545E-3</v>
      </c>
    </row>
    <row r="128" spans="1:10">
      <c r="A128" s="1">
        <v>32.6</v>
      </c>
      <c r="B128" s="1">
        <f t="shared" si="7"/>
        <v>305.75</v>
      </c>
      <c r="C128" s="1" t="s">
        <v>144</v>
      </c>
      <c r="D128" s="1">
        <v>1.96343</v>
      </c>
      <c r="E128" s="1">
        <f t="shared" si="8"/>
        <v>1963.43</v>
      </c>
      <c r="F128" s="1">
        <f t="shared" si="9"/>
        <v>1965.2216136410548</v>
      </c>
      <c r="G128" s="1">
        <f t="shared" si="10"/>
        <v>9.1165984976895625E-2</v>
      </c>
      <c r="H128" s="8">
        <f t="shared" si="11"/>
        <v>7221.3587870000001</v>
      </c>
      <c r="I128" s="1">
        <f t="shared" si="12"/>
        <v>1952.27</v>
      </c>
      <c r="J128" s="2">
        <f t="shared" si="13"/>
        <v>6.5904087107299582E-3</v>
      </c>
    </row>
    <row r="129" spans="1:10">
      <c r="A129" s="1">
        <v>32.700000000000003</v>
      </c>
      <c r="B129" s="1">
        <f t="shared" si="7"/>
        <v>305.85000000000002</v>
      </c>
      <c r="C129" s="1" t="s">
        <v>145</v>
      </c>
      <c r="D129" s="1">
        <v>1.96143</v>
      </c>
      <c r="E129" s="1">
        <f t="shared" si="8"/>
        <v>1961.43</v>
      </c>
      <c r="F129" s="1">
        <f t="shared" si="9"/>
        <v>1962.9788087399645</v>
      </c>
      <c r="G129" s="1">
        <f t="shared" si="10"/>
        <v>7.8900940400809652E-2</v>
      </c>
      <c r="H129" s="8">
        <f t="shared" si="11"/>
        <v>7191.1674270000003</v>
      </c>
      <c r="I129" s="1">
        <f t="shared" si="12"/>
        <v>1949.9059999999999</v>
      </c>
      <c r="J129" s="2">
        <f t="shared" si="13"/>
        <v>6.6596789948822673E-3</v>
      </c>
    </row>
    <row r="130" spans="1:10">
      <c r="A130" s="1">
        <v>32.799999999999997</v>
      </c>
      <c r="B130" s="1">
        <f t="shared" si="7"/>
        <v>305.95</v>
      </c>
      <c r="C130" s="1" t="s">
        <v>146</v>
      </c>
      <c r="D130" s="1">
        <v>1.9594199999999999</v>
      </c>
      <c r="E130" s="1">
        <f t="shared" si="8"/>
        <v>1959.42</v>
      </c>
      <c r="F130" s="1">
        <f t="shared" si="9"/>
        <v>1960.7330171913418</v>
      </c>
      <c r="G130" s="1">
        <f t="shared" si="10"/>
        <v>6.6965628661802709E-2</v>
      </c>
      <c r="H130" s="8">
        <f t="shared" si="11"/>
        <v>7161.1194189999997</v>
      </c>
      <c r="I130" s="1">
        <f t="shared" si="12"/>
        <v>1947.5419999999999</v>
      </c>
      <c r="J130" s="2">
        <f t="shared" si="13"/>
        <v>6.7275947697547243E-3</v>
      </c>
    </row>
    <row r="131" spans="1:10">
      <c r="A131" s="1">
        <v>32.9</v>
      </c>
      <c r="B131" s="1">
        <f t="shared" ref="B131:B194" si="14">A131+273.15</f>
        <v>306.05</v>
      </c>
      <c r="C131" s="1" t="s">
        <v>147</v>
      </c>
      <c r="D131" s="1">
        <v>1.9569399999999999</v>
      </c>
      <c r="E131" s="1">
        <f t="shared" ref="E131:E194" si="15">D131/0.001</f>
        <v>1956.94</v>
      </c>
      <c r="F131" s="1">
        <f t="shared" ref="F131:F194" si="16">(H131*2700)/(H131+2700)</f>
        <v>1958.4842527534333</v>
      </c>
      <c r="G131" s="1">
        <f t="shared" ref="G131:G194" si="17">ABS(E131-F131)*100/F131</f>
        <v>7.8849383203475787E-2</v>
      </c>
      <c r="H131" s="8">
        <f t="shared" ref="H131:H194" si="18">ROUND(10000*EXP(($L$3)+($M$3/B131)+($N$3/(B131^2))+($O$3/(B131^3))),6)</f>
        <v>7131.2140060000002</v>
      </c>
      <c r="I131" s="1">
        <f t="shared" ref="I131:I194" si="19">-23.64*B131+9180.2</f>
        <v>1945.1780000000001</v>
      </c>
      <c r="J131" s="2">
        <f t="shared" ref="J131:J194" si="20">ABS(I131-F131)/F131</f>
        <v>6.7941586636328394E-3</v>
      </c>
    </row>
    <row r="132" spans="1:10">
      <c r="A132" s="1">
        <v>33</v>
      </c>
      <c r="B132" s="1">
        <f t="shared" si="14"/>
        <v>306.14999999999998</v>
      </c>
      <c r="C132" s="1" t="s">
        <v>148</v>
      </c>
      <c r="D132" s="1">
        <v>1.95445</v>
      </c>
      <c r="E132" s="1">
        <f t="shared" si="15"/>
        <v>1954.45</v>
      </c>
      <c r="F132" s="1">
        <f t="shared" si="16"/>
        <v>1956.2325293733466</v>
      </c>
      <c r="G132" s="1">
        <f t="shared" si="17"/>
        <v>9.1120526143050898E-2</v>
      </c>
      <c r="H132" s="8">
        <f t="shared" si="18"/>
        <v>7101.4504370000004</v>
      </c>
      <c r="I132" s="1">
        <f t="shared" si="19"/>
        <v>1942.8140000000001</v>
      </c>
      <c r="J132" s="2">
        <f t="shared" si="20"/>
        <v>6.859373398542209E-3</v>
      </c>
    </row>
    <row r="133" spans="1:10">
      <c r="A133" s="1">
        <v>33.1</v>
      </c>
      <c r="B133" s="1">
        <f t="shared" si="14"/>
        <v>306.25</v>
      </c>
      <c r="C133" s="1" t="s">
        <v>149</v>
      </c>
      <c r="D133" s="1">
        <v>1.95242</v>
      </c>
      <c r="E133" s="1">
        <f t="shared" si="15"/>
        <v>1952.42</v>
      </c>
      <c r="F133" s="1">
        <f t="shared" si="16"/>
        <v>1953.9778608871522</v>
      </c>
      <c r="G133" s="1">
        <f t="shared" si="17"/>
        <v>7.9727663160158224E-2</v>
      </c>
      <c r="H133" s="8">
        <f t="shared" si="18"/>
        <v>7071.8279629999997</v>
      </c>
      <c r="I133" s="1">
        <f t="shared" si="19"/>
        <v>1940.45</v>
      </c>
      <c r="J133" s="2">
        <f t="shared" si="20"/>
        <v>6.9232416384749779E-3</v>
      </c>
    </row>
    <row r="134" spans="1:10">
      <c r="A134" s="1">
        <v>33.200000000000003</v>
      </c>
      <c r="B134" s="1">
        <f t="shared" si="14"/>
        <v>306.35000000000002</v>
      </c>
      <c r="C134" s="1" t="s">
        <v>150</v>
      </c>
      <c r="D134" s="1">
        <v>1.9499200000000001</v>
      </c>
      <c r="E134" s="1">
        <f t="shared" si="15"/>
        <v>1949.92</v>
      </c>
      <c r="F134" s="1">
        <f t="shared" si="16"/>
        <v>1951.7202614002624</v>
      </c>
      <c r="G134" s="1">
        <f t="shared" si="17"/>
        <v>9.2239724916866161E-2</v>
      </c>
      <c r="H134" s="8">
        <f t="shared" si="18"/>
        <v>7042.3458419999997</v>
      </c>
      <c r="I134" s="1">
        <f t="shared" si="19"/>
        <v>1938.086</v>
      </c>
      <c r="J134" s="2">
        <f t="shared" si="20"/>
        <v>6.9857661827420377E-3</v>
      </c>
    </row>
    <row r="135" spans="1:10">
      <c r="A135" s="1">
        <v>33.299999999999997</v>
      </c>
      <c r="B135" s="1">
        <f t="shared" si="14"/>
        <v>306.45</v>
      </c>
      <c r="C135" s="1" t="s">
        <v>151</v>
      </c>
      <c r="D135" s="1">
        <v>1.94787</v>
      </c>
      <c r="E135" s="1">
        <f t="shared" si="15"/>
        <v>1947.87</v>
      </c>
      <c r="F135" s="1">
        <f t="shared" si="16"/>
        <v>1949.4597448317377</v>
      </c>
      <c r="G135" s="1">
        <f t="shared" si="17"/>
        <v>8.15479691720951E-2</v>
      </c>
      <c r="H135" s="8">
        <f t="shared" si="18"/>
        <v>7013.0033329999997</v>
      </c>
      <c r="I135" s="1">
        <f t="shared" si="19"/>
        <v>1935.722</v>
      </c>
      <c r="J135" s="2">
        <f t="shared" si="20"/>
        <v>7.0469497347448104E-3</v>
      </c>
    </row>
    <row r="136" spans="1:10">
      <c r="A136" s="1">
        <v>33.4</v>
      </c>
      <c r="B136" s="1">
        <f t="shared" si="14"/>
        <v>306.55</v>
      </c>
      <c r="C136" s="1" t="s">
        <v>152</v>
      </c>
      <c r="D136" s="1">
        <v>1.9458200000000001</v>
      </c>
      <c r="E136" s="1">
        <f t="shared" si="15"/>
        <v>1945.82</v>
      </c>
      <c r="F136" s="1">
        <f t="shared" si="16"/>
        <v>1947.1963253748017</v>
      </c>
      <c r="G136" s="1">
        <f t="shared" si="17"/>
        <v>7.0682414344474989E-2</v>
      </c>
      <c r="H136" s="8">
        <f t="shared" si="18"/>
        <v>6983.7997020000003</v>
      </c>
      <c r="I136" s="1">
        <f t="shared" si="19"/>
        <v>1933.3579999999999</v>
      </c>
      <c r="J136" s="2">
        <f t="shared" si="20"/>
        <v>7.1067951364062682E-3</v>
      </c>
    </row>
    <row r="137" spans="1:10">
      <c r="A137" s="1">
        <v>33.5</v>
      </c>
      <c r="B137" s="1">
        <f t="shared" si="14"/>
        <v>306.64999999999998</v>
      </c>
      <c r="C137" s="1" t="s">
        <v>153</v>
      </c>
      <c r="D137" s="1">
        <v>1.9433</v>
      </c>
      <c r="E137" s="1">
        <f t="shared" si="15"/>
        <v>1943.3</v>
      </c>
      <c r="F137" s="1">
        <f t="shared" si="16"/>
        <v>1944.9300172703181</v>
      </c>
      <c r="G137" s="1">
        <f t="shared" si="17"/>
        <v>8.3808530684608126E-2</v>
      </c>
      <c r="H137" s="8">
        <f t="shared" si="18"/>
        <v>6954.7342189999999</v>
      </c>
      <c r="I137" s="1">
        <f t="shared" si="19"/>
        <v>1930.9939999999999</v>
      </c>
      <c r="J137" s="2">
        <f t="shared" si="20"/>
        <v>7.1653052534389862E-3</v>
      </c>
    </row>
    <row r="138" spans="1:10">
      <c r="A138" s="1">
        <v>33.6</v>
      </c>
      <c r="B138" s="1">
        <f t="shared" si="14"/>
        <v>306.75</v>
      </c>
      <c r="C138" s="1" t="s">
        <v>154</v>
      </c>
      <c r="D138" s="1">
        <v>1.94123</v>
      </c>
      <c r="E138" s="1">
        <f t="shared" si="15"/>
        <v>1941.23</v>
      </c>
      <c r="F138" s="1">
        <f t="shared" si="16"/>
        <v>1942.6608346506164</v>
      </c>
      <c r="G138" s="1">
        <f t="shared" si="17"/>
        <v>7.3653343141274294E-2</v>
      </c>
      <c r="H138" s="8">
        <f t="shared" si="18"/>
        <v>6925.8061559999996</v>
      </c>
      <c r="I138" s="1">
        <f t="shared" si="19"/>
        <v>1928.63</v>
      </c>
      <c r="J138" s="2">
        <f t="shared" si="20"/>
        <v>7.2224828958059924E-3</v>
      </c>
    </row>
    <row r="139" spans="1:10">
      <c r="A139" s="1">
        <v>33.700000000000003</v>
      </c>
      <c r="B139" s="1">
        <f t="shared" si="14"/>
        <v>306.85000000000002</v>
      </c>
      <c r="C139" s="1" t="s">
        <v>155</v>
      </c>
      <c r="D139" s="1">
        <v>1.93869</v>
      </c>
      <c r="E139" s="1">
        <f t="shared" si="15"/>
        <v>1938.69</v>
      </c>
      <c r="F139" s="1">
        <f t="shared" si="16"/>
        <v>1940.3887919317485</v>
      </c>
      <c r="G139" s="1">
        <f t="shared" si="17"/>
        <v>8.7549048871656612E-2</v>
      </c>
      <c r="H139" s="8">
        <f t="shared" si="18"/>
        <v>6897.0147919999999</v>
      </c>
      <c r="I139" s="1">
        <f t="shared" si="19"/>
        <v>1926.2660000000001</v>
      </c>
      <c r="J139" s="2">
        <f t="shared" si="20"/>
        <v>7.2783310182329732E-3</v>
      </c>
    </row>
    <row r="140" spans="1:10">
      <c r="A140" s="1">
        <v>33.799999999999997</v>
      </c>
      <c r="B140" s="1">
        <f t="shared" si="14"/>
        <v>306.95</v>
      </c>
      <c r="C140" s="1" t="s">
        <v>156</v>
      </c>
      <c r="D140" s="1">
        <v>1.9366099999999999</v>
      </c>
      <c r="E140" s="1">
        <f t="shared" si="15"/>
        <v>1936.61</v>
      </c>
      <c r="F140" s="1">
        <f t="shared" si="16"/>
        <v>1938.1139034237247</v>
      </c>
      <c r="G140" s="1">
        <f t="shared" si="17"/>
        <v>7.7596235240254413E-2</v>
      </c>
      <c r="H140" s="8">
        <f t="shared" si="18"/>
        <v>6868.3594080000003</v>
      </c>
      <c r="I140" s="1">
        <f t="shared" si="19"/>
        <v>1923.902</v>
      </c>
      <c r="J140" s="2">
        <f t="shared" si="20"/>
        <v>7.3328525215256646E-3</v>
      </c>
    </row>
    <row r="141" spans="1:10">
      <c r="A141" s="1">
        <v>33.9</v>
      </c>
      <c r="B141" s="1">
        <f t="shared" si="14"/>
        <v>307.05</v>
      </c>
      <c r="C141" s="1" t="s">
        <v>157</v>
      </c>
      <c r="D141" s="1">
        <v>1.9340599999999999</v>
      </c>
      <c r="E141" s="1">
        <f t="shared" si="15"/>
        <v>1934.06</v>
      </c>
      <c r="F141" s="1">
        <f t="shared" si="16"/>
        <v>1935.8361836475094</v>
      </c>
      <c r="G141" s="1">
        <f t="shared" si="17"/>
        <v>9.1752786858378593E-2</v>
      </c>
      <c r="H141" s="8">
        <f t="shared" si="18"/>
        <v>6839.8392910000002</v>
      </c>
      <c r="I141" s="1">
        <f t="shared" si="19"/>
        <v>1921.538</v>
      </c>
      <c r="J141" s="2">
        <f t="shared" si="20"/>
        <v>7.3860504149523207E-3</v>
      </c>
    </row>
    <row r="142" spans="1:10">
      <c r="A142" s="1">
        <v>34</v>
      </c>
      <c r="B142" s="1">
        <f t="shared" si="14"/>
        <v>307.14999999999998</v>
      </c>
      <c r="C142" s="1" t="s">
        <v>158</v>
      </c>
      <c r="D142" s="1">
        <v>1.9319599999999999</v>
      </c>
      <c r="E142" s="1">
        <f t="shared" si="15"/>
        <v>1931.96</v>
      </c>
      <c r="F142" s="1">
        <f t="shared" si="16"/>
        <v>1933.5556470188496</v>
      </c>
      <c r="G142" s="1">
        <f t="shared" si="17"/>
        <v>8.2523977073520896E-2</v>
      </c>
      <c r="H142" s="8">
        <f t="shared" si="18"/>
        <v>6811.4537300000002</v>
      </c>
      <c r="I142" s="1">
        <f t="shared" si="19"/>
        <v>1919.174</v>
      </c>
      <c r="J142" s="2">
        <f t="shared" si="20"/>
        <v>7.4379276546931777E-3</v>
      </c>
    </row>
    <row r="143" spans="1:10">
      <c r="A143" s="1">
        <v>34.1</v>
      </c>
      <c r="B143" s="1">
        <f t="shared" si="14"/>
        <v>307.25</v>
      </c>
      <c r="C143" s="1" t="s">
        <v>159</v>
      </c>
      <c r="D143" s="1">
        <v>1.9298599999999999</v>
      </c>
      <c r="E143" s="1">
        <f t="shared" si="15"/>
        <v>1929.86</v>
      </c>
      <c r="F143" s="1">
        <f t="shared" si="16"/>
        <v>1931.2723080881151</v>
      </c>
      <c r="G143" s="1">
        <f t="shared" si="17"/>
        <v>7.312837667689269E-2</v>
      </c>
      <c r="H143" s="8">
        <f t="shared" si="18"/>
        <v>6783.2020190000003</v>
      </c>
      <c r="I143" s="1">
        <f t="shared" si="19"/>
        <v>1916.81</v>
      </c>
      <c r="J143" s="2">
        <f t="shared" si="20"/>
        <v>7.4884872669417997E-3</v>
      </c>
    </row>
    <row r="144" spans="1:10">
      <c r="A144" s="1">
        <v>34.200000000000003</v>
      </c>
      <c r="B144" s="1">
        <f t="shared" si="14"/>
        <v>307.35000000000002</v>
      </c>
      <c r="C144" s="1" t="s">
        <v>160</v>
      </c>
      <c r="D144" s="1">
        <v>1.9272899999999999</v>
      </c>
      <c r="E144" s="1">
        <f t="shared" si="15"/>
        <v>1927.29</v>
      </c>
      <c r="F144" s="1">
        <f t="shared" si="16"/>
        <v>1928.9861816257276</v>
      </c>
      <c r="G144" s="1">
        <f t="shared" si="17"/>
        <v>8.7931248128386361E-2</v>
      </c>
      <c r="H144" s="8">
        <f t="shared" si="18"/>
        <v>6755.0834580000001</v>
      </c>
      <c r="I144" s="1">
        <f t="shared" si="19"/>
        <v>1914.4459999999999</v>
      </c>
      <c r="J144" s="2">
        <f t="shared" si="20"/>
        <v>7.5377323923976249E-3</v>
      </c>
    </row>
    <row r="145" spans="1:10">
      <c r="A145" s="1">
        <v>34.299999999999997</v>
      </c>
      <c r="B145" s="1">
        <f t="shared" si="14"/>
        <v>307.45</v>
      </c>
      <c r="C145" s="1" t="s">
        <v>161</v>
      </c>
      <c r="D145" s="1">
        <v>1.9247099999999999</v>
      </c>
      <c r="E145" s="1">
        <f t="shared" si="15"/>
        <v>1924.71</v>
      </c>
      <c r="F145" s="1">
        <f t="shared" si="16"/>
        <v>1926.6972822184123</v>
      </c>
      <c r="G145" s="1">
        <f t="shared" si="17"/>
        <v>0.10314449689388033</v>
      </c>
      <c r="H145" s="8">
        <f t="shared" si="18"/>
        <v>6727.0973480000002</v>
      </c>
      <c r="I145" s="1">
        <f t="shared" si="19"/>
        <v>1912.0820000000001</v>
      </c>
      <c r="J145" s="2">
        <f t="shared" si="20"/>
        <v>7.5856660790967851E-3</v>
      </c>
    </row>
    <row r="146" spans="1:10">
      <c r="A146" s="1">
        <v>34.4</v>
      </c>
      <c r="B146" s="1">
        <f t="shared" si="14"/>
        <v>307.55</v>
      </c>
      <c r="C146" s="1" t="s">
        <v>162</v>
      </c>
      <c r="D146" s="1">
        <v>1.92259</v>
      </c>
      <c r="E146" s="1">
        <f t="shared" si="15"/>
        <v>1922.59</v>
      </c>
      <c r="F146" s="1">
        <f t="shared" si="16"/>
        <v>1924.4056245936006</v>
      </c>
      <c r="G146" s="1">
        <f t="shared" si="17"/>
        <v>9.4347291984458154E-2</v>
      </c>
      <c r="H146" s="8">
        <f t="shared" si="18"/>
        <v>6699.2429949999996</v>
      </c>
      <c r="I146" s="1">
        <f t="shared" si="19"/>
        <v>1909.7180000000001</v>
      </c>
      <c r="J146" s="2">
        <f t="shared" si="20"/>
        <v>7.6322914493155581E-3</v>
      </c>
    </row>
    <row r="147" spans="1:10">
      <c r="A147" s="1">
        <v>34.5</v>
      </c>
      <c r="B147" s="1">
        <f t="shared" si="14"/>
        <v>307.64999999999998</v>
      </c>
      <c r="C147" s="1" t="s">
        <v>163</v>
      </c>
      <c r="D147" s="1">
        <v>1.9204600000000001</v>
      </c>
      <c r="E147" s="1">
        <f t="shared" si="15"/>
        <v>1920.46</v>
      </c>
      <c r="F147" s="1">
        <f t="shared" si="16"/>
        <v>1922.1112236235163</v>
      </c>
      <c r="G147" s="1">
        <f t="shared" si="17"/>
        <v>8.5906767684513621E-2</v>
      </c>
      <c r="H147" s="8">
        <f t="shared" si="18"/>
        <v>6671.5197099999996</v>
      </c>
      <c r="I147" s="1">
        <f t="shared" si="19"/>
        <v>1907.354</v>
      </c>
      <c r="J147" s="2">
        <f t="shared" si="20"/>
        <v>7.6776117022490818E-3</v>
      </c>
    </row>
    <row r="148" spans="1:10">
      <c r="A148" s="1">
        <v>34.6</v>
      </c>
      <c r="B148" s="1">
        <f t="shared" si="14"/>
        <v>307.75</v>
      </c>
      <c r="C148" s="1" t="s">
        <v>164</v>
      </c>
      <c r="D148" s="1">
        <v>1.91831</v>
      </c>
      <c r="E148" s="1">
        <f t="shared" si="15"/>
        <v>1918.31</v>
      </c>
      <c r="F148" s="1">
        <f t="shared" si="16"/>
        <v>1919.8140941623494</v>
      </c>
      <c r="G148" s="1">
        <f t="shared" si="17"/>
        <v>7.8345823531717471E-2</v>
      </c>
      <c r="H148" s="8">
        <f t="shared" si="18"/>
        <v>6643.9268069999998</v>
      </c>
      <c r="I148" s="1">
        <f t="shared" si="19"/>
        <v>1904.99</v>
      </c>
      <c r="J148" s="2">
        <f t="shared" si="20"/>
        <v>7.7216300304417959E-3</v>
      </c>
    </row>
    <row r="149" spans="1:10">
      <c r="A149" s="1">
        <v>34.700000000000003</v>
      </c>
      <c r="B149" s="1">
        <f t="shared" si="14"/>
        <v>307.85000000000002</v>
      </c>
      <c r="C149" s="1" t="s">
        <v>165</v>
      </c>
      <c r="D149" s="1">
        <v>1.91594</v>
      </c>
      <c r="E149" s="1">
        <f t="shared" si="15"/>
        <v>1915.94</v>
      </c>
      <c r="F149" s="1">
        <f t="shared" si="16"/>
        <v>1917.5142510455855</v>
      </c>
      <c r="G149" s="1">
        <f t="shared" si="17"/>
        <v>8.2098531717668302E-2</v>
      </c>
      <c r="H149" s="8">
        <f t="shared" si="18"/>
        <v>6616.4636030000001</v>
      </c>
      <c r="I149" s="1">
        <f t="shared" si="19"/>
        <v>1902.626</v>
      </c>
      <c r="J149" s="2">
        <f t="shared" si="20"/>
        <v>7.7643496195489844E-3</v>
      </c>
    </row>
    <row r="150" spans="1:10">
      <c r="A150" s="1">
        <v>34.799999999999997</v>
      </c>
      <c r="B150" s="1">
        <f t="shared" si="14"/>
        <v>307.95</v>
      </c>
      <c r="C150" s="1" t="s">
        <v>166</v>
      </c>
      <c r="D150" s="1">
        <v>1.9131</v>
      </c>
      <c r="E150" s="1">
        <f t="shared" si="15"/>
        <v>1913.1</v>
      </c>
      <c r="F150" s="1">
        <f t="shared" si="16"/>
        <v>1915.2117094272949</v>
      </c>
      <c r="G150" s="1">
        <f t="shared" si="17"/>
        <v>0.11025984317558388</v>
      </c>
      <c r="H150" s="8">
        <f t="shared" si="18"/>
        <v>6589.129422</v>
      </c>
      <c r="I150" s="1">
        <f t="shared" si="19"/>
        <v>1900.2619999999999</v>
      </c>
      <c r="J150" s="2">
        <f t="shared" si="20"/>
        <v>7.8057738231797503E-3</v>
      </c>
    </row>
    <row r="151" spans="1:10">
      <c r="A151" s="1">
        <v>34.9</v>
      </c>
      <c r="B151" s="1">
        <f t="shared" si="14"/>
        <v>308.05</v>
      </c>
      <c r="C151" s="1" t="s">
        <v>167</v>
      </c>
      <c r="D151" s="1">
        <v>1.91117</v>
      </c>
      <c r="E151" s="1">
        <f t="shared" si="15"/>
        <v>1911.17</v>
      </c>
      <c r="F151" s="1">
        <f t="shared" si="16"/>
        <v>1912.9064843645508</v>
      </c>
      <c r="G151" s="1">
        <f t="shared" si="17"/>
        <v>9.0777274202590047E-2</v>
      </c>
      <c r="H151" s="8">
        <f t="shared" si="18"/>
        <v>6561.9235900000003</v>
      </c>
      <c r="I151" s="1">
        <f t="shared" si="19"/>
        <v>1897.8979999999999</v>
      </c>
      <c r="J151" s="2">
        <f t="shared" si="20"/>
        <v>7.8459059484743028E-3</v>
      </c>
    </row>
    <row r="152" spans="1:10">
      <c r="A152" s="1">
        <v>35</v>
      </c>
      <c r="B152" s="1">
        <f t="shared" si="14"/>
        <v>308.14999999999998</v>
      </c>
      <c r="C152" s="1" t="s">
        <v>168</v>
      </c>
      <c r="D152" s="1">
        <v>1.9087700000000001</v>
      </c>
      <c r="E152" s="1">
        <f t="shared" si="15"/>
        <v>1908.77</v>
      </c>
      <c r="F152" s="1">
        <f t="shared" si="16"/>
        <v>1910.5985907289416</v>
      </c>
      <c r="G152" s="1">
        <f t="shared" si="17"/>
        <v>9.5707739857800747E-2</v>
      </c>
      <c r="H152" s="8">
        <f t="shared" si="18"/>
        <v>6534.8454339999998</v>
      </c>
      <c r="I152" s="1">
        <f t="shared" si="19"/>
        <v>1895.5340000000001</v>
      </c>
      <c r="J152" s="2">
        <f t="shared" si="20"/>
        <v>7.8847492100337091E-3</v>
      </c>
    </row>
    <row r="153" spans="1:10">
      <c r="A153" s="1">
        <v>35.1</v>
      </c>
      <c r="B153" s="1">
        <f t="shared" si="14"/>
        <v>308.25</v>
      </c>
      <c r="C153" s="1" t="s">
        <v>169</v>
      </c>
      <c r="D153" s="1">
        <v>1.9063699999999999</v>
      </c>
      <c r="E153" s="1">
        <f t="shared" si="15"/>
        <v>1906.37</v>
      </c>
      <c r="F153" s="1">
        <f t="shared" si="16"/>
        <v>1908.2880439748956</v>
      </c>
      <c r="G153" s="1">
        <f t="shared" si="17"/>
        <v>0.10051123995413526</v>
      </c>
      <c r="H153" s="8">
        <f t="shared" si="18"/>
        <v>6507.8942909999996</v>
      </c>
      <c r="I153" s="1">
        <f t="shared" si="19"/>
        <v>1893.17</v>
      </c>
      <c r="J153" s="2">
        <f t="shared" si="20"/>
        <v>7.9223071289621222E-3</v>
      </c>
    </row>
    <row r="154" spans="1:10">
      <c r="A154" s="1">
        <v>35.200000000000003</v>
      </c>
      <c r="B154" s="1">
        <f t="shared" si="14"/>
        <v>308.35000000000002</v>
      </c>
      <c r="C154" s="1" t="s">
        <v>170</v>
      </c>
      <c r="D154" s="1">
        <v>1.9046400000000001</v>
      </c>
      <c r="E154" s="1">
        <f t="shared" si="15"/>
        <v>1904.64</v>
      </c>
      <c r="F154" s="1">
        <f t="shared" si="16"/>
        <v>1905.9748591189623</v>
      </c>
      <c r="G154" s="1">
        <f t="shared" si="17"/>
        <v>7.0035505063231779E-2</v>
      </c>
      <c r="H154" s="8">
        <f t="shared" si="18"/>
        <v>6481.0694960000001</v>
      </c>
      <c r="I154" s="1">
        <f t="shared" si="19"/>
        <v>1890.806</v>
      </c>
      <c r="J154" s="2">
        <f t="shared" si="20"/>
        <v>7.9585830035418508E-3</v>
      </c>
    </row>
    <row r="155" spans="1:10">
      <c r="A155" s="1">
        <v>35.299999999999997</v>
      </c>
      <c r="B155" s="1">
        <f t="shared" si="14"/>
        <v>308.45</v>
      </c>
      <c r="C155" s="1" t="s">
        <v>171</v>
      </c>
      <c r="D155" s="1">
        <v>1.90222</v>
      </c>
      <c r="E155" s="1">
        <f t="shared" si="15"/>
        <v>1902.22</v>
      </c>
      <c r="F155" s="1">
        <f t="shared" si="16"/>
        <v>1903.65905159674</v>
      </c>
      <c r="G155" s="1">
        <f t="shared" si="17"/>
        <v>7.5593977584009139E-2</v>
      </c>
      <c r="H155" s="8">
        <f t="shared" si="18"/>
        <v>6454.3703919999998</v>
      </c>
      <c r="I155" s="1">
        <f t="shared" si="19"/>
        <v>1888.442</v>
      </c>
      <c r="J155" s="2">
        <f t="shared" si="20"/>
        <v>7.9935803546209334E-3</v>
      </c>
    </row>
    <row r="156" spans="1:10">
      <c r="A156" s="1">
        <v>35.4</v>
      </c>
      <c r="B156" s="1">
        <f t="shared" si="14"/>
        <v>308.55</v>
      </c>
      <c r="C156" s="1" t="s">
        <v>172</v>
      </c>
      <c r="D156" s="1">
        <v>1.8993500000000001</v>
      </c>
      <c r="E156" s="1">
        <f t="shared" si="15"/>
        <v>1899.35</v>
      </c>
      <c r="F156" s="1">
        <f t="shared" si="16"/>
        <v>1901.3406365751728</v>
      </c>
      <c r="G156" s="1">
        <f t="shared" si="17"/>
        <v>0.10469647241950977</v>
      </c>
      <c r="H156" s="8">
        <f t="shared" si="18"/>
        <v>6427.7963220000001</v>
      </c>
      <c r="I156" s="1">
        <f t="shared" si="19"/>
        <v>1886.078</v>
      </c>
      <c r="J156" s="2">
        <f t="shared" si="20"/>
        <v>8.0273025682893497E-3</v>
      </c>
    </row>
    <row r="157" spans="1:10">
      <c r="A157" s="1">
        <v>35.5</v>
      </c>
      <c r="B157" s="1">
        <f t="shared" si="14"/>
        <v>308.64999999999998</v>
      </c>
      <c r="C157" s="1" t="s">
        <v>173</v>
      </c>
      <c r="D157" s="1">
        <v>1.89737</v>
      </c>
      <c r="E157" s="1">
        <f t="shared" si="15"/>
        <v>1897.37</v>
      </c>
      <c r="F157" s="1">
        <f t="shared" si="16"/>
        <v>1899.0196296486804</v>
      </c>
      <c r="G157" s="1">
        <f t="shared" si="17"/>
        <v>8.6867435329548673E-2</v>
      </c>
      <c r="H157" s="8">
        <f t="shared" si="18"/>
        <v>6401.3466369999996</v>
      </c>
      <c r="I157" s="1">
        <f t="shared" si="19"/>
        <v>1883.7139999999999</v>
      </c>
      <c r="J157" s="2">
        <f t="shared" si="20"/>
        <v>8.0597532588496737E-3</v>
      </c>
    </row>
    <row r="158" spans="1:10">
      <c r="A158" s="1">
        <v>35.6</v>
      </c>
      <c r="B158" s="1">
        <f t="shared" si="14"/>
        <v>308.75</v>
      </c>
      <c r="C158" s="1" t="s">
        <v>174</v>
      </c>
      <c r="D158" s="1">
        <v>1.89493</v>
      </c>
      <c r="E158" s="1">
        <f t="shared" si="15"/>
        <v>1894.93</v>
      </c>
      <c r="F158" s="1">
        <f t="shared" si="16"/>
        <v>1896.6960460549744</v>
      </c>
      <c r="G158" s="1">
        <f t="shared" si="17"/>
        <v>9.3111706467024491E-2</v>
      </c>
      <c r="H158" s="8">
        <f t="shared" si="18"/>
        <v>6375.0206870000002</v>
      </c>
      <c r="I158" s="1">
        <f t="shared" si="19"/>
        <v>1881.35</v>
      </c>
      <c r="J158" s="2">
        <f t="shared" si="20"/>
        <v>8.0909358602257175E-3</v>
      </c>
    </row>
    <row r="159" spans="1:10">
      <c r="A159" s="1">
        <v>35.700000000000003</v>
      </c>
      <c r="B159" s="1">
        <f t="shared" si="14"/>
        <v>308.85000000000002</v>
      </c>
      <c r="C159" s="1" t="s">
        <v>175</v>
      </c>
      <c r="D159" s="1">
        <v>1.8927099999999999</v>
      </c>
      <c r="E159" s="1">
        <f t="shared" si="15"/>
        <v>1892.71</v>
      </c>
      <c r="F159" s="1">
        <f t="shared" si="16"/>
        <v>1894.3699014659021</v>
      </c>
      <c r="G159" s="1">
        <f t="shared" si="17"/>
        <v>8.7622880020295987E-2</v>
      </c>
      <c r="H159" s="8">
        <f t="shared" si="18"/>
        <v>6348.81783</v>
      </c>
      <c r="I159" s="1">
        <f t="shared" si="19"/>
        <v>1878.9860000000001</v>
      </c>
      <c r="J159" s="2">
        <f t="shared" si="20"/>
        <v>8.1208540391175046E-3</v>
      </c>
    </row>
    <row r="160" spans="1:10">
      <c r="A160" s="1">
        <v>35.799999999999997</v>
      </c>
      <c r="B160" s="1">
        <f t="shared" si="14"/>
        <v>308.95</v>
      </c>
      <c r="C160" s="1" t="s">
        <v>176</v>
      </c>
      <c r="D160" s="1">
        <v>1.8900399999999999</v>
      </c>
      <c r="E160" s="1">
        <f t="shared" si="15"/>
        <v>1890.04</v>
      </c>
      <c r="F160" s="1">
        <f t="shared" si="16"/>
        <v>1892.0412114628239</v>
      </c>
      <c r="G160" s="1">
        <f t="shared" si="17"/>
        <v>0.10576997217077924</v>
      </c>
      <c r="H160" s="8">
        <f t="shared" si="18"/>
        <v>6322.7374259999997</v>
      </c>
      <c r="I160" s="1">
        <f t="shared" si="19"/>
        <v>1876.6220000000001</v>
      </c>
      <c r="J160" s="2">
        <f t="shared" si="20"/>
        <v>8.149511421531086E-3</v>
      </c>
    </row>
    <row r="161" spans="1:10">
      <c r="A161" s="1">
        <v>35.9</v>
      </c>
      <c r="B161" s="1">
        <f t="shared" si="14"/>
        <v>309.05</v>
      </c>
      <c r="C161" s="1" t="s">
        <v>177</v>
      </c>
      <c r="D161" s="1">
        <v>1.88825</v>
      </c>
      <c r="E161" s="1">
        <f t="shared" si="15"/>
        <v>1888.25</v>
      </c>
      <c r="F161" s="1">
        <f t="shared" si="16"/>
        <v>1889.7099915339397</v>
      </c>
      <c r="G161" s="1">
        <f t="shared" si="17"/>
        <v>7.7260084377000368E-2</v>
      </c>
      <c r="H161" s="8">
        <f t="shared" si="18"/>
        <v>6296.7788369999998</v>
      </c>
      <c r="I161" s="1">
        <f t="shared" si="19"/>
        <v>1874.258</v>
      </c>
      <c r="J161" s="2">
        <f t="shared" si="20"/>
        <v>8.1769115912843325E-3</v>
      </c>
    </row>
    <row r="162" spans="1:10">
      <c r="A162" s="1">
        <v>36</v>
      </c>
      <c r="B162" s="1">
        <f t="shared" si="14"/>
        <v>309.14999999999998</v>
      </c>
      <c r="C162" s="1" t="s">
        <v>178</v>
      </c>
      <c r="D162" s="1">
        <v>1.8857900000000001</v>
      </c>
      <c r="E162" s="1">
        <f t="shared" si="15"/>
        <v>1885.79</v>
      </c>
      <c r="F162" s="1">
        <f t="shared" si="16"/>
        <v>1887.3762574339562</v>
      </c>
      <c r="G162" s="1">
        <f t="shared" si="17"/>
        <v>8.4045638897295563E-2</v>
      </c>
      <c r="H162" s="8">
        <f t="shared" si="18"/>
        <v>6270.9414310000002</v>
      </c>
      <c r="I162" s="1">
        <f t="shared" si="19"/>
        <v>1871.894</v>
      </c>
      <c r="J162" s="2">
        <f t="shared" si="20"/>
        <v>8.2030582789070373E-3</v>
      </c>
    </row>
    <row r="163" spans="1:10">
      <c r="A163" s="1">
        <v>36.1</v>
      </c>
      <c r="B163" s="1">
        <f t="shared" si="14"/>
        <v>309.25</v>
      </c>
      <c r="C163" s="1" t="s">
        <v>179</v>
      </c>
      <c r="D163" s="1">
        <v>1.8833200000000001</v>
      </c>
      <c r="E163" s="1">
        <f t="shared" si="15"/>
        <v>1883.32</v>
      </c>
      <c r="F163" s="1">
        <f t="shared" si="16"/>
        <v>1885.0400248274236</v>
      </c>
      <c r="G163" s="1">
        <f t="shared" si="17"/>
        <v>9.1246063997031293E-2</v>
      </c>
      <c r="H163" s="8">
        <f t="shared" si="18"/>
        <v>6245.2245780000003</v>
      </c>
      <c r="I163" s="1">
        <f t="shared" si="19"/>
        <v>1869.53</v>
      </c>
      <c r="J163" s="2">
        <f t="shared" si="20"/>
        <v>8.2279551750332729E-3</v>
      </c>
    </row>
    <row r="164" spans="1:10">
      <c r="A164" s="1">
        <v>36.200000000000003</v>
      </c>
      <c r="B164" s="1">
        <f t="shared" si="14"/>
        <v>309.35000000000002</v>
      </c>
      <c r="C164" s="1" t="s">
        <v>180</v>
      </c>
      <c r="D164" s="1">
        <v>1.88106</v>
      </c>
      <c r="E164" s="1">
        <f t="shared" si="15"/>
        <v>1881.06</v>
      </c>
      <c r="F164" s="1">
        <f t="shared" si="16"/>
        <v>1882.7013095610439</v>
      </c>
      <c r="G164" s="1">
        <f t="shared" si="17"/>
        <v>8.7178436255862024E-2</v>
      </c>
      <c r="H164" s="8">
        <f t="shared" si="18"/>
        <v>6219.6276529999996</v>
      </c>
      <c r="I164" s="1">
        <f t="shared" si="19"/>
        <v>1867.1659999999999</v>
      </c>
      <c r="J164" s="2">
        <f t="shared" si="20"/>
        <v>8.2516060737568894E-3</v>
      </c>
    </row>
    <row r="165" spans="1:10">
      <c r="A165" s="1">
        <v>36.299999999999997</v>
      </c>
      <c r="B165" s="1">
        <f t="shared" si="14"/>
        <v>309.45</v>
      </c>
      <c r="C165" s="1" t="s">
        <v>181</v>
      </c>
      <c r="D165" s="1">
        <v>1.87835</v>
      </c>
      <c r="E165" s="1">
        <f t="shared" si="15"/>
        <v>1878.35</v>
      </c>
      <c r="F165" s="1">
        <f t="shared" si="16"/>
        <v>1880.3601274846676</v>
      </c>
      <c r="G165" s="1">
        <f t="shared" si="17"/>
        <v>0.10690119702530664</v>
      </c>
      <c r="H165" s="8">
        <f t="shared" si="18"/>
        <v>6194.1500340000002</v>
      </c>
      <c r="I165" s="1">
        <f t="shared" si="19"/>
        <v>1864.8019999999999</v>
      </c>
      <c r="J165" s="2">
        <f t="shared" si="20"/>
        <v>8.2740147790091624E-3</v>
      </c>
    </row>
    <row r="166" spans="1:10">
      <c r="A166" s="1">
        <v>36.4</v>
      </c>
      <c r="B166" s="1">
        <f t="shared" si="14"/>
        <v>309.55</v>
      </c>
      <c r="C166" s="1" t="s">
        <v>182</v>
      </c>
      <c r="D166" s="1">
        <v>1.87609</v>
      </c>
      <c r="E166" s="1">
        <f t="shared" si="15"/>
        <v>1876.09</v>
      </c>
      <c r="F166" s="1">
        <f t="shared" si="16"/>
        <v>1878.0164944514217</v>
      </c>
      <c r="G166" s="1">
        <f t="shared" si="17"/>
        <v>0.1025813381891819</v>
      </c>
      <c r="H166" s="8">
        <f t="shared" si="18"/>
        <v>6168.7911020000001</v>
      </c>
      <c r="I166" s="1">
        <f t="shared" si="19"/>
        <v>1862.4380000000001</v>
      </c>
      <c r="J166" s="2">
        <f t="shared" si="20"/>
        <v>8.2951851048423328E-3</v>
      </c>
    </row>
    <row r="167" spans="1:10">
      <c r="A167" s="1">
        <v>36.5</v>
      </c>
      <c r="B167" s="1">
        <f t="shared" si="14"/>
        <v>309.64999999999998</v>
      </c>
      <c r="C167" s="1" t="s">
        <v>183</v>
      </c>
      <c r="D167" s="1">
        <v>1.87381</v>
      </c>
      <c r="E167" s="1">
        <f t="shared" si="15"/>
        <v>1873.81</v>
      </c>
      <c r="F167" s="1">
        <f t="shared" si="16"/>
        <v>1875.6704263178729</v>
      </c>
      <c r="G167" s="1">
        <f t="shared" si="17"/>
        <v>9.9187271482715028E-2</v>
      </c>
      <c r="H167" s="8">
        <f t="shared" si="18"/>
        <v>6143.5502409999999</v>
      </c>
      <c r="I167" s="1">
        <f t="shared" si="19"/>
        <v>1860.0740000000001</v>
      </c>
      <c r="J167" s="2">
        <f t="shared" si="20"/>
        <v>8.3151208757340778E-3</v>
      </c>
    </row>
    <row r="168" spans="1:10">
      <c r="A168" s="1">
        <v>36.6</v>
      </c>
      <c r="B168" s="1">
        <f t="shared" si="14"/>
        <v>309.75</v>
      </c>
      <c r="C168" s="1" t="s">
        <v>184</v>
      </c>
      <c r="D168" s="1">
        <v>1.8715299999999999</v>
      </c>
      <c r="E168" s="1">
        <f t="shared" si="15"/>
        <v>1871.53</v>
      </c>
      <c r="F168" s="1">
        <f t="shared" si="16"/>
        <v>1873.3219392254639</v>
      </c>
      <c r="G168" s="1">
        <f t="shared" si="17"/>
        <v>9.5655700600229376E-2</v>
      </c>
      <c r="H168" s="8">
        <f t="shared" si="18"/>
        <v>6118.4268410000004</v>
      </c>
      <c r="I168" s="1">
        <f t="shared" si="19"/>
        <v>1857.71</v>
      </c>
      <c r="J168" s="2">
        <f t="shared" si="20"/>
        <v>8.333826075788503E-3</v>
      </c>
    </row>
    <row r="169" spans="1:10">
      <c r="A169" s="1">
        <v>36.700000000000003</v>
      </c>
      <c r="B169" s="1">
        <f t="shared" si="14"/>
        <v>309.85000000000002</v>
      </c>
      <c r="C169" s="1" t="s">
        <v>185</v>
      </c>
      <c r="D169" s="1">
        <v>1.8690199999999999</v>
      </c>
      <c r="E169" s="1">
        <f t="shared" si="15"/>
        <v>1869.02</v>
      </c>
      <c r="F169" s="1">
        <f t="shared" si="16"/>
        <v>1870.9710491373646</v>
      </c>
      <c r="G169" s="1">
        <f t="shared" si="17"/>
        <v>0.10428002818451899</v>
      </c>
      <c r="H169" s="8">
        <f t="shared" si="18"/>
        <v>6093.4202930000001</v>
      </c>
      <c r="I169" s="1">
        <f t="shared" si="19"/>
        <v>1855.346</v>
      </c>
      <c r="J169" s="2">
        <f t="shared" si="20"/>
        <v>8.3513046044024798E-3</v>
      </c>
    </row>
    <row r="170" spans="1:10">
      <c r="A170" s="1">
        <v>36.799999999999997</v>
      </c>
      <c r="B170" s="1">
        <f t="shared" si="14"/>
        <v>309.95</v>
      </c>
      <c r="C170" s="1" t="s">
        <v>186</v>
      </c>
      <c r="D170" s="1">
        <v>1.8665</v>
      </c>
      <c r="E170" s="1">
        <f t="shared" si="15"/>
        <v>1866.5</v>
      </c>
      <c r="F170" s="1">
        <f t="shared" si="16"/>
        <v>1868.6177721178969</v>
      </c>
      <c r="G170" s="1">
        <f t="shared" si="17"/>
        <v>0.11333361747366122</v>
      </c>
      <c r="H170" s="8">
        <f t="shared" si="18"/>
        <v>6068.5299919999998</v>
      </c>
      <c r="I170" s="1">
        <f t="shared" si="19"/>
        <v>1852.982</v>
      </c>
      <c r="J170" s="2">
        <f t="shared" si="20"/>
        <v>8.3675604241820658E-3</v>
      </c>
    </row>
    <row r="171" spans="1:10">
      <c r="A171" s="1">
        <v>36.9</v>
      </c>
      <c r="B171" s="1">
        <f t="shared" si="14"/>
        <v>310.05</v>
      </c>
      <c r="C171" s="1" t="s">
        <v>187</v>
      </c>
      <c r="D171" s="1">
        <v>1.8646400000000001</v>
      </c>
      <c r="E171" s="1">
        <f t="shared" si="15"/>
        <v>1864.64</v>
      </c>
      <c r="F171" s="1">
        <f t="shared" si="16"/>
        <v>1866.2621243355588</v>
      </c>
      <c r="G171" s="1">
        <f t="shared" si="17"/>
        <v>8.6918354844513546E-2</v>
      </c>
      <c r="H171" s="8">
        <f t="shared" si="18"/>
        <v>6043.7553369999996</v>
      </c>
      <c r="I171" s="1">
        <f t="shared" si="19"/>
        <v>1850.6179999999999</v>
      </c>
      <c r="J171" s="2">
        <f t="shared" si="20"/>
        <v>8.3825975630988283E-3</v>
      </c>
    </row>
    <row r="172" spans="1:10">
      <c r="A172" s="1">
        <v>37</v>
      </c>
      <c r="B172" s="1">
        <f t="shared" si="14"/>
        <v>310.14999999999998</v>
      </c>
      <c r="C172" s="1" t="s">
        <v>188</v>
      </c>
      <c r="D172" s="1">
        <v>1.86189</v>
      </c>
      <c r="E172" s="1">
        <f t="shared" si="15"/>
        <v>1861.89</v>
      </c>
      <c r="F172" s="1">
        <f t="shared" si="16"/>
        <v>1863.9041220661188</v>
      </c>
      <c r="G172" s="1">
        <f t="shared" si="17"/>
        <v>0.10805931712228214</v>
      </c>
      <c r="H172" s="8">
        <f t="shared" si="18"/>
        <v>6019.0957310000003</v>
      </c>
      <c r="I172" s="1">
        <f t="shared" si="19"/>
        <v>1848.2539999999999</v>
      </c>
      <c r="J172" s="2">
        <f t="shared" si="20"/>
        <v>8.3964201167015546E-3</v>
      </c>
    </row>
    <row r="173" spans="1:10">
      <c r="A173" s="1">
        <v>37.1</v>
      </c>
      <c r="B173" s="1">
        <f t="shared" si="14"/>
        <v>310.25</v>
      </c>
      <c r="C173" s="1" t="s">
        <v>189</v>
      </c>
      <c r="D173" s="1">
        <v>1.8600099999999999</v>
      </c>
      <c r="E173" s="1">
        <f t="shared" si="15"/>
        <v>1860.01</v>
      </c>
      <c r="F173" s="1">
        <f t="shared" si="16"/>
        <v>1861.5437814064783</v>
      </c>
      <c r="G173" s="1">
        <f t="shared" si="17"/>
        <v>8.2392980589446246E-2</v>
      </c>
      <c r="H173" s="8">
        <f t="shared" si="18"/>
        <v>5994.5505780000003</v>
      </c>
      <c r="I173" s="1">
        <f t="shared" si="19"/>
        <v>1845.89</v>
      </c>
      <c r="J173" s="2">
        <f t="shared" si="20"/>
        <v>8.4090320962803538E-3</v>
      </c>
    </row>
    <row r="174" spans="1:10">
      <c r="A174" s="1">
        <v>37.200000000000003</v>
      </c>
      <c r="B174" s="1">
        <f t="shared" si="14"/>
        <v>310.35000000000002</v>
      </c>
      <c r="C174" s="1" t="s">
        <v>190</v>
      </c>
      <c r="D174" s="1">
        <v>1.8572500000000001</v>
      </c>
      <c r="E174" s="1">
        <f t="shared" si="15"/>
        <v>1857.25</v>
      </c>
      <c r="F174" s="1">
        <f t="shared" si="16"/>
        <v>1859.1811187546375</v>
      </c>
      <c r="G174" s="1">
        <f t="shared" si="17"/>
        <v>0.10386931833360372</v>
      </c>
      <c r="H174" s="8">
        <f t="shared" si="18"/>
        <v>5970.1192879999999</v>
      </c>
      <c r="I174" s="1">
        <f t="shared" si="19"/>
        <v>1843.5260000000001</v>
      </c>
      <c r="J174" s="2">
        <f t="shared" si="20"/>
        <v>8.4204376844811864E-3</v>
      </c>
    </row>
    <row r="175" spans="1:10">
      <c r="A175" s="1">
        <v>37.299999999999997</v>
      </c>
      <c r="B175" s="1">
        <f t="shared" si="14"/>
        <v>310.45</v>
      </c>
      <c r="C175" s="1" t="s">
        <v>191</v>
      </c>
      <c r="D175" s="1">
        <v>1.8553599999999999</v>
      </c>
      <c r="E175" s="1">
        <f t="shared" si="15"/>
        <v>1855.36</v>
      </c>
      <c r="F175" s="1">
        <f t="shared" si="16"/>
        <v>1856.816150428305</v>
      </c>
      <c r="G175" s="1">
        <f t="shared" si="17"/>
        <v>7.8421895887175005E-2</v>
      </c>
      <c r="H175" s="8">
        <f t="shared" si="18"/>
        <v>5945.801273</v>
      </c>
      <c r="I175" s="1">
        <f t="shared" si="19"/>
        <v>1841.162</v>
      </c>
      <c r="J175" s="2">
        <f t="shared" si="20"/>
        <v>8.4306410328745338E-3</v>
      </c>
    </row>
    <row r="176" spans="1:10">
      <c r="A176" s="1">
        <v>37.4</v>
      </c>
      <c r="B176" s="1">
        <f t="shared" si="14"/>
        <v>310.55</v>
      </c>
      <c r="C176" s="1" t="s">
        <v>192</v>
      </c>
      <c r="D176" s="1">
        <v>1.8525799999999999</v>
      </c>
      <c r="E176" s="1">
        <f t="shared" si="15"/>
        <v>1852.58</v>
      </c>
      <c r="F176" s="1">
        <f t="shared" si="16"/>
        <v>1854.4488927608465</v>
      </c>
      <c r="G176" s="1">
        <f t="shared" si="17"/>
        <v>0.10077887657848958</v>
      </c>
      <c r="H176" s="8">
        <f t="shared" si="18"/>
        <v>5921.5959480000001</v>
      </c>
      <c r="I176" s="1">
        <f t="shared" si="19"/>
        <v>1838.798</v>
      </c>
      <c r="J176" s="2">
        <f t="shared" si="20"/>
        <v>8.439646313221378E-3</v>
      </c>
    </row>
    <row r="177" spans="1:10">
      <c r="A177" s="1">
        <v>37.5</v>
      </c>
      <c r="B177" s="1">
        <f t="shared" si="14"/>
        <v>310.64999999999998</v>
      </c>
      <c r="C177" s="1" t="s">
        <v>193</v>
      </c>
      <c r="D177" s="1">
        <v>1.8502400000000001</v>
      </c>
      <c r="E177" s="1">
        <f t="shared" si="15"/>
        <v>1850.24</v>
      </c>
      <c r="F177" s="1">
        <f t="shared" si="16"/>
        <v>1852.0793622991685</v>
      </c>
      <c r="G177" s="1">
        <f t="shared" si="17"/>
        <v>9.9313362948176304E-2</v>
      </c>
      <c r="H177" s="8">
        <f t="shared" si="18"/>
        <v>5897.5027330000003</v>
      </c>
      <c r="I177" s="1">
        <f t="shared" si="19"/>
        <v>1836.434</v>
      </c>
      <c r="J177" s="2">
        <f t="shared" si="20"/>
        <v>8.447457823700575E-3</v>
      </c>
    </row>
    <row r="178" spans="1:10">
      <c r="A178" s="1">
        <v>37.6</v>
      </c>
      <c r="B178" s="1">
        <f t="shared" si="14"/>
        <v>310.75</v>
      </c>
      <c r="C178" s="1" t="s">
        <v>194</v>
      </c>
      <c r="D178" s="1">
        <v>1.8481099999999999</v>
      </c>
      <c r="E178" s="1">
        <f t="shared" si="15"/>
        <v>1848.11</v>
      </c>
      <c r="F178" s="1">
        <f t="shared" si="16"/>
        <v>1849.7075754132206</v>
      </c>
      <c r="G178" s="1">
        <f t="shared" si="17"/>
        <v>8.6369079872738452E-2</v>
      </c>
      <c r="H178" s="8">
        <f t="shared" si="18"/>
        <v>5873.5210489999999</v>
      </c>
      <c r="I178" s="1">
        <f t="shared" si="19"/>
        <v>1834.07</v>
      </c>
      <c r="J178" s="2">
        <f t="shared" si="20"/>
        <v>8.4540797805443928E-3</v>
      </c>
    </row>
    <row r="179" spans="1:10">
      <c r="A179" s="1">
        <v>37.700000000000003</v>
      </c>
      <c r="B179" s="1">
        <f t="shared" si="14"/>
        <v>310.85000000000002</v>
      </c>
      <c r="C179" s="1" t="s">
        <v>195</v>
      </c>
      <c r="D179" s="1">
        <v>1.8455299999999999</v>
      </c>
      <c r="E179" s="1">
        <f t="shared" si="15"/>
        <v>1845.53</v>
      </c>
      <c r="F179" s="1">
        <f t="shared" si="16"/>
        <v>1847.3335486901328</v>
      </c>
      <c r="G179" s="1">
        <f t="shared" si="17"/>
        <v>9.7629834710232913E-2</v>
      </c>
      <c r="H179" s="8">
        <f t="shared" si="18"/>
        <v>5849.6503220000004</v>
      </c>
      <c r="I179" s="1">
        <f t="shared" si="19"/>
        <v>1831.7059999999999</v>
      </c>
      <c r="J179" s="2">
        <f t="shared" si="20"/>
        <v>8.4595165292233061E-3</v>
      </c>
    </row>
    <row r="180" spans="1:10">
      <c r="A180" s="1">
        <v>37.799999999999997</v>
      </c>
      <c r="B180" s="1">
        <f t="shared" si="14"/>
        <v>310.95</v>
      </c>
      <c r="C180" s="1" t="s">
        <v>196</v>
      </c>
      <c r="D180" s="1">
        <v>1.8429500000000001</v>
      </c>
      <c r="E180" s="1">
        <f t="shared" si="15"/>
        <v>1842.95</v>
      </c>
      <c r="F180" s="1">
        <f t="shared" si="16"/>
        <v>1844.9572987399779</v>
      </c>
      <c r="G180" s="1">
        <f t="shared" si="17"/>
        <v>0.10879919775643238</v>
      </c>
      <c r="H180" s="8">
        <f t="shared" si="18"/>
        <v>5825.8899810000003</v>
      </c>
      <c r="I180" s="1">
        <f t="shared" si="19"/>
        <v>1829.3420000000001</v>
      </c>
      <c r="J180" s="2">
        <f t="shared" si="20"/>
        <v>8.4637724410436647E-3</v>
      </c>
    </row>
    <row r="181" spans="1:10">
      <c r="A181" s="1">
        <v>37.9</v>
      </c>
      <c r="B181" s="1">
        <f t="shared" si="14"/>
        <v>311.05</v>
      </c>
      <c r="C181" s="1" t="s">
        <v>197</v>
      </c>
      <c r="D181" s="1">
        <v>1.8408</v>
      </c>
      <c r="E181" s="1">
        <f t="shared" si="15"/>
        <v>1840.8</v>
      </c>
      <c r="F181" s="1">
        <f t="shared" si="16"/>
        <v>1842.5788420957665</v>
      </c>
      <c r="G181" s="1">
        <f t="shared" si="17"/>
        <v>9.6540894485865128E-2</v>
      </c>
      <c r="H181" s="8">
        <f t="shared" si="18"/>
        <v>5802.2394569999997</v>
      </c>
      <c r="I181" s="1">
        <f t="shared" si="19"/>
        <v>1826.9780000000001</v>
      </c>
      <c r="J181" s="2">
        <f t="shared" si="20"/>
        <v>8.466851859658767E-3</v>
      </c>
    </row>
    <row r="182" spans="1:10">
      <c r="A182" s="1">
        <v>38</v>
      </c>
      <c r="B182" s="1">
        <f t="shared" si="14"/>
        <v>311.14999999999998</v>
      </c>
      <c r="C182" s="1" t="s">
        <v>198</v>
      </c>
      <c r="D182" s="1">
        <v>1.8382000000000001</v>
      </c>
      <c r="E182" s="1">
        <f t="shared" si="15"/>
        <v>1838.2</v>
      </c>
      <c r="F182" s="1">
        <f t="shared" si="16"/>
        <v>1840.1981955157662</v>
      </c>
      <c r="G182" s="1">
        <f t="shared" si="17"/>
        <v>0.10858588605485002</v>
      </c>
      <c r="H182" s="8">
        <f t="shared" si="18"/>
        <v>5778.6981859999996</v>
      </c>
      <c r="I182" s="1">
        <f t="shared" si="19"/>
        <v>1824.614</v>
      </c>
      <c r="J182" s="2">
        <f t="shared" si="20"/>
        <v>8.4687592639434515E-3</v>
      </c>
    </row>
    <row r="183" spans="1:10">
      <c r="A183" s="1">
        <v>38.1</v>
      </c>
      <c r="B183" s="1">
        <f t="shared" si="14"/>
        <v>311.25</v>
      </c>
      <c r="C183" s="1" t="s">
        <v>199</v>
      </c>
      <c r="D183" s="1">
        <v>1.8360300000000001</v>
      </c>
      <c r="E183" s="1">
        <f t="shared" si="15"/>
        <v>1836.03</v>
      </c>
      <c r="F183" s="1">
        <f t="shared" si="16"/>
        <v>1837.8153755821604</v>
      </c>
      <c r="G183" s="1">
        <f t="shared" si="17"/>
        <v>9.7146623424830783E-2</v>
      </c>
      <c r="H183" s="8">
        <f t="shared" si="18"/>
        <v>5755.2656049999996</v>
      </c>
      <c r="I183" s="1">
        <f t="shared" si="19"/>
        <v>1822.25</v>
      </c>
      <c r="J183" s="2">
        <f t="shared" si="20"/>
        <v>8.4694990524985716E-3</v>
      </c>
    </row>
    <row r="184" spans="1:10">
      <c r="A184" s="1">
        <v>38.200000000000003</v>
      </c>
      <c r="B184" s="1">
        <f t="shared" si="14"/>
        <v>311.35000000000002</v>
      </c>
      <c r="C184" s="1" t="s">
        <v>200</v>
      </c>
      <c r="D184" s="1">
        <v>1.83342</v>
      </c>
      <c r="E184" s="1">
        <f t="shared" si="15"/>
        <v>1833.42</v>
      </c>
      <c r="F184" s="1">
        <f t="shared" si="16"/>
        <v>1835.430399209082</v>
      </c>
      <c r="G184" s="1">
        <f t="shared" si="17"/>
        <v>0.10953284907715595</v>
      </c>
      <c r="H184" s="8">
        <f t="shared" si="18"/>
        <v>5731.9411570000002</v>
      </c>
      <c r="I184" s="1">
        <f t="shared" si="19"/>
        <v>1819.886</v>
      </c>
      <c r="J184" s="2">
        <f t="shared" si="20"/>
        <v>8.4690758177375595E-3</v>
      </c>
    </row>
    <row r="185" spans="1:10">
      <c r="A185" s="1">
        <v>38.299999999999997</v>
      </c>
      <c r="B185" s="1">
        <f t="shared" si="14"/>
        <v>311.45</v>
      </c>
      <c r="C185" s="1" t="s">
        <v>201</v>
      </c>
      <c r="D185" s="1">
        <v>1.8310299999999999</v>
      </c>
      <c r="E185" s="1">
        <f t="shared" si="15"/>
        <v>1831.03</v>
      </c>
      <c r="F185" s="1">
        <f t="shared" si="16"/>
        <v>1833.0432831366113</v>
      </c>
      <c r="G185" s="1">
        <f t="shared" si="17"/>
        <v>0.10983282037761304</v>
      </c>
      <c r="H185" s="8">
        <f t="shared" si="18"/>
        <v>5708.7242859999997</v>
      </c>
      <c r="I185" s="1">
        <f t="shared" si="19"/>
        <v>1817.5219999999999</v>
      </c>
      <c r="J185" s="2">
        <f t="shared" si="20"/>
        <v>8.4674940735999082E-3</v>
      </c>
    </row>
    <row r="186" spans="1:10">
      <c r="A186" s="1">
        <v>38.4</v>
      </c>
      <c r="B186" s="1">
        <f t="shared" si="14"/>
        <v>311.55</v>
      </c>
      <c r="C186" s="1" t="s">
        <v>202</v>
      </c>
      <c r="D186" s="1">
        <v>1.82884</v>
      </c>
      <c r="E186" s="1">
        <f t="shared" si="15"/>
        <v>1828.84</v>
      </c>
      <c r="F186" s="1">
        <f t="shared" si="16"/>
        <v>1830.6540442372161</v>
      </c>
      <c r="G186" s="1">
        <f t="shared" si="17"/>
        <v>9.9092684547727169E-2</v>
      </c>
      <c r="H186" s="8">
        <f t="shared" si="18"/>
        <v>5685.6144400000003</v>
      </c>
      <c r="I186" s="1">
        <f t="shared" si="19"/>
        <v>1815.1579999999999</v>
      </c>
      <c r="J186" s="2">
        <f t="shared" si="20"/>
        <v>8.4647584211756353E-3</v>
      </c>
    </row>
    <row r="187" spans="1:10">
      <c r="A187" s="1">
        <v>38.5</v>
      </c>
      <c r="B187" s="1">
        <f t="shared" si="14"/>
        <v>311.64999999999998</v>
      </c>
      <c r="C187" s="1" t="s">
        <v>203</v>
      </c>
      <c r="D187" s="1">
        <v>1.8262100000000001</v>
      </c>
      <c r="E187" s="1">
        <f t="shared" si="15"/>
        <v>1826.21</v>
      </c>
      <c r="F187" s="1">
        <f t="shared" si="16"/>
        <v>1828.2626992069984</v>
      </c>
      <c r="G187" s="1">
        <f t="shared" si="17"/>
        <v>0.11227594414570131</v>
      </c>
      <c r="H187" s="8">
        <f t="shared" si="18"/>
        <v>5662.6110680000002</v>
      </c>
      <c r="I187" s="1">
        <f t="shared" si="19"/>
        <v>1812.7940000000001</v>
      </c>
      <c r="J187" s="2">
        <f t="shared" si="20"/>
        <v>8.4608733819859522E-3</v>
      </c>
    </row>
    <row r="188" spans="1:10">
      <c r="A188" s="1">
        <v>38.6</v>
      </c>
      <c r="B188" s="1">
        <f t="shared" si="14"/>
        <v>311.75</v>
      </c>
      <c r="C188" s="1" t="s">
        <v>204</v>
      </c>
      <c r="D188" s="1">
        <v>1.8240099999999999</v>
      </c>
      <c r="E188" s="1">
        <f t="shared" si="15"/>
        <v>1824.01</v>
      </c>
      <c r="F188" s="1">
        <f t="shared" si="16"/>
        <v>1825.8692652948571</v>
      </c>
      <c r="G188" s="1">
        <f t="shared" si="17"/>
        <v>0.10182904823455942</v>
      </c>
      <c r="H188" s="8">
        <f t="shared" si="18"/>
        <v>5639.7136270000001</v>
      </c>
      <c r="I188" s="1">
        <f t="shared" si="19"/>
        <v>1810.43</v>
      </c>
      <c r="J188" s="2">
        <f t="shared" si="20"/>
        <v>8.4558437935937092E-3</v>
      </c>
    </row>
    <row r="189" spans="1:10">
      <c r="A189" s="1">
        <v>38.700000000000003</v>
      </c>
      <c r="B189" s="1">
        <f t="shared" si="14"/>
        <v>311.85000000000002</v>
      </c>
      <c r="C189" s="1" t="s">
        <v>205</v>
      </c>
      <c r="D189" s="1">
        <v>1.8218000000000001</v>
      </c>
      <c r="E189" s="1">
        <f t="shared" si="15"/>
        <v>1821.8</v>
      </c>
      <c r="F189" s="1">
        <f t="shared" si="16"/>
        <v>1823.4737591587661</v>
      </c>
      <c r="G189" s="1">
        <f t="shared" si="17"/>
        <v>9.1789593919813436E-2</v>
      </c>
      <c r="H189" s="8">
        <f t="shared" si="18"/>
        <v>5616.9215709999999</v>
      </c>
      <c r="I189" s="1">
        <f t="shared" si="19"/>
        <v>1808.066</v>
      </c>
      <c r="J189" s="2">
        <f t="shared" si="20"/>
        <v>8.449674189923229E-3</v>
      </c>
    </row>
    <row r="190" spans="1:10">
      <c r="A190" s="1">
        <v>38.799999999999997</v>
      </c>
      <c r="B190" s="1">
        <f t="shared" si="14"/>
        <v>311.95</v>
      </c>
      <c r="C190" s="1" t="s">
        <v>206</v>
      </c>
      <c r="D190" s="1">
        <v>1.8191600000000001</v>
      </c>
      <c r="E190" s="1">
        <f t="shared" si="15"/>
        <v>1819.16</v>
      </c>
      <c r="F190" s="1">
        <f t="shared" si="16"/>
        <v>1821.0761980154427</v>
      </c>
      <c r="G190" s="1">
        <f t="shared" si="17"/>
        <v>0.10522338480569228</v>
      </c>
      <c r="H190" s="8">
        <f t="shared" si="18"/>
        <v>5594.2343620000001</v>
      </c>
      <c r="I190" s="1">
        <f t="shared" si="19"/>
        <v>1805.702</v>
      </c>
      <c r="J190" s="2">
        <f t="shared" si="20"/>
        <v>8.4423694253964281E-3</v>
      </c>
    </row>
    <row r="191" spans="1:10">
      <c r="A191" s="1">
        <v>38.9</v>
      </c>
      <c r="B191" s="1">
        <f t="shared" si="14"/>
        <v>312.05</v>
      </c>
      <c r="C191" s="1" t="s">
        <v>207</v>
      </c>
      <c r="D191" s="1">
        <v>1.8169299999999999</v>
      </c>
      <c r="E191" s="1">
        <f t="shared" si="15"/>
        <v>1816.93</v>
      </c>
      <c r="F191" s="1">
        <f t="shared" si="16"/>
        <v>1818.6765989102703</v>
      </c>
      <c r="G191" s="1">
        <f t="shared" si="17"/>
        <v>9.6036805626506877E-2</v>
      </c>
      <c r="H191" s="8">
        <f t="shared" si="18"/>
        <v>5571.6514630000001</v>
      </c>
      <c r="I191" s="1">
        <f t="shared" si="19"/>
        <v>1803.338</v>
      </c>
      <c r="J191" s="2">
        <f t="shared" si="20"/>
        <v>8.433934279168177E-3</v>
      </c>
    </row>
    <row r="192" spans="1:10">
      <c r="A192" s="1">
        <v>39</v>
      </c>
      <c r="B192" s="1">
        <f t="shared" si="14"/>
        <v>312.14999999999998</v>
      </c>
      <c r="C192" s="1" t="s">
        <v>208</v>
      </c>
      <c r="D192" s="1">
        <v>1.81427</v>
      </c>
      <c r="E192" s="1">
        <f t="shared" si="15"/>
        <v>1814.27</v>
      </c>
      <c r="F192" s="1">
        <f t="shared" si="16"/>
        <v>1816.2749788200294</v>
      </c>
      <c r="G192" s="1">
        <f t="shared" si="17"/>
        <v>0.11038960748840075</v>
      </c>
      <c r="H192" s="8">
        <f t="shared" si="18"/>
        <v>5549.1723389999997</v>
      </c>
      <c r="I192" s="1">
        <f t="shared" si="19"/>
        <v>1800.9739999999999</v>
      </c>
      <c r="J192" s="2">
        <f t="shared" si="20"/>
        <v>8.4243735108711498E-3</v>
      </c>
    </row>
    <row r="193" spans="1:10">
      <c r="A193" s="1">
        <v>39.1</v>
      </c>
      <c r="B193" s="1">
        <f t="shared" si="14"/>
        <v>312.25</v>
      </c>
      <c r="C193" s="1" t="s">
        <v>209</v>
      </c>
      <c r="D193" s="1">
        <v>1.8120400000000001</v>
      </c>
      <c r="E193" s="1">
        <f t="shared" si="15"/>
        <v>1812.04</v>
      </c>
      <c r="F193" s="1">
        <f t="shared" si="16"/>
        <v>1813.871354974546</v>
      </c>
      <c r="G193" s="1">
        <f t="shared" si="17"/>
        <v>0.10096388420951175</v>
      </c>
      <c r="H193" s="8">
        <f t="shared" si="18"/>
        <v>5526.7964599999996</v>
      </c>
      <c r="I193" s="1">
        <f t="shared" si="19"/>
        <v>1798.61</v>
      </c>
      <c r="J193" s="2">
        <f t="shared" si="20"/>
        <v>8.4136920364786452E-3</v>
      </c>
    </row>
    <row r="194" spans="1:10">
      <c r="A194" s="1">
        <v>39.200000000000003</v>
      </c>
      <c r="B194" s="1">
        <f t="shared" si="14"/>
        <v>312.35000000000002</v>
      </c>
      <c r="C194" s="1" t="s">
        <v>210</v>
      </c>
      <c r="D194" s="1">
        <v>1.8093699999999999</v>
      </c>
      <c r="E194" s="1">
        <f t="shared" si="15"/>
        <v>1809.37</v>
      </c>
      <c r="F194" s="1">
        <f t="shared" si="16"/>
        <v>1811.4657445391047</v>
      </c>
      <c r="G194" s="1">
        <f t="shared" si="17"/>
        <v>0.11569330225662072</v>
      </c>
      <c r="H194" s="8">
        <f t="shared" si="18"/>
        <v>5504.5232980000001</v>
      </c>
      <c r="I194" s="1">
        <f t="shared" si="19"/>
        <v>1796.2460000000001</v>
      </c>
      <c r="J194" s="2">
        <f t="shared" si="20"/>
        <v>8.4018947556620573E-3</v>
      </c>
    </row>
    <row r="195" spans="1:10">
      <c r="A195" s="1">
        <v>39.299999999999997</v>
      </c>
      <c r="B195" s="1">
        <f t="shared" ref="B195:B258" si="21">A195+273.15</f>
        <v>312.45</v>
      </c>
      <c r="C195" s="1" t="s">
        <v>211</v>
      </c>
      <c r="D195" s="1">
        <v>1.8071200000000001</v>
      </c>
      <c r="E195" s="1">
        <f t="shared" ref="E195:E258" si="22">D195/0.001</f>
        <v>1807.12</v>
      </c>
      <c r="F195" s="1">
        <f t="shared" ref="F195:F258" si="23">(H195*2700)/(H195+2700)</f>
        <v>1809.0581646130574</v>
      </c>
      <c r="G195" s="1">
        <f t="shared" ref="G195:G258" si="24">ABS(E195-F195)*100/F195</f>
        <v>0.10713666652460062</v>
      </c>
      <c r="H195" s="8">
        <f t="shared" ref="H195:H258" si="25">ROUND(10000*EXP(($L$3)+($M$3/B195)+($N$3/(B195^2))+($O$3/(B195^3))),6)</f>
        <v>5482.3523269999996</v>
      </c>
      <c r="I195" s="1">
        <f t="shared" ref="I195:I258" si="26">-23.64*B195+9180.2</f>
        <v>1793.8820000000001</v>
      </c>
      <c r="J195" s="2">
        <f t="shared" ref="J195:J258" si="27">ABS(I195-F195)/F195</f>
        <v>8.3889865510783264E-3</v>
      </c>
    </row>
    <row r="196" spans="1:10">
      <c r="A196" s="1">
        <v>39.4</v>
      </c>
      <c r="B196" s="1">
        <f t="shared" si="21"/>
        <v>312.55</v>
      </c>
      <c r="C196" s="1" t="s">
        <v>212</v>
      </c>
      <c r="D196" s="1">
        <v>1.8048599999999999</v>
      </c>
      <c r="E196" s="1">
        <f t="shared" si="22"/>
        <v>1804.86</v>
      </c>
      <c r="F196" s="1">
        <f t="shared" si="23"/>
        <v>1806.6486325568776</v>
      </c>
      <c r="G196" s="1">
        <f t="shared" si="24"/>
        <v>9.9002790285032949E-2</v>
      </c>
      <c r="H196" s="8">
        <f t="shared" si="25"/>
        <v>5460.2830260000001</v>
      </c>
      <c r="I196" s="1">
        <f t="shared" si="26"/>
        <v>1791.518</v>
      </c>
      <c r="J196" s="2">
        <f t="shared" si="27"/>
        <v>8.3749724679246518E-3</v>
      </c>
    </row>
    <row r="197" spans="1:10">
      <c r="A197" s="1">
        <v>39.5</v>
      </c>
      <c r="B197" s="1">
        <f t="shared" si="21"/>
        <v>312.64999999999998</v>
      </c>
      <c r="C197" s="1" t="s">
        <v>213</v>
      </c>
      <c r="D197" s="1">
        <v>1.80217</v>
      </c>
      <c r="E197" s="1">
        <f t="shared" si="22"/>
        <v>1802.17</v>
      </c>
      <c r="F197" s="1">
        <f t="shared" si="23"/>
        <v>1804.2371656694793</v>
      </c>
      <c r="G197" s="1">
        <f t="shared" si="24"/>
        <v>0.11457283492506749</v>
      </c>
      <c r="H197" s="8">
        <f t="shared" si="25"/>
        <v>5438.3148760000004</v>
      </c>
      <c r="I197" s="1">
        <f t="shared" si="26"/>
        <v>1789.154</v>
      </c>
      <c r="J197" s="2">
        <f t="shared" si="27"/>
        <v>8.3598575378434434E-3</v>
      </c>
    </row>
    <row r="198" spans="1:10">
      <c r="A198" s="1">
        <v>39.6</v>
      </c>
      <c r="B198" s="1">
        <f t="shared" si="21"/>
        <v>312.75</v>
      </c>
      <c r="C198" s="1" t="s">
        <v>214</v>
      </c>
      <c r="D198" s="1">
        <v>1.8001100000000001</v>
      </c>
      <c r="E198" s="1">
        <f t="shared" si="22"/>
        <v>1800.11</v>
      </c>
      <c r="F198" s="1">
        <f t="shared" si="23"/>
        <v>1801.8237811869453</v>
      </c>
      <c r="G198" s="1">
        <f t="shared" si="24"/>
        <v>9.5113695625466649E-2</v>
      </c>
      <c r="H198" s="8">
        <f t="shared" si="25"/>
        <v>5416.4473600000001</v>
      </c>
      <c r="I198" s="1">
        <f t="shared" si="26"/>
        <v>1786.79</v>
      </c>
      <c r="J198" s="2">
        <f t="shared" si="27"/>
        <v>8.3436467782892227E-3</v>
      </c>
    </row>
    <row r="199" spans="1:10">
      <c r="A199" s="1">
        <v>39.700000000000003</v>
      </c>
      <c r="B199" s="1">
        <f t="shared" si="21"/>
        <v>312.85000000000002</v>
      </c>
      <c r="C199" s="1" t="s">
        <v>215</v>
      </c>
      <c r="D199" s="1">
        <v>1.7971999999999999</v>
      </c>
      <c r="E199" s="1">
        <f t="shared" si="22"/>
        <v>1797.2</v>
      </c>
      <c r="F199" s="1">
        <f t="shared" si="23"/>
        <v>1799.4084966150469</v>
      </c>
      <c r="G199" s="1">
        <f t="shared" si="24"/>
        <v>0.12273458857182265</v>
      </c>
      <c r="H199" s="8">
        <f t="shared" si="25"/>
        <v>5394.6799659999997</v>
      </c>
      <c r="I199" s="1">
        <f t="shared" si="26"/>
        <v>1784.4259999999999</v>
      </c>
      <c r="J199" s="2">
        <f t="shared" si="27"/>
        <v>8.3263453758450623E-3</v>
      </c>
    </row>
    <row r="200" spans="1:10">
      <c r="A200" s="1">
        <v>39.799999999999997</v>
      </c>
      <c r="B200" s="1">
        <f t="shared" si="21"/>
        <v>312.95</v>
      </c>
      <c r="C200" s="1" t="s">
        <v>216</v>
      </c>
      <c r="D200" s="1">
        <v>1.7951299999999999</v>
      </c>
      <c r="E200" s="1">
        <f t="shared" si="22"/>
        <v>1795.13</v>
      </c>
      <c r="F200" s="1">
        <f t="shared" si="23"/>
        <v>1796.991329177707</v>
      </c>
      <c r="G200" s="1">
        <f t="shared" si="24"/>
        <v>0.10358030934732748</v>
      </c>
      <c r="H200" s="8">
        <f t="shared" si="25"/>
        <v>5373.0121820000004</v>
      </c>
      <c r="I200" s="1">
        <f t="shared" si="26"/>
        <v>1782.0619999999999</v>
      </c>
      <c r="J200" s="2">
        <f t="shared" si="27"/>
        <v>8.3079583831596488E-3</v>
      </c>
    </row>
    <row r="201" spans="1:10">
      <c r="A201" s="1">
        <v>39.9</v>
      </c>
      <c r="B201" s="1">
        <f t="shared" si="21"/>
        <v>313.05</v>
      </c>
      <c r="C201" s="1" t="s">
        <v>217</v>
      </c>
      <c r="D201" s="1">
        <v>1.7926299999999999</v>
      </c>
      <c r="E201" s="1">
        <f t="shared" si="22"/>
        <v>1792.63</v>
      </c>
      <c r="F201" s="1">
        <f t="shared" si="23"/>
        <v>1794.5722963721259</v>
      </c>
      <c r="G201" s="1">
        <f t="shared" si="24"/>
        <v>0.1082317149357732</v>
      </c>
      <c r="H201" s="8">
        <f t="shared" si="25"/>
        <v>5351.4435009999997</v>
      </c>
      <c r="I201" s="1">
        <f t="shared" si="26"/>
        <v>1779.6980000000001</v>
      </c>
      <c r="J201" s="2">
        <f t="shared" si="27"/>
        <v>8.288491024962024E-3</v>
      </c>
    </row>
    <row r="202" spans="1:10">
      <c r="A202" s="1">
        <v>40</v>
      </c>
      <c r="B202" s="1">
        <f t="shared" si="21"/>
        <v>313.14999999999998</v>
      </c>
      <c r="C202" s="1" t="s">
        <v>218</v>
      </c>
      <c r="D202" s="1">
        <v>1.7901199999999999</v>
      </c>
      <c r="E202" s="1">
        <f t="shared" si="22"/>
        <v>1790.12</v>
      </c>
      <c r="F202" s="1">
        <f t="shared" si="23"/>
        <v>1792.1514157505333</v>
      </c>
      <c r="G202" s="1">
        <f t="shared" si="24"/>
        <v>0.11335067632567392</v>
      </c>
      <c r="H202" s="8">
        <f t="shared" si="25"/>
        <v>5329.9734189999999</v>
      </c>
      <c r="I202" s="1">
        <f t="shared" si="26"/>
        <v>1777.3340000000001</v>
      </c>
      <c r="J202" s="2">
        <f t="shared" si="27"/>
        <v>8.2679485786237711E-3</v>
      </c>
    </row>
    <row r="203" spans="1:10">
      <c r="A203" s="1">
        <v>40.1</v>
      </c>
      <c r="B203" s="1">
        <f t="shared" si="21"/>
        <v>313.25</v>
      </c>
      <c r="C203" s="1" t="s">
        <v>219</v>
      </c>
      <c r="D203" s="1">
        <v>1.7876000000000001</v>
      </c>
      <c r="E203" s="1">
        <f t="shared" si="22"/>
        <v>1787.6</v>
      </c>
      <c r="F203" s="1">
        <f t="shared" si="23"/>
        <v>1789.7287046947988</v>
      </c>
      <c r="G203" s="1">
        <f t="shared" si="24"/>
        <v>0.11894007673983778</v>
      </c>
      <c r="H203" s="8">
        <f t="shared" si="25"/>
        <v>5308.6014329999998</v>
      </c>
      <c r="I203" s="1">
        <f t="shared" si="26"/>
        <v>1774.97</v>
      </c>
      <c r="J203" s="2">
        <f t="shared" si="27"/>
        <v>8.2463362497812599E-3</v>
      </c>
    </row>
    <row r="204" spans="1:10">
      <c r="A204" s="1">
        <v>40.200000000000003</v>
      </c>
      <c r="B204" s="1">
        <f t="shared" si="21"/>
        <v>313.35000000000002</v>
      </c>
      <c r="C204" s="1" t="s">
        <v>220</v>
      </c>
      <c r="D204" s="1">
        <v>1.7855000000000001</v>
      </c>
      <c r="E204" s="1">
        <f t="shared" si="22"/>
        <v>1785.5</v>
      </c>
      <c r="F204" s="1">
        <f t="shared" si="23"/>
        <v>1787.3041807551658</v>
      </c>
      <c r="G204" s="1">
        <f t="shared" si="24"/>
        <v>0.10094424746455415</v>
      </c>
      <c r="H204" s="8">
        <f t="shared" si="25"/>
        <v>5287.3270439999997</v>
      </c>
      <c r="I204" s="1">
        <f t="shared" si="26"/>
        <v>1772.606</v>
      </c>
      <c r="J204" s="2">
        <f t="shared" si="27"/>
        <v>8.2236593599616572E-3</v>
      </c>
    </row>
    <row r="205" spans="1:10">
      <c r="A205" s="1">
        <v>40.299999999999997</v>
      </c>
      <c r="B205" s="1">
        <f t="shared" si="21"/>
        <v>313.45</v>
      </c>
      <c r="C205" s="1" t="s">
        <v>221</v>
      </c>
      <c r="D205" s="1">
        <v>1.7825500000000001</v>
      </c>
      <c r="E205" s="1">
        <f t="shared" si="22"/>
        <v>1782.55</v>
      </c>
      <c r="F205" s="1">
        <f t="shared" si="23"/>
        <v>1784.8778616552941</v>
      </c>
      <c r="G205" s="1">
        <f t="shared" si="24"/>
        <v>0.13042134172336273</v>
      </c>
      <c r="H205" s="8">
        <f t="shared" si="25"/>
        <v>5266.1497570000001</v>
      </c>
      <c r="I205" s="1">
        <f t="shared" si="26"/>
        <v>1770.242</v>
      </c>
      <c r="J205" s="2">
        <f t="shared" si="27"/>
        <v>8.1999233503410752E-3</v>
      </c>
    </row>
    <row r="206" spans="1:10">
      <c r="A206" s="1">
        <v>40.4</v>
      </c>
      <c r="B206" s="1">
        <f t="shared" si="21"/>
        <v>313.55</v>
      </c>
      <c r="C206" s="1" t="s">
        <v>222</v>
      </c>
      <c r="D206" s="1">
        <v>1.78044</v>
      </c>
      <c r="E206" s="1">
        <f t="shared" si="22"/>
        <v>1780.44</v>
      </c>
      <c r="F206" s="1">
        <f t="shared" si="23"/>
        <v>1782.4497648354429</v>
      </c>
      <c r="G206" s="1">
        <f t="shared" si="24"/>
        <v>0.1127529580407787</v>
      </c>
      <c r="H206" s="8">
        <f t="shared" si="25"/>
        <v>5245.0690770000001</v>
      </c>
      <c r="I206" s="1">
        <f t="shared" si="26"/>
        <v>1767.8779999999999</v>
      </c>
      <c r="J206" s="2">
        <f t="shared" si="27"/>
        <v>8.1751335285391719E-3</v>
      </c>
    </row>
    <row r="207" spans="1:10">
      <c r="A207" s="1">
        <v>40.5</v>
      </c>
      <c r="B207" s="1">
        <f t="shared" si="21"/>
        <v>313.64999999999998</v>
      </c>
      <c r="C207" s="1" t="s">
        <v>223</v>
      </c>
      <c r="D207" s="1">
        <v>1.7779</v>
      </c>
      <c r="E207" s="1">
        <f t="shared" si="22"/>
        <v>1777.9</v>
      </c>
      <c r="F207" s="1">
        <f t="shared" si="23"/>
        <v>1780.0199079098338</v>
      </c>
      <c r="G207" s="1">
        <f t="shared" si="24"/>
        <v>0.1190946180103684</v>
      </c>
      <c r="H207" s="8">
        <f t="shared" si="25"/>
        <v>5224.0845129999998</v>
      </c>
      <c r="I207" s="1">
        <f t="shared" si="26"/>
        <v>1765.5139999999999</v>
      </c>
      <c r="J207" s="2">
        <f t="shared" si="27"/>
        <v>8.1492953226951857E-3</v>
      </c>
    </row>
    <row r="208" spans="1:10">
      <c r="A208" s="1">
        <v>40.6</v>
      </c>
      <c r="B208" s="1">
        <f t="shared" si="21"/>
        <v>313.75</v>
      </c>
      <c r="C208" s="1" t="s">
        <v>224</v>
      </c>
      <c r="D208" s="1">
        <v>1.7757799999999999</v>
      </c>
      <c r="E208" s="1">
        <f t="shared" si="22"/>
        <v>1775.78</v>
      </c>
      <c r="F208" s="1">
        <f t="shared" si="23"/>
        <v>1777.5883086718673</v>
      </c>
      <c r="G208" s="1">
        <f t="shared" si="24"/>
        <v>0.10172820461552011</v>
      </c>
      <c r="H208" s="8">
        <f t="shared" si="25"/>
        <v>5203.1955779999998</v>
      </c>
      <c r="I208" s="1">
        <f t="shared" si="26"/>
        <v>1763.15</v>
      </c>
      <c r="J208" s="2">
        <f t="shared" si="27"/>
        <v>8.1224142853723019E-3</v>
      </c>
    </row>
    <row r="209" spans="1:10">
      <c r="A209" s="1">
        <v>40.700000000000003</v>
      </c>
      <c r="B209" s="1">
        <f t="shared" si="21"/>
        <v>313.85000000000002</v>
      </c>
      <c r="C209" s="1" t="s">
        <v>225</v>
      </c>
      <c r="D209" s="1">
        <v>1.7727999999999999</v>
      </c>
      <c r="E209" s="1">
        <f t="shared" si="22"/>
        <v>1772.8</v>
      </c>
      <c r="F209" s="1">
        <f t="shared" si="23"/>
        <v>1775.1549847474369</v>
      </c>
      <c r="G209" s="1">
        <f t="shared" si="24"/>
        <v>0.13266361346876768</v>
      </c>
      <c r="H209" s="8">
        <f t="shared" si="25"/>
        <v>5182.4017860000004</v>
      </c>
      <c r="I209" s="1">
        <f t="shared" si="26"/>
        <v>1760.7860000000001</v>
      </c>
      <c r="J209" s="2">
        <f t="shared" si="27"/>
        <v>8.0944959008642098E-3</v>
      </c>
    </row>
    <row r="210" spans="1:10">
      <c r="A210" s="1">
        <v>40.799999999999997</v>
      </c>
      <c r="B210" s="1">
        <f t="shared" si="21"/>
        <v>313.95</v>
      </c>
      <c r="C210" s="1" t="s">
        <v>226</v>
      </c>
      <c r="D210" s="1">
        <v>1.7706599999999999</v>
      </c>
      <c r="E210" s="1">
        <f t="shared" si="22"/>
        <v>1770.66</v>
      </c>
      <c r="F210" s="1">
        <f t="shared" si="23"/>
        <v>1772.7199539448875</v>
      </c>
      <c r="G210" s="1">
        <f t="shared" si="24"/>
        <v>0.11620300997364717</v>
      </c>
      <c r="H210" s="8">
        <f t="shared" si="25"/>
        <v>5161.702655</v>
      </c>
      <c r="I210" s="1">
        <f t="shared" si="26"/>
        <v>1758.422</v>
      </c>
      <c r="J210" s="2">
        <f t="shared" si="27"/>
        <v>8.0655457806913019E-3</v>
      </c>
    </row>
    <row r="211" spans="1:10">
      <c r="A211" s="1">
        <v>40.9</v>
      </c>
      <c r="B211" s="1">
        <f t="shared" si="21"/>
        <v>314.05</v>
      </c>
      <c r="C211" s="1" t="s">
        <v>227</v>
      </c>
      <c r="D211" s="1">
        <v>1.7681</v>
      </c>
      <c r="E211" s="1">
        <f t="shared" si="22"/>
        <v>1768.1</v>
      </c>
      <c r="F211" s="1">
        <f t="shared" si="23"/>
        <v>1770.2832339047206</v>
      </c>
      <c r="G211" s="1">
        <f t="shared" si="24"/>
        <v>0.12332681363677435</v>
      </c>
      <c r="H211" s="8">
        <f t="shared" si="25"/>
        <v>5141.0977039999998</v>
      </c>
      <c r="I211" s="1">
        <f t="shared" si="26"/>
        <v>1756.058</v>
      </c>
      <c r="J211" s="2">
        <f t="shared" si="27"/>
        <v>8.0355694683635452E-3</v>
      </c>
    </row>
    <row r="212" spans="1:10">
      <c r="A212" s="1">
        <v>41</v>
      </c>
      <c r="B212" s="1">
        <f t="shared" si="21"/>
        <v>314.14999999999998</v>
      </c>
      <c r="C212" s="1" t="s">
        <v>228</v>
      </c>
      <c r="D212" s="1">
        <v>1.7657400000000001</v>
      </c>
      <c r="E212" s="1">
        <f t="shared" si="22"/>
        <v>1765.74</v>
      </c>
      <c r="F212" s="1">
        <f t="shared" si="23"/>
        <v>1767.8448424533342</v>
      </c>
      <c r="G212" s="1">
        <f t="shared" si="24"/>
        <v>0.11906262375453616</v>
      </c>
      <c r="H212" s="8">
        <f t="shared" si="25"/>
        <v>5120.586456</v>
      </c>
      <c r="I212" s="1">
        <f t="shared" si="26"/>
        <v>1753.694</v>
      </c>
      <c r="J212" s="2">
        <f t="shared" si="27"/>
        <v>8.0045726375490862E-3</v>
      </c>
    </row>
    <row r="213" spans="1:10">
      <c r="A213" s="1">
        <v>41.1</v>
      </c>
      <c r="B213" s="1">
        <f t="shared" si="21"/>
        <v>314.25</v>
      </c>
      <c r="C213" s="1" t="s">
        <v>229</v>
      </c>
      <c r="D213" s="1">
        <v>1.7633700000000001</v>
      </c>
      <c r="E213" s="1">
        <f t="shared" si="22"/>
        <v>1763.37</v>
      </c>
      <c r="F213" s="1">
        <f t="shared" si="23"/>
        <v>1765.4047974887342</v>
      </c>
      <c r="G213" s="1">
        <f t="shared" si="24"/>
        <v>0.1152595422663832</v>
      </c>
      <c r="H213" s="8">
        <f t="shared" si="25"/>
        <v>5100.1684370000003</v>
      </c>
      <c r="I213" s="1">
        <f t="shared" si="26"/>
        <v>1751.33</v>
      </c>
      <c r="J213" s="2">
        <f t="shared" si="27"/>
        <v>7.9725610289240571E-3</v>
      </c>
    </row>
    <row r="214" spans="1:10">
      <c r="A214" s="1">
        <v>41.2</v>
      </c>
      <c r="B214" s="1">
        <f t="shared" si="21"/>
        <v>314.35000000000002</v>
      </c>
      <c r="C214" s="1" t="s">
        <v>230</v>
      </c>
      <c r="D214" s="1">
        <v>1.7609900000000001</v>
      </c>
      <c r="E214" s="1">
        <f t="shared" si="22"/>
        <v>1760.99</v>
      </c>
      <c r="F214" s="1">
        <f t="shared" si="23"/>
        <v>1762.9631167421267</v>
      </c>
      <c r="G214" s="1">
        <f t="shared" si="24"/>
        <v>0.11192047771100716</v>
      </c>
      <c r="H214" s="8">
        <f t="shared" si="25"/>
        <v>5079.8431739999996</v>
      </c>
      <c r="I214" s="1">
        <f t="shared" si="26"/>
        <v>1748.9659999999999</v>
      </c>
      <c r="J214" s="2">
        <f t="shared" si="27"/>
        <v>7.9395403166418934E-3</v>
      </c>
    </row>
    <row r="215" spans="1:10">
      <c r="A215" s="1">
        <v>41.3</v>
      </c>
      <c r="B215" s="1">
        <f t="shared" si="21"/>
        <v>314.45</v>
      </c>
      <c r="C215" s="1" t="s">
        <v>231</v>
      </c>
      <c r="D215" s="1">
        <v>1.75861</v>
      </c>
      <c r="E215" s="1">
        <f t="shared" si="22"/>
        <v>1758.61</v>
      </c>
      <c r="F215" s="1">
        <f t="shared" si="23"/>
        <v>1760.5198182584636</v>
      </c>
      <c r="G215" s="1">
        <f t="shared" si="24"/>
        <v>0.10848036123517919</v>
      </c>
      <c r="H215" s="8">
        <f t="shared" si="25"/>
        <v>5059.6101989999997</v>
      </c>
      <c r="I215" s="1">
        <f t="shared" si="26"/>
        <v>1746.6020000000001</v>
      </c>
      <c r="J215" s="2">
        <f t="shared" si="27"/>
        <v>7.9055163788109232E-3</v>
      </c>
    </row>
    <row r="216" spans="1:10">
      <c r="A216" s="1">
        <v>41.4</v>
      </c>
      <c r="B216" s="1">
        <f t="shared" si="21"/>
        <v>314.55</v>
      </c>
      <c r="C216" s="1" t="s">
        <v>232</v>
      </c>
      <c r="D216" s="1">
        <v>1.7558100000000001</v>
      </c>
      <c r="E216" s="1">
        <f t="shared" si="22"/>
        <v>1755.81</v>
      </c>
      <c r="F216" s="1">
        <f t="shared" si="23"/>
        <v>1758.074919796785</v>
      </c>
      <c r="G216" s="1">
        <f t="shared" si="24"/>
        <v>0.12882953799527955</v>
      </c>
      <c r="H216" s="8">
        <f t="shared" si="25"/>
        <v>5039.4690440000004</v>
      </c>
      <c r="I216" s="1">
        <f t="shared" si="26"/>
        <v>1744.2380000000001</v>
      </c>
      <c r="J216" s="2">
        <f t="shared" si="27"/>
        <v>7.8704949606950604E-3</v>
      </c>
    </row>
    <row r="217" spans="1:10">
      <c r="A217" s="1">
        <v>41.5</v>
      </c>
      <c r="B217" s="1">
        <f t="shared" si="21"/>
        <v>314.64999999999998</v>
      </c>
      <c r="C217" s="1" t="s">
        <v>233</v>
      </c>
      <c r="D217" s="1">
        <v>1.7534099999999999</v>
      </c>
      <c r="E217" s="1">
        <f t="shared" si="22"/>
        <v>1753.41</v>
      </c>
      <c r="F217" s="1">
        <f t="shared" si="23"/>
        <v>1755.6284393127296</v>
      </c>
      <c r="G217" s="1">
        <f t="shared" si="24"/>
        <v>0.12636155026048454</v>
      </c>
      <c r="H217" s="8">
        <f t="shared" si="25"/>
        <v>5019.419245</v>
      </c>
      <c r="I217" s="1">
        <f t="shared" si="26"/>
        <v>1741.874</v>
      </c>
      <c r="J217" s="2">
        <f t="shared" si="27"/>
        <v>7.8344819465979831E-3</v>
      </c>
    </row>
    <row r="218" spans="1:10">
      <c r="A218" s="1">
        <v>41.6</v>
      </c>
      <c r="B218" s="1">
        <f t="shared" si="21"/>
        <v>314.75</v>
      </c>
      <c r="C218" s="1" t="s">
        <v>234</v>
      </c>
      <c r="D218" s="1">
        <v>1.75101</v>
      </c>
      <c r="E218" s="1">
        <f t="shared" si="22"/>
        <v>1751.01</v>
      </c>
      <c r="F218" s="1">
        <f t="shared" si="23"/>
        <v>1753.1803948413897</v>
      </c>
      <c r="G218" s="1">
        <f t="shared" si="24"/>
        <v>0.12379757655150116</v>
      </c>
      <c r="H218" s="8">
        <f t="shared" si="25"/>
        <v>4999.460341</v>
      </c>
      <c r="I218" s="1">
        <f t="shared" si="26"/>
        <v>1739.51</v>
      </c>
      <c r="J218" s="2">
        <f t="shared" si="27"/>
        <v>7.7974832947104913E-3</v>
      </c>
    </row>
    <row r="219" spans="1:10">
      <c r="A219" s="1">
        <v>41.7</v>
      </c>
      <c r="B219" s="1">
        <f t="shared" si="21"/>
        <v>314.85000000000002</v>
      </c>
      <c r="C219" s="1" t="s">
        <v>235</v>
      </c>
      <c r="D219" s="1">
        <v>1.7485999999999999</v>
      </c>
      <c r="E219" s="1">
        <f t="shared" si="22"/>
        <v>1748.6</v>
      </c>
      <c r="F219" s="1">
        <f t="shared" si="23"/>
        <v>1750.7308042528227</v>
      </c>
      <c r="G219" s="1">
        <f t="shared" si="24"/>
        <v>0.12170941687018594</v>
      </c>
      <c r="H219" s="8">
        <f t="shared" si="25"/>
        <v>4979.591872</v>
      </c>
      <c r="I219" s="1">
        <f t="shared" si="26"/>
        <v>1737.146</v>
      </c>
      <c r="J219" s="2">
        <f t="shared" si="27"/>
        <v>7.7595048992243577E-3</v>
      </c>
    </row>
    <row r="220" spans="1:10">
      <c r="A220" s="1">
        <v>41.8</v>
      </c>
      <c r="B220" s="1">
        <f t="shared" si="21"/>
        <v>314.95</v>
      </c>
      <c r="C220" s="1" t="s">
        <v>236</v>
      </c>
      <c r="D220" s="1">
        <v>1.7461899999999999</v>
      </c>
      <c r="E220" s="1">
        <f t="shared" si="22"/>
        <v>1746.19</v>
      </c>
      <c r="F220" s="1">
        <f t="shared" si="23"/>
        <v>1748.2796856211974</v>
      </c>
      <c r="G220" s="1">
        <f t="shared" si="24"/>
        <v>0.11952810745237248</v>
      </c>
      <c r="H220" s="8">
        <f t="shared" si="25"/>
        <v>4959.8133820000003</v>
      </c>
      <c r="I220" s="1">
        <f t="shared" si="26"/>
        <v>1734.7819999999999</v>
      </c>
      <c r="J220" s="2">
        <f t="shared" si="27"/>
        <v>7.7205527995375901E-3</v>
      </c>
    </row>
    <row r="221" spans="1:10">
      <c r="A221" s="1">
        <v>41.9</v>
      </c>
      <c r="B221" s="1">
        <f t="shared" si="21"/>
        <v>315.05</v>
      </c>
      <c r="C221" s="1" t="s">
        <v>237</v>
      </c>
      <c r="D221" s="1">
        <v>1.74377</v>
      </c>
      <c r="E221" s="1">
        <f t="shared" si="22"/>
        <v>1743.77</v>
      </c>
      <c r="F221" s="1">
        <f t="shared" si="23"/>
        <v>1745.8270569810277</v>
      </c>
      <c r="G221" s="1">
        <f t="shared" si="24"/>
        <v>0.11782707644506703</v>
      </c>
      <c r="H221" s="8">
        <f t="shared" si="25"/>
        <v>4940.124417</v>
      </c>
      <c r="I221" s="1">
        <f t="shared" si="26"/>
        <v>1732.4179999999999</v>
      </c>
      <c r="J221" s="2">
        <f t="shared" si="27"/>
        <v>7.6806330428945274E-3</v>
      </c>
    </row>
    <row r="222" spans="1:10">
      <c r="A222" s="1">
        <v>42</v>
      </c>
      <c r="B222" s="1">
        <f t="shared" si="21"/>
        <v>315.14999999999998</v>
      </c>
      <c r="C222" s="1" t="s">
        <v>238</v>
      </c>
      <c r="D222" s="1">
        <v>1.7413400000000001</v>
      </c>
      <c r="E222" s="1">
        <f t="shared" si="22"/>
        <v>1741.34</v>
      </c>
      <c r="F222" s="1">
        <f t="shared" si="23"/>
        <v>1743.3729363268469</v>
      </c>
      <c r="G222" s="1">
        <f t="shared" si="24"/>
        <v>0.11660937740207407</v>
      </c>
      <c r="H222" s="8">
        <f t="shared" si="25"/>
        <v>4920.5245249999998</v>
      </c>
      <c r="I222" s="1">
        <f t="shared" si="26"/>
        <v>1730.0540000000001</v>
      </c>
      <c r="J222" s="2">
        <f t="shared" si="27"/>
        <v>7.6397516844036832E-3</v>
      </c>
    </row>
    <row r="223" spans="1:10">
      <c r="A223" s="1">
        <v>42.1</v>
      </c>
      <c r="B223" s="1">
        <f t="shared" si="21"/>
        <v>315.25</v>
      </c>
      <c r="C223" s="1" t="s">
        <v>239</v>
      </c>
      <c r="D223" s="1">
        <v>1.73891</v>
      </c>
      <c r="E223" s="1">
        <f t="shared" si="22"/>
        <v>1738.91</v>
      </c>
      <c r="F223" s="1">
        <f t="shared" si="23"/>
        <v>1740.9173418652651</v>
      </c>
      <c r="G223" s="1">
        <f t="shared" si="24"/>
        <v>0.11530368599317542</v>
      </c>
      <c r="H223" s="8">
        <f t="shared" si="25"/>
        <v>4901.013258</v>
      </c>
      <c r="I223" s="1">
        <f t="shared" si="26"/>
        <v>1727.69</v>
      </c>
      <c r="J223" s="2">
        <f t="shared" si="27"/>
        <v>7.5979149309254182E-3</v>
      </c>
    </row>
    <row r="224" spans="1:10">
      <c r="A224" s="1">
        <v>42.2</v>
      </c>
      <c r="B224" s="1">
        <f t="shared" si="21"/>
        <v>315.35000000000002</v>
      </c>
      <c r="C224" s="1" t="s">
        <v>240</v>
      </c>
      <c r="D224" s="1">
        <v>1.7360599999999999</v>
      </c>
      <c r="E224" s="1">
        <f t="shared" si="22"/>
        <v>1736.06</v>
      </c>
      <c r="F224" s="1">
        <f t="shared" si="23"/>
        <v>1738.4602916406993</v>
      </c>
      <c r="G224" s="1">
        <f t="shared" si="24"/>
        <v>0.13806997216105901</v>
      </c>
      <c r="H224" s="8">
        <f t="shared" si="25"/>
        <v>4881.5901690000001</v>
      </c>
      <c r="I224" s="1">
        <f t="shared" si="26"/>
        <v>1725.326</v>
      </c>
      <c r="J224" s="2">
        <f t="shared" si="27"/>
        <v>7.5551289286588238E-3</v>
      </c>
    </row>
    <row r="225" spans="1:10">
      <c r="A225" s="1">
        <v>42.3</v>
      </c>
      <c r="B225" s="1">
        <f t="shared" si="21"/>
        <v>315.45</v>
      </c>
      <c r="C225" s="1" t="s">
        <v>241</v>
      </c>
      <c r="D225" s="1">
        <v>1.7338199999999999</v>
      </c>
      <c r="E225" s="1">
        <f t="shared" si="22"/>
        <v>1733.82</v>
      </c>
      <c r="F225" s="1">
        <f t="shared" si="23"/>
        <v>1736.0018037868779</v>
      </c>
      <c r="G225" s="1">
        <f t="shared" si="24"/>
        <v>0.12567981105311035</v>
      </c>
      <c r="H225" s="8">
        <f t="shared" si="25"/>
        <v>4862.2548139999999</v>
      </c>
      <c r="I225" s="1">
        <f t="shared" si="26"/>
        <v>1722.962</v>
      </c>
      <c r="J225" s="2">
        <f t="shared" si="27"/>
        <v>7.5113999066320838E-3</v>
      </c>
    </row>
    <row r="226" spans="1:10">
      <c r="A226" s="1">
        <v>42.4</v>
      </c>
      <c r="B226" s="1">
        <f t="shared" si="21"/>
        <v>315.55</v>
      </c>
      <c r="C226" s="1" t="s">
        <v>242</v>
      </c>
      <c r="D226" s="1">
        <v>1.7315799999999999</v>
      </c>
      <c r="E226" s="1">
        <f t="shared" si="22"/>
        <v>1731.58</v>
      </c>
      <c r="F226" s="1">
        <f t="shared" si="23"/>
        <v>1733.5418964017842</v>
      </c>
      <c r="G226" s="1">
        <f t="shared" si="24"/>
        <v>0.11317271338272895</v>
      </c>
      <c r="H226" s="8">
        <f t="shared" si="25"/>
        <v>4843.0067509999999</v>
      </c>
      <c r="I226" s="1">
        <f t="shared" si="26"/>
        <v>1720.598</v>
      </c>
      <c r="J226" s="2">
        <f t="shared" si="27"/>
        <v>7.4667341058506902E-3</v>
      </c>
    </row>
    <row r="227" spans="1:10">
      <c r="A227" s="1">
        <v>42.5</v>
      </c>
      <c r="B227" s="1">
        <f t="shared" si="21"/>
        <v>315.64999999999998</v>
      </c>
      <c r="C227" s="1" t="s">
        <v>243</v>
      </c>
      <c r="D227" s="1">
        <v>1.7289099999999999</v>
      </c>
      <c r="E227" s="1">
        <f t="shared" si="22"/>
        <v>1728.91</v>
      </c>
      <c r="F227" s="1">
        <f t="shared" si="23"/>
        <v>1731.0805878050812</v>
      </c>
      <c r="G227" s="1">
        <f t="shared" si="24"/>
        <v>0.12538918293996534</v>
      </c>
      <c r="H227" s="8">
        <f t="shared" si="25"/>
        <v>4823.845542</v>
      </c>
      <c r="I227" s="1">
        <f t="shared" si="26"/>
        <v>1718.2339999999999</v>
      </c>
      <c r="J227" s="2">
        <f t="shared" si="27"/>
        <v>7.4211379271314536E-3</v>
      </c>
    </row>
    <row r="228" spans="1:10">
      <c r="A228" s="1">
        <v>42.6</v>
      </c>
      <c r="B228" s="1">
        <f t="shared" si="21"/>
        <v>315.75</v>
      </c>
      <c r="C228" s="1" t="s">
        <v>244</v>
      </c>
      <c r="D228" s="1">
        <v>1.72665</v>
      </c>
      <c r="E228" s="1">
        <f t="shared" si="22"/>
        <v>1726.65</v>
      </c>
      <c r="F228" s="1">
        <f t="shared" si="23"/>
        <v>1728.6178960268198</v>
      </c>
      <c r="G228" s="1">
        <f t="shared" si="24"/>
        <v>0.11384216438710362</v>
      </c>
      <c r="H228" s="8">
        <f t="shared" si="25"/>
        <v>4804.7707490000003</v>
      </c>
      <c r="I228" s="1">
        <f t="shared" si="26"/>
        <v>1715.87</v>
      </c>
      <c r="J228" s="2">
        <f t="shared" si="27"/>
        <v>7.3746176388203716E-3</v>
      </c>
    </row>
    <row r="229" spans="1:10">
      <c r="A229" s="1">
        <v>42.7</v>
      </c>
      <c r="B229" s="1">
        <f t="shared" si="21"/>
        <v>315.85000000000002</v>
      </c>
      <c r="C229" s="1" t="s">
        <v>245</v>
      </c>
      <c r="D229" s="1">
        <v>1.7239800000000001</v>
      </c>
      <c r="E229" s="1">
        <f t="shared" si="22"/>
        <v>1723.98</v>
      </c>
      <c r="F229" s="1">
        <f t="shared" si="23"/>
        <v>1726.1538393212008</v>
      </c>
      <c r="G229" s="1">
        <f t="shared" si="24"/>
        <v>0.12593543354488493</v>
      </c>
      <c r="H229" s="8">
        <f t="shared" si="25"/>
        <v>4785.7819380000001</v>
      </c>
      <c r="I229" s="1">
        <f t="shared" si="26"/>
        <v>1713.5060000000001</v>
      </c>
      <c r="J229" s="2">
        <f t="shared" si="27"/>
        <v>7.3271796714100791E-3</v>
      </c>
    </row>
    <row r="230" spans="1:10">
      <c r="A230" s="1">
        <v>42.8</v>
      </c>
      <c r="B230" s="1">
        <f t="shared" si="21"/>
        <v>315.95</v>
      </c>
      <c r="C230" s="1" t="s">
        <v>246</v>
      </c>
      <c r="D230" s="1">
        <v>1.7217100000000001</v>
      </c>
      <c r="E230" s="1">
        <f t="shared" si="22"/>
        <v>1721.71</v>
      </c>
      <c r="F230" s="1">
        <f t="shared" si="23"/>
        <v>1723.6884360423783</v>
      </c>
      <c r="G230" s="1">
        <f t="shared" si="24"/>
        <v>0.11477921421348987</v>
      </c>
      <c r="H230" s="8">
        <f t="shared" si="25"/>
        <v>4766.878678</v>
      </c>
      <c r="I230" s="1">
        <f t="shared" si="26"/>
        <v>1711.1420000000001</v>
      </c>
      <c r="J230" s="2">
        <f t="shared" si="27"/>
        <v>7.2788305473494245E-3</v>
      </c>
    </row>
    <row r="231" spans="1:10">
      <c r="A231" s="1">
        <v>42.9</v>
      </c>
      <c r="B231" s="1">
        <f t="shared" si="21"/>
        <v>316.05</v>
      </c>
      <c r="C231" s="1" t="s">
        <v>247</v>
      </c>
      <c r="D231" s="1">
        <v>1.71902</v>
      </c>
      <c r="E231" s="1">
        <f t="shared" si="22"/>
        <v>1719.02</v>
      </c>
      <c r="F231" s="1">
        <f t="shared" si="23"/>
        <v>1721.2217043849676</v>
      </c>
      <c r="G231" s="1">
        <f t="shared" si="24"/>
        <v>0.12791521158247829</v>
      </c>
      <c r="H231" s="8">
        <f t="shared" si="25"/>
        <v>4748.0605390000001</v>
      </c>
      <c r="I231" s="1">
        <f t="shared" si="26"/>
        <v>1708.778</v>
      </c>
      <c r="J231" s="2">
        <f t="shared" si="27"/>
        <v>7.2295767321932276E-3</v>
      </c>
    </row>
    <row r="232" spans="1:10">
      <c r="A232" s="1">
        <v>43</v>
      </c>
      <c r="B232" s="1">
        <f t="shared" si="21"/>
        <v>316.14999999999998</v>
      </c>
      <c r="C232" s="1" t="s">
        <v>248</v>
      </c>
      <c r="D232" s="1">
        <v>1.7167399999999999</v>
      </c>
      <c r="E232" s="1">
        <f t="shared" si="22"/>
        <v>1716.74</v>
      </c>
      <c r="F232" s="1">
        <f t="shared" si="23"/>
        <v>1718.7536625128912</v>
      </c>
      <c r="G232" s="1">
        <f t="shared" si="24"/>
        <v>0.11715829655002026</v>
      </c>
      <c r="H232" s="8">
        <f t="shared" si="25"/>
        <v>4729.3270929999999</v>
      </c>
      <c r="I232" s="1">
        <f t="shared" si="26"/>
        <v>1706.414</v>
      </c>
      <c r="J232" s="2">
        <f t="shared" si="27"/>
        <v>7.1794247087451123E-3</v>
      </c>
    </row>
    <row r="233" spans="1:10">
      <c r="A233" s="1">
        <v>43.1</v>
      </c>
      <c r="B233" s="1">
        <f t="shared" si="21"/>
        <v>316.25</v>
      </c>
      <c r="C233" s="1" t="s">
        <v>249</v>
      </c>
      <c r="D233" s="1">
        <v>1.71404</v>
      </c>
      <c r="E233" s="1">
        <f t="shared" si="22"/>
        <v>1714.04</v>
      </c>
      <c r="F233" s="1">
        <f t="shared" si="23"/>
        <v>1716.2843288249583</v>
      </c>
      <c r="G233" s="1">
        <f t="shared" si="24"/>
        <v>0.1307667259593791</v>
      </c>
      <c r="H233" s="8">
        <f t="shared" si="25"/>
        <v>4710.6779159999996</v>
      </c>
      <c r="I233" s="1">
        <f t="shared" si="26"/>
        <v>1704.05</v>
      </c>
      <c r="J233" s="2">
        <f t="shared" si="27"/>
        <v>7.1283811309600757E-3</v>
      </c>
    </row>
    <row r="234" spans="1:10">
      <c r="A234" s="1">
        <v>43.2</v>
      </c>
      <c r="B234" s="1">
        <f t="shared" si="21"/>
        <v>316.35000000000002</v>
      </c>
      <c r="C234" s="1" t="s">
        <v>250</v>
      </c>
      <c r="D234" s="1">
        <v>1.71174</v>
      </c>
      <c r="E234" s="1">
        <f t="shared" si="22"/>
        <v>1711.74</v>
      </c>
      <c r="F234" s="1">
        <f t="shared" si="23"/>
        <v>1713.813721561439</v>
      </c>
      <c r="G234" s="1">
        <f t="shared" si="24"/>
        <v>0.12100040601551887</v>
      </c>
      <c r="H234" s="8">
        <f t="shared" si="25"/>
        <v>4692.1125849999999</v>
      </c>
      <c r="I234" s="1">
        <f t="shared" si="26"/>
        <v>1701.6859999999999</v>
      </c>
      <c r="J234" s="2">
        <f t="shared" si="27"/>
        <v>7.0764525974209456E-3</v>
      </c>
    </row>
    <row r="235" spans="1:10">
      <c r="A235" s="1">
        <v>43.3</v>
      </c>
      <c r="B235" s="1">
        <f t="shared" si="21"/>
        <v>316.45</v>
      </c>
      <c r="C235" s="1" t="s">
        <v>251</v>
      </c>
      <c r="D235" s="1">
        <v>1.70903</v>
      </c>
      <c r="E235" s="1">
        <f t="shared" si="22"/>
        <v>1709.03</v>
      </c>
      <c r="F235" s="1">
        <f t="shared" si="23"/>
        <v>1711.3418592031594</v>
      </c>
      <c r="G235" s="1">
        <f t="shared" si="24"/>
        <v>0.13509043740891633</v>
      </c>
      <c r="H235" s="8">
        <f t="shared" si="25"/>
        <v>4673.6306809999996</v>
      </c>
      <c r="I235" s="1">
        <f t="shared" si="26"/>
        <v>1699.3219999999999</v>
      </c>
      <c r="J235" s="2">
        <f t="shared" si="27"/>
        <v>7.0236458826270038E-3</v>
      </c>
    </row>
    <row r="236" spans="1:10">
      <c r="A236" s="1">
        <v>43.4</v>
      </c>
      <c r="B236" s="1">
        <f t="shared" si="21"/>
        <v>316.55</v>
      </c>
      <c r="C236" s="1" t="s">
        <v>252</v>
      </c>
      <c r="D236" s="1">
        <v>1.70652</v>
      </c>
      <c r="E236" s="1">
        <f t="shared" si="22"/>
        <v>1706.52</v>
      </c>
      <c r="F236" s="1">
        <f t="shared" si="23"/>
        <v>1708.8687599394259</v>
      </c>
      <c r="G236" s="1">
        <f t="shared" si="24"/>
        <v>0.13744530852733092</v>
      </c>
      <c r="H236" s="8">
        <f t="shared" si="25"/>
        <v>4655.2317849999999</v>
      </c>
      <c r="I236" s="1">
        <f t="shared" si="26"/>
        <v>1696.9580000000001</v>
      </c>
      <c r="J236" s="2">
        <f t="shared" si="27"/>
        <v>6.9699676292566872E-3</v>
      </c>
    </row>
    <row r="237" spans="1:10">
      <c r="A237" s="1">
        <v>43.5</v>
      </c>
      <c r="B237" s="1">
        <f t="shared" si="21"/>
        <v>316.64999999999998</v>
      </c>
      <c r="C237" s="1" t="s">
        <v>253</v>
      </c>
      <c r="D237" s="1">
        <v>1.7043999999999999</v>
      </c>
      <c r="E237" s="1">
        <f t="shared" si="22"/>
        <v>1704.4</v>
      </c>
      <c r="F237" s="1">
        <f t="shared" si="23"/>
        <v>1706.3944422032801</v>
      </c>
      <c r="G237" s="1">
        <f t="shared" si="24"/>
        <v>0.11688049104899538</v>
      </c>
      <c r="H237" s="8">
        <f t="shared" si="25"/>
        <v>4636.9154820000003</v>
      </c>
      <c r="I237" s="1">
        <f t="shared" si="26"/>
        <v>1694.5940000000001</v>
      </c>
      <c r="J237" s="2">
        <f t="shared" si="27"/>
        <v>6.9154246588165056E-3</v>
      </c>
    </row>
    <row r="238" spans="1:10">
      <c r="A238" s="1">
        <v>43.6</v>
      </c>
      <c r="B238" s="1">
        <f t="shared" si="21"/>
        <v>316.75</v>
      </c>
      <c r="C238" s="1" t="s">
        <v>254</v>
      </c>
      <c r="D238" s="1">
        <v>1.7018800000000001</v>
      </c>
      <c r="E238" s="1">
        <f t="shared" si="22"/>
        <v>1701.88</v>
      </c>
      <c r="F238" s="1">
        <f t="shared" si="23"/>
        <v>1703.9189242702375</v>
      </c>
      <c r="G238" s="1">
        <f t="shared" si="24"/>
        <v>0.11966087360117035</v>
      </c>
      <c r="H238" s="8">
        <f t="shared" si="25"/>
        <v>4618.6813579999998</v>
      </c>
      <c r="I238" s="1">
        <f t="shared" si="26"/>
        <v>1692.23</v>
      </c>
      <c r="J238" s="2">
        <f t="shared" si="27"/>
        <v>6.8600237392419999E-3</v>
      </c>
    </row>
    <row r="239" spans="1:10">
      <c r="A239" s="1">
        <v>43.7</v>
      </c>
      <c r="B239" s="1">
        <f t="shared" si="21"/>
        <v>316.85000000000002</v>
      </c>
      <c r="C239" s="1" t="s">
        <v>255</v>
      </c>
      <c r="D239" s="1">
        <v>1.6993499999999999</v>
      </c>
      <c r="E239" s="1">
        <f t="shared" si="22"/>
        <v>1699.35</v>
      </c>
      <c r="F239" s="1">
        <f t="shared" si="23"/>
        <v>1701.4422246655922</v>
      </c>
      <c r="G239" s="1">
        <f t="shared" si="24"/>
        <v>0.12296771734365093</v>
      </c>
      <c r="H239" s="8">
        <f t="shared" si="25"/>
        <v>4600.5290029999996</v>
      </c>
      <c r="I239" s="1">
        <f t="shared" si="26"/>
        <v>1689.866</v>
      </c>
      <c r="J239" s="2">
        <f t="shared" si="27"/>
        <v>6.8037718223829024E-3</v>
      </c>
    </row>
    <row r="240" spans="1:10">
      <c r="A240" s="1">
        <v>43.8</v>
      </c>
      <c r="B240" s="1">
        <f t="shared" si="21"/>
        <v>316.95</v>
      </c>
      <c r="C240" s="1" t="s">
        <v>256</v>
      </c>
      <c r="D240" s="1">
        <v>1.6968099999999999</v>
      </c>
      <c r="E240" s="1">
        <f t="shared" si="22"/>
        <v>1696.81</v>
      </c>
      <c r="F240" s="1">
        <f t="shared" si="23"/>
        <v>1698.9643617592142</v>
      </c>
      <c r="G240" s="1">
        <f t="shared" si="24"/>
        <v>0.12680441142293675</v>
      </c>
      <c r="H240" s="8">
        <f t="shared" si="25"/>
        <v>4582.4580079999996</v>
      </c>
      <c r="I240" s="1">
        <f t="shared" si="26"/>
        <v>1687.502</v>
      </c>
      <c r="J240" s="2">
        <f t="shared" si="27"/>
        <v>6.7466758086351915E-3</v>
      </c>
    </row>
    <row r="241" spans="1:10">
      <c r="A241" s="1">
        <v>43.9</v>
      </c>
      <c r="B241" s="1">
        <f t="shared" si="21"/>
        <v>317.05</v>
      </c>
      <c r="C241" s="1" t="s">
        <v>257</v>
      </c>
      <c r="D241" s="1">
        <v>1.6942699999999999</v>
      </c>
      <c r="E241" s="1">
        <f t="shared" si="22"/>
        <v>1694.27</v>
      </c>
      <c r="F241" s="1">
        <f t="shared" si="23"/>
        <v>1696.4853539007265</v>
      </c>
      <c r="G241" s="1">
        <f t="shared" si="24"/>
        <v>0.13058491166061531</v>
      </c>
      <c r="H241" s="8">
        <f t="shared" si="25"/>
        <v>4564.4679660000002</v>
      </c>
      <c r="I241" s="1">
        <f t="shared" si="26"/>
        <v>1685.1379999999999</v>
      </c>
      <c r="J241" s="2">
        <f t="shared" si="27"/>
        <v>6.6887426258267699E-3</v>
      </c>
    </row>
    <row r="242" spans="1:10">
      <c r="A242" s="1">
        <v>44</v>
      </c>
      <c r="B242" s="1">
        <f t="shared" si="21"/>
        <v>317.14999999999998</v>
      </c>
      <c r="C242" s="1" t="s">
        <v>258</v>
      </c>
      <c r="D242" s="1">
        <v>1.6919200000000001</v>
      </c>
      <c r="E242" s="1">
        <f t="shared" si="22"/>
        <v>1691.92</v>
      </c>
      <c r="F242" s="1">
        <f t="shared" si="23"/>
        <v>1694.0052196976173</v>
      </c>
      <c r="G242" s="1">
        <f t="shared" si="24"/>
        <v>0.12309405386540022</v>
      </c>
      <c r="H242" s="8">
        <f t="shared" si="25"/>
        <v>4546.5584740000004</v>
      </c>
      <c r="I242" s="1">
        <f t="shared" si="26"/>
        <v>1682.7739999999999</v>
      </c>
      <c r="J242" s="2">
        <f t="shared" si="27"/>
        <v>6.6299793926386207E-3</v>
      </c>
    </row>
    <row r="243" spans="1:10">
      <c r="A243" s="1">
        <v>44.1</v>
      </c>
      <c r="B243" s="1">
        <f t="shared" si="21"/>
        <v>317.25</v>
      </c>
      <c r="C243" s="1" t="s">
        <v>259</v>
      </c>
      <c r="D243" s="1">
        <v>1.68937</v>
      </c>
      <c r="E243" s="1">
        <f t="shared" si="22"/>
        <v>1689.37</v>
      </c>
      <c r="F243" s="1">
        <f t="shared" si="23"/>
        <v>1691.5239773250501</v>
      </c>
      <c r="G243" s="1">
        <f t="shared" si="24"/>
        <v>0.12733944974616501</v>
      </c>
      <c r="H243" s="8">
        <f t="shared" si="25"/>
        <v>4528.7291279999999</v>
      </c>
      <c r="I243" s="1">
        <f t="shared" si="26"/>
        <v>1680.41</v>
      </c>
      <c r="J243" s="2">
        <f t="shared" si="27"/>
        <v>6.570393014839462E-3</v>
      </c>
    </row>
    <row r="244" spans="1:10">
      <c r="A244" s="1">
        <v>44.2</v>
      </c>
      <c r="B244" s="1">
        <f t="shared" si="21"/>
        <v>317.35000000000002</v>
      </c>
      <c r="C244" s="1" t="s">
        <v>260</v>
      </c>
      <c r="D244" s="1">
        <v>1.6868099999999999</v>
      </c>
      <c r="E244" s="1">
        <f t="shared" si="22"/>
        <v>1686.81</v>
      </c>
      <c r="F244" s="1">
        <f t="shared" si="23"/>
        <v>1689.0416454975013</v>
      </c>
      <c r="G244" s="1">
        <f t="shared" si="24"/>
        <v>0.13212495402054344</v>
      </c>
      <c r="H244" s="8">
        <f t="shared" si="25"/>
        <v>4510.9795299999996</v>
      </c>
      <c r="I244" s="1">
        <f t="shared" si="26"/>
        <v>1678.046</v>
      </c>
      <c r="J244" s="2">
        <f t="shared" si="27"/>
        <v>6.509990755297553E-3</v>
      </c>
    </row>
    <row r="245" spans="1:10">
      <c r="A245" s="1">
        <v>44.3</v>
      </c>
      <c r="B245" s="1">
        <f t="shared" si="21"/>
        <v>317.45</v>
      </c>
      <c r="C245" s="1" t="s">
        <v>261</v>
      </c>
      <c r="D245" s="1">
        <v>1.6846399999999999</v>
      </c>
      <c r="E245" s="1">
        <f t="shared" si="22"/>
        <v>1684.64</v>
      </c>
      <c r="F245" s="1">
        <f t="shared" si="23"/>
        <v>1686.5582426377869</v>
      </c>
      <c r="G245" s="1">
        <f t="shared" si="24"/>
        <v>0.11373711202446343</v>
      </c>
      <c r="H245" s="8">
        <f t="shared" si="25"/>
        <v>4493.3092820000002</v>
      </c>
      <c r="I245" s="1">
        <f t="shared" si="26"/>
        <v>1675.682</v>
      </c>
      <c r="J245" s="2">
        <f t="shared" si="27"/>
        <v>6.448779747313285E-3</v>
      </c>
    </row>
    <row r="246" spans="1:10">
      <c r="A246" s="1">
        <v>44.4</v>
      </c>
      <c r="B246" s="1">
        <f t="shared" si="21"/>
        <v>317.55</v>
      </c>
      <c r="C246" s="1" t="s">
        <v>262</v>
      </c>
      <c r="D246" s="1">
        <v>1.68207</v>
      </c>
      <c r="E246" s="1">
        <f t="shared" si="22"/>
        <v>1682.07</v>
      </c>
      <c r="F246" s="1">
        <f t="shared" si="23"/>
        <v>1684.073787012388</v>
      </c>
      <c r="G246" s="1">
        <f t="shared" si="24"/>
        <v>0.11898451408966454</v>
      </c>
      <c r="H246" s="8">
        <f t="shared" si="25"/>
        <v>4475.717987</v>
      </c>
      <c r="I246" s="1">
        <f t="shared" si="26"/>
        <v>1673.318</v>
      </c>
      <c r="J246" s="2">
        <f t="shared" si="27"/>
        <v>6.3867670735907817E-3</v>
      </c>
    </row>
    <row r="247" spans="1:10">
      <c r="A247" s="1">
        <v>44.5</v>
      </c>
      <c r="B247" s="1">
        <f t="shared" si="21"/>
        <v>317.64999999999998</v>
      </c>
      <c r="C247" s="1" t="s">
        <v>263</v>
      </c>
      <c r="D247" s="1">
        <v>1.6794899999999999</v>
      </c>
      <c r="E247" s="1">
        <f t="shared" si="22"/>
        <v>1679.49</v>
      </c>
      <c r="F247" s="1">
        <f t="shared" si="23"/>
        <v>1681.5882974400108</v>
      </c>
      <c r="G247" s="1">
        <f t="shared" si="24"/>
        <v>0.1247806875919143</v>
      </c>
      <c r="H247" s="8">
        <f t="shared" si="25"/>
        <v>4458.2052540000004</v>
      </c>
      <c r="I247" s="1">
        <f t="shared" si="26"/>
        <v>1670.954</v>
      </c>
      <c r="J247" s="2">
        <f t="shared" si="27"/>
        <v>6.3239601846659726E-3</v>
      </c>
    </row>
    <row r="248" spans="1:10">
      <c r="A248" s="1">
        <v>44.6</v>
      </c>
      <c r="B248" s="1">
        <f t="shared" si="21"/>
        <v>317.75</v>
      </c>
      <c r="C248" s="1" t="s">
        <v>264</v>
      </c>
      <c r="D248" s="1">
        <v>1.6771</v>
      </c>
      <c r="E248" s="1">
        <f t="shared" si="22"/>
        <v>1677.1</v>
      </c>
      <c r="F248" s="1">
        <f t="shared" si="23"/>
        <v>1679.1017921624366</v>
      </c>
      <c r="G248" s="1">
        <f t="shared" si="24"/>
        <v>0.11921803501017481</v>
      </c>
      <c r="H248" s="8">
        <f t="shared" si="25"/>
        <v>4440.7706900000003</v>
      </c>
      <c r="I248" s="1">
        <f t="shared" si="26"/>
        <v>1668.59</v>
      </c>
      <c r="J248" s="2">
        <f t="shared" si="27"/>
        <v>6.260366233603403E-3</v>
      </c>
    </row>
    <row r="249" spans="1:10">
      <c r="A249" s="1">
        <v>44.7</v>
      </c>
      <c r="B249" s="1">
        <f t="shared" si="21"/>
        <v>317.85000000000002</v>
      </c>
      <c r="C249" s="1" t="s">
        <v>265</v>
      </c>
      <c r="D249" s="1">
        <v>1.6747099999999999</v>
      </c>
      <c r="E249" s="1">
        <f t="shared" si="22"/>
        <v>1674.71</v>
      </c>
      <c r="F249" s="1">
        <f t="shared" si="23"/>
        <v>1676.6142896933609</v>
      </c>
      <c r="G249" s="1">
        <f t="shared" si="24"/>
        <v>0.11357947412634369</v>
      </c>
      <c r="H249" s="8">
        <f t="shared" si="25"/>
        <v>4423.4139059999998</v>
      </c>
      <c r="I249" s="1">
        <f t="shared" si="26"/>
        <v>1666.2260000000001</v>
      </c>
      <c r="J249" s="2">
        <f t="shared" si="27"/>
        <v>6.1959925769574046E-3</v>
      </c>
    </row>
    <row r="250" spans="1:10">
      <c r="A250" s="1">
        <v>44.8</v>
      </c>
      <c r="B250" s="1">
        <f t="shared" si="21"/>
        <v>317.95</v>
      </c>
      <c r="C250" s="1" t="s">
        <v>266</v>
      </c>
      <c r="D250" s="1">
        <v>1.6719200000000001</v>
      </c>
      <c r="E250" s="1">
        <f t="shared" si="22"/>
        <v>1671.92</v>
      </c>
      <c r="F250" s="1">
        <f t="shared" si="23"/>
        <v>1674.1258088261432</v>
      </c>
      <c r="G250" s="1">
        <f t="shared" si="24"/>
        <v>0.13175884479612343</v>
      </c>
      <c r="H250" s="8">
        <f t="shared" si="25"/>
        <v>4406.1345170000004</v>
      </c>
      <c r="I250" s="1">
        <f t="shared" si="26"/>
        <v>1663.8620000000001</v>
      </c>
      <c r="J250" s="2">
        <f t="shared" si="27"/>
        <v>6.130846781067077E-3</v>
      </c>
    </row>
    <row r="251" spans="1:10">
      <c r="A251" s="1">
        <v>44.9</v>
      </c>
      <c r="B251" s="1">
        <f t="shared" si="21"/>
        <v>318.05</v>
      </c>
      <c r="C251" s="1" t="s">
        <v>267</v>
      </c>
      <c r="D251" s="1">
        <v>1.66951</v>
      </c>
      <c r="E251" s="1">
        <f t="shared" si="22"/>
        <v>1669.51</v>
      </c>
      <c r="F251" s="1">
        <f t="shared" si="23"/>
        <v>1671.63636777126</v>
      </c>
      <c r="G251" s="1">
        <f t="shared" si="24"/>
        <v>0.12720277042638237</v>
      </c>
      <c r="H251" s="8">
        <f t="shared" si="25"/>
        <v>4388.9321360000004</v>
      </c>
      <c r="I251" s="1">
        <f t="shared" si="26"/>
        <v>1661.498</v>
      </c>
      <c r="J251" s="2">
        <f t="shared" si="27"/>
        <v>6.0649361109420602E-3</v>
      </c>
    </row>
    <row r="252" spans="1:10">
      <c r="A252" s="1">
        <v>45</v>
      </c>
      <c r="B252" s="1">
        <f t="shared" si="21"/>
        <v>318.14999999999998</v>
      </c>
      <c r="C252" s="1" t="s">
        <v>268</v>
      </c>
      <c r="D252" s="1">
        <v>1.6671</v>
      </c>
      <c r="E252" s="1">
        <f t="shared" si="22"/>
        <v>1667.1</v>
      </c>
      <c r="F252" s="1">
        <f t="shared" si="23"/>
        <v>1669.145985309302</v>
      </c>
      <c r="G252" s="1">
        <f t="shared" si="24"/>
        <v>0.12257677442892666</v>
      </c>
      <c r="H252" s="8">
        <f t="shared" si="25"/>
        <v>4371.8063819999998</v>
      </c>
      <c r="I252" s="1">
        <f t="shared" si="26"/>
        <v>1659.134</v>
      </c>
      <c r="J252" s="2">
        <f t="shared" si="27"/>
        <v>5.9982682146563033E-3</v>
      </c>
    </row>
    <row r="253" spans="1:10">
      <c r="A253" s="1">
        <v>45.1</v>
      </c>
      <c r="B253" s="1">
        <f t="shared" si="21"/>
        <v>318.25</v>
      </c>
      <c r="C253" s="1" t="s">
        <v>269</v>
      </c>
      <c r="D253" s="1">
        <v>1.66429</v>
      </c>
      <c r="E253" s="1">
        <f t="shared" si="22"/>
        <v>1664.29</v>
      </c>
      <c r="F253" s="1">
        <f t="shared" si="23"/>
        <v>1666.6546797806279</v>
      </c>
      <c r="G253" s="1">
        <f t="shared" si="24"/>
        <v>0.14188180727031083</v>
      </c>
      <c r="H253" s="8">
        <f t="shared" si="25"/>
        <v>4354.7568730000003</v>
      </c>
      <c r="I253" s="1">
        <f t="shared" si="26"/>
        <v>1656.77</v>
      </c>
      <c r="J253" s="2">
        <f t="shared" si="27"/>
        <v>5.930850523834374E-3</v>
      </c>
    </row>
    <row r="254" spans="1:10">
      <c r="A254" s="1">
        <v>45.2</v>
      </c>
      <c r="B254" s="1">
        <f t="shared" si="21"/>
        <v>318.35000000000002</v>
      </c>
      <c r="C254" s="1" t="s">
        <v>270</v>
      </c>
      <c r="D254" s="1">
        <v>1.6622699999999999</v>
      </c>
      <c r="E254" s="1">
        <f t="shared" si="22"/>
        <v>1662.27</v>
      </c>
      <c r="F254" s="1">
        <f t="shared" si="23"/>
        <v>1664.162469958836</v>
      </c>
      <c r="G254" s="1">
        <f t="shared" si="24"/>
        <v>0.11371906247127762</v>
      </c>
      <c r="H254" s="8">
        <f t="shared" si="25"/>
        <v>4337.7832319999998</v>
      </c>
      <c r="I254" s="1">
        <f t="shared" si="26"/>
        <v>1654.4059999999999</v>
      </c>
      <c r="J254" s="2">
        <f t="shared" si="27"/>
        <v>5.8626907738626088E-3</v>
      </c>
    </row>
    <row r="255" spans="1:10">
      <c r="A255" s="1">
        <v>45.3</v>
      </c>
      <c r="B255" s="1">
        <f t="shared" si="21"/>
        <v>318.45</v>
      </c>
      <c r="C255" s="1" t="s">
        <v>271</v>
      </c>
      <c r="D255" s="1">
        <v>1.65944</v>
      </c>
      <c r="E255" s="1">
        <f t="shared" si="22"/>
        <v>1659.44</v>
      </c>
      <c r="F255" s="1">
        <f t="shared" si="23"/>
        <v>1661.6693741750194</v>
      </c>
      <c r="G255" s="1">
        <f t="shared" si="24"/>
        <v>0.1341647267300774</v>
      </c>
      <c r="H255" s="8">
        <f t="shared" si="25"/>
        <v>4320.8850810000004</v>
      </c>
      <c r="I255" s="1">
        <f t="shared" si="26"/>
        <v>1652.0419999999999</v>
      </c>
      <c r="J255" s="2">
        <f t="shared" si="27"/>
        <v>5.793796482407465E-3</v>
      </c>
    </row>
    <row r="256" spans="1:10">
      <c r="A256" s="1">
        <v>45.4</v>
      </c>
      <c r="B256" s="1">
        <f t="shared" si="21"/>
        <v>318.55</v>
      </c>
      <c r="C256" s="1" t="s">
        <v>272</v>
      </c>
      <c r="D256" s="1">
        <v>1.6570100000000001</v>
      </c>
      <c r="E256" s="1">
        <f t="shared" si="22"/>
        <v>1657.01</v>
      </c>
      <c r="F256" s="1">
        <f t="shared" si="23"/>
        <v>1659.1754111997805</v>
      </c>
      <c r="G256" s="1">
        <f t="shared" si="24"/>
        <v>0.13051128802678047</v>
      </c>
      <c r="H256" s="8">
        <f t="shared" si="25"/>
        <v>4304.0620470000003</v>
      </c>
      <c r="I256" s="1">
        <f t="shared" si="26"/>
        <v>1649.6780000000001</v>
      </c>
      <c r="J256" s="2">
        <f t="shared" si="27"/>
        <v>5.7241754763666551E-3</v>
      </c>
    </row>
    <row r="257" spans="1:10">
      <c r="A257" s="1">
        <v>45.5</v>
      </c>
      <c r="B257" s="1">
        <f t="shared" si="21"/>
        <v>318.64999999999998</v>
      </c>
      <c r="C257" s="1" t="s">
        <v>273</v>
      </c>
      <c r="D257" s="1">
        <v>1.6545700000000001</v>
      </c>
      <c r="E257" s="1">
        <f t="shared" si="22"/>
        <v>1654.57</v>
      </c>
      <c r="F257" s="1">
        <f t="shared" si="23"/>
        <v>1656.6805993590765</v>
      </c>
      <c r="G257" s="1">
        <f t="shared" si="24"/>
        <v>0.12739929228923735</v>
      </c>
      <c r="H257" s="8">
        <f t="shared" si="25"/>
        <v>4287.3137559999996</v>
      </c>
      <c r="I257" s="1">
        <f t="shared" si="26"/>
        <v>1647.3140000000001</v>
      </c>
      <c r="J257" s="2">
        <f t="shared" si="27"/>
        <v>5.6538353637388484E-3</v>
      </c>
    </row>
    <row r="258" spans="1:10">
      <c r="A258" s="1">
        <v>45.6</v>
      </c>
      <c r="B258" s="1">
        <f t="shared" si="21"/>
        <v>318.75</v>
      </c>
      <c r="C258" s="1" t="s">
        <v>274</v>
      </c>
      <c r="D258" s="1">
        <v>1.6519299999999999</v>
      </c>
      <c r="E258" s="1">
        <f t="shared" si="22"/>
        <v>1651.93</v>
      </c>
      <c r="F258" s="1">
        <f t="shared" si="23"/>
        <v>1654.1849574248245</v>
      </c>
      <c r="G258" s="1">
        <f t="shared" si="24"/>
        <v>0.13631833699750442</v>
      </c>
      <c r="H258" s="8">
        <f t="shared" si="25"/>
        <v>4270.6398390000004</v>
      </c>
      <c r="I258" s="1">
        <f t="shared" si="26"/>
        <v>1644.95</v>
      </c>
      <c r="J258" s="2">
        <f t="shared" si="27"/>
        <v>5.5827840673881258E-3</v>
      </c>
    </row>
    <row r="259" spans="1:10">
      <c r="A259" s="1">
        <v>45.7</v>
      </c>
      <c r="B259" s="1">
        <f t="shared" ref="B259:B322" si="28">A259+273.15</f>
        <v>318.85000000000002</v>
      </c>
      <c r="C259" s="1" t="s">
        <v>275</v>
      </c>
      <c r="D259" s="1">
        <v>1.64967</v>
      </c>
      <c r="E259" s="1">
        <f t="shared" ref="E259:E322" si="29">D259/0.001</f>
        <v>1649.67</v>
      </c>
      <c r="F259" s="1">
        <f t="shared" ref="F259:F322" si="30">(H259*2700)/(H259+2700)</f>
        <v>1651.6885040237864</v>
      </c>
      <c r="G259" s="1">
        <f t="shared" ref="G259:G322" si="31">ABS(E259-F259)*100/F259</f>
        <v>0.12220851685223658</v>
      </c>
      <c r="H259" s="8">
        <f t="shared" ref="H259:H322" si="32">ROUND(10000*EXP(($L$3)+($M$3/B259)+($N$3/(B259^2))+($O$3/(B259^3))),6)</f>
        <v>4254.0399280000001</v>
      </c>
      <c r="I259" s="1">
        <f t="shared" ref="I259:I322" si="33">-23.64*B259+9180.2</f>
        <v>1642.586</v>
      </c>
      <c r="J259" s="2">
        <f t="shared" ref="J259:J322" si="34">ABS(I259-F259)/F259</f>
        <v>5.5110294717261865E-3</v>
      </c>
    </row>
    <row r="260" spans="1:10">
      <c r="A260" s="1">
        <v>45.8</v>
      </c>
      <c r="B260" s="1">
        <f t="shared" si="28"/>
        <v>318.95</v>
      </c>
      <c r="C260" s="1" t="s">
        <v>276</v>
      </c>
      <c r="D260" s="1">
        <v>1.64683</v>
      </c>
      <c r="E260" s="1">
        <f t="shared" si="29"/>
        <v>1646.83</v>
      </c>
      <c r="F260" s="1">
        <f t="shared" si="30"/>
        <v>1649.1912574837304</v>
      </c>
      <c r="G260" s="1">
        <f t="shared" si="31"/>
        <v>0.14317669178850612</v>
      </c>
      <c r="H260" s="8">
        <f t="shared" si="32"/>
        <v>4237.5136549999997</v>
      </c>
      <c r="I260" s="1">
        <f t="shared" si="33"/>
        <v>1640.222</v>
      </c>
      <c r="J260" s="2">
        <f t="shared" si="34"/>
        <v>5.4385793297348356E-3</v>
      </c>
    </row>
    <row r="261" spans="1:10">
      <c r="A261" s="1">
        <v>45.9</v>
      </c>
      <c r="B261" s="1">
        <f t="shared" si="28"/>
        <v>319.05</v>
      </c>
      <c r="C261" s="1" t="s">
        <v>277</v>
      </c>
      <c r="D261" s="1">
        <v>1.64436</v>
      </c>
      <c r="E261" s="1">
        <f t="shared" si="29"/>
        <v>1644.36</v>
      </c>
      <c r="F261" s="1">
        <f t="shared" si="30"/>
        <v>1646.6932365884047</v>
      </c>
      <c r="G261" s="1">
        <f t="shared" si="31"/>
        <v>0.14169224337368275</v>
      </c>
      <c r="H261" s="8">
        <f t="shared" si="32"/>
        <v>4221.060657</v>
      </c>
      <c r="I261" s="1">
        <f t="shared" si="33"/>
        <v>1637.8579999999999</v>
      </c>
      <c r="J261" s="2">
        <f t="shared" si="34"/>
        <v>5.3654417180394112E-3</v>
      </c>
    </row>
    <row r="262" spans="1:10">
      <c r="A262" s="1">
        <v>46</v>
      </c>
      <c r="B262" s="1">
        <f t="shared" si="28"/>
        <v>319.14999999999998</v>
      </c>
      <c r="C262" s="1" t="s">
        <v>278</v>
      </c>
      <c r="D262" s="1">
        <v>1.6418999999999999</v>
      </c>
      <c r="E262" s="1">
        <f t="shared" si="29"/>
        <v>1641.9</v>
      </c>
      <c r="F262" s="1">
        <f t="shared" si="30"/>
        <v>1644.19445982507</v>
      </c>
      <c r="G262" s="1">
        <f t="shared" si="31"/>
        <v>0.13954917627651053</v>
      </c>
      <c r="H262" s="8">
        <f t="shared" si="32"/>
        <v>4204.6805709999999</v>
      </c>
      <c r="I262" s="1">
        <f t="shared" si="33"/>
        <v>1635.4939999999999</v>
      </c>
      <c r="J262" s="2">
        <f t="shared" si="34"/>
        <v>5.2916245843546679E-3</v>
      </c>
    </row>
    <row r="263" spans="1:10">
      <c r="A263" s="1">
        <v>46.1</v>
      </c>
      <c r="B263" s="1">
        <f t="shared" si="28"/>
        <v>319.25</v>
      </c>
      <c r="C263" s="1" t="s">
        <v>279</v>
      </c>
      <c r="D263" s="1">
        <v>1.63923</v>
      </c>
      <c r="E263" s="1">
        <f t="shared" si="29"/>
        <v>1639.23</v>
      </c>
      <c r="F263" s="1">
        <f t="shared" si="30"/>
        <v>1641.694945839502</v>
      </c>
      <c r="G263" s="1">
        <f t="shared" si="31"/>
        <v>0.15014639874166738</v>
      </c>
      <c r="H263" s="8">
        <f t="shared" si="32"/>
        <v>4188.3730370000003</v>
      </c>
      <c r="I263" s="1">
        <f t="shared" si="33"/>
        <v>1633.13</v>
      </c>
      <c r="J263" s="2">
        <f t="shared" si="34"/>
        <v>5.2171360222602698E-3</v>
      </c>
    </row>
    <row r="264" spans="1:10">
      <c r="A264" s="1">
        <v>46.2</v>
      </c>
      <c r="B264" s="1">
        <f t="shared" si="28"/>
        <v>319.35000000000002</v>
      </c>
      <c r="C264" s="1" t="s">
        <v>280</v>
      </c>
      <c r="D264" s="1">
        <v>1.6369400000000001</v>
      </c>
      <c r="E264" s="1">
        <f t="shared" si="29"/>
        <v>1636.94</v>
      </c>
      <c r="F264" s="1">
        <f t="shared" si="30"/>
        <v>1639.1947132866071</v>
      </c>
      <c r="G264" s="1">
        <f t="shared" si="31"/>
        <v>0.13755005847269522</v>
      </c>
      <c r="H264" s="8">
        <f t="shared" si="32"/>
        <v>4172.1376970000001</v>
      </c>
      <c r="I264" s="1">
        <f t="shared" si="33"/>
        <v>1630.7660000000001</v>
      </c>
      <c r="J264" s="2">
        <f t="shared" si="34"/>
        <v>5.1419841817982401E-3</v>
      </c>
    </row>
    <row r="265" spans="1:10">
      <c r="A265" s="1">
        <v>46.3</v>
      </c>
      <c r="B265" s="1">
        <f t="shared" si="28"/>
        <v>319.45</v>
      </c>
      <c r="C265" s="1" t="s">
        <v>281</v>
      </c>
      <c r="D265" s="1">
        <v>1.6346499999999999</v>
      </c>
      <c r="E265" s="1">
        <f t="shared" si="29"/>
        <v>1634.65</v>
      </c>
      <c r="F265" s="1">
        <f t="shared" si="30"/>
        <v>1636.6937806767364</v>
      </c>
      <c r="G265" s="1">
        <f t="shared" si="31"/>
        <v>0.12487251438636707</v>
      </c>
      <c r="H265" s="8">
        <f t="shared" si="32"/>
        <v>4155.9741940000004</v>
      </c>
      <c r="I265" s="1">
        <f t="shared" si="33"/>
        <v>1628.402</v>
      </c>
      <c r="J265" s="2">
        <f t="shared" si="34"/>
        <v>5.066177176593115E-3</v>
      </c>
    </row>
    <row r="266" spans="1:10">
      <c r="A266" s="1">
        <v>46.4</v>
      </c>
      <c r="B266" s="1">
        <f t="shared" si="28"/>
        <v>319.55</v>
      </c>
      <c r="C266" s="1" t="s">
        <v>282</v>
      </c>
      <c r="D266" s="1">
        <v>1.6321600000000001</v>
      </c>
      <c r="E266" s="1">
        <f t="shared" si="29"/>
        <v>1632.16</v>
      </c>
      <c r="F266" s="1">
        <f t="shared" si="30"/>
        <v>1634.1921665292991</v>
      </c>
      <c r="G266" s="1">
        <f t="shared" si="31"/>
        <v>0.1243529721241393</v>
      </c>
      <c r="H266" s="8">
        <f t="shared" si="32"/>
        <v>4139.882173</v>
      </c>
      <c r="I266" s="1">
        <f t="shared" si="33"/>
        <v>1626.038</v>
      </c>
      <c r="J266" s="2">
        <f t="shared" si="34"/>
        <v>4.989723177181148E-3</v>
      </c>
    </row>
    <row r="267" spans="1:10">
      <c r="A267" s="1">
        <v>46.5</v>
      </c>
      <c r="B267" s="1">
        <f t="shared" si="28"/>
        <v>319.64999999999998</v>
      </c>
      <c r="C267" s="1" t="s">
        <v>283</v>
      </c>
      <c r="D267" s="1">
        <v>1.62947</v>
      </c>
      <c r="E267" s="1">
        <f t="shared" si="29"/>
        <v>1629.47</v>
      </c>
      <c r="F267" s="1">
        <f t="shared" si="30"/>
        <v>1631.6898893742327</v>
      </c>
      <c r="G267" s="1">
        <f t="shared" si="31"/>
        <v>0.1360484849902486</v>
      </c>
      <c r="H267" s="8">
        <f t="shared" si="32"/>
        <v>4123.8612810000004</v>
      </c>
      <c r="I267" s="1">
        <f t="shared" si="33"/>
        <v>1623.674</v>
      </c>
      <c r="J267" s="2">
        <f t="shared" si="34"/>
        <v>4.9126304124535083E-3</v>
      </c>
    </row>
    <row r="268" spans="1:10">
      <c r="A268" s="1">
        <v>46.6</v>
      </c>
      <c r="B268" s="1">
        <f t="shared" si="28"/>
        <v>319.75</v>
      </c>
      <c r="C268" s="1" t="s">
        <v>284</v>
      </c>
      <c r="D268" s="1">
        <v>1.6271500000000001</v>
      </c>
      <c r="E268" s="1">
        <f t="shared" si="29"/>
        <v>1627.15</v>
      </c>
      <c r="F268" s="1">
        <f t="shared" si="30"/>
        <v>1629.1869680680907</v>
      </c>
      <c r="G268" s="1">
        <f t="shared" si="31"/>
        <v>0.1250297300441848</v>
      </c>
      <c r="H268" s="8">
        <f t="shared" si="32"/>
        <v>4107.911169</v>
      </c>
      <c r="I268" s="1">
        <f t="shared" si="33"/>
        <v>1621.31</v>
      </c>
      <c r="J268" s="2">
        <f t="shared" si="34"/>
        <v>4.8349073632913487E-3</v>
      </c>
    </row>
    <row r="269" spans="1:10">
      <c r="A269" s="1">
        <v>46.7</v>
      </c>
      <c r="B269" s="1">
        <f t="shared" si="28"/>
        <v>319.85000000000002</v>
      </c>
      <c r="C269" s="1" t="s">
        <v>285</v>
      </c>
      <c r="D269" s="1">
        <v>1.6244499999999999</v>
      </c>
      <c r="E269" s="1">
        <f t="shared" si="29"/>
        <v>1624.45</v>
      </c>
      <c r="F269" s="1">
        <f t="shared" si="30"/>
        <v>1626.6834211708529</v>
      </c>
      <c r="G269" s="1">
        <f t="shared" si="31"/>
        <v>0.13729906764803917</v>
      </c>
      <c r="H269" s="8">
        <f t="shared" si="32"/>
        <v>4092.0314880000001</v>
      </c>
      <c r="I269" s="1">
        <f t="shared" si="33"/>
        <v>1618.9459999999999</v>
      </c>
      <c r="J269" s="2">
        <f t="shared" si="34"/>
        <v>4.756562383406911E-3</v>
      </c>
    </row>
    <row r="270" spans="1:10">
      <c r="A270" s="1">
        <v>46.8</v>
      </c>
      <c r="B270" s="1">
        <f t="shared" si="28"/>
        <v>319.95</v>
      </c>
      <c r="C270" s="1" t="s">
        <v>286</v>
      </c>
      <c r="D270" s="1">
        <v>1.6221300000000001</v>
      </c>
      <c r="E270" s="1">
        <f t="shared" si="29"/>
        <v>1622.13</v>
      </c>
      <c r="F270" s="1">
        <f t="shared" si="30"/>
        <v>1624.1792669401766</v>
      </c>
      <c r="G270" s="1">
        <f t="shared" si="31"/>
        <v>0.12617246026278545</v>
      </c>
      <c r="H270" s="8">
        <f t="shared" si="32"/>
        <v>4076.2218889999999</v>
      </c>
      <c r="I270" s="1">
        <f t="shared" si="33"/>
        <v>1616.5820000000001</v>
      </c>
      <c r="J270" s="2">
        <f t="shared" si="34"/>
        <v>4.6776036948736194E-3</v>
      </c>
    </row>
    <row r="271" spans="1:10">
      <c r="A271" s="1">
        <v>46.9</v>
      </c>
      <c r="B271" s="1">
        <f t="shared" si="28"/>
        <v>320.05</v>
      </c>
      <c r="C271" s="1" t="s">
        <v>287</v>
      </c>
      <c r="D271" s="1">
        <v>1.6192299999999999</v>
      </c>
      <c r="E271" s="1">
        <f t="shared" si="29"/>
        <v>1619.23</v>
      </c>
      <c r="F271" s="1">
        <f t="shared" si="30"/>
        <v>1621.674524282653</v>
      </c>
      <c r="G271" s="1">
        <f t="shared" si="31"/>
        <v>0.15074074643519028</v>
      </c>
      <c r="H271" s="8">
        <f t="shared" si="32"/>
        <v>4060.4820289999998</v>
      </c>
      <c r="I271" s="1">
        <f t="shared" si="33"/>
        <v>1614.2180000000001</v>
      </c>
      <c r="J271" s="2">
        <f t="shared" si="34"/>
        <v>4.598039971030146E-3</v>
      </c>
    </row>
    <row r="272" spans="1:10">
      <c r="A272" s="1">
        <v>47</v>
      </c>
      <c r="B272" s="1">
        <f t="shared" si="28"/>
        <v>320.14999999999998</v>
      </c>
      <c r="C272" s="1" t="s">
        <v>288</v>
      </c>
      <c r="D272" s="1">
        <v>1.6168899999999999</v>
      </c>
      <c r="E272" s="1">
        <f t="shared" si="29"/>
        <v>1616.89</v>
      </c>
      <c r="F272" s="1">
        <f t="shared" si="30"/>
        <v>1619.1692116485644</v>
      </c>
      <c r="G272" s="1">
        <f t="shared" si="31"/>
        <v>0.1407642655361358</v>
      </c>
      <c r="H272" s="8">
        <f t="shared" si="32"/>
        <v>4044.8115640000001</v>
      </c>
      <c r="I272" s="1">
        <f t="shared" si="33"/>
        <v>1611.854</v>
      </c>
      <c r="J272" s="2">
        <f t="shared" si="34"/>
        <v>4.5178796607158707E-3</v>
      </c>
    </row>
    <row r="273" spans="1:10">
      <c r="A273" s="1">
        <v>47.1</v>
      </c>
      <c r="B273" s="1">
        <f t="shared" si="28"/>
        <v>320.25</v>
      </c>
      <c r="C273" s="1" t="s">
        <v>289</v>
      </c>
      <c r="D273" s="1">
        <v>1.6145499999999999</v>
      </c>
      <c r="E273" s="1">
        <f t="shared" si="29"/>
        <v>1614.55</v>
      </c>
      <c r="F273" s="1">
        <f t="shared" si="30"/>
        <v>1616.6633475054532</v>
      </c>
      <c r="G273" s="1">
        <f t="shared" si="31"/>
        <v>0.13072279449609528</v>
      </c>
      <c r="H273" s="8">
        <f t="shared" si="32"/>
        <v>4029.2101520000001</v>
      </c>
      <c r="I273" s="1">
        <f t="shared" si="33"/>
        <v>1609.49</v>
      </c>
      <c r="J273" s="2">
        <f t="shared" si="34"/>
        <v>4.437131278148803E-3</v>
      </c>
    </row>
    <row r="274" spans="1:10">
      <c r="A274" s="1">
        <v>47.2</v>
      </c>
      <c r="B274" s="1">
        <f t="shared" si="28"/>
        <v>320.35000000000002</v>
      </c>
      <c r="C274" s="1" t="s">
        <v>290</v>
      </c>
      <c r="D274" s="1">
        <v>1.6120099999999999</v>
      </c>
      <c r="E274" s="1">
        <f t="shared" si="29"/>
        <v>1612.01</v>
      </c>
      <c r="F274" s="1">
        <f t="shared" si="30"/>
        <v>1614.156950663338</v>
      </c>
      <c r="G274" s="1">
        <f t="shared" si="31"/>
        <v>0.13300755310415666</v>
      </c>
      <c r="H274" s="8">
        <f t="shared" si="32"/>
        <v>4013.677455</v>
      </c>
      <c r="I274" s="1">
        <f t="shared" si="33"/>
        <v>1607.126</v>
      </c>
      <c r="J274" s="2">
        <f t="shared" si="34"/>
        <v>4.3558036041344179E-3</v>
      </c>
    </row>
    <row r="275" spans="1:10">
      <c r="A275" s="1">
        <v>47.3</v>
      </c>
      <c r="B275" s="1">
        <f t="shared" si="28"/>
        <v>320.45</v>
      </c>
      <c r="C275" s="1" t="s">
        <v>291</v>
      </c>
      <c r="D275" s="1">
        <v>1.60947</v>
      </c>
      <c r="E275" s="1">
        <f t="shared" si="29"/>
        <v>1609.47</v>
      </c>
      <c r="F275" s="1">
        <f t="shared" si="30"/>
        <v>1611.6500396340405</v>
      </c>
      <c r="G275" s="1">
        <f t="shared" si="31"/>
        <v>0.13526755687825781</v>
      </c>
      <c r="H275" s="8">
        <f t="shared" si="32"/>
        <v>3998.213135</v>
      </c>
      <c r="I275" s="1">
        <f t="shared" si="33"/>
        <v>1604.7619999999999</v>
      </c>
      <c r="J275" s="2">
        <f t="shared" si="34"/>
        <v>4.273905292494269E-3</v>
      </c>
    </row>
    <row r="276" spans="1:10">
      <c r="A276" s="1">
        <v>47.4</v>
      </c>
      <c r="B276" s="1">
        <f t="shared" si="28"/>
        <v>320.55</v>
      </c>
      <c r="C276" s="1" t="s">
        <v>292</v>
      </c>
      <c r="D276" s="1">
        <v>1.6069199999999999</v>
      </c>
      <c r="E276" s="1">
        <f t="shared" si="29"/>
        <v>1606.92</v>
      </c>
      <c r="F276" s="1">
        <f t="shared" si="30"/>
        <v>1609.1426327887898</v>
      </c>
      <c r="G276" s="1">
        <f t="shared" si="31"/>
        <v>0.13812528134548896</v>
      </c>
      <c r="H276" s="8">
        <f t="shared" si="32"/>
        <v>3982.816855</v>
      </c>
      <c r="I276" s="1">
        <f t="shared" si="33"/>
        <v>1602.3979999999999</v>
      </c>
      <c r="J276" s="2">
        <f t="shared" si="34"/>
        <v>4.1914449666284881E-3</v>
      </c>
    </row>
    <row r="277" spans="1:10">
      <c r="A277" s="1">
        <v>47.5</v>
      </c>
      <c r="B277" s="1">
        <f t="shared" si="28"/>
        <v>320.64999999999998</v>
      </c>
      <c r="C277" s="1" t="s">
        <v>293</v>
      </c>
      <c r="D277" s="1">
        <v>1.6043700000000001</v>
      </c>
      <c r="E277" s="1">
        <f t="shared" si="29"/>
        <v>1604.37</v>
      </c>
      <c r="F277" s="1">
        <f t="shared" si="30"/>
        <v>1606.6347488482918</v>
      </c>
      <c r="G277" s="1">
        <f t="shared" si="31"/>
        <v>0.14096227222244356</v>
      </c>
      <c r="H277" s="8">
        <f t="shared" si="32"/>
        <v>3967.4882819999998</v>
      </c>
      <c r="I277" s="1">
        <f t="shared" si="33"/>
        <v>1600.0340000000001</v>
      </c>
      <c r="J277" s="2">
        <f t="shared" si="34"/>
        <v>4.1084315231096563E-3</v>
      </c>
    </row>
    <row r="278" spans="1:10">
      <c r="A278" s="1">
        <v>47.6</v>
      </c>
      <c r="B278" s="1">
        <f t="shared" si="28"/>
        <v>320.75</v>
      </c>
      <c r="C278" s="1" t="s">
        <v>294</v>
      </c>
      <c r="D278" s="1">
        <v>1.60181</v>
      </c>
      <c r="E278" s="1">
        <f t="shared" si="29"/>
        <v>1601.81</v>
      </c>
      <c r="F278" s="1">
        <f t="shared" si="30"/>
        <v>1604.1264063979449</v>
      </c>
      <c r="G278" s="1">
        <f t="shared" si="31"/>
        <v>0.14440298399840429</v>
      </c>
      <c r="H278" s="8">
        <f t="shared" si="32"/>
        <v>3952.2270840000001</v>
      </c>
      <c r="I278" s="1">
        <f t="shared" si="33"/>
        <v>1597.67</v>
      </c>
      <c r="J278" s="2">
        <f t="shared" si="34"/>
        <v>4.0248738330058986E-3</v>
      </c>
    </row>
    <row r="279" spans="1:10">
      <c r="A279" s="1">
        <v>47.7</v>
      </c>
      <c r="B279" s="1">
        <f t="shared" si="28"/>
        <v>320.85000000000002</v>
      </c>
      <c r="C279" s="1" t="s">
        <v>295</v>
      </c>
      <c r="D279" s="1">
        <v>1.5992500000000001</v>
      </c>
      <c r="E279" s="1">
        <f t="shared" si="29"/>
        <v>1599.25</v>
      </c>
      <c r="F279" s="1">
        <f t="shared" si="30"/>
        <v>1601.6176237205466</v>
      </c>
      <c r="G279" s="1">
        <f t="shared" si="31"/>
        <v>0.14782702721805821</v>
      </c>
      <c r="H279" s="8">
        <f t="shared" si="32"/>
        <v>3937.032929</v>
      </c>
      <c r="I279" s="1">
        <f t="shared" si="33"/>
        <v>1595.306</v>
      </c>
      <c r="J279" s="2">
        <f t="shared" si="34"/>
        <v>3.9407806376934662E-3</v>
      </c>
    </row>
    <row r="280" spans="1:10">
      <c r="A280" s="1">
        <v>47.8</v>
      </c>
      <c r="B280" s="1">
        <f t="shared" si="28"/>
        <v>320.95</v>
      </c>
      <c r="C280" s="1" t="s">
        <v>296</v>
      </c>
      <c r="D280" s="1">
        <v>1.59687</v>
      </c>
      <c r="E280" s="1">
        <f t="shared" si="29"/>
        <v>1596.87</v>
      </c>
      <c r="F280" s="1">
        <f t="shared" si="30"/>
        <v>1599.1084196219781</v>
      </c>
      <c r="G280" s="1">
        <f t="shared" si="31"/>
        <v>0.13997922808181837</v>
      </c>
      <c r="H280" s="8">
        <f t="shared" si="32"/>
        <v>3921.9054900000001</v>
      </c>
      <c r="I280" s="1">
        <f t="shared" si="33"/>
        <v>1592.942</v>
      </c>
      <c r="J280" s="2">
        <f t="shared" si="34"/>
        <v>3.8561610621972754E-3</v>
      </c>
    </row>
    <row r="281" spans="1:10">
      <c r="A281" s="1">
        <v>47.9</v>
      </c>
      <c r="B281" s="1">
        <f t="shared" si="28"/>
        <v>321.05</v>
      </c>
      <c r="C281" s="1" t="s">
        <v>297</v>
      </c>
      <c r="D281" s="1">
        <v>1.5944799999999999</v>
      </c>
      <c r="E281" s="1">
        <f t="shared" si="29"/>
        <v>1594.48</v>
      </c>
      <c r="F281" s="1">
        <f t="shared" si="30"/>
        <v>1596.598812609549</v>
      </c>
      <c r="G281" s="1">
        <f t="shared" si="31"/>
        <v>0.13270789084991805</v>
      </c>
      <c r="H281" s="8">
        <f t="shared" si="32"/>
        <v>3906.8444399999998</v>
      </c>
      <c r="I281" s="1">
        <f t="shared" si="33"/>
        <v>1590.578</v>
      </c>
      <c r="J281" s="2">
        <f t="shared" si="34"/>
        <v>3.7710241057415917E-3</v>
      </c>
    </row>
    <row r="282" spans="1:10">
      <c r="A282" s="1">
        <v>48</v>
      </c>
      <c r="B282" s="1">
        <f t="shared" si="28"/>
        <v>321.14999999999998</v>
      </c>
      <c r="C282" s="1" t="s">
        <v>298</v>
      </c>
      <c r="D282" s="1">
        <v>1.5919000000000001</v>
      </c>
      <c r="E282" s="1">
        <f t="shared" si="29"/>
        <v>1591.9</v>
      </c>
      <c r="F282" s="1">
        <f t="shared" si="30"/>
        <v>1594.0888210542694</v>
      </c>
      <c r="G282" s="1">
        <f t="shared" si="31"/>
        <v>0.1373086007103218</v>
      </c>
      <c r="H282" s="8">
        <f t="shared" si="32"/>
        <v>3891.8494529999998</v>
      </c>
      <c r="I282" s="1">
        <f t="shared" si="33"/>
        <v>1588.2139999999999</v>
      </c>
      <c r="J282" s="2">
        <f t="shared" si="34"/>
        <v>3.6853787421858028E-3</v>
      </c>
    </row>
    <row r="283" spans="1:10">
      <c r="A283" s="1">
        <v>48.1</v>
      </c>
      <c r="B283" s="1">
        <f t="shared" si="28"/>
        <v>321.25</v>
      </c>
      <c r="C283" s="1" t="s">
        <v>299</v>
      </c>
      <c r="D283" s="1">
        <v>1.5894999999999999</v>
      </c>
      <c r="E283" s="1">
        <f t="shared" si="29"/>
        <v>1589.5</v>
      </c>
      <c r="F283" s="1">
        <f t="shared" si="30"/>
        <v>1591.5784635262153</v>
      </c>
      <c r="G283" s="1">
        <f t="shared" si="31"/>
        <v>0.13059133268304862</v>
      </c>
      <c r="H283" s="8">
        <f t="shared" si="32"/>
        <v>3876.9202059999998</v>
      </c>
      <c r="I283" s="1">
        <f t="shared" si="33"/>
        <v>1585.85</v>
      </c>
      <c r="J283" s="2">
        <f t="shared" si="34"/>
        <v>3.5992341298233515E-3</v>
      </c>
    </row>
    <row r="284" spans="1:10">
      <c r="A284" s="1">
        <v>48.2</v>
      </c>
      <c r="B284" s="1">
        <f t="shared" si="28"/>
        <v>321.35000000000002</v>
      </c>
      <c r="C284" s="1" t="s">
        <v>300</v>
      </c>
      <c r="D284" s="1">
        <v>1.5870899999999999</v>
      </c>
      <c r="E284" s="1">
        <f t="shared" si="29"/>
        <v>1587.09</v>
      </c>
      <c r="F284" s="1">
        <f t="shared" si="30"/>
        <v>1589.0677586311956</v>
      </c>
      <c r="G284" s="1">
        <f t="shared" si="31"/>
        <v>0.12446030828158657</v>
      </c>
      <c r="H284" s="8">
        <f t="shared" si="32"/>
        <v>3862.0563780000002</v>
      </c>
      <c r="I284" s="1">
        <f t="shared" si="33"/>
        <v>1583.4860000000001</v>
      </c>
      <c r="J284" s="2">
        <f t="shared" si="34"/>
        <v>3.5125995105479706E-3</v>
      </c>
    </row>
    <row r="285" spans="1:10">
      <c r="A285" s="1">
        <v>48.3</v>
      </c>
      <c r="B285" s="1">
        <f t="shared" si="28"/>
        <v>321.45</v>
      </c>
      <c r="C285" s="1" t="s">
        <v>301</v>
      </c>
      <c r="D285" s="1">
        <v>1.5843100000000001</v>
      </c>
      <c r="E285" s="1">
        <f t="shared" si="29"/>
        <v>1584.31</v>
      </c>
      <c r="F285" s="1">
        <f t="shared" si="30"/>
        <v>1586.5567246728274</v>
      </c>
      <c r="G285" s="1">
        <f t="shared" si="31"/>
        <v>0.14161010683628408</v>
      </c>
      <c r="H285" s="8">
        <f t="shared" si="32"/>
        <v>3847.2576479999998</v>
      </c>
      <c r="I285" s="1">
        <f t="shared" si="33"/>
        <v>1581.1220000000001</v>
      </c>
      <c r="J285" s="2">
        <f t="shared" si="34"/>
        <v>3.4254839983411493E-3</v>
      </c>
    </row>
    <row r="286" spans="1:10">
      <c r="A286" s="1">
        <v>48.4</v>
      </c>
      <c r="B286" s="1">
        <f t="shared" si="28"/>
        <v>321.55</v>
      </c>
      <c r="C286" s="1" t="s">
        <v>302</v>
      </c>
      <c r="D286" s="1">
        <v>1.5817099999999999</v>
      </c>
      <c r="E286" s="1">
        <f t="shared" si="29"/>
        <v>1581.71</v>
      </c>
      <c r="F286" s="1">
        <f t="shared" si="30"/>
        <v>1584.0453803304297</v>
      </c>
      <c r="G286" s="1">
        <f t="shared" si="31"/>
        <v>0.14743140312952943</v>
      </c>
      <c r="H286" s="8">
        <f t="shared" si="32"/>
        <v>3832.5236989999999</v>
      </c>
      <c r="I286" s="1">
        <f t="shared" si="33"/>
        <v>1578.758</v>
      </c>
      <c r="J286" s="2">
        <f t="shared" si="34"/>
        <v>3.3378970047731218E-3</v>
      </c>
    </row>
    <row r="287" spans="1:10">
      <c r="A287" s="1">
        <v>48.5</v>
      </c>
      <c r="B287" s="1">
        <f t="shared" si="28"/>
        <v>321.64999999999998</v>
      </c>
      <c r="C287" s="1" t="s">
        <v>303</v>
      </c>
      <c r="D287" s="1">
        <v>1.5792900000000001</v>
      </c>
      <c r="E287" s="1">
        <f t="shared" si="29"/>
        <v>1579.29</v>
      </c>
      <c r="F287" s="1">
        <f t="shared" si="30"/>
        <v>1581.5337438109709</v>
      </c>
      <c r="G287" s="1">
        <f t="shared" si="31"/>
        <v>0.14187138401260269</v>
      </c>
      <c r="H287" s="8">
        <f t="shared" si="32"/>
        <v>3817.8542130000001</v>
      </c>
      <c r="I287" s="1">
        <f t="shared" si="33"/>
        <v>1576.394</v>
      </c>
      <c r="J287" s="2">
        <f t="shared" si="34"/>
        <v>3.2498477070655716E-3</v>
      </c>
    </row>
    <row r="288" spans="1:10">
      <c r="A288" s="1">
        <v>48.6</v>
      </c>
      <c r="B288" s="1">
        <f t="shared" si="28"/>
        <v>321.75</v>
      </c>
      <c r="C288" s="1" t="s">
        <v>304</v>
      </c>
      <c r="D288" s="1">
        <v>1.5768599999999999</v>
      </c>
      <c r="E288" s="1">
        <f t="shared" si="29"/>
        <v>1576.86</v>
      </c>
      <c r="F288" s="1">
        <f t="shared" si="30"/>
        <v>1579.021833874066</v>
      </c>
      <c r="G288" s="1">
        <f t="shared" si="31"/>
        <v>0.13690968849760368</v>
      </c>
      <c r="H288" s="8">
        <f t="shared" si="32"/>
        <v>3803.248877</v>
      </c>
      <c r="I288" s="1">
        <f t="shared" si="33"/>
        <v>1574.03</v>
      </c>
      <c r="J288" s="2">
        <f t="shared" si="34"/>
        <v>3.1613456932503576E-3</v>
      </c>
    </row>
    <row r="289" spans="1:10">
      <c r="A289" s="1">
        <v>48.7</v>
      </c>
      <c r="B289" s="1">
        <f t="shared" si="28"/>
        <v>321.85000000000002</v>
      </c>
      <c r="C289" s="1" t="s">
        <v>305</v>
      </c>
      <c r="D289" s="1">
        <v>1.5742400000000001</v>
      </c>
      <c r="E289" s="1">
        <f t="shared" si="29"/>
        <v>1574.24</v>
      </c>
      <c r="F289" s="1">
        <f t="shared" si="30"/>
        <v>1576.5096686338838</v>
      </c>
      <c r="G289" s="1">
        <f t="shared" si="31"/>
        <v>0.14396794888359984</v>
      </c>
      <c r="H289" s="8">
        <f t="shared" si="32"/>
        <v>3788.7073759999998</v>
      </c>
      <c r="I289" s="1">
        <f t="shared" si="33"/>
        <v>1571.6659999999999</v>
      </c>
      <c r="J289" s="2">
        <f t="shared" si="34"/>
        <v>3.0724002080375211E-3</v>
      </c>
    </row>
    <row r="290" spans="1:10">
      <c r="A290" s="1">
        <v>48.8</v>
      </c>
      <c r="B290" s="1">
        <f t="shared" si="28"/>
        <v>321.95</v>
      </c>
      <c r="C290" s="1" t="s">
        <v>306</v>
      </c>
      <c r="D290" s="1">
        <v>1.5718000000000001</v>
      </c>
      <c r="E290" s="1">
        <f t="shared" si="29"/>
        <v>1571.8</v>
      </c>
      <c r="F290" s="1">
        <f t="shared" si="30"/>
        <v>1573.9972667635163</v>
      </c>
      <c r="G290" s="1">
        <f t="shared" si="31"/>
        <v>0.13959787668719681</v>
      </c>
      <c r="H290" s="8">
        <f t="shared" si="32"/>
        <v>3774.2294000000002</v>
      </c>
      <c r="I290" s="1">
        <f t="shared" si="33"/>
        <v>1569.3019999999999</v>
      </c>
      <c r="J290" s="2">
        <f t="shared" si="34"/>
        <v>2.9830209128449935E-3</v>
      </c>
    </row>
    <row r="291" spans="1:10">
      <c r="A291" s="1">
        <v>48.9</v>
      </c>
      <c r="B291" s="1">
        <f t="shared" si="28"/>
        <v>322.05</v>
      </c>
      <c r="C291" s="1" t="s">
        <v>307</v>
      </c>
      <c r="D291" s="1">
        <v>1.5693600000000001</v>
      </c>
      <c r="E291" s="1">
        <f t="shared" si="29"/>
        <v>1569.36</v>
      </c>
      <c r="F291" s="1">
        <f t="shared" si="30"/>
        <v>1571.4846466355393</v>
      </c>
      <c r="G291" s="1">
        <f t="shared" si="31"/>
        <v>0.13519996139244311</v>
      </c>
      <c r="H291" s="8">
        <f t="shared" si="32"/>
        <v>3759.8146390000002</v>
      </c>
      <c r="I291" s="1">
        <f t="shared" si="33"/>
        <v>1566.9380000000001</v>
      </c>
      <c r="J291" s="2">
        <f t="shared" si="34"/>
        <v>2.8932173440404489E-3</v>
      </c>
    </row>
    <row r="292" spans="1:10">
      <c r="A292" s="1">
        <v>49</v>
      </c>
      <c r="B292" s="1">
        <f t="shared" si="28"/>
        <v>322.14999999999998</v>
      </c>
      <c r="C292" s="1" t="s">
        <v>308</v>
      </c>
      <c r="D292" s="1">
        <v>1.56673</v>
      </c>
      <c r="E292" s="1">
        <f t="shared" si="29"/>
        <v>1566.73</v>
      </c>
      <c r="F292" s="1">
        <f t="shared" si="30"/>
        <v>1568.9718266676798</v>
      </c>
      <c r="G292" s="1">
        <f t="shared" si="31"/>
        <v>0.14288508114522214</v>
      </c>
      <c r="H292" s="8">
        <f t="shared" si="32"/>
        <v>3745.4627850000002</v>
      </c>
      <c r="I292" s="1">
        <f t="shared" si="33"/>
        <v>1564.5740000000001</v>
      </c>
      <c r="J292" s="2">
        <f t="shared" si="34"/>
        <v>2.8029991316161668E-3</v>
      </c>
    </row>
    <row r="293" spans="1:10">
      <c r="A293" s="1">
        <v>49.1</v>
      </c>
      <c r="B293" s="1">
        <f t="shared" si="28"/>
        <v>322.25</v>
      </c>
      <c r="C293" s="1" t="s">
        <v>309</v>
      </c>
      <c r="D293" s="1">
        <v>1.5639000000000001</v>
      </c>
      <c r="E293" s="1">
        <f t="shared" si="29"/>
        <v>1563.9</v>
      </c>
      <c r="F293" s="1">
        <f t="shared" si="30"/>
        <v>1566.4588251490613</v>
      </c>
      <c r="G293" s="1">
        <f t="shared" si="31"/>
        <v>0.16335093575266851</v>
      </c>
      <c r="H293" s="8">
        <f t="shared" si="32"/>
        <v>3731.1735309999999</v>
      </c>
      <c r="I293" s="1">
        <f t="shared" si="33"/>
        <v>1562.21</v>
      </c>
      <c r="J293" s="2">
        <f t="shared" si="34"/>
        <v>2.7123758893930669E-3</v>
      </c>
    </row>
    <row r="294" spans="1:10">
      <c r="A294" s="1">
        <v>49.2</v>
      </c>
      <c r="B294" s="1">
        <f t="shared" si="28"/>
        <v>322.35000000000002</v>
      </c>
      <c r="C294" s="1" t="s">
        <v>310</v>
      </c>
      <c r="D294" s="1">
        <v>1.5618099999999999</v>
      </c>
      <c r="E294" s="1">
        <f t="shared" si="29"/>
        <v>1561.81</v>
      </c>
      <c r="F294" s="1">
        <f t="shared" si="30"/>
        <v>1563.9456605929265</v>
      </c>
      <c r="G294" s="1">
        <f t="shared" si="31"/>
        <v>0.13655593328715099</v>
      </c>
      <c r="H294" s="8">
        <f t="shared" si="32"/>
        <v>3716.9465730000002</v>
      </c>
      <c r="I294" s="1">
        <f t="shared" si="33"/>
        <v>1559.846</v>
      </c>
      <c r="J294" s="2">
        <f t="shared" si="34"/>
        <v>2.6213574398564711E-3</v>
      </c>
    </row>
    <row r="295" spans="1:10">
      <c r="A295" s="1">
        <v>49.3</v>
      </c>
      <c r="B295" s="1">
        <f t="shared" si="28"/>
        <v>322.45</v>
      </c>
      <c r="C295" s="1" t="s">
        <v>311</v>
      </c>
      <c r="D295" s="1">
        <v>1.5591600000000001</v>
      </c>
      <c r="E295" s="1">
        <f t="shared" si="29"/>
        <v>1559.16</v>
      </c>
      <c r="F295" s="1">
        <f t="shared" si="30"/>
        <v>1561.4323512096639</v>
      </c>
      <c r="G295" s="1">
        <f t="shared" si="31"/>
        <v>0.1455299173162011</v>
      </c>
      <c r="H295" s="8">
        <f t="shared" si="32"/>
        <v>3702.7816069999999</v>
      </c>
      <c r="I295" s="1">
        <f t="shared" si="33"/>
        <v>1557.482</v>
      </c>
      <c r="J295" s="2">
        <f t="shared" si="34"/>
        <v>2.5299534793188807E-3</v>
      </c>
    </row>
    <row r="296" spans="1:10">
      <c r="A296" s="1">
        <v>49.4</v>
      </c>
      <c r="B296" s="1">
        <f t="shared" si="28"/>
        <v>322.55</v>
      </c>
      <c r="C296" s="1" t="s">
        <v>312</v>
      </c>
      <c r="D296" s="1">
        <v>1.5565100000000001</v>
      </c>
      <c r="E296" s="1">
        <f t="shared" si="29"/>
        <v>1556.51</v>
      </c>
      <c r="F296" s="1">
        <f t="shared" si="30"/>
        <v>1558.9189152588124</v>
      </c>
      <c r="G296" s="1">
        <f t="shared" si="31"/>
        <v>0.15452473090381716</v>
      </c>
      <c r="H296" s="8">
        <f t="shared" si="32"/>
        <v>3688.6783310000001</v>
      </c>
      <c r="I296" s="1">
        <f t="shared" si="33"/>
        <v>1555.1179999999999</v>
      </c>
      <c r="J296" s="2">
        <f t="shared" si="34"/>
        <v>2.4381738021194057E-3</v>
      </c>
    </row>
    <row r="297" spans="1:10">
      <c r="A297" s="1">
        <v>49.5</v>
      </c>
      <c r="B297" s="1">
        <f t="shared" si="28"/>
        <v>322.64999999999998</v>
      </c>
      <c r="C297" s="1" t="s">
        <v>313</v>
      </c>
      <c r="D297" s="1">
        <v>1.5542199999999999</v>
      </c>
      <c r="E297" s="1">
        <f t="shared" si="29"/>
        <v>1554.22</v>
      </c>
      <c r="F297" s="1">
        <f t="shared" si="30"/>
        <v>1556.4053714105087</v>
      </c>
      <c r="G297" s="1">
        <f t="shared" si="31"/>
        <v>0.14041145389572482</v>
      </c>
      <c r="H297" s="8">
        <f t="shared" si="32"/>
        <v>3674.6364469999999</v>
      </c>
      <c r="I297" s="1">
        <f t="shared" si="33"/>
        <v>1552.7539999999999</v>
      </c>
      <c r="J297" s="2">
        <f t="shared" si="34"/>
        <v>2.3460285331704292E-3</v>
      </c>
    </row>
    <row r="298" spans="1:10">
      <c r="A298" s="1">
        <v>49.6</v>
      </c>
      <c r="B298" s="1">
        <f t="shared" si="28"/>
        <v>322.75</v>
      </c>
      <c r="C298" s="1" t="s">
        <v>314</v>
      </c>
      <c r="D298" s="1">
        <v>1.55155</v>
      </c>
      <c r="E298" s="1">
        <f t="shared" si="29"/>
        <v>1551.55</v>
      </c>
      <c r="F298" s="1">
        <f t="shared" si="30"/>
        <v>1553.8917376749582</v>
      </c>
      <c r="G298" s="1">
        <f t="shared" si="31"/>
        <v>0.15070146897506126</v>
      </c>
      <c r="H298" s="8">
        <f t="shared" si="32"/>
        <v>3660.655655</v>
      </c>
      <c r="I298" s="1">
        <f t="shared" si="33"/>
        <v>1550.39</v>
      </c>
      <c r="J298" s="2">
        <f t="shared" si="34"/>
        <v>2.2535274434225816E-3</v>
      </c>
    </row>
    <row r="299" spans="1:10">
      <c r="A299" s="1">
        <v>49.7</v>
      </c>
      <c r="B299" s="1">
        <f t="shared" si="28"/>
        <v>322.85000000000002</v>
      </c>
      <c r="C299" s="1" t="s">
        <v>315</v>
      </c>
      <c r="D299" s="1">
        <v>1.54925</v>
      </c>
      <c r="E299" s="1">
        <f t="shared" si="29"/>
        <v>1549.25</v>
      </c>
      <c r="F299" s="1">
        <f t="shared" si="30"/>
        <v>1551.3780324752613</v>
      </c>
      <c r="G299" s="1">
        <f t="shared" si="31"/>
        <v>0.1371704659157755</v>
      </c>
      <c r="H299" s="8">
        <f t="shared" si="32"/>
        <v>3646.7356589999999</v>
      </c>
      <c r="I299" s="1">
        <f t="shared" si="33"/>
        <v>1548.0260000000001</v>
      </c>
      <c r="J299" s="2">
        <f t="shared" si="34"/>
        <v>2.1606806368870586E-3</v>
      </c>
    </row>
    <row r="300" spans="1:10">
      <c r="A300" s="1">
        <v>49.8</v>
      </c>
      <c r="B300" s="1">
        <f t="shared" si="28"/>
        <v>322.95</v>
      </c>
      <c r="C300" s="1" t="s">
        <v>316</v>
      </c>
      <c r="D300" s="1">
        <v>1.5465800000000001</v>
      </c>
      <c r="E300" s="1">
        <f t="shared" si="29"/>
        <v>1546.58</v>
      </c>
      <c r="F300" s="1">
        <f t="shared" si="30"/>
        <v>1548.8642741127821</v>
      </c>
      <c r="G300" s="1">
        <f t="shared" si="31"/>
        <v>0.14748058632127001</v>
      </c>
      <c r="H300" s="8">
        <f t="shared" si="32"/>
        <v>3632.8761639999998</v>
      </c>
      <c r="I300" s="1">
        <f t="shared" si="33"/>
        <v>1545.662</v>
      </c>
      <c r="J300" s="2">
        <f t="shared" si="34"/>
        <v>2.0674982090450938E-3</v>
      </c>
    </row>
    <row r="301" spans="1:10">
      <c r="A301" s="1">
        <v>49.9</v>
      </c>
      <c r="B301" s="1">
        <f t="shared" si="28"/>
        <v>323.05</v>
      </c>
      <c r="C301" s="1" t="s">
        <v>317</v>
      </c>
      <c r="D301" s="1">
        <v>1.5439000000000001</v>
      </c>
      <c r="E301" s="1">
        <f t="shared" si="29"/>
        <v>1543.9</v>
      </c>
      <c r="F301" s="1">
        <f t="shared" si="30"/>
        <v>1546.3504807660138</v>
      </c>
      <c r="G301" s="1">
        <f t="shared" si="31"/>
        <v>0.15846865225532869</v>
      </c>
      <c r="H301" s="8">
        <f t="shared" si="32"/>
        <v>3619.0768760000001</v>
      </c>
      <c r="I301" s="1">
        <f t="shared" si="33"/>
        <v>1543.298</v>
      </c>
      <c r="J301" s="2">
        <f t="shared" si="34"/>
        <v>1.9739902460544929E-3</v>
      </c>
    </row>
    <row r="302" spans="1:10">
      <c r="A302" s="1">
        <v>50</v>
      </c>
      <c r="B302" s="1">
        <f t="shared" si="28"/>
        <v>323.14999999999998</v>
      </c>
      <c r="C302" s="1" t="s">
        <v>318</v>
      </c>
      <c r="D302" s="1">
        <v>1.54176</v>
      </c>
      <c r="E302" s="1">
        <f t="shared" si="29"/>
        <v>1541.76</v>
      </c>
      <c r="F302" s="1">
        <f t="shared" si="30"/>
        <v>1543.8366706728214</v>
      </c>
      <c r="G302" s="1">
        <f t="shared" si="31"/>
        <v>0.13451362519561921</v>
      </c>
      <c r="H302" s="8">
        <f t="shared" si="32"/>
        <v>3605.3375030000002</v>
      </c>
      <c r="I302" s="1">
        <f t="shared" si="33"/>
        <v>1540.934</v>
      </c>
      <c r="J302" s="2">
        <f t="shared" si="34"/>
        <v>1.8801669425020007E-3</v>
      </c>
    </row>
    <row r="303" spans="1:10">
      <c r="A303" s="1">
        <v>50.1</v>
      </c>
      <c r="B303" s="1">
        <f t="shared" si="28"/>
        <v>323.25</v>
      </c>
      <c r="C303" s="1" t="s">
        <v>319</v>
      </c>
      <c r="D303" s="1">
        <v>1.53925</v>
      </c>
      <c r="E303" s="1">
        <f t="shared" si="29"/>
        <v>1539.25</v>
      </c>
      <c r="F303" s="1">
        <f t="shared" si="30"/>
        <v>1541.322862133336</v>
      </c>
      <c r="G303" s="1">
        <f t="shared" si="31"/>
        <v>0.13448591364348972</v>
      </c>
      <c r="H303" s="8">
        <f t="shared" si="32"/>
        <v>3591.6577550000002</v>
      </c>
      <c r="I303" s="1">
        <f t="shared" si="33"/>
        <v>1538.57</v>
      </c>
      <c r="J303" s="2">
        <f t="shared" si="34"/>
        <v>1.7860386042193948E-3</v>
      </c>
    </row>
    <row r="304" spans="1:10">
      <c r="A304" s="1">
        <v>50.2</v>
      </c>
      <c r="B304" s="1">
        <f t="shared" si="28"/>
        <v>323.35000000000002</v>
      </c>
      <c r="C304" s="1" t="s">
        <v>320</v>
      </c>
      <c r="D304" s="1">
        <v>1.5365599999999999</v>
      </c>
      <c r="E304" s="1">
        <f t="shared" si="29"/>
        <v>1536.56</v>
      </c>
      <c r="F304" s="1">
        <f t="shared" si="30"/>
        <v>1538.8090731429741</v>
      </c>
      <c r="G304" s="1">
        <f t="shared" si="31"/>
        <v>0.14615673784535488</v>
      </c>
      <c r="H304" s="8">
        <f t="shared" si="32"/>
        <v>3578.0373420000001</v>
      </c>
      <c r="I304" s="1">
        <f t="shared" si="33"/>
        <v>1536.2059999999999</v>
      </c>
      <c r="J304" s="2">
        <f t="shared" si="34"/>
        <v>1.6916154111682291E-3</v>
      </c>
    </row>
    <row r="305" spans="1:10">
      <c r="A305" s="1">
        <v>50.3</v>
      </c>
      <c r="B305" s="1">
        <f t="shared" si="28"/>
        <v>323.45</v>
      </c>
      <c r="C305" s="1" t="s">
        <v>321</v>
      </c>
      <c r="D305" s="1">
        <v>1.5340400000000001</v>
      </c>
      <c r="E305" s="1">
        <f t="shared" si="29"/>
        <v>1534.04</v>
      </c>
      <c r="F305" s="1">
        <f t="shared" si="30"/>
        <v>1536.2953221304538</v>
      </c>
      <c r="G305" s="1">
        <f t="shared" si="31"/>
        <v>0.146802642562645</v>
      </c>
      <c r="H305" s="8">
        <f t="shared" si="32"/>
        <v>3564.4759779999999</v>
      </c>
      <c r="I305" s="1">
        <f t="shared" si="33"/>
        <v>1533.8420000000001</v>
      </c>
      <c r="J305" s="2">
        <f t="shared" si="34"/>
        <v>1.5969078959711552E-3</v>
      </c>
    </row>
    <row r="306" spans="1:10">
      <c r="A306" s="1">
        <v>50.4</v>
      </c>
      <c r="B306" s="1">
        <f t="shared" si="28"/>
        <v>323.55</v>
      </c>
      <c r="C306" s="1" t="s">
        <v>322</v>
      </c>
      <c r="D306" s="1">
        <v>1.5315099999999999</v>
      </c>
      <c r="E306" s="1">
        <f t="shared" si="29"/>
        <v>1531.51</v>
      </c>
      <c r="F306" s="1">
        <f t="shared" si="30"/>
        <v>1533.7816272225659</v>
      </c>
      <c r="G306" s="1">
        <f t="shared" si="31"/>
        <v>0.14810630028731628</v>
      </c>
      <c r="H306" s="8">
        <f t="shared" si="32"/>
        <v>3550.9733769999998</v>
      </c>
      <c r="I306" s="1">
        <f t="shared" si="33"/>
        <v>1531.4780000000001</v>
      </c>
      <c r="J306" s="2">
        <f t="shared" si="34"/>
        <v>1.5019264683313273E-3</v>
      </c>
    </row>
    <row r="307" spans="1:10">
      <c r="A307" s="1">
        <v>50.5</v>
      </c>
      <c r="B307" s="1">
        <f t="shared" si="28"/>
        <v>323.64999999999998</v>
      </c>
      <c r="C307" s="1" t="s">
        <v>323</v>
      </c>
      <c r="D307" s="1">
        <v>1.5291699999999999</v>
      </c>
      <c r="E307" s="1">
        <f t="shared" si="29"/>
        <v>1529.17</v>
      </c>
      <c r="F307" s="1">
        <f t="shared" si="30"/>
        <v>1531.2680062392005</v>
      </c>
      <c r="G307" s="1">
        <f t="shared" si="31"/>
        <v>0.13701104121891561</v>
      </c>
      <c r="H307" s="8">
        <f t="shared" si="32"/>
        <v>3537.5292530000002</v>
      </c>
      <c r="I307" s="1">
        <f t="shared" si="33"/>
        <v>1529.114</v>
      </c>
      <c r="J307" s="2">
        <f t="shared" si="34"/>
        <v>1.4066814107157801E-3</v>
      </c>
    </row>
    <row r="308" spans="1:10">
      <c r="A308" s="1">
        <v>50.6</v>
      </c>
      <c r="B308" s="1">
        <f t="shared" si="28"/>
        <v>323.75</v>
      </c>
      <c r="C308" s="1" t="s">
        <v>324</v>
      </c>
      <c r="D308" s="1">
        <v>1.5266299999999999</v>
      </c>
      <c r="E308" s="1">
        <f t="shared" si="29"/>
        <v>1526.63</v>
      </c>
      <c r="F308" s="1">
        <f t="shared" si="30"/>
        <v>1528.7544776292566</v>
      </c>
      <c r="G308" s="1">
        <f t="shared" si="31"/>
        <v>0.1389678761596212</v>
      </c>
      <c r="H308" s="8">
        <f t="shared" si="32"/>
        <v>3524.143325</v>
      </c>
      <c r="I308" s="1">
        <f t="shared" si="33"/>
        <v>1526.75</v>
      </c>
      <c r="J308" s="2">
        <f t="shared" si="34"/>
        <v>1.311183488643041E-3</v>
      </c>
    </row>
    <row r="309" spans="1:10">
      <c r="A309" s="1">
        <v>50.7</v>
      </c>
      <c r="B309" s="1">
        <f t="shared" si="28"/>
        <v>323.85000000000002</v>
      </c>
      <c r="C309" s="1" t="s">
        <v>325</v>
      </c>
      <c r="D309" s="1">
        <v>1.5239100000000001</v>
      </c>
      <c r="E309" s="1">
        <f t="shared" si="29"/>
        <v>1523.91</v>
      </c>
      <c r="F309" s="1">
        <f t="shared" si="30"/>
        <v>1526.2410593519578</v>
      </c>
      <c r="G309" s="1">
        <f t="shared" si="31"/>
        <v>0.15273205616336175</v>
      </c>
      <c r="H309" s="8">
        <f t="shared" si="32"/>
        <v>3510.8153109999998</v>
      </c>
      <c r="I309" s="1">
        <f t="shared" si="33"/>
        <v>1524.386</v>
      </c>
      <c r="J309" s="2">
        <f t="shared" si="34"/>
        <v>1.2154432228061618E-3</v>
      </c>
    </row>
    <row r="310" spans="1:10">
      <c r="A310" s="1">
        <v>50.8</v>
      </c>
      <c r="B310" s="1">
        <f t="shared" si="28"/>
        <v>323.95</v>
      </c>
      <c r="C310" s="1" t="s">
        <v>326</v>
      </c>
      <c r="D310" s="1">
        <v>1.5213699999999999</v>
      </c>
      <c r="E310" s="1">
        <f t="shared" si="29"/>
        <v>1521.37</v>
      </c>
      <c r="F310" s="1">
        <f t="shared" si="30"/>
        <v>1523.7277696270842</v>
      </c>
      <c r="G310" s="1">
        <f t="shared" si="31"/>
        <v>0.15473693359682741</v>
      </c>
      <c r="H310" s="8">
        <f t="shared" si="32"/>
        <v>3497.5449319999998</v>
      </c>
      <c r="I310" s="1">
        <f t="shared" si="33"/>
        <v>1522.0219999999999</v>
      </c>
      <c r="J310" s="2">
        <f t="shared" si="34"/>
        <v>1.1194713787369679E-3</v>
      </c>
    </row>
    <row r="311" spans="1:10">
      <c r="A311" s="1">
        <v>50.9</v>
      </c>
      <c r="B311" s="1">
        <f t="shared" si="28"/>
        <v>324.05</v>
      </c>
      <c r="C311" s="1" t="s">
        <v>327</v>
      </c>
      <c r="D311" s="1">
        <v>1.5188200000000001</v>
      </c>
      <c r="E311" s="1">
        <f t="shared" si="29"/>
        <v>1518.82</v>
      </c>
      <c r="F311" s="1">
        <f t="shared" si="30"/>
        <v>1521.2146261797952</v>
      </c>
      <c r="G311" s="1">
        <f t="shared" si="31"/>
        <v>0.1574154059909933</v>
      </c>
      <c r="H311" s="8">
        <f t="shared" si="32"/>
        <v>3484.3319080000001</v>
      </c>
      <c r="I311" s="1">
        <f t="shared" si="33"/>
        <v>1519.6579999999999</v>
      </c>
      <c r="J311" s="2">
        <f t="shared" si="34"/>
        <v>1.0232784730084166E-3</v>
      </c>
    </row>
    <row r="312" spans="1:10">
      <c r="A312" s="1">
        <v>51</v>
      </c>
      <c r="B312" s="1">
        <f t="shared" si="28"/>
        <v>324.14999999999998</v>
      </c>
      <c r="C312" s="1" t="s">
        <v>328</v>
      </c>
      <c r="D312" s="1">
        <v>1.5160899999999999</v>
      </c>
      <c r="E312" s="1">
        <f t="shared" si="29"/>
        <v>1516.09</v>
      </c>
      <c r="F312" s="1">
        <f t="shared" si="30"/>
        <v>1518.7016473802173</v>
      </c>
      <c r="G312" s="1">
        <f t="shared" si="31"/>
        <v>0.17196579622617264</v>
      </c>
      <c r="H312" s="8">
        <f t="shared" si="32"/>
        <v>3471.175964</v>
      </c>
      <c r="I312" s="1">
        <f t="shared" si="33"/>
        <v>1517.2940000000001</v>
      </c>
      <c r="J312" s="2">
        <f t="shared" si="34"/>
        <v>9.2687552070903824E-4</v>
      </c>
    </row>
    <row r="313" spans="1:10">
      <c r="A313" s="1">
        <v>51.1</v>
      </c>
      <c r="B313" s="1">
        <f t="shared" si="28"/>
        <v>324.25</v>
      </c>
      <c r="C313" s="1" t="s">
        <v>329</v>
      </c>
      <c r="D313" s="1">
        <v>1.51407</v>
      </c>
      <c r="E313" s="1">
        <f t="shared" si="29"/>
        <v>1514.07</v>
      </c>
      <c r="F313" s="1">
        <f t="shared" si="30"/>
        <v>1516.1888509132684</v>
      </c>
      <c r="G313" s="1">
        <f t="shared" si="31"/>
        <v>0.13974848265057546</v>
      </c>
      <c r="H313" s="8">
        <f t="shared" si="32"/>
        <v>3458.0768229999999</v>
      </c>
      <c r="I313" s="1">
        <f t="shared" si="33"/>
        <v>1514.93</v>
      </c>
      <c r="J313" s="2">
        <f t="shared" si="34"/>
        <v>8.3027316320793347E-4</v>
      </c>
    </row>
    <row r="314" spans="1:10">
      <c r="A314" s="1">
        <v>51.2</v>
      </c>
      <c r="B314" s="1">
        <f t="shared" si="28"/>
        <v>324.35000000000002</v>
      </c>
      <c r="C314" s="1" t="s">
        <v>330</v>
      </c>
      <c r="D314" s="1">
        <v>1.5115000000000001</v>
      </c>
      <c r="E314" s="1">
        <f t="shared" si="29"/>
        <v>1511.5</v>
      </c>
      <c r="F314" s="1">
        <f t="shared" si="30"/>
        <v>1513.6762549239977</v>
      </c>
      <c r="G314" s="1">
        <f t="shared" si="31"/>
        <v>0.14377281250983051</v>
      </c>
      <c r="H314" s="8">
        <f t="shared" si="32"/>
        <v>3445.034212</v>
      </c>
      <c r="I314" s="1">
        <f t="shared" si="33"/>
        <v>1512.566</v>
      </c>
      <c r="J314" s="2">
        <f t="shared" si="34"/>
        <v>7.3348242095098385E-4</v>
      </c>
    </row>
    <row r="315" spans="1:10">
      <c r="A315" s="1">
        <v>51.3</v>
      </c>
      <c r="B315" s="1">
        <f t="shared" si="28"/>
        <v>324.45</v>
      </c>
      <c r="C315" s="1" t="s">
        <v>331</v>
      </c>
      <c r="D315" s="1">
        <v>1.5089300000000001</v>
      </c>
      <c r="E315" s="1">
        <f t="shared" si="29"/>
        <v>1508.93</v>
      </c>
      <c r="F315" s="1">
        <f t="shared" si="30"/>
        <v>1511.1638774474868</v>
      </c>
      <c r="G315" s="1">
        <f t="shared" si="31"/>
        <v>0.1478249633163545</v>
      </c>
      <c r="H315" s="8">
        <f t="shared" si="32"/>
        <v>3432.0478589999998</v>
      </c>
      <c r="I315" s="1">
        <f t="shared" si="33"/>
        <v>1510.202</v>
      </c>
      <c r="J315" s="2">
        <f t="shared" si="34"/>
        <v>6.3651431975168999E-4</v>
      </c>
    </row>
    <row r="316" spans="1:10">
      <c r="A316" s="1">
        <v>51.4</v>
      </c>
      <c r="B316" s="1">
        <f t="shared" si="28"/>
        <v>324.55</v>
      </c>
      <c r="C316" s="1" t="s">
        <v>332</v>
      </c>
      <c r="D316" s="1">
        <v>1.5061800000000001</v>
      </c>
      <c r="E316" s="1">
        <f t="shared" si="29"/>
        <v>1506.18</v>
      </c>
      <c r="F316" s="1">
        <f t="shared" si="30"/>
        <v>1508.6517362134678</v>
      </c>
      <c r="G316" s="1">
        <f t="shared" si="31"/>
        <v>0.1638374287541968</v>
      </c>
      <c r="H316" s="8">
        <f t="shared" si="32"/>
        <v>3419.1174919999999</v>
      </c>
      <c r="I316" s="1">
        <f t="shared" si="33"/>
        <v>1507.838</v>
      </c>
      <c r="J316" s="2">
        <f t="shared" si="34"/>
        <v>5.3937976136902901E-4</v>
      </c>
    </row>
    <row r="317" spans="1:10">
      <c r="A317" s="1">
        <v>51.5</v>
      </c>
      <c r="B317" s="1">
        <f t="shared" si="28"/>
        <v>324.64999999999998</v>
      </c>
      <c r="C317" s="1" t="s">
        <v>333</v>
      </c>
      <c r="D317" s="1">
        <v>1.5037799999999999</v>
      </c>
      <c r="E317" s="1">
        <f t="shared" si="29"/>
        <v>1503.78</v>
      </c>
      <c r="F317" s="1">
        <f t="shared" si="30"/>
        <v>1506.139849032578</v>
      </c>
      <c r="G317" s="1">
        <f t="shared" si="31"/>
        <v>0.15668193322776872</v>
      </c>
      <c r="H317" s="8">
        <f t="shared" si="32"/>
        <v>3406.2428410000002</v>
      </c>
      <c r="I317" s="1">
        <f t="shared" si="33"/>
        <v>1505.4739999999999</v>
      </c>
      <c r="J317" s="2">
        <f t="shared" si="34"/>
        <v>4.4208977871860154E-4</v>
      </c>
    </row>
    <row r="318" spans="1:10">
      <c r="A318" s="1">
        <v>51.6</v>
      </c>
      <c r="B318" s="1">
        <f t="shared" si="28"/>
        <v>324.75</v>
      </c>
      <c r="C318" s="1" t="s">
        <v>334</v>
      </c>
      <c r="D318" s="1">
        <v>1.5013799999999999</v>
      </c>
      <c r="E318" s="1">
        <f t="shared" si="29"/>
        <v>1501.38</v>
      </c>
      <c r="F318" s="1">
        <f t="shared" si="30"/>
        <v>1503.6282341924941</v>
      </c>
      <c r="G318" s="1">
        <f t="shared" si="31"/>
        <v>0.14952061562620217</v>
      </c>
      <c r="H318" s="8">
        <f t="shared" si="32"/>
        <v>3393.42364</v>
      </c>
      <c r="I318" s="1">
        <f t="shared" si="33"/>
        <v>1503.11</v>
      </c>
      <c r="J318" s="2">
        <f t="shared" si="34"/>
        <v>3.4465580035648299E-4</v>
      </c>
    </row>
    <row r="319" spans="1:10">
      <c r="A319" s="1">
        <v>51.7</v>
      </c>
      <c r="B319" s="1">
        <f t="shared" si="28"/>
        <v>324.85000000000002</v>
      </c>
      <c r="C319" s="1" t="s">
        <v>335</v>
      </c>
      <c r="D319" s="1">
        <v>1.49861</v>
      </c>
      <c r="E319" s="1">
        <f t="shared" si="29"/>
        <v>1498.61</v>
      </c>
      <c r="F319" s="1">
        <f t="shared" si="30"/>
        <v>1501.1169090895437</v>
      </c>
      <c r="G319" s="1">
        <f t="shared" si="31"/>
        <v>0.16700292124910412</v>
      </c>
      <c r="H319" s="8">
        <f t="shared" si="32"/>
        <v>3380.6596199999999</v>
      </c>
      <c r="I319" s="1">
        <f t="shared" si="33"/>
        <v>1500.7460000000001</v>
      </c>
      <c r="J319" s="2">
        <f t="shared" si="34"/>
        <v>2.4708874258738819E-4</v>
      </c>
    </row>
    <row r="320" spans="1:10">
      <c r="A320" s="1">
        <v>51.8</v>
      </c>
      <c r="B320" s="1">
        <f t="shared" si="28"/>
        <v>324.95</v>
      </c>
      <c r="C320" s="1" t="s">
        <v>336</v>
      </c>
      <c r="D320" s="1">
        <v>1.4961899999999999</v>
      </c>
      <c r="E320" s="1">
        <f t="shared" si="29"/>
        <v>1496.19</v>
      </c>
      <c r="F320" s="1">
        <f t="shared" si="30"/>
        <v>1498.6058917955411</v>
      </c>
      <c r="G320" s="1">
        <f t="shared" si="31"/>
        <v>0.16120928182435276</v>
      </c>
      <c r="H320" s="8">
        <f t="shared" si="32"/>
        <v>3367.9505170000002</v>
      </c>
      <c r="I320" s="1">
        <f t="shared" si="33"/>
        <v>1498.3820000000001</v>
      </c>
      <c r="J320" s="2">
        <f t="shared" si="34"/>
        <v>1.4940005025121557E-4</v>
      </c>
    </row>
    <row r="321" spans="1:10">
      <c r="A321" s="1">
        <v>51.9</v>
      </c>
      <c r="B321" s="1">
        <f t="shared" si="28"/>
        <v>325.05</v>
      </c>
      <c r="C321" s="1" t="s">
        <v>337</v>
      </c>
      <c r="D321" s="1">
        <v>1.49377</v>
      </c>
      <c r="E321" s="1">
        <f t="shared" si="29"/>
        <v>1493.77</v>
      </c>
      <c r="F321" s="1">
        <f t="shared" si="30"/>
        <v>1496.0951998808509</v>
      </c>
      <c r="G321" s="1">
        <f t="shared" si="31"/>
        <v>0.1554179093039092</v>
      </c>
      <c r="H321" s="8">
        <f t="shared" si="32"/>
        <v>3355.2960659999999</v>
      </c>
      <c r="I321" s="1">
        <f t="shared" si="33"/>
        <v>1496.018</v>
      </c>
      <c r="J321" s="2">
        <f t="shared" si="34"/>
        <v>5.1600914739289754E-5</v>
      </c>
    </row>
    <row r="322" spans="1:10">
      <c r="A322" s="1">
        <v>52</v>
      </c>
      <c r="B322" s="1">
        <f t="shared" si="28"/>
        <v>325.14999999999998</v>
      </c>
      <c r="C322" s="1" t="s">
        <v>338</v>
      </c>
      <c r="D322" s="1">
        <v>1.49135</v>
      </c>
      <c r="E322" s="1">
        <f t="shared" si="29"/>
        <v>1491.35</v>
      </c>
      <c r="F322" s="1">
        <f t="shared" si="30"/>
        <v>1493.5848512041769</v>
      </c>
      <c r="G322" s="1">
        <f t="shared" si="31"/>
        <v>0.14963001280945895</v>
      </c>
      <c r="H322" s="8">
        <f t="shared" si="32"/>
        <v>3342.6960049999998</v>
      </c>
      <c r="I322" s="1">
        <f t="shared" si="33"/>
        <v>1493.654</v>
      </c>
      <c r="J322" s="2">
        <f t="shared" si="34"/>
        <v>4.6297199497831768E-5</v>
      </c>
    </row>
    <row r="323" spans="1:10">
      <c r="A323" s="1">
        <v>52.1</v>
      </c>
      <c r="B323" s="1">
        <f t="shared" ref="B323:B386" si="35">A323+273.15</f>
        <v>325.25</v>
      </c>
      <c r="C323" s="1" t="s">
        <v>339</v>
      </c>
      <c r="D323" s="1">
        <v>1.4885600000000001</v>
      </c>
      <c r="E323" s="1">
        <f t="shared" ref="E323:E386" si="36">D323/0.001</f>
        <v>1488.56</v>
      </c>
      <c r="F323" s="1">
        <f t="shared" ref="F323:F386" si="37">(H323*2700)/(H323+2700)</f>
        <v>1491.0748637198842</v>
      </c>
      <c r="G323" s="1">
        <f t="shared" ref="G323:G386" si="38">ABS(E323-F323)*100/F323</f>
        <v>0.16866113037478628</v>
      </c>
      <c r="H323" s="8">
        <f t="shared" ref="H323:H386" si="39">ROUND(10000*EXP(($L$3)+($M$3/B323)+($N$3/(B323^2))+($O$3/(B323^3))),6)</f>
        <v>3330.1500740000001</v>
      </c>
      <c r="I323" s="1">
        <f t="shared" ref="I323:I386" si="40">-23.64*B323+9180.2</f>
        <v>1491.29</v>
      </c>
      <c r="J323" s="2">
        <f t="shared" ref="J323:J386" si="41">ABS(I323-F323)/F323</f>
        <v>1.4428268180917663E-4</v>
      </c>
    </row>
    <row r="324" spans="1:10">
      <c r="A324" s="1">
        <v>52.2</v>
      </c>
      <c r="B324" s="1">
        <f t="shared" si="35"/>
        <v>325.35000000000002</v>
      </c>
      <c r="C324" s="1" t="s">
        <v>340</v>
      </c>
      <c r="D324" s="1">
        <v>1.4863</v>
      </c>
      <c r="E324" s="1">
        <f t="shared" si="36"/>
        <v>1486.3</v>
      </c>
      <c r="F324" s="1">
        <f t="shared" si="37"/>
        <v>1488.5652546764509</v>
      </c>
      <c r="G324" s="1">
        <f t="shared" si="38"/>
        <v>0.15217704896271342</v>
      </c>
      <c r="H324" s="8">
        <f t="shared" si="39"/>
        <v>3317.658011</v>
      </c>
      <c r="I324" s="1">
        <f t="shared" si="40"/>
        <v>1488.9259999999999</v>
      </c>
      <c r="J324" s="2">
        <f t="shared" si="41"/>
        <v>2.4234431269690233E-4</v>
      </c>
    </row>
    <row r="325" spans="1:10">
      <c r="A325" s="1">
        <v>52.3</v>
      </c>
      <c r="B325" s="1">
        <f t="shared" si="35"/>
        <v>325.45</v>
      </c>
      <c r="C325" s="1" t="s">
        <v>341</v>
      </c>
      <c r="D325" s="1">
        <v>1.4836800000000001</v>
      </c>
      <c r="E325" s="1">
        <f t="shared" si="36"/>
        <v>1483.68</v>
      </c>
      <c r="F325" s="1">
        <f t="shared" si="37"/>
        <v>1486.0560420185629</v>
      </c>
      <c r="G325" s="1">
        <f t="shared" si="38"/>
        <v>0.15988912607464129</v>
      </c>
      <c r="H325" s="8">
        <f t="shared" si="39"/>
        <v>3305.2195590000001</v>
      </c>
      <c r="I325" s="1">
        <f t="shared" si="40"/>
        <v>1486.5619999999999</v>
      </c>
      <c r="J325" s="2">
        <f t="shared" si="41"/>
        <v>3.4047032354828902E-4</v>
      </c>
    </row>
    <row r="326" spans="1:10">
      <c r="A326" s="1">
        <v>52.4</v>
      </c>
      <c r="B326" s="1">
        <f t="shared" si="35"/>
        <v>325.55</v>
      </c>
      <c r="C326" s="1" t="s">
        <v>342</v>
      </c>
      <c r="D326" s="1">
        <v>1.4812399999999999</v>
      </c>
      <c r="E326" s="1">
        <f t="shared" si="36"/>
        <v>1481.24</v>
      </c>
      <c r="F326" s="1">
        <f t="shared" si="37"/>
        <v>1483.5472435914583</v>
      </c>
      <c r="G326" s="1">
        <f t="shared" si="38"/>
        <v>0.15552208407416368</v>
      </c>
      <c r="H326" s="8">
        <f t="shared" si="39"/>
        <v>3292.8344619999998</v>
      </c>
      <c r="I326" s="1">
        <f t="shared" si="40"/>
        <v>1484.1980000000001</v>
      </c>
      <c r="J326" s="2">
        <f t="shared" si="41"/>
        <v>4.3864892833911292E-4</v>
      </c>
    </row>
    <row r="327" spans="1:10">
      <c r="A327" s="1">
        <v>52.5</v>
      </c>
      <c r="B327" s="1">
        <f t="shared" si="35"/>
        <v>325.64999999999998</v>
      </c>
      <c r="C327" s="1" t="s">
        <v>343</v>
      </c>
      <c r="D327" s="1">
        <v>1.47844</v>
      </c>
      <c r="E327" s="1">
        <f t="shared" si="36"/>
        <v>1478.44</v>
      </c>
      <c r="F327" s="1">
        <f t="shared" si="37"/>
        <v>1481.0388765291004</v>
      </c>
      <c r="G327" s="1">
        <f t="shared" si="38"/>
        <v>0.17547659080975622</v>
      </c>
      <c r="H327" s="8">
        <f t="shared" si="39"/>
        <v>3280.5024619999999</v>
      </c>
      <c r="I327" s="1">
        <f t="shared" si="40"/>
        <v>1481.8340000000001</v>
      </c>
      <c r="J327" s="2">
        <f t="shared" si="41"/>
        <v>5.3686873687140658E-4</v>
      </c>
    </row>
    <row r="328" spans="1:10">
      <c r="A328" s="1">
        <v>52.6</v>
      </c>
      <c r="B328" s="1">
        <f t="shared" si="35"/>
        <v>325.75</v>
      </c>
      <c r="C328" s="1" t="s">
        <v>344</v>
      </c>
      <c r="D328" s="1">
        <v>1.4764999999999999</v>
      </c>
      <c r="E328" s="1">
        <f t="shared" si="36"/>
        <v>1476.5</v>
      </c>
      <c r="F328" s="1">
        <f t="shared" si="37"/>
        <v>1478.5309586738842</v>
      </c>
      <c r="G328" s="1">
        <f t="shared" si="38"/>
        <v>0.13736328360048941</v>
      </c>
      <c r="H328" s="8">
        <f t="shared" si="39"/>
        <v>3268.2233059999999</v>
      </c>
      <c r="I328" s="1">
        <f t="shared" si="40"/>
        <v>1479.47</v>
      </c>
      <c r="J328" s="2">
        <f t="shared" si="41"/>
        <v>6.3511779757254754E-4</v>
      </c>
    </row>
    <row r="329" spans="1:10">
      <c r="A329" s="1">
        <v>52.7</v>
      </c>
      <c r="B329" s="1">
        <f t="shared" si="35"/>
        <v>325.85000000000002</v>
      </c>
      <c r="C329" s="1" t="s">
        <v>345</v>
      </c>
      <c r="D329" s="1">
        <v>1.4736899999999999</v>
      </c>
      <c r="E329" s="1">
        <f t="shared" si="36"/>
        <v>1473.69</v>
      </c>
      <c r="F329" s="1">
        <f t="shared" si="37"/>
        <v>1476.0235073600795</v>
      </c>
      <c r="G329" s="1">
        <f t="shared" si="38"/>
        <v>0.15809418674185119</v>
      </c>
      <c r="H329" s="8">
        <f t="shared" si="39"/>
        <v>3255.99674</v>
      </c>
      <c r="I329" s="1">
        <f t="shared" si="40"/>
        <v>1477.106</v>
      </c>
      <c r="J329" s="2">
        <f t="shared" si="41"/>
        <v>7.3338441733665255E-4</v>
      </c>
    </row>
    <row r="330" spans="1:10">
      <c r="A330" s="1">
        <v>52.8</v>
      </c>
      <c r="B330" s="1">
        <f t="shared" si="35"/>
        <v>325.95</v>
      </c>
      <c r="C330" s="1" t="s">
        <v>346</v>
      </c>
      <c r="D330" s="1">
        <v>1.4714</v>
      </c>
      <c r="E330" s="1">
        <f t="shared" si="36"/>
        <v>1471.4</v>
      </c>
      <c r="F330" s="1">
        <f t="shared" si="37"/>
        <v>1473.5165404368599</v>
      </c>
      <c r="G330" s="1">
        <f t="shared" si="38"/>
        <v>0.14363872944597894</v>
      </c>
      <c r="H330" s="8">
        <f t="shared" si="39"/>
        <v>3243.822514</v>
      </c>
      <c r="I330" s="1">
        <f t="shared" si="40"/>
        <v>1474.742</v>
      </c>
      <c r="J330" s="2">
        <f t="shared" si="41"/>
        <v>8.316564690727552E-4</v>
      </c>
    </row>
    <row r="331" spans="1:10">
      <c r="A331" s="1">
        <v>52.9</v>
      </c>
      <c r="B331" s="1">
        <f t="shared" si="35"/>
        <v>326.05</v>
      </c>
      <c r="C331" s="1" t="s">
        <v>347</v>
      </c>
      <c r="D331" s="1">
        <v>1.46875</v>
      </c>
      <c r="E331" s="1">
        <f t="shared" si="36"/>
        <v>1468.75</v>
      </c>
      <c r="F331" s="1">
        <f t="shared" si="37"/>
        <v>1471.0100750375461</v>
      </c>
      <c r="G331" s="1">
        <f t="shared" si="38"/>
        <v>0.15364103046598399</v>
      </c>
      <c r="H331" s="8">
        <f t="shared" si="39"/>
        <v>3231.7003759999998</v>
      </c>
      <c r="I331" s="1">
        <f t="shared" si="40"/>
        <v>1472.3779999999999</v>
      </c>
      <c r="J331" s="2">
        <f t="shared" si="41"/>
        <v>9.2992222532458442E-4</v>
      </c>
    </row>
    <row r="332" spans="1:10">
      <c r="A332" s="1">
        <v>53</v>
      </c>
      <c r="B332" s="1">
        <f t="shared" si="35"/>
        <v>326.14999999999998</v>
      </c>
      <c r="C332" s="1" t="s">
        <v>348</v>
      </c>
      <c r="D332" s="1">
        <v>1.46627</v>
      </c>
      <c r="E332" s="1">
        <f t="shared" si="36"/>
        <v>1466.27</v>
      </c>
      <c r="F332" s="1">
        <f t="shared" si="37"/>
        <v>1468.5041288149221</v>
      </c>
      <c r="G332" s="1">
        <f t="shared" si="38"/>
        <v>0.15213636591713378</v>
      </c>
      <c r="H332" s="8">
        <f t="shared" si="39"/>
        <v>3219.6300780000001</v>
      </c>
      <c r="I332" s="1">
        <f t="shared" si="40"/>
        <v>1470.0139999999999</v>
      </c>
      <c r="J332" s="2">
        <f t="shared" si="41"/>
        <v>1.0281695198884379E-3</v>
      </c>
    </row>
    <row r="333" spans="1:10">
      <c r="A333" s="1">
        <v>53.1</v>
      </c>
      <c r="B333" s="1">
        <f t="shared" si="35"/>
        <v>326.25</v>
      </c>
      <c r="C333" s="1" t="s">
        <v>349</v>
      </c>
      <c r="D333" s="1">
        <v>1.4637899999999999</v>
      </c>
      <c r="E333" s="1">
        <f t="shared" si="36"/>
        <v>1463.79</v>
      </c>
      <c r="F333" s="1">
        <f t="shared" si="37"/>
        <v>1465.9987193270645</v>
      </c>
      <c r="G333" s="1">
        <f t="shared" si="38"/>
        <v>0.15066311436331717</v>
      </c>
      <c r="H333" s="8">
        <f t="shared" si="39"/>
        <v>3207.6113730000002</v>
      </c>
      <c r="I333" s="1">
        <f t="shared" si="40"/>
        <v>1467.65</v>
      </c>
      <c r="J333" s="2">
        <f t="shared" si="41"/>
        <v>1.1263861633478182E-3</v>
      </c>
    </row>
    <row r="334" spans="1:10">
      <c r="A334" s="1">
        <v>53.2</v>
      </c>
      <c r="B334" s="1">
        <f t="shared" si="35"/>
        <v>326.35000000000002</v>
      </c>
      <c r="C334" s="1" t="s">
        <v>350</v>
      </c>
      <c r="D334" s="1">
        <v>1.46096</v>
      </c>
      <c r="E334" s="1">
        <f t="shared" si="36"/>
        <v>1460.96</v>
      </c>
      <c r="F334" s="1">
        <f t="shared" si="37"/>
        <v>1463.4938634079792</v>
      </c>
      <c r="G334" s="1">
        <f t="shared" si="38"/>
        <v>0.17313795919025526</v>
      </c>
      <c r="H334" s="8">
        <f t="shared" si="39"/>
        <v>3195.6440120000002</v>
      </c>
      <c r="I334" s="1">
        <f t="shared" si="40"/>
        <v>1465.2860000000001</v>
      </c>
      <c r="J334" s="2">
        <f t="shared" si="41"/>
        <v>1.2245603735211764E-3</v>
      </c>
    </row>
    <row r="335" spans="1:10">
      <c r="A335" s="1">
        <v>53.3</v>
      </c>
      <c r="B335" s="1">
        <f t="shared" si="35"/>
        <v>326.45</v>
      </c>
      <c r="C335" s="1" t="s">
        <v>351</v>
      </c>
      <c r="D335" s="1">
        <v>1.4588099999999999</v>
      </c>
      <c r="E335" s="1">
        <f t="shared" si="36"/>
        <v>1458.81</v>
      </c>
      <c r="F335" s="1">
        <f t="shared" si="37"/>
        <v>1460.9895790499536</v>
      </c>
      <c r="G335" s="1">
        <f t="shared" si="38"/>
        <v>0.1491851195387015</v>
      </c>
      <c r="H335" s="8">
        <f t="shared" si="39"/>
        <v>3183.7277530000001</v>
      </c>
      <c r="I335" s="1">
        <f t="shared" si="40"/>
        <v>1462.922</v>
      </c>
      <c r="J335" s="2">
        <f t="shared" si="41"/>
        <v>1.3226794891330038E-3</v>
      </c>
    </row>
    <row r="336" spans="1:10">
      <c r="A336" s="1">
        <v>53.4</v>
      </c>
      <c r="B336" s="1">
        <f t="shared" si="35"/>
        <v>326.55</v>
      </c>
      <c r="C336" s="1" t="s">
        <v>352</v>
      </c>
      <c r="D336" s="1">
        <v>1.4563200000000001</v>
      </c>
      <c r="E336" s="1">
        <f t="shared" si="36"/>
        <v>1456.32</v>
      </c>
      <c r="F336" s="1">
        <f t="shared" si="37"/>
        <v>1458.485883103169</v>
      </c>
      <c r="G336" s="1">
        <f t="shared" si="38"/>
        <v>0.14850216435148722</v>
      </c>
      <c r="H336" s="8">
        <f t="shared" si="39"/>
        <v>3171.8623499999999</v>
      </c>
      <c r="I336" s="1">
        <f t="shared" si="40"/>
        <v>1460.558</v>
      </c>
      <c r="J336" s="2">
        <f t="shared" si="41"/>
        <v>1.420731541413468E-3</v>
      </c>
    </row>
    <row r="337" spans="1:10">
      <c r="A337" s="1">
        <v>53.5</v>
      </c>
      <c r="B337" s="1">
        <f t="shared" si="35"/>
        <v>326.64999999999998</v>
      </c>
      <c r="C337" s="1" t="s">
        <v>353</v>
      </c>
      <c r="D337" s="1">
        <v>1.45347</v>
      </c>
      <c r="E337" s="1">
        <f t="shared" si="36"/>
        <v>1453.47</v>
      </c>
      <c r="F337" s="1">
        <f t="shared" si="37"/>
        <v>1455.9827929526255</v>
      </c>
      <c r="G337" s="1">
        <f t="shared" si="38"/>
        <v>0.17258397316150101</v>
      </c>
      <c r="H337" s="8">
        <f t="shared" si="39"/>
        <v>3160.0475609999999</v>
      </c>
      <c r="I337" s="1">
        <f t="shared" si="40"/>
        <v>1458.194</v>
      </c>
      <c r="J337" s="2">
        <f t="shared" si="41"/>
        <v>1.5187041069972648E-3</v>
      </c>
    </row>
    <row r="338" spans="1:10">
      <c r="A338" s="1">
        <v>53.6</v>
      </c>
      <c r="B338" s="1">
        <f t="shared" si="35"/>
        <v>326.75</v>
      </c>
      <c r="C338" s="1" t="s">
        <v>354</v>
      </c>
      <c r="D338" s="1">
        <v>1.4509700000000001</v>
      </c>
      <c r="E338" s="1">
        <f t="shared" si="36"/>
        <v>1450.97</v>
      </c>
      <c r="F338" s="1">
        <f t="shared" si="37"/>
        <v>1453.4803258914374</v>
      </c>
      <c r="G338" s="1">
        <f t="shared" si="38"/>
        <v>0.17271137742423304</v>
      </c>
      <c r="H338" s="8">
        <f t="shared" si="39"/>
        <v>3148.2831449999999</v>
      </c>
      <c r="I338" s="1">
        <f t="shared" si="40"/>
        <v>1455.83</v>
      </c>
      <c r="J338" s="2">
        <f t="shared" si="41"/>
        <v>1.6165847357593115E-3</v>
      </c>
    </row>
    <row r="339" spans="1:10">
      <c r="A339" s="1">
        <v>53.7</v>
      </c>
      <c r="B339" s="1">
        <f t="shared" si="35"/>
        <v>326.85000000000002</v>
      </c>
      <c r="C339" s="1" t="s">
        <v>355</v>
      </c>
      <c r="D339" s="1">
        <v>1.4488000000000001</v>
      </c>
      <c r="E339" s="1">
        <f t="shared" si="36"/>
        <v>1448.8</v>
      </c>
      <c r="F339" s="1">
        <f t="shared" si="37"/>
        <v>1450.9784989068087</v>
      </c>
      <c r="G339" s="1">
        <f t="shared" si="38"/>
        <v>0.15013998542707865</v>
      </c>
      <c r="H339" s="8">
        <f t="shared" si="39"/>
        <v>3136.5688610000002</v>
      </c>
      <c r="I339" s="1">
        <f t="shared" si="40"/>
        <v>1453.4659999999999</v>
      </c>
      <c r="J339" s="2">
        <f t="shared" si="41"/>
        <v>1.7143610984348408E-3</v>
      </c>
    </row>
    <row r="340" spans="1:10">
      <c r="A340" s="1">
        <v>53.8</v>
      </c>
      <c r="B340" s="1">
        <f t="shared" si="35"/>
        <v>326.95</v>
      </c>
      <c r="C340" s="1" t="s">
        <v>356</v>
      </c>
      <c r="D340" s="1">
        <v>1.44628</v>
      </c>
      <c r="E340" s="1">
        <f t="shared" si="36"/>
        <v>1446.28</v>
      </c>
      <c r="F340" s="1">
        <f t="shared" si="37"/>
        <v>1448.4773295351649</v>
      </c>
      <c r="G340" s="1">
        <f t="shared" si="38"/>
        <v>0.1516992700099839</v>
      </c>
      <c r="H340" s="8">
        <f t="shared" si="39"/>
        <v>3124.9044720000002</v>
      </c>
      <c r="I340" s="1">
        <f t="shared" si="40"/>
        <v>1451.1020000000001</v>
      </c>
      <c r="J340" s="2">
        <f t="shared" si="41"/>
        <v>1.812020396396161E-3</v>
      </c>
    </row>
    <row r="341" spans="1:10">
      <c r="A341" s="1">
        <v>53.9</v>
      </c>
      <c r="B341" s="1">
        <f t="shared" si="35"/>
        <v>327.05</v>
      </c>
      <c r="C341" s="1" t="s">
        <v>357</v>
      </c>
      <c r="D341" s="1">
        <v>1.4434199999999999</v>
      </c>
      <c r="E341" s="1">
        <f t="shared" si="36"/>
        <v>1443.42</v>
      </c>
      <c r="F341" s="1">
        <f t="shared" si="37"/>
        <v>1445.9768345807543</v>
      </c>
      <c r="G341" s="1">
        <f t="shared" si="38"/>
        <v>0.17682403477062009</v>
      </c>
      <c r="H341" s="8">
        <f t="shared" si="39"/>
        <v>3113.2897389999998</v>
      </c>
      <c r="I341" s="1">
        <f t="shared" si="40"/>
        <v>1448.7380000000001</v>
      </c>
      <c r="J341" s="2">
        <f t="shared" si="41"/>
        <v>1.9095502453511781E-3</v>
      </c>
    </row>
    <row r="342" spans="1:10">
      <c r="A342" s="1">
        <v>54</v>
      </c>
      <c r="B342" s="1">
        <f t="shared" si="35"/>
        <v>327.14999999999998</v>
      </c>
      <c r="C342" s="1" t="s">
        <v>358</v>
      </c>
      <c r="D342" s="1">
        <v>1.4410700000000001</v>
      </c>
      <c r="E342" s="1">
        <f t="shared" si="36"/>
        <v>1441.07</v>
      </c>
      <c r="F342" s="1">
        <f t="shared" si="37"/>
        <v>1443.4770314022708</v>
      </c>
      <c r="G342" s="1">
        <f t="shared" si="38"/>
        <v>0.16675231748803876</v>
      </c>
      <c r="H342" s="8">
        <f t="shared" si="39"/>
        <v>3101.7244270000001</v>
      </c>
      <c r="I342" s="1">
        <f t="shared" si="40"/>
        <v>1446.374</v>
      </c>
      <c r="J342" s="2">
        <f t="shared" si="41"/>
        <v>2.0069377861281143E-3</v>
      </c>
    </row>
    <row r="343" spans="1:10">
      <c r="A343" s="1">
        <v>54.1</v>
      </c>
      <c r="B343" s="1">
        <f t="shared" si="35"/>
        <v>327.25</v>
      </c>
      <c r="C343" s="1" t="s">
        <v>359</v>
      </c>
      <c r="D343" s="1">
        <v>1.4388799999999999</v>
      </c>
      <c r="E343" s="1">
        <f t="shared" si="36"/>
        <v>1438.88</v>
      </c>
      <c r="F343" s="1">
        <f t="shared" si="37"/>
        <v>1440.9779368386451</v>
      </c>
      <c r="G343" s="1">
        <f t="shared" si="38"/>
        <v>0.14559118394606438</v>
      </c>
      <c r="H343" s="8">
        <f t="shared" si="39"/>
        <v>3090.2082999999998</v>
      </c>
      <c r="I343" s="1">
        <f t="shared" si="40"/>
        <v>1444.01</v>
      </c>
      <c r="J343" s="2">
        <f t="shared" si="41"/>
        <v>2.1041704274854869E-3</v>
      </c>
    </row>
    <row r="344" spans="1:10">
      <c r="A344" s="1">
        <v>54.2</v>
      </c>
      <c r="B344" s="1">
        <f t="shared" si="35"/>
        <v>327.35000000000002</v>
      </c>
      <c r="C344" s="1" t="s">
        <v>360</v>
      </c>
      <c r="D344" s="1">
        <v>1.4361699999999999</v>
      </c>
      <c r="E344" s="1">
        <f t="shared" si="36"/>
        <v>1436.17</v>
      </c>
      <c r="F344" s="1">
        <f t="shared" si="37"/>
        <v>1438.479568073747</v>
      </c>
      <c r="G344" s="1">
        <f t="shared" si="38"/>
        <v>0.16055619593121351</v>
      </c>
      <c r="H344" s="8">
        <f t="shared" si="39"/>
        <v>3078.741125</v>
      </c>
      <c r="I344" s="1">
        <f t="shared" si="40"/>
        <v>1441.646</v>
      </c>
      <c r="J344" s="2">
        <f t="shared" si="41"/>
        <v>2.2012352462489697E-3</v>
      </c>
    </row>
    <row r="345" spans="1:10">
      <c r="A345" s="1">
        <v>54.3</v>
      </c>
      <c r="B345" s="1">
        <f t="shared" si="35"/>
        <v>327.45</v>
      </c>
      <c r="C345" s="1" t="s">
        <v>361</v>
      </c>
      <c r="D345" s="1">
        <v>1.43397</v>
      </c>
      <c r="E345" s="1">
        <f t="shared" si="36"/>
        <v>1433.97</v>
      </c>
      <c r="F345" s="1">
        <f t="shared" si="37"/>
        <v>1435.9819417684782</v>
      </c>
      <c r="G345" s="1">
        <f t="shared" si="38"/>
        <v>0.14010912741704884</v>
      </c>
      <c r="H345" s="8">
        <f t="shared" si="39"/>
        <v>3067.3226679999998</v>
      </c>
      <c r="I345" s="1">
        <f t="shared" si="40"/>
        <v>1439.2819999999999</v>
      </c>
      <c r="J345" s="2">
        <f t="shared" si="41"/>
        <v>2.2981195901791871E-3</v>
      </c>
    </row>
    <row r="346" spans="1:10">
      <c r="A346" s="1">
        <v>54.4</v>
      </c>
      <c r="B346" s="1">
        <f t="shared" si="35"/>
        <v>327.55</v>
      </c>
      <c r="C346" s="1" t="s">
        <v>362</v>
      </c>
      <c r="D346" s="1">
        <v>1.43109</v>
      </c>
      <c r="E346" s="1">
        <f t="shared" si="36"/>
        <v>1431.09</v>
      </c>
      <c r="F346" s="1">
        <f t="shared" si="37"/>
        <v>1433.4850751524566</v>
      </c>
      <c r="G346" s="1">
        <f t="shared" si="38"/>
        <v>0.16708057823357236</v>
      </c>
      <c r="H346" s="8">
        <f t="shared" si="39"/>
        <v>3055.9526989999999</v>
      </c>
      <c r="I346" s="1">
        <f t="shared" si="40"/>
        <v>1436.9179999999999</v>
      </c>
      <c r="J346" s="2">
        <f t="shared" si="41"/>
        <v>2.3948103172111409E-3</v>
      </c>
    </row>
    <row r="347" spans="1:10">
      <c r="A347" s="1">
        <v>54.5</v>
      </c>
      <c r="B347" s="1">
        <f t="shared" si="35"/>
        <v>327.64999999999998</v>
      </c>
      <c r="C347" s="1" t="s">
        <v>363</v>
      </c>
      <c r="D347" s="1">
        <v>1.4287099999999999</v>
      </c>
      <c r="E347" s="1">
        <f t="shared" si="36"/>
        <v>1428.71</v>
      </c>
      <c r="F347" s="1">
        <f t="shared" si="37"/>
        <v>1430.9889849326887</v>
      </c>
      <c r="G347" s="1">
        <f t="shared" si="38"/>
        <v>0.15925943223077094</v>
      </c>
      <c r="H347" s="8">
        <f t="shared" si="39"/>
        <v>3044.630987</v>
      </c>
      <c r="I347" s="1">
        <f t="shared" si="40"/>
        <v>1434.5540000000001</v>
      </c>
      <c r="J347" s="2">
        <f t="shared" si="41"/>
        <v>2.4912945556174711E-3</v>
      </c>
    </row>
    <row r="348" spans="1:10">
      <c r="A348" s="1">
        <v>54.6</v>
      </c>
      <c r="B348" s="1">
        <f t="shared" si="35"/>
        <v>327.75</v>
      </c>
      <c r="C348" s="1" t="s">
        <v>364</v>
      </c>
      <c r="D348" s="1">
        <v>1.4261600000000001</v>
      </c>
      <c r="E348" s="1">
        <f t="shared" si="36"/>
        <v>1426.16</v>
      </c>
      <c r="F348" s="1">
        <f t="shared" si="37"/>
        <v>1428.4936881722033</v>
      </c>
      <c r="G348" s="1">
        <f t="shared" si="38"/>
        <v>0.16336706220867017</v>
      </c>
      <c r="H348" s="8">
        <f t="shared" si="39"/>
        <v>3033.3573040000001</v>
      </c>
      <c r="I348" s="1">
        <f t="shared" si="40"/>
        <v>1432.19</v>
      </c>
      <c r="J348" s="2">
        <f t="shared" si="41"/>
        <v>2.587559089971405E-3</v>
      </c>
    </row>
    <row r="349" spans="1:10">
      <c r="A349" s="1">
        <v>54.7</v>
      </c>
      <c r="B349" s="1">
        <f t="shared" si="35"/>
        <v>327.85</v>
      </c>
      <c r="C349" s="1" t="s">
        <v>365</v>
      </c>
      <c r="D349" s="1">
        <v>1.4236</v>
      </c>
      <c r="E349" s="1">
        <f t="shared" si="36"/>
        <v>1423.6</v>
      </c>
      <c r="F349" s="1">
        <f t="shared" si="37"/>
        <v>1425.999201408415</v>
      </c>
      <c r="G349" s="1">
        <f t="shared" si="38"/>
        <v>0.16824703730868301</v>
      </c>
      <c r="H349" s="8">
        <f t="shared" si="39"/>
        <v>3022.131421</v>
      </c>
      <c r="I349" s="1">
        <f t="shared" si="40"/>
        <v>1429.826</v>
      </c>
      <c r="J349" s="2">
        <f t="shared" si="41"/>
        <v>2.6835909780351663E-3</v>
      </c>
    </row>
    <row r="350" spans="1:10">
      <c r="A350" s="1">
        <v>54.8</v>
      </c>
      <c r="B350" s="1">
        <f t="shared" si="35"/>
        <v>327.95</v>
      </c>
      <c r="C350" s="1" t="s">
        <v>366</v>
      </c>
      <c r="D350" s="1">
        <v>1.4212100000000001</v>
      </c>
      <c r="E350" s="1">
        <f t="shared" si="36"/>
        <v>1421.21</v>
      </c>
      <c r="F350" s="1">
        <f t="shared" si="37"/>
        <v>1423.5055417622723</v>
      </c>
      <c r="G350" s="1">
        <f t="shared" si="38"/>
        <v>0.16125976997816352</v>
      </c>
      <c r="H350" s="8">
        <f t="shared" si="39"/>
        <v>3010.953113</v>
      </c>
      <c r="I350" s="1">
        <f t="shared" si="40"/>
        <v>1427.462</v>
      </c>
      <c r="J350" s="2">
        <f t="shared" si="41"/>
        <v>2.779376772098606E-3</v>
      </c>
    </row>
    <row r="351" spans="1:10">
      <c r="A351" s="1">
        <v>54.9</v>
      </c>
      <c r="B351" s="1">
        <f t="shared" si="35"/>
        <v>328.05</v>
      </c>
      <c r="C351" s="1" t="s">
        <v>367</v>
      </c>
      <c r="D351" s="1">
        <v>1.4188099999999999</v>
      </c>
      <c r="E351" s="1">
        <f t="shared" si="36"/>
        <v>1418.81</v>
      </c>
      <c r="F351" s="1">
        <f t="shared" si="37"/>
        <v>1421.0127256053001</v>
      </c>
      <c r="G351" s="1">
        <f t="shared" si="38"/>
        <v>0.15501096968444955</v>
      </c>
      <c r="H351" s="8">
        <f t="shared" si="39"/>
        <v>2999.8221530000001</v>
      </c>
      <c r="I351" s="1">
        <f t="shared" si="40"/>
        <v>1425.098</v>
      </c>
      <c r="J351" s="2">
        <f t="shared" si="41"/>
        <v>2.8749034551816765E-3</v>
      </c>
    </row>
    <row r="352" spans="1:10">
      <c r="A352" s="1">
        <v>55</v>
      </c>
      <c r="B352" s="1">
        <f t="shared" si="35"/>
        <v>328.15</v>
      </c>
      <c r="C352" s="1" t="s">
        <v>368</v>
      </c>
      <c r="D352" s="1">
        <v>1.4162399999999999</v>
      </c>
      <c r="E352" s="1">
        <f t="shared" si="36"/>
        <v>1416.24</v>
      </c>
      <c r="F352" s="1">
        <f t="shared" si="37"/>
        <v>1418.5207698984198</v>
      </c>
      <c r="G352" s="1">
        <f t="shared" si="38"/>
        <v>0.1607850901318191</v>
      </c>
      <c r="H352" s="8">
        <f t="shared" si="39"/>
        <v>2988.7383180000002</v>
      </c>
      <c r="I352" s="1">
        <f t="shared" si="40"/>
        <v>1422.7339999999999</v>
      </c>
      <c r="J352" s="2">
        <f t="shared" si="41"/>
        <v>2.9701574985623053E-3</v>
      </c>
    </row>
    <row r="353" spans="1:10">
      <c r="A353" s="1">
        <v>55.1</v>
      </c>
      <c r="B353" s="1">
        <f t="shared" si="35"/>
        <v>328.25</v>
      </c>
      <c r="C353" s="1" t="s">
        <v>369</v>
      </c>
      <c r="D353" s="1">
        <v>1.41367</v>
      </c>
      <c r="E353" s="1">
        <f t="shared" si="36"/>
        <v>1413.67</v>
      </c>
      <c r="F353" s="1">
        <f t="shared" si="37"/>
        <v>1416.0296913008572</v>
      </c>
      <c r="G353" s="1">
        <f t="shared" si="38"/>
        <v>0.16664137167133319</v>
      </c>
      <c r="H353" s="8">
        <f t="shared" si="39"/>
        <v>2977.7013849999998</v>
      </c>
      <c r="I353" s="1">
        <f t="shared" si="40"/>
        <v>1420.37</v>
      </c>
      <c r="J353" s="2">
        <f t="shared" si="41"/>
        <v>3.0651254884037312E-3</v>
      </c>
    </row>
    <row r="354" spans="1:10">
      <c r="A354" s="1">
        <v>55.2</v>
      </c>
      <c r="B354" s="1">
        <f t="shared" si="35"/>
        <v>328.35</v>
      </c>
      <c r="C354" s="1" t="s">
        <v>370</v>
      </c>
      <c r="D354" s="1">
        <v>1.41109</v>
      </c>
      <c r="E354" s="1">
        <f t="shared" si="36"/>
        <v>1411.09</v>
      </c>
      <c r="F354" s="1">
        <f t="shared" si="37"/>
        <v>1413.5395061661561</v>
      </c>
      <c r="G354" s="1">
        <f t="shared" si="38"/>
        <v>0.17328883667353742</v>
      </c>
      <c r="H354" s="8">
        <f t="shared" si="39"/>
        <v>2966.711131</v>
      </c>
      <c r="I354" s="1">
        <f t="shared" si="40"/>
        <v>1418.0060000000001</v>
      </c>
      <c r="J354" s="2">
        <f t="shared" si="41"/>
        <v>3.1597941298139782E-3</v>
      </c>
    </row>
    <row r="355" spans="1:10">
      <c r="A355" s="1">
        <v>55.3</v>
      </c>
      <c r="B355" s="1">
        <f t="shared" si="35"/>
        <v>328.45</v>
      </c>
      <c r="C355" s="1" t="s">
        <v>371</v>
      </c>
      <c r="D355" s="1">
        <v>1.4086700000000001</v>
      </c>
      <c r="E355" s="1">
        <f t="shared" si="36"/>
        <v>1408.67</v>
      </c>
      <c r="F355" s="1">
        <f t="shared" si="37"/>
        <v>1411.0502312218878</v>
      </c>
      <c r="G355" s="1">
        <f t="shared" si="38"/>
        <v>0.16868508074489705</v>
      </c>
      <c r="H355" s="8">
        <f t="shared" si="39"/>
        <v>2955.7673359999999</v>
      </c>
      <c r="I355" s="1">
        <f t="shared" si="40"/>
        <v>1415.6420000000001</v>
      </c>
      <c r="J355" s="2">
        <f t="shared" si="41"/>
        <v>3.2541497648429399E-3</v>
      </c>
    </row>
    <row r="356" spans="1:10">
      <c r="A356" s="1">
        <v>55.4</v>
      </c>
      <c r="B356" s="1">
        <f t="shared" si="35"/>
        <v>328.55</v>
      </c>
      <c r="C356" s="1" t="s">
        <v>372</v>
      </c>
      <c r="D356" s="1">
        <v>1.40625</v>
      </c>
      <c r="E356" s="1">
        <f t="shared" si="36"/>
        <v>1406.25</v>
      </c>
      <c r="F356" s="1">
        <f t="shared" si="37"/>
        <v>1408.5618828925403</v>
      </c>
      <c r="G356" s="1">
        <f t="shared" si="38"/>
        <v>0.16413072940698761</v>
      </c>
      <c r="H356" s="8">
        <f t="shared" si="39"/>
        <v>2944.86978</v>
      </c>
      <c r="I356" s="1">
        <f t="shared" si="40"/>
        <v>1413.278</v>
      </c>
      <c r="J356" s="2">
        <f t="shared" si="41"/>
        <v>3.3481788515922015E-3</v>
      </c>
    </row>
    <row r="357" spans="1:10">
      <c r="A357" s="1">
        <v>55.5</v>
      </c>
      <c r="B357" s="1">
        <f t="shared" si="35"/>
        <v>328.65</v>
      </c>
      <c r="C357" s="1" t="s">
        <v>373</v>
      </c>
      <c r="D357" s="1">
        <v>1.4036599999999999</v>
      </c>
      <c r="E357" s="1">
        <f t="shared" si="36"/>
        <v>1403.66</v>
      </c>
      <c r="F357" s="1">
        <f t="shared" si="37"/>
        <v>1406.0744779845713</v>
      </c>
      <c r="G357" s="1">
        <f t="shared" si="38"/>
        <v>0.17171764528662065</v>
      </c>
      <c r="H357" s="8">
        <f t="shared" si="39"/>
        <v>2934.0182460000001</v>
      </c>
      <c r="I357" s="1">
        <f t="shared" si="40"/>
        <v>1410.914</v>
      </c>
      <c r="J357" s="2">
        <f t="shared" si="41"/>
        <v>3.4418674765831002E-3</v>
      </c>
    </row>
    <row r="358" spans="1:10">
      <c r="A358" s="1">
        <v>55.6</v>
      </c>
      <c r="B358" s="1">
        <f t="shared" si="35"/>
        <v>328.75</v>
      </c>
      <c r="C358" s="1" t="s">
        <v>374</v>
      </c>
      <c r="D358" s="1">
        <v>1.4013899999999999</v>
      </c>
      <c r="E358" s="1">
        <f t="shared" si="36"/>
        <v>1401.39</v>
      </c>
      <c r="F358" s="1">
        <f t="shared" si="37"/>
        <v>1403.5880323124491</v>
      </c>
      <c r="G358" s="1">
        <f t="shared" si="38"/>
        <v>0.15660095853251479</v>
      </c>
      <c r="H358" s="8">
        <f t="shared" si="39"/>
        <v>2923.2125139999998</v>
      </c>
      <c r="I358" s="1">
        <f t="shared" si="40"/>
        <v>1408.55</v>
      </c>
      <c r="J358" s="2">
        <f t="shared" si="41"/>
        <v>3.5352023338186492E-3</v>
      </c>
    </row>
    <row r="359" spans="1:10">
      <c r="A359" s="1">
        <v>55.7</v>
      </c>
      <c r="B359" s="1">
        <f t="shared" si="35"/>
        <v>328.85</v>
      </c>
      <c r="C359" s="1" t="s">
        <v>375</v>
      </c>
      <c r="D359" s="1">
        <v>1.39879</v>
      </c>
      <c r="E359" s="1">
        <f t="shared" si="36"/>
        <v>1398.79</v>
      </c>
      <c r="F359" s="1">
        <f t="shared" si="37"/>
        <v>1401.1025629958081</v>
      </c>
      <c r="G359" s="1">
        <f t="shared" si="38"/>
        <v>0.16505308439829131</v>
      </c>
      <c r="H359" s="8">
        <f t="shared" si="39"/>
        <v>2912.4523709999999</v>
      </c>
      <c r="I359" s="1">
        <f t="shared" si="40"/>
        <v>1406.1859999999999</v>
      </c>
      <c r="J359" s="2">
        <f t="shared" si="41"/>
        <v>3.6281690851543134E-3</v>
      </c>
    </row>
    <row r="360" spans="1:10">
      <c r="A360" s="1">
        <v>55.8</v>
      </c>
      <c r="B360" s="1">
        <f t="shared" si="35"/>
        <v>328.95</v>
      </c>
      <c r="C360" s="1" t="s">
        <v>376</v>
      </c>
      <c r="D360" s="1">
        <v>1.39635</v>
      </c>
      <c r="E360" s="1">
        <f t="shared" si="36"/>
        <v>1396.35</v>
      </c>
      <c r="F360" s="1">
        <f t="shared" si="37"/>
        <v>1398.6180856987337</v>
      </c>
      <c r="G360" s="1">
        <f t="shared" si="38"/>
        <v>0.16216619261009163</v>
      </c>
      <c r="H360" s="8">
        <f t="shared" si="39"/>
        <v>2901.737599</v>
      </c>
      <c r="I360" s="1">
        <f t="shared" si="40"/>
        <v>1403.8219999999999</v>
      </c>
      <c r="J360" s="2">
        <f t="shared" si="41"/>
        <v>3.7207543320636948E-3</v>
      </c>
    </row>
    <row r="361" spans="1:10">
      <c r="A361" s="1">
        <v>55.9</v>
      </c>
      <c r="B361" s="1">
        <f t="shared" si="35"/>
        <v>329.05</v>
      </c>
      <c r="C361" s="1" t="s">
        <v>377</v>
      </c>
      <c r="D361" s="1">
        <v>1.39374</v>
      </c>
      <c r="E361" s="1">
        <f t="shared" si="36"/>
        <v>1393.74</v>
      </c>
      <c r="F361" s="1">
        <f t="shared" si="37"/>
        <v>1396.134617169007</v>
      </c>
      <c r="G361" s="1">
        <f t="shared" si="38"/>
        <v>0.17151764160555366</v>
      </c>
      <c r="H361" s="8">
        <f t="shared" si="39"/>
        <v>2891.067986</v>
      </c>
      <c r="I361" s="1">
        <f t="shared" si="40"/>
        <v>1401.4580000000001</v>
      </c>
      <c r="J361" s="2">
        <f t="shared" si="41"/>
        <v>3.812943798920684E-3</v>
      </c>
    </row>
    <row r="362" spans="1:10">
      <c r="A362" s="1">
        <v>56</v>
      </c>
      <c r="B362" s="1">
        <f t="shared" si="35"/>
        <v>329.15</v>
      </c>
      <c r="C362" s="1" t="s">
        <v>378</v>
      </c>
      <c r="D362" s="1">
        <v>1.3914500000000001</v>
      </c>
      <c r="E362" s="1">
        <f t="shared" si="36"/>
        <v>1391.45</v>
      </c>
      <c r="F362" s="1">
        <f t="shared" si="37"/>
        <v>1393.6521736222296</v>
      </c>
      <c r="G362" s="1">
        <f t="shared" si="38"/>
        <v>0.15801457952782544</v>
      </c>
      <c r="H362" s="8">
        <f t="shared" si="39"/>
        <v>2880.443319</v>
      </c>
      <c r="I362" s="1">
        <f t="shared" si="40"/>
        <v>1399.0940000000001</v>
      </c>
      <c r="J362" s="2">
        <f t="shared" si="41"/>
        <v>3.9047234889510733E-3</v>
      </c>
    </row>
    <row r="363" spans="1:10">
      <c r="A363" s="1">
        <v>56.1</v>
      </c>
      <c r="B363" s="1">
        <f t="shared" si="35"/>
        <v>329.25</v>
      </c>
      <c r="C363" s="1" t="s">
        <v>379</v>
      </c>
      <c r="D363" s="1">
        <v>1.389</v>
      </c>
      <c r="E363" s="1">
        <f t="shared" si="36"/>
        <v>1389</v>
      </c>
      <c r="F363" s="1">
        <f t="shared" si="37"/>
        <v>1391.1707712035434</v>
      </c>
      <c r="G363" s="1">
        <f t="shared" si="38"/>
        <v>0.15603916129328843</v>
      </c>
      <c r="H363" s="8">
        <f t="shared" si="39"/>
        <v>2869.863386</v>
      </c>
      <c r="I363" s="1">
        <f t="shared" si="40"/>
        <v>1396.73</v>
      </c>
      <c r="J363" s="2">
        <f t="shared" si="41"/>
        <v>3.9960793538288486E-3</v>
      </c>
    </row>
    <row r="364" spans="1:10">
      <c r="A364" s="1">
        <v>56.2</v>
      </c>
      <c r="B364" s="1">
        <f t="shared" si="35"/>
        <v>329.35</v>
      </c>
      <c r="C364" s="1" t="s">
        <v>380</v>
      </c>
      <c r="D364" s="1">
        <v>1.3863799999999999</v>
      </c>
      <c r="E364" s="1">
        <f t="shared" si="36"/>
        <v>1386.38</v>
      </c>
      <c r="F364" s="1">
        <f t="shared" si="37"/>
        <v>1388.6904259882795</v>
      </c>
      <c r="G364" s="1">
        <f t="shared" si="38"/>
        <v>0.16637444494766385</v>
      </c>
      <c r="H364" s="8">
        <f t="shared" si="39"/>
        <v>2859.327976</v>
      </c>
      <c r="I364" s="1">
        <f t="shared" si="40"/>
        <v>1394.366</v>
      </c>
      <c r="J364" s="2">
        <f t="shared" si="41"/>
        <v>4.0869972929218059E-3</v>
      </c>
    </row>
    <row r="365" spans="1:10">
      <c r="A365" s="1">
        <v>56.3</v>
      </c>
      <c r="B365" s="1">
        <f t="shared" si="35"/>
        <v>329.45</v>
      </c>
      <c r="C365" s="1" t="s">
        <v>381</v>
      </c>
      <c r="D365" s="1">
        <v>1.38391</v>
      </c>
      <c r="E365" s="1">
        <f t="shared" si="36"/>
        <v>1383.91</v>
      </c>
      <c r="F365" s="1">
        <f t="shared" si="37"/>
        <v>1386.2111539826362</v>
      </c>
      <c r="G365" s="1">
        <f t="shared" si="38"/>
        <v>0.16600313567127564</v>
      </c>
      <c r="H365" s="8">
        <f t="shared" si="39"/>
        <v>2848.836879</v>
      </c>
      <c r="I365" s="1">
        <f t="shared" si="40"/>
        <v>1392.002</v>
      </c>
      <c r="J365" s="2">
        <f t="shared" si="41"/>
        <v>4.1774631525120856E-3</v>
      </c>
    </row>
    <row r="366" spans="1:10">
      <c r="A366" s="1">
        <v>56.4</v>
      </c>
      <c r="B366" s="1">
        <f t="shared" si="35"/>
        <v>329.55</v>
      </c>
      <c r="C366" s="1" t="s">
        <v>382</v>
      </c>
      <c r="D366" s="1">
        <v>1.38161</v>
      </c>
      <c r="E366" s="1">
        <f t="shared" si="36"/>
        <v>1381.61</v>
      </c>
      <c r="F366" s="1">
        <f t="shared" si="37"/>
        <v>1383.7329715997057</v>
      </c>
      <c r="G366" s="1">
        <f t="shared" si="38"/>
        <v>0.15342350318150488</v>
      </c>
      <c r="H366" s="8">
        <f t="shared" si="39"/>
        <v>2838.3898880000002</v>
      </c>
      <c r="I366" s="1">
        <f t="shared" si="40"/>
        <v>1389.6379999999999</v>
      </c>
      <c r="J366" s="2">
        <f t="shared" si="41"/>
        <v>4.2674623800194123E-3</v>
      </c>
    </row>
    <row r="367" spans="1:10">
      <c r="A367" s="1">
        <v>56.5</v>
      </c>
      <c r="B367" s="1">
        <f t="shared" si="35"/>
        <v>329.65</v>
      </c>
      <c r="C367" s="1" t="s">
        <v>383</v>
      </c>
      <c r="D367" s="1">
        <v>1.37897</v>
      </c>
      <c r="E367" s="1">
        <f t="shared" si="36"/>
        <v>1378.97</v>
      </c>
      <c r="F367" s="1">
        <f t="shared" si="37"/>
        <v>1381.2558947149221</v>
      </c>
      <c r="G367" s="1">
        <f t="shared" si="38"/>
        <v>0.16549393372137158</v>
      </c>
      <c r="H367" s="8">
        <f t="shared" si="39"/>
        <v>2827.9867949999998</v>
      </c>
      <c r="I367" s="1">
        <f t="shared" si="40"/>
        <v>1387.2739999999999</v>
      </c>
      <c r="J367" s="2">
        <f t="shared" si="41"/>
        <v>4.3569807072713976E-3</v>
      </c>
    </row>
    <row r="368" spans="1:10">
      <c r="A368" s="1">
        <v>56.6</v>
      </c>
      <c r="B368" s="1">
        <f t="shared" si="35"/>
        <v>329.75</v>
      </c>
      <c r="C368" s="1" t="s">
        <v>384</v>
      </c>
      <c r="D368" s="1">
        <v>1.3763300000000001</v>
      </c>
      <c r="E368" s="1">
        <f t="shared" si="36"/>
        <v>1376.33</v>
      </c>
      <c r="F368" s="1">
        <f t="shared" si="37"/>
        <v>1378.7799393762398</v>
      </c>
      <c r="G368" s="1">
        <f t="shared" si="38"/>
        <v>0.17768893398232982</v>
      </c>
      <c r="H368" s="8">
        <f t="shared" si="39"/>
        <v>2817.6273940000001</v>
      </c>
      <c r="I368" s="1">
        <f t="shared" si="40"/>
        <v>1384.91</v>
      </c>
      <c r="J368" s="2">
        <f t="shared" si="41"/>
        <v>4.4460036360360307E-3</v>
      </c>
    </row>
    <row r="369" spans="1:10">
      <c r="A369" s="1">
        <v>56.7</v>
      </c>
      <c r="B369" s="1">
        <f t="shared" si="35"/>
        <v>329.85</v>
      </c>
      <c r="C369" s="1" t="s">
        <v>385</v>
      </c>
      <c r="D369" s="1">
        <v>1.37402</v>
      </c>
      <c r="E369" s="1">
        <f t="shared" si="36"/>
        <v>1374.02</v>
      </c>
      <c r="F369" s="1">
        <f t="shared" si="37"/>
        <v>1376.3051213286933</v>
      </c>
      <c r="G369" s="1">
        <f t="shared" si="38"/>
        <v>0.16603304698069071</v>
      </c>
      <c r="H369" s="8">
        <f t="shared" si="39"/>
        <v>2807.311479</v>
      </c>
      <c r="I369" s="1">
        <f t="shared" si="40"/>
        <v>1382.546</v>
      </c>
      <c r="J369" s="2">
        <f t="shared" si="41"/>
        <v>4.5345167830820564E-3</v>
      </c>
    </row>
    <row r="370" spans="1:10">
      <c r="A370" s="1">
        <v>56.8</v>
      </c>
      <c r="B370" s="1">
        <f t="shared" si="35"/>
        <v>329.95</v>
      </c>
      <c r="C370" s="1" t="s">
        <v>386</v>
      </c>
      <c r="D370" s="1">
        <v>1.3715299999999999</v>
      </c>
      <c r="E370" s="1">
        <f t="shared" si="36"/>
        <v>1371.53</v>
      </c>
      <c r="F370" s="1">
        <f t="shared" si="37"/>
        <v>1373.831456493222</v>
      </c>
      <c r="G370" s="1">
        <f t="shared" si="38"/>
        <v>0.16752102176322756</v>
      </c>
      <c r="H370" s="8">
        <f t="shared" si="39"/>
        <v>2797.0388459999999</v>
      </c>
      <c r="I370" s="1">
        <f t="shared" si="40"/>
        <v>1380.182</v>
      </c>
      <c r="J370" s="2">
        <f t="shared" si="41"/>
        <v>4.622505531346667E-3</v>
      </c>
    </row>
    <row r="371" spans="1:10">
      <c r="A371" s="1">
        <v>56.9</v>
      </c>
      <c r="B371" s="1">
        <f t="shared" si="35"/>
        <v>330.05</v>
      </c>
      <c r="C371" s="1" t="s">
        <v>387</v>
      </c>
      <c r="D371" s="1">
        <v>1.36904</v>
      </c>
      <c r="E371" s="1">
        <f t="shared" si="36"/>
        <v>1369.04</v>
      </c>
      <c r="F371" s="1">
        <f t="shared" si="37"/>
        <v>1371.3589607298493</v>
      </c>
      <c r="G371" s="1">
        <f t="shared" si="38"/>
        <v>0.1690994696687694</v>
      </c>
      <c r="H371" s="8">
        <f t="shared" si="39"/>
        <v>2786.8092919999999</v>
      </c>
      <c r="I371" s="1">
        <f t="shared" si="40"/>
        <v>1377.818</v>
      </c>
      <c r="J371" s="2">
        <f t="shared" si="41"/>
        <v>4.7099552014544313E-3</v>
      </c>
    </row>
    <row r="372" spans="1:10">
      <c r="A372" s="1">
        <v>57</v>
      </c>
      <c r="B372" s="1">
        <f t="shared" si="35"/>
        <v>330.15</v>
      </c>
      <c r="C372" s="1" t="s">
        <v>388</v>
      </c>
      <c r="D372" s="1">
        <v>1.3667100000000001</v>
      </c>
      <c r="E372" s="1">
        <f t="shared" si="36"/>
        <v>1366.71</v>
      </c>
      <c r="F372" s="1">
        <f t="shared" si="37"/>
        <v>1368.8876500816027</v>
      </c>
      <c r="G372" s="1">
        <f t="shared" si="38"/>
        <v>0.15908172460120179</v>
      </c>
      <c r="H372" s="8">
        <f t="shared" si="39"/>
        <v>2776.6226160000001</v>
      </c>
      <c r="I372" s="1">
        <f t="shared" si="40"/>
        <v>1375.454</v>
      </c>
      <c r="J372" s="2">
        <f t="shared" si="41"/>
        <v>4.7968508723165116E-3</v>
      </c>
    </row>
    <row r="373" spans="1:10">
      <c r="A373" s="1">
        <v>57.1</v>
      </c>
      <c r="B373" s="1">
        <f t="shared" si="35"/>
        <v>330.25</v>
      </c>
      <c r="C373" s="1" t="s">
        <v>389</v>
      </c>
      <c r="D373" s="1">
        <v>1.3643700000000001</v>
      </c>
      <c r="E373" s="1">
        <f t="shared" si="36"/>
        <v>1364.37</v>
      </c>
      <c r="F373" s="1">
        <f t="shared" si="37"/>
        <v>1366.4175398040957</v>
      </c>
      <c r="G373" s="1">
        <f t="shared" si="38"/>
        <v>0.14984730102259478</v>
      </c>
      <c r="H373" s="8">
        <f t="shared" si="39"/>
        <v>2766.478615</v>
      </c>
      <c r="I373" s="1">
        <f t="shared" si="40"/>
        <v>1373.09</v>
      </c>
      <c r="J373" s="2">
        <f t="shared" si="41"/>
        <v>4.8831780927379529E-3</v>
      </c>
    </row>
    <row r="374" spans="1:10">
      <c r="A374" s="1">
        <v>57.2</v>
      </c>
      <c r="B374" s="1">
        <f t="shared" si="35"/>
        <v>330.35</v>
      </c>
      <c r="C374" s="1" t="s">
        <v>390</v>
      </c>
      <c r="D374" s="1">
        <v>1.36171</v>
      </c>
      <c r="E374" s="1">
        <f t="shared" si="36"/>
        <v>1361.71</v>
      </c>
      <c r="F374" s="1">
        <f t="shared" si="37"/>
        <v>1363.9486460669179</v>
      </c>
      <c r="G374" s="1">
        <f t="shared" si="38"/>
        <v>0.16412979135052247</v>
      </c>
      <c r="H374" s="8">
        <f t="shared" si="39"/>
        <v>2756.3770909999998</v>
      </c>
      <c r="I374" s="1">
        <f t="shared" si="40"/>
        <v>1370.7260000000001</v>
      </c>
      <c r="J374" s="2">
        <f t="shared" si="41"/>
        <v>4.9689216325155237E-3</v>
      </c>
    </row>
    <row r="375" spans="1:10">
      <c r="A375" s="1">
        <v>57.3</v>
      </c>
      <c r="B375" s="1">
        <f t="shared" si="35"/>
        <v>330.45</v>
      </c>
      <c r="C375" s="1" t="s">
        <v>391</v>
      </c>
      <c r="D375" s="1">
        <v>1.35904</v>
      </c>
      <c r="E375" s="1">
        <f t="shared" si="36"/>
        <v>1359.04</v>
      </c>
      <c r="F375" s="1">
        <f t="shared" si="37"/>
        <v>1361.480984006537</v>
      </c>
      <c r="G375" s="1">
        <f t="shared" si="38"/>
        <v>0.17928887991911494</v>
      </c>
      <c r="H375" s="8">
        <f t="shared" si="39"/>
        <v>2746.3178429999998</v>
      </c>
      <c r="I375" s="1">
        <f t="shared" si="40"/>
        <v>1368.3620000000001</v>
      </c>
      <c r="J375" s="2">
        <f t="shared" si="41"/>
        <v>5.0540669126451889E-3</v>
      </c>
    </row>
    <row r="376" spans="1:10">
      <c r="A376" s="1">
        <v>57.4</v>
      </c>
      <c r="B376" s="1">
        <f t="shared" si="35"/>
        <v>330.55</v>
      </c>
      <c r="C376" s="1" t="s">
        <v>392</v>
      </c>
      <c r="D376" s="1">
        <v>1.3568499999999999</v>
      </c>
      <c r="E376" s="1">
        <f t="shared" si="36"/>
        <v>1356.85</v>
      </c>
      <c r="F376" s="1">
        <f t="shared" si="37"/>
        <v>1359.014569682535</v>
      </c>
      <c r="G376" s="1">
        <f t="shared" si="38"/>
        <v>0.15927494309650739</v>
      </c>
      <c r="H376" s="8">
        <f t="shared" si="39"/>
        <v>2736.300675</v>
      </c>
      <c r="I376" s="1">
        <f t="shared" si="40"/>
        <v>1365.998</v>
      </c>
      <c r="J376" s="2">
        <f t="shared" si="41"/>
        <v>5.1385985649118988E-3</v>
      </c>
    </row>
    <row r="377" spans="1:10">
      <c r="A377" s="1">
        <v>57.5</v>
      </c>
      <c r="B377" s="1">
        <f t="shared" si="35"/>
        <v>330.65</v>
      </c>
      <c r="C377" s="1" t="s">
        <v>393</v>
      </c>
      <c r="D377" s="1">
        <v>1.35449</v>
      </c>
      <c r="E377" s="1">
        <f t="shared" si="36"/>
        <v>1354.49</v>
      </c>
      <c r="F377" s="1">
        <f t="shared" si="37"/>
        <v>1356.5494183636765</v>
      </c>
      <c r="G377" s="1">
        <f t="shared" si="38"/>
        <v>0.15181299964439671</v>
      </c>
      <c r="H377" s="8">
        <f t="shared" si="39"/>
        <v>2726.3253890000001</v>
      </c>
      <c r="I377" s="1">
        <f t="shared" si="40"/>
        <v>1363.634</v>
      </c>
      <c r="J377" s="2">
        <f t="shared" si="41"/>
        <v>5.2225016946814912E-3</v>
      </c>
    </row>
    <row r="378" spans="1:10">
      <c r="A378" s="1">
        <v>57.6</v>
      </c>
      <c r="B378" s="1">
        <f t="shared" si="35"/>
        <v>330.75</v>
      </c>
      <c r="C378" s="1" t="s">
        <v>394</v>
      </c>
      <c r="D378" s="1">
        <v>1.35182</v>
      </c>
      <c r="E378" s="1">
        <f t="shared" si="36"/>
        <v>1351.82</v>
      </c>
      <c r="F378" s="1">
        <f t="shared" si="37"/>
        <v>1354.08554575776</v>
      </c>
      <c r="G378" s="1">
        <f t="shared" si="38"/>
        <v>0.16731186333520864</v>
      </c>
      <c r="H378" s="8">
        <f t="shared" si="39"/>
        <v>2716.3917900000001</v>
      </c>
      <c r="I378" s="1">
        <f t="shared" si="40"/>
        <v>1361.27</v>
      </c>
      <c r="J378" s="2">
        <f t="shared" si="41"/>
        <v>5.3057609725975733E-3</v>
      </c>
    </row>
    <row r="379" spans="1:10">
      <c r="A379" s="1">
        <v>57.7</v>
      </c>
      <c r="B379" s="1">
        <f t="shared" si="35"/>
        <v>330.85</v>
      </c>
      <c r="C379" s="1" t="s">
        <v>395</v>
      </c>
      <c r="D379" s="1">
        <v>1.3492900000000001</v>
      </c>
      <c r="E379" s="1">
        <f t="shared" si="36"/>
        <v>1349.29</v>
      </c>
      <c r="F379" s="1">
        <f t="shared" si="37"/>
        <v>1351.6229670241569</v>
      </c>
      <c r="G379" s="1">
        <f t="shared" si="38"/>
        <v>0.1726048669691789</v>
      </c>
      <c r="H379" s="8">
        <f t="shared" si="39"/>
        <v>2706.4996820000001</v>
      </c>
      <c r="I379" s="1">
        <f t="shared" si="40"/>
        <v>1358.9059999999999</v>
      </c>
      <c r="J379" s="2">
        <f t="shared" si="41"/>
        <v>5.3883613652096997E-3</v>
      </c>
    </row>
    <row r="380" spans="1:10">
      <c r="A380" s="1">
        <v>57.8</v>
      </c>
      <c r="B380" s="1">
        <f t="shared" si="35"/>
        <v>330.95</v>
      </c>
      <c r="C380" s="1" t="s">
        <v>396</v>
      </c>
      <c r="D380" s="1">
        <v>1.3469199999999999</v>
      </c>
      <c r="E380" s="1">
        <f t="shared" si="36"/>
        <v>1346.92</v>
      </c>
      <c r="F380" s="1">
        <f t="shared" si="37"/>
        <v>1349.1616975167108</v>
      </c>
      <c r="G380" s="1">
        <f t="shared" si="38"/>
        <v>0.16615484421450791</v>
      </c>
      <c r="H380" s="8">
        <f t="shared" si="39"/>
        <v>2696.6488709999999</v>
      </c>
      <c r="I380" s="1">
        <f t="shared" si="40"/>
        <v>1356.5419999999999</v>
      </c>
      <c r="J380" s="2">
        <f t="shared" si="41"/>
        <v>5.4702875844114523E-3</v>
      </c>
    </row>
    <row r="381" spans="1:10">
      <c r="A381" s="1">
        <v>57.9</v>
      </c>
      <c r="B381" s="1">
        <f t="shared" si="35"/>
        <v>331.05</v>
      </c>
      <c r="C381" s="1" t="s">
        <v>397</v>
      </c>
      <c r="D381" s="1">
        <v>1.34423</v>
      </c>
      <c r="E381" s="1">
        <f t="shared" si="36"/>
        <v>1344.23</v>
      </c>
      <c r="F381" s="1">
        <f t="shared" si="37"/>
        <v>1346.7017530406069</v>
      </c>
      <c r="G381" s="1">
        <f t="shared" si="38"/>
        <v>0.18354123583979598</v>
      </c>
      <c r="H381" s="8">
        <f t="shared" si="39"/>
        <v>2686.8391660000002</v>
      </c>
      <c r="I381" s="1">
        <f t="shared" si="40"/>
        <v>1354.1780000000001</v>
      </c>
      <c r="J381" s="2">
        <f t="shared" si="41"/>
        <v>5.5515238934776487E-3</v>
      </c>
    </row>
    <row r="382" spans="1:10">
      <c r="A382" s="1">
        <v>58</v>
      </c>
      <c r="B382" s="1">
        <f t="shared" si="35"/>
        <v>331.15</v>
      </c>
      <c r="C382" s="1" t="s">
        <v>398</v>
      </c>
      <c r="D382" s="1">
        <v>1.3418600000000001</v>
      </c>
      <c r="E382" s="1">
        <f t="shared" si="36"/>
        <v>1341.86</v>
      </c>
      <c r="F382" s="1">
        <f t="shared" si="37"/>
        <v>1344.2431483498085</v>
      </c>
      <c r="G382" s="1">
        <f t="shared" si="38"/>
        <v>0.17728551212882562</v>
      </c>
      <c r="H382" s="8">
        <f t="shared" si="39"/>
        <v>2677.070373</v>
      </c>
      <c r="I382" s="1">
        <f t="shared" si="40"/>
        <v>1351.8140000000001</v>
      </c>
      <c r="J382" s="2">
        <f t="shared" si="41"/>
        <v>5.6320552271257925E-3</v>
      </c>
    </row>
    <row r="383" spans="1:10">
      <c r="A383" s="1">
        <v>58.1</v>
      </c>
      <c r="B383" s="1">
        <f t="shared" si="35"/>
        <v>331.25</v>
      </c>
      <c r="C383" s="1" t="s">
        <v>399</v>
      </c>
      <c r="D383" s="1">
        <v>1.3396300000000001</v>
      </c>
      <c r="E383" s="1">
        <f t="shared" si="36"/>
        <v>1339.63</v>
      </c>
      <c r="F383" s="1">
        <f t="shared" si="37"/>
        <v>1341.7858989012921</v>
      </c>
      <c r="G383" s="1">
        <f t="shared" si="38"/>
        <v>0.16067383798393503</v>
      </c>
      <c r="H383" s="8">
        <f t="shared" si="39"/>
        <v>2667.342302</v>
      </c>
      <c r="I383" s="1">
        <f t="shared" si="40"/>
        <v>1349.45</v>
      </c>
      <c r="J383" s="2">
        <f t="shared" si="41"/>
        <v>5.7118658833601255E-3</v>
      </c>
    </row>
    <row r="384" spans="1:10">
      <c r="A384" s="1">
        <v>58.2</v>
      </c>
      <c r="B384" s="1">
        <f t="shared" si="35"/>
        <v>331.35</v>
      </c>
      <c r="C384" s="1" t="s">
        <v>400</v>
      </c>
      <c r="D384" s="1">
        <v>1.33693</v>
      </c>
      <c r="E384" s="1">
        <f t="shared" si="36"/>
        <v>1336.93</v>
      </c>
      <c r="F384" s="1">
        <f t="shared" si="37"/>
        <v>1339.3300201080294</v>
      </c>
      <c r="G384" s="1">
        <f t="shared" si="38"/>
        <v>0.17919557330879379</v>
      </c>
      <c r="H384" s="8">
        <f t="shared" si="39"/>
        <v>2657.6547639999999</v>
      </c>
      <c r="I384" s="1">
        <f t="shared" si="40"/>
        <v>1347.086</v>
      </c>
      <c r="J384" s="2">
        <f t="shared" si="41"/>
        <v>5.7909400786409545E-3</v>
      </c>
    </row>
    <row r="385" spans="1:10">
      <c r="A385" s="1">
        <v>58.3</v>
      </c>
      <c r="B385" s="1">
        <f t="shared" si="35"/>
        <v>331.45</v>
      </c>
      <c r="C385" s="1" t="s">
        <v>401</v>
      </c>
      <c r="D385" s="1">
        <v>1.3345400000000001</v>
      </c>
      <c r="E385" s="1">
        <f t="shared" si="36"/>
        <v>1334.54</v>
      </c>
      <c r="F385" s="1">
        <f t="shared" si="37"/>
        <v>1336.8755265755451</v>
      </c>
      <c r="G385" s="1">
        <f t="shared" si="38"/>
        <v>0.17470037629663857</v>
      </c>
      <c r="H385" s="8">
        <f t="shared" si="39"/>
        <v>2648.007568</v>
      </c>
      <c r="I385" s="1">
        <f t="shared" si="40"/>
        <v>1344.722</v>
      </c>
      <c r="J385" s="2">
        <f t="shared" si="41"/>
        <v>5.8692625218100111E-3</v>
      </c>
    </row>
    <row r="386" spans="1:10">
      <c r="A386" s="1">
        <v>58.4</v>
      </c>
      <c r="B386" s="1">
        <f t="shared" si="35"/>
        <v>331.55</v>
      </c>
      <c r="C386" s="1" t="s">
        <v>402</v>
      </c>
      <c r="D386" s="1">
        <v>1.3321499999999999</v>
      </c>
      <c r="E386" s="1">
        <f t="shared" si="36"/>
        <v>1332.15</v>
      </c>
      <c r="F386" s="1">
        <f t="shared" si="37"/>
        <v>1334.4224336241903</v>
      </c>
      <c r="G386" s="1">
        <f t="shared" si="38"/>
        <v>0.17029342185280963</v>
      </c>
      <c r="H386" s="8">
        <f t="shared" si="39"/>
        <v>2638.4005269999998</v>
      </c>
      <c r="I386" s="1">
        <f t="shared" si="40"/>
        <v>1342.3579999999999</v>
      </c>
      <c r="J386" s="2">
        <f t="shared" si="41"/>
        <v>5.946817271542182E-3</v>
      </c>
    </row>
    <row r="387" spans="1:10">
      <c r="A387" s="1">
        <v>58.5</v>
      </c>
      <c r="B387" s="1">
        <f t="shared" ref="B387:B450" si="42">A387+273.15</f>
        <v>331.65</v>
      </c>
      <c r="C387" s="1" t="s">
        <v>403</v>
      </c>
      <c r="D387" s="1">
        <v>1.3294299999999999</v>
      </c>
      <c r="E387" s="1">
        <f t="shared" ref="E387:E450" si="43">D387/0.001</f>
        <v>1329.43</v>
      </c>
      <c r="F387" s="1">
        <f t="shared" ref="F387:F450" si="44">(H387*2700)/(H387+2700)</f>
        <v>1331.9707565339927</v>
      </c>
      <c r="G387" s="1">
        <f t="shared" ref="G387:G450" si="45">ABS(E387-F387)*100/F387</f>
        <v>0.19075167540495425</v>
      </c>
      <c r="H387" s="8">
        <f t="shared" ref="H387:H450" si="46">ROUND(10000*EXP(($L$3)+($M$3/B387)+($N$3/(B387^2))+($O$3/(B387^3))),6)</f>
        <v>2628.833455</v>
      </c>
      <c r="I387" s="1">
        <f t="shared" ref="I387:I450" si="47">-23.64*B387+9180.2</f>
        <v>1339.9939999999999</v>
      </c>
      <c r="J387" s="2">
        <f t="shared" ref="J387:J450" si="48">ABS(I387-F387)/F387</f>
        <v>6.0235883007559539E-3</v>
      </c>
    </row>
    <row r="388" spans="1:10">
      <c r="A388" s="1">
        <v>58.6</v>
      </c>
      <c r="B388" s="1">
        <f t="shared" si="42"/>
        <v>331.75</v>
      </c>
      <c r="C388" s="1" t="s">
        <v>404</v>
      </c>
      <c r="D388" s="1">
        <v>1.32734</v>
      </c>
      <c r="E388" s="1">
        <f t="shared" si="43"/>
        <v>1327.34</v>
      </c>
      <c r="F388" s="1">
        <f t="shared" si="44"/>
        <v>1329.5205100306534</v>
      </c>
      <c r="G388" s="1">
        <f t="shared" si="45"/>
        <v>0.16400725029832361</v>
      </c>
      <c r="H388" s="8">
        <f t="shared" si="46"/>
        <v>2619.306165</v>
      </c>
      <c r="I388" s="1">
        <f t="shared" si="47"/>
        <v>1337.63</v>
      </c>
      <c r="J388" s="2">
        <f t="shared" si="48"/>
        <v>6.0995598850593861E-3</v>
      </c>
    </row>
    <row r="389" spans="1:10">
      <c r="A389" s="1">
        <v>58.7</v>
      </c>
      <c r="B389" s="1">
        <f t="shared" si="42"/>
        <v>331.85</v>
      </c>
      <c r="C389" s="1" t="s">
        <v>405</v>
      </c>
      <c r="D389" s="1">
        <v>1.32494</v>
      </c>
      <c r="E389" s="1">
        <f t="shared" si="43"/>
        <v>1324.94</v>
      </c>
      <c r="F389" s="1">
        <f t="shared" si="44"/>
        <v>1327.0717087947694</v>
      </c>
      <c r="G389" s="1">
        <f t="shared" si="45"/>
        <v>0.16063252502800549</v>
      </c>
      <c r="H389" s="8">
        <f t="shared" si="46"/>
        <v>2609.818471</v>
      </c>
      <c r="I389" s="1">
        <f t="shared" si="47"/>
        <v>1335.2660000000001</v>
      </c>
      <c r="J389" s="2">
        <f t="shared" si="48"/>
        <v>6.1747162198737861E-3</v>
      </c>
    </row>
    <row r="390" spans="1:10">
      <c r="A390" s="1">
        <v>58.8</v>
      </c>
      <c r="B390" s="1">
        <f t="shared" si="42"/>
        <v>331.95</v>
      </c>
      <c r="C390" s="1" t="s">
        <v>406</v>
      </c>
      <c r="D390" s="1">
        <v>1.32237</v>
      </c>
      <c r="E390" s="1">
        <f t="shared" si="43"/>
        <v>1322.37</v>
      </c>
      <c r="F390" s="1">
        <f t="shared" si="44"/>
        <v>1324.6243679821166</v>
      </c>
      <c r="G390" s="1">
        <f t="shared" si="45"/>
        <v>0.17018922772430489</v>
      </c>
      <c r="H390" s="8">
        <f t="shared" si="46"/>
        <v>2600.3701900000001</v>
      </c>
      <c r="I390" s="1">
        <f t="shared" si="47"/>
        <v>1332.902</v>
      </c>
      <c r="J390" s="2">
        <f t="shared" si="48"/>
        <v>6.2490410247346348E-3</v>
      </c>
    </row>
    <row r="391" spans="1:10">
      <c r="A391" s="1">
        <v>58.9</v>
      </c>
      <c r="B391" s="1">
        <f t="shared" si="42"/>
        <v>332.05</v>
      </c>
      <c r="C391" s="1" t="s">
        <v>407</v>
      </c>
      <c r="D391" s="1">
        <v>1.31995</v>
      </c>
      <c r="E391" s="1">
        <f t="shared" si="43"/>
        <v>1319.95</v>
      </c>
      <c r="F391" s="1">
        <f t="shared" si="44"/>
        <v>1322.1785024529925</v>
      </c>
      <c r="G391" s="1">
        <f t="shared" si="45"/>
        <v>0.16854777542199872</v>
      </c>
      <c r="H391" s="8">
        <f t="shared" si="46"/>
        <v>2590.961139</v>
      </c>
      <c r="I391" s="1">
        <f t="shared" si="47"/>
        <v>1330.538</v>
      </c>
      <c r="J391" s="2">
        <f t="shared" si="48"/>
        <v>6.3225181255771893E-3</v>
      </c>
    </row>
    <row r="392" spans="1:10">
      <c r="A392" s="1">
        <v>59</v>
      </c>
      <c r="B392" s="1">
        <f t="shared" si="42"/>
        <v>332.15</v>
      </c>
      <c r="C392" s="1" t="s">
        <v>408</v>
      </c>
      <c r="D392" s="1">
        <v>1.31769</v>
      </c>
      <c r="E392" s="1">
        <f t="shared" si="43"/>
        <v>1317.69</v>
      </c>
      <c r="F392" s="1">
        <f t="shared" si="44"/>
        <v>1319.7341267689778</v>
      </c>
      <c r="G392" s="1">
        <f t="shared" si="45"/>
        <v>0.15488928622178494</v>
      </c>
      <c r="H392" s="8">
        <f t="shared" si="46"/>
        <v>2581.5911350000001</v>
      </c>
      <c r="I392" s="1">
        <f t="shared" si="47"/>
        <v>1328.174</v>
      </c>
      <c r="J392" s="2">
        <f t="shared" si="48"/>
        <v>6.3951314585498813E-3</v>
      </c>
    </row>
    <row r="393" spans="1:10">
      <c r="A393" s="1">
        <v>59.1</v>
      </c>
      <c r="B393" s="1">
        <f t="shared" si="42"/>
        <v>332.25</v>
      </c>
      <c r="C393" s="1" t="s">
        <v>409</v>
      </c>
      <c r="D393" s="1">
        <v>1.3152600000000001</v>
      </c>
      <c r="E393" s="1">
        <f t="shared" si="43"/>
        <v>1315.26</v>
      </c>
      <c r="F393" s="1">
        <f t="shared" si="44"/>
        <v>1317.291255714224</v>
      </c>
      <c r="G393" s="1">
        <f t="shared" si="45"/>
        <v>0.15419943808271067</v>
      </c>
      <c r="H393" s="8">
        <f t="shared" si="46"/>
        <v>2572.2599970000001</v>
      </c>
      <c r="I393" s="1">
        <f t="shared" si="47"/>
        <v>1325.81</v>
      </c>
      <c r="J393" s="2">
        <f t="shared" si="48"/>
        <v>6.4668646731106914E-3</v>
      </c>
    </row>
    <row r="394" spans="1:10">
      <c r="A394" s="1">
        <v>59.2</v>
      </c>
      <c r="B394" s="1">
        <f t="shared" si="42"/>
        <v>332.35</v>
      </c>
      <c r="C394" s="1" t="s">
        <v>410</v>
      </c>
      <c r="D394" s="1">
        <v>1.3125199999999999</v>
      </c>
      <c r="E394" s="1">
        <f t="shared" si="43"/>
        <v>1312.52</v>
      </c>
      <c r="F394" s="1">
        <f t="shared" si="44"/>
        <v>1314.8499037751239</v>
      </c>
      <c r="G394" s="1">
        <f t="shared" si="45"/>
        <v>0.17719922011132042</v>
      </c>
      <c r="H394" s="8">
        <f t="shared" si="46"/>
        <v>2562.9675440000001</v>
      </c>
      <c r="I394" s="1">
        <f t="shared" si="47"/>
        <v>1323.4459999999999</v>
      </c>
      <c r="J394" s="2">
        <f t="shared" si="48"/>
        <v>6.5377015279046912E-3</v>
      </c>
    </row>
    <row r="395" spans="1:10">
      <c r="A395" s="1">
        <v>59.3</v>
      </c>
      <c r="B395" s="1">
        <f t="shared" si="42"/>
        <v>332.45</v>
      </c>
      <c r="C395" s="1" t="s">
        <v>411</v>
      </c>
      <c r="D395" s="1">
        <v>1.31009</v>
      </c>
      <c r="E395" s="1">
        <f t="shared" si="43"/>
        <v>1310.0899999999999</v>
      </c>
      <c r="F395" s="1">
        <f t="shared" si="44"/>
        <v>1312.410085929469</v>
      </c>
      <c r="G395" s="1">
        <f t="shared" si="45"/>
        <v>0.17678056229093719</v>
      </c>
      <c r="H395" s="8">
        <f t="shared" si="46"/>
        <v>2553.7135979999998</v>
      </c>
      <c r="I395" s="1">
        <f t="shared" si="47"/>
        <v>1321.0820000000001</v>
      </c>
      <c r="J395" s="2">
        <f t="shared" si="48"/>
        <v>6.6076252868702383E-3</v>
      </c>
    </row>
    <row r="396" spans="1:10">
      <c r="A396" s="1">
        <v>59.4</v>
      </c>
      <c r="B396" s="1">
        <f t="shared" si="42"/>
        <v>332.55</v>
      </c>
      <c r="C396" s="1" t="s">
        <v>412</v>
      </c>
      <c r="D396" s="1">
        <v>1.30766</v>
      </c>
      <c r="E396" s="1">
        <f t="shared" si="43"/>
        <v>1307.6600000000001</v>
      </c>
      <c r="F396" s="1">
        <f t="shared" si="44"/>
        <v>1309.9718160669297</v>
      </c>
      <c r="G396" s="1">
        <f t="shared" si="45"/>
        <v>0.17647830576009177</v>
      </c>
      <c r="H396" s="8">
        <f t="shared" si="46"/>
        <v>2544.4979779999999</v>
      </c>
      <c r="I396" s="1">
        <f t="shared" si="47"/>
        <v>1318.7180000000001</v>
      </c>
      <c r="J396" s="2">
        <f t="shared" si="48"/>
        <v>6.6766199286103613E-3</v>
      </c>
    </row>
    <row r="397" spans="1:10">
      <c r="A397" s="1">
        <v>59.5</v>
      </c>
      <c r="B397" s="1">
        <f t="shared" si="42"/>
        <v>332.65</v>
      </c>
      <c r="C397" s="1" t="s">
        <v>413</v>
      </c>
      <c r="D397" s="1">
        <v>1.30521</v>
      </c>
      <c r="E397" s="1">
        <f t="shared" si="43"/>
        <v>1305.21</v>
      </c>
      <c r="F397" s="1">
        <f t="shared" si="44"/>
        <v>1307.5351093657368</v>
      </c>
      <c r="G397" s="1">
        <f t="shared" si="45"/>
        <v>0.17782385720140842</v>
      </c>
      <c r="H397" s="8">
        <f t="shared" si="46"/>
        <v>2535.3205090000001</v>
      </c>
      <c r="I397" s="1">
        <f t="shared" si="47"/>
        <v>1316.354</v>
      </c>
      <c r="J397" s="2">
        <f t="shared" si="48"/>
        <v>6.7446683236988512E-3</v>
      </c>
    </row>
    <row r="398" spans="1:10">
      <c r="A398" s="1">
        <v>59.6</v>
      </c>
      <c r="B398" s="1">
        <f t="shared" si="42"/>
        <v>332.75</v>
      </c>
      <c r="C398" s="1" t="s">
        <v>414</v>
      </c>
      <c r="D398" s="1">
        <v>1.3029200000000001</v>
      </c>
      <c r="E398" s="1">
        <f t="shared" si="43"/>
        <v>1302.92</v>
      </c>
      <c r="F398" s="1">
        <f t="shared" si="44"/>
        <v>1305.099979915296</v>
      </c>
      <c r="G398" s="1">
        <f t="shared" si="45"/>
        <v>0.16703547228905807</v>
      </c>
      <c r="H398" s="8">
        <f t="shared" si="46"/>
        <v>2526.1810129999999</v>
      </c>
      <c r="I398" s="1">
        <f t="shared" si="47"/>
        <v>1313.99</v>
      </c>
      <c r="J398" s="2">
        <f t="shared" si="48"/>
        <v>6.8117540583220318E-3</v>
      </c>
    </row>
    <row r="399" spans="1:10">
      <c r="A399" s="1">
        <v>59.7</v>
      </c>
      <c r="B399" s="1">
        <f t="shared" si="42"/>
        <v>332.85</v>
      </c>
      <c r="C399" s="1" t="s">
        <v>415</v>
      </c>
      <c r="D399" s="1">
        <v>1.30047</v>
      </c>
      <c r="E399" s="1">
        <f t="shared" si="43"/>
        <v>1300.47</v>
      </c>
      <c r="F399" s="1">
        <f t="shared" si="44"/>
        <v>1302.6664417704626</v>
      </c>
      <c r="G399" s="1">
        <f t="shared" si="45"/>
        <v>0.1686112192678712</v>
      </c>
      <c r="H399" s="8">
        <f t="shared" si="46"/>
        <v>2517.0793130000002</v>
      </c>
      <c r="I399" s="1">
        <f t="shared" si="47"/>
        <v>1311.626</v>
      </c>
      <c r="J399" s="2">
        <f t="shared" si="48"/>
        <v>6.8778606266700045E-3</v>
      </c>
    </row>
    <row r="400" spans="1:10">
      <c r="A400" s="1">
        <v>59.8</v>
      </c>
      <c r="B400" s="1">
        <f t="shared" si="42"/>
        <v>332.95</v>
      </c>
      <c r="C400" s="1" t="s">
        <v>416</v>
      </c>
      <c r="D400" s="1">
        <v>1.29802</v>
      </c>
      <c r="E400" s="1">
        <f t="shared" si="43"/>
        <v>1298.02</v>
      </c>
      <c r="F400" s="1">
        <f t="shared" si="44"/>
        <v>1300.2345097594105</v>
      </c>
      <c r="G400" s="1">
        <f t="shared" si="45"/>
        <v>0.17031618087265185</v>
      </c>
      <c r="H400" s="8">
        <f t="shared" si="46"/>
        <v>2508.0152360000002</v>
      </c>
      <c r="I400" s="1">
        <f t="shared" si="47"/>
        <v>1309.2619999999999</v>
      </c>
      <c r="J400" s="2">
        <f t="shared" si="48"/>
        <v>6.9429708047511309E-3</v>
      </c>
    </row>
    <row r="401" spans="1:10">
      <c r="A401" s="1">
        <v>59.9</v>
      </c>
      <c r="B401" s="1">
        <f t="shared" si="42"/>
        <v>333.05</v>
      </c>
      <c r="C401" s="1" t="s">
        <v>417</v>
      </c>
      <c r="D401" s="1">
        <v>1.2955700000000001</v>
      </c>
      <c r="E401" s="1">
        <f t="shared" si="43"/>
        <v>1295.57</v>
      </c>
      <c r="F401" s="1">
        <f t="shared" si="44"/>
        <v>1297.8041981506879</v>
      </c>
      <c r="G401" s="1">
        <f t="shared" si="45"/>
        <v>0.17215217471722988</v>
      </c>
      <c r="H401" s="8">
        <f t="shared" si="46"/>
        <v>2498.9886080000001</v>
      </c>
      <c r="I401" s="1">
        <f t="shared" si="47"/>
        <v>1306.8979999999999</v>
      </c>
      <c r="J401" s="2">
        <f t="shared" si="48"/>
        <v>7.007067678059844E-3</v>
      </c>
    </row>
    <row r="402" spans="1:10">
      <c r="A402" s="1">
        <v>60</v>
      </c>
      <c r="B402" s="1">
        <f t="shared" si="42"/>
        <v>333.15</v>
      </c>
      <c r="C402" s="1" t="s">
        <v>418</v>
      </c>
      <c r="D402" s="1">
        <v>1.2934099999999999</v>
      </c>
      <c r="E402" s="1">
        <f t="shared" si="43"/>
        <v>1293.4100000000001</v>
      </c>
      <c r="F402" s="1">
        <f t="shared" si="44"/>
        <v>1295.3755206454987</v>
      </c>
      <c r="G402" s="1">
        <f t="shared" si="45"/>
        <v>0.15173365670204739</v>
      </c>
      <c r="H402" s="8">
        <f t="shared" si="46"/>
        <v>2489.9992539999998</v>
      </c>
      <c r="I402" s="1">
        <f t="shared" si="47"/>
        <v>1304.5340000000001</v>
      </c>
      <c r="J402" s="2">
        <f t="shared" si="48"/>
        <v>7.0701346509448168E-3</v>
      </c>
    </row>
    <row r="403" spans="1:10">
      <c r="A403" s="1">
        <v>60.1</v>
      </c>
      <c r="B403" s="1">
        <f t="shared" si="42"/>
        <v>333.25</v>
      </c>
      <c r="C403" s="1" t="s">
        <v>419</v>
      </c>
      <c r="D403" s="1">
        <v>1.29064</v>
      </c>
      <c r="E403" s="1">
        <f t="shared" si="43"/>
        <v>1290.6400000000001</v>
      </c>
      <c r="F403" s="1">
        <f t="shared" si="44"/>
        <v>1292.9484914562836</v>
      </c>
      <c r="G403" s="1">
        <f t="shared" si="45"/>
        <v>0.17854473488602576</v>
      </c>
      <c r="H403" s="8">
        <f t="shared" si="46"/>
        <v>2481.0470019999998</v>
      </c>
      <c r="I403" s="1">
        <f t="shared" si="47"/>
        <v>1302.17</v>
      </c>
      <c r="J403" s="2">
        <f t="shared" si="48"/>
        <v>7.1321546099102845E-3</v>
      </c>
    </row>
    <row r="404" spans="1:10">
      <c r="A404" s="1">
        <v>60.2</v>
      </c>
      <c r="B404" s="1">
        <f t="shared" si="42"/>
        <v>333.35</v>
      </c>
      <c r="C404" s="1" t="s">
        <v>420</v>
      </c>
      <c r="D404" s="1">
        <v>1.28817</v>
      </c>
      <c r="E404" s="1">
        <f t="shared" si="43"/>
        <v>1288.17</v>
      </c>
      <c r="F404" s="1">
        <f t="shared" si="44"/>
        <v>1290.5231250452143</v>
      </c>
      <c r="G404" s="1">
        <f t="shared" si="45"/>
        <v>0.18233885155152199</v>
      </c>
      <c r="H404" s="8">
        <f t="shared" si="46"/>
        <v>2472.1316820000002</v>
      </c>
      <c r="I404" s="1">
        <f t="shared" si="47"/>
        <v>1299.806</v>
      </c>
      <c r="J404" s="2">
        <f t="shared" si="48"/>
        <v>7.1931101230444669E-3</v>
      </c>
    </row>
    <row r="405" spans="1:10">
      <c r="A405" s="1">
        <v>60.3</v>
      </c>
      <c r="B405" s="1">
        <f t="shared" si="42"/>
        <v>333.45</v>
      </c>
      <c r="C405" s="1" t="s">
        <v>421</v>
      </c>
      <c r="D405" s="1">
        <v>1.2857000000000001</v>
      </c>
      <c r="E405" s="1">
        <f t="shared" si="43"/>
        <v>1285.7</v>
      </c>
      <c r="F405" s="1">
        <f t="shared" si="44"/>
        <v>1288.0994353102142</v>
      </c>
      <c r="G405" s="1">
        <f t="shared" si="45"/>
        <v>0.1862771805063537</v>
      </c>
      <c r="H405" s="8">
        <f t="shared" si="46"/>
        <v>2463.253123</v>
      </c>
      <c r="I405" s="1">
        <f t="shared" si="47"/>
        <v>1297.442</v>
      </c>
      <c r="J405" s="2">
        <f t="shared" si="48"/>
        <v>7.2529840738078215E-3</v>
      </c>
    </row>
    <row r="406" spans="1:10">
      <c r="A406" s="1">
        <v>60.4</v>
      </c>
      <c r="B406" s="1">
        <f t="shared" si="42"/>
        <v>333.55</v>
      </c>
      <c r="C406" s="1" t="s">
        <v>422</v>
      </c>
      <c r="D406" s="1">
        <v>1.2835300000000001</v>
      </c>
      <c r="E406" s="1">
        <f t="shared" si="43"/>
        <v>1283.53</v>
      </c>
      <c r="F406" s="1">
        <f t="shared" si="44"/>
        <v>1285.6774358516764</v>
      </c>
      <c r="G406" s="1">
        <f t="shared" si="45"/>
        <v>0.16702757564177495</v>
      </c>
      <c r="H406" s="8">
        <f t="shared" si="46"/>
        <v>2454.4111539999999</v>
      </c>
      <c r="I406" s="1">
        <f t="shared" si="47"/>
        <v>1295.078</v>
      </c>
      <c r="J406" s="2">
        <f t="shared" si="48"/>
        <v>7.3117594555094281E-3</v>
      </c>
    </row>
    <row r="407" spans="1:10">
      <c r="A407" s="1">
        <v>60.5</v>
      </c>
      <c r="B407" s="1">
        <f t="shared" si="42"/>
        <v>333.65</v>
      </c>
      <c r="C407" s="1" t="s">
        <v>423</v>
      </c>
      <c r="D407" s="1">
        <v>1.28105</v>
      </c>
      <c r="E407" s="1">
        <f t="shared" si="43"/>
        <v>1281.05</v>
      </c>
      <c r="F407" s="1">
        <f t="shared" si="44"/>
        <v>1283.2571410708085</v>
      </c>
      <c r="G407" s="1">
        <f t="shared" si="45"/>
        <v>0.17199522996356251</v>
      </c>
      <c r="H407" s="8">
        <f t="shared" si="46"/>
        <v>2445.6056079999998</v>
      </c>
      <c r="I407" s="1">
        <f t="shared" si="47"/>
        <v>1292.7139999999999</v>
      </c>
      <c r="J407" s="2">
        <f t="shared" si="48"/>
        <v>7.3694185105412126E-3</v>
      </c>
    </row>
    <row r="408" spans="1:10">
      <c r="A408" s="1">
        <v>60.6</v>
      </c>
      <c r="B408" s="1">
        <f t="shared" si="42"/>
        <v>333.75</v>
      </c>
      <c r="C408" s="1" t="s">
        <v>424</v>
      </c>
      <c r="D408" s="1">
        <v>1.2785599999999999</v>
      </c>
      <c r="E408" s="1">
        <f t="shared" si="43"/>
        <v>1278.56</v>
      </c>
      <c r="F408" s="1">
        <f t="shared" si="44"/>
        <v>1280.8385645278561</v>
      </c>
      <c r="G408" s="1">
        <f t="shared" si="45"/>
        <v>0.17789630879017607</v>
      </c>
      <c r="H408" s="8">
        <f t="shared" si="46"/>
        <v>2436.8363159999999</v>
      </c>
      <c r="I408" s="1">
        <f t="shared" si="47"/>
        <v>1290.3499999999999</v>
      </c>
      <c r="J408" s="2">
        <f t="shared" si="48"/>
        <v>7.4259440147712488E-3</v>
      </c>
    </row>
    <row r="409" spans="1:10">
      <c r="A409" s="1">
        <v>60.7</v>
      </c>
      <c r="B409" s="1">
        <f t="shared" si="42"/>
        <v>333.85</v>
      </c>
      <c r="C409" s="1" t="s">
        <v>425</v>
      </c>
      <c r="D409" s="1">
        <v>1.2762199999999999</v>
      </c>
      <c r="E409" s="1">
        <f t="shared" si="43"/>
        <v>1276.22</v>
      </c>
      <c r="F409" s="1">
        <f t="shared" si="44"/>
        <v>1278.4217197614032</v>
      </c>
      <c r="G409" s="1">
        <f t="shared" si="45"/>
        <v>0.17222171114349483</v>
      </c>
      <c r="H409" s="8">
        <f t="shared" si="46"/>
        <v>2428.10311</v>
      </c>
      <c r="I409" s="1">
        <f t="shared" si="47"/>
        <v>1287.9860000000001</v>
      </c>
      <c r="J409" s="2">
        <f t="shared" si="48"/>
        <v>7.4813186374695761E-3</v>
      </c>
    </row>
    <row r="410" spans="1:10">
      <c r="A410" s="1">
        <v>60.8</v>
      </c>
      <c r="B410" s="1">
        <f t="shared" si="42"/>
        <v>333.95</v>
      </c>
      <c r="C410" s="1" t="s">
        <v>426</v>
      </c>
      <c r="D410" s="1">
        <v>1.27373</v>
      </c>
      <c r="E410" s="1">
        <f t="shared" si="43"/>
        <v>1273.73</v>
      </c>
      <c r="F410" s="1">
        <f t="shared" si="44"/>
        <v>1276.006621124629</v>
      </c>
      <c r="G410" s="1">
        <f t="shared" si="45"/>
        <v>0.17841765763115</v>
      </c>
      <c r="H410" s="8">
        <f t="shared" si="46"/>
        <v>2419.4058260000002</v>
      </c>
      <c r="I410" s="1">
        <f t="shared" si="47"/>
        <v>1285.6220000000001</v>
      </c>
      <c r="J410" s="2">
        <f t="shared" si="48"/>
        <v>7.5355242803492968E-3</v>
      </c>
    </row>
    <row r="411" spans="1:10">
      <c r="A411" s="1">
        <v>60.9</v>
      </c>
      <c r="B411" s="1">
        <f t="shared" si="42"/>
        <v>334.05</v>
      </c>
      <c r="C411" s="1" t="s">
        <v>427</v>
      </c>
      <c r="D411" s="1">
        <v>1.2715399999999999</v>
      </c>
      <c r="E411" s="1">
        <f t="shared" si="43"/>
        <v>1271.54</v>
      </c>
      <c r="F411" s="1">
        <f t="shared" si="44"/>
        <v>1273.5932818475735</v>
      </c>
      <c r="G411" s="1">
        <f t="shared" si="45"/>
        <v>0.16121958845408588</v>
      </c>
      <c r="H411" s="8">
        <f t="shared" si="46"/>
        <v>2410.7442970000002</v>
      </c>
      <c r="I411" s="1">
        <f t="shared" si="47"/>
        <v>1283.258</v>
      </c>
      <c r="J411" s="2">
        <f t="shared" si="48"/>
        <v>7.58854360350122E-3</v>
      </c>
    </row>
    <row r="412" spans="1:10">
      <c r="A412" s="1">
        <v>61</v>
      </c>
      <c r="B412" s="1">
        <f t="shared" si="42"/>
        <v>334.15</v>
      </c>
      <c r="C412" s="1" t="s">
        <v>428</v>
      </c>
      <c r="D412" s="1">
        <v>1.26874</v>
      </c>
      <c r="E412" s="1">
        <f t="shared" si="43"/>
        <v>1268.74</v>
      </c>
      <c r="F412" s="1">
        <f t="shared" si="44"/>
        <v>1271.1817157003748</v>
      </c>
      <c r="G412" s="1">
        <f t="shared" si="45"/>
        <v>0.1920823490628519</v>
      </c>
      <c r="H412" s="8">
        <f t="shared" si="46"/>
        <v>2402.1183590000001</v>
      </c>
      <c r="I412" s="1">
        <f t="shared" si="47"/>
        <v>1280.894</v>
      </c>
      <c r="J412" s="2">
        <f t="shared" si="48"/>
        <v>7.640358714783857E-3</v>
      </c>
    </row>
    <row r="413" spans="1:10">
      <c r="A413" s="1">
        <v>61.1</v>
      </c>
      <c r="B413" s="1">
        <f t="shared" si="42"/>
        <v>334.25</v>
      </c>
      <c r="C413" s="1" t="s">
        <v>429</v>
      </c>
      <c r="D413" s="1">
        <v>1.26654</v>
      </c>
      <c r="E413" s="1">
        <f t="shared" si="43"/>
        <v>1266.54</v>
      </c>
      <c r="F413" s="1">
        <f t="shared" si="44"/>
        <v>1268.7719361616025</v>
      </c>
      <c r="G413" s="1">
        <f t="shared" si="45"/>
        <v>0.17591310920344014</v>
      </c>
      <c r="H413" s="8">
        <f t="shared" si="46"/>
        <v>2393.5278480000002</v>
      </c>
      <c r="I413" s="1">
        <f t="shared" si="47"/>
        <v>1278.53</v>
      </c>
      <c r="J413" s="2">
        <f t="shared" si="48"/>
        <v>7.6909518253677469E-3</v>
      </c>
    </row>
    <row r="414" spans="1:10">
      <c r="A414" s="1">
        <v>61.2</v>
      </c>
      <c r="B414" s="1">
        <f t="shared" si="42"/>
        <v>334.35</v>
      </c>
      <c r="C414" s="1" t="s">
        <v>430</v>
      </c>
      <c r="D414" s="1">
        <v>1.26403</v>
      </c>
      <c r="E414" s="1">
        <f t="shared" si="43"/>
        <v>1264.03</v>
      </c>
      <c r="F414" s="1">
        <f t="shared" si="44"/>
        <v>1266.363956697355</v>
      </c>
      <c r="G414" s="1">
        <f t="shared" si="45"/>
        <v>0.18430378446982226</v>
      </c>
      <c r="H414" s="8">
        <f t="shared" si="46"/>
        <v>2384.9726009999999</v>
      </c>
      <c r="I414" s="1">
        <f t="shared" si="47"/>
        <v>1276.1659999999999</v>
      </c>
      <c r="J414" s="2">
        <f t="shared" si="48"/>
        <v>7.7403050290600819E-3</v>
      </c>
    </row>
    <row r="415" spans="1:10">
      <c r="A415" s="1">
        <v>61.3</v>
      </c>
      <c r="B415" s="1">
        <f t="shared" si="42"/>
        <v>334.45</v>
      </c>
      <c r="C415" s="1" t="s">
        <v>431</v>
      </c>
      <c r="D415" s="1">
        <v>1.26152</v>
      </c>
      <c r="E415" s="1">
        <f t="shared" si="43"/>
        <v>1261.52</v>
      </c>
      <c r="F415" s="1">
        <f t="shared" si="44"/>
        <v>1263.9577910460475</v>
      </c>
      <c r="G415" s="1">
        <f t="shared" si="45"/>
        <v>0.19286965619556348</v>
      </c>
      <c r="H415" s="8">
        <f t="shared" si="46"/>
        <v>2376.4524569999999</v>
      </c>
      <c r="I415" s="1">
        <f t="shared" si="47"/>
        <v>1273.8019999999999</v>
      </c>
      <c r="J415" s="2">
        <f t="shared" si="48"/>
        <v>7.7884000745035466E-3</v>
      </c>
    </row>
    <row r="416" spans="1:10">
      <c r="A416" s="1">
        <v>61.4</v>
      </c>
      <c r="B416" s="1">
        <f t="shared" si="42"/>
        <v>334.55</v>
      </c>
      <c r="C416" s="1" t="s">
        <v>432</v>
      </c>
      <c r="D416" s="1">
        <v>1.2593000000000001</v>
      </c>
      <c r="E416" s="1">
        <f t="shared" si="43"/>
        <v>1259.3</v>
      </c>
      <c r="F416" s="1">
        <f t="shared" si="44"/>
        <v>1261.5534520897584</v>
      </c>
      <c r="G416" s="1">
        <f t="shared" si="45"/>
        <v>0.17862517723886984</v>
      </c>
      <c r="H416" s="8">
        <f t="shared" si="46"/>
        <v>2367.9672529999998</v>
      </c>
      <c r="I416" s="1">
        <f t="shared" si="47"/>
        <v>1271.4380000000001</v>
      </c>
      <c r="J416" s="2">
        <f t="shared" si="48"/>
        <v>7.8352192638908962E-3</v>
      </c>
    </row>
    <row r="417" spans="1:10">
      <c r="A417" s="1">
        <v>61.5</v>
      </c>
      <c r="B417" s="1">
        <f t="shared" si="42"/>
        <v>334.65</v>
      </c>
      <c r="C417" s="1" t="s">
        <v>433</v>
      </c>
      <c r="D417" s="1">
        <v>1.2567900000000001</v>
      </c>
      <c r="E417" s="1">
        <f t="shared" si="43"/>
        <v>1256.79</v>
      </c>
      <c r="F417" s="1">
        <f t="shared" si="44"/>
        <v>1259.1509532658579</v>
      </c>
      <c r="G417" s="1">
        <f t="shared" si="45"/>
        <v>0.18750359198270189</v>
      </c>
      <c r="H417" s="8">
        <f t="shared" si="46"/>
        <v>2359.5168290000001</v>
      </c>
      <c r="I417" s="1">
        <f t="shared" si="47"/>
        <v>1269.0740000000001</v>
      </c>
      <c r="J417" s="2">
        <f t="shared" si="48"/>
        <v>7.8807443288708146E-3</v>
      </c>
    </row>
    <row r="418" spans="1:10">
      <c r="A418" s="1">
        <v>61.6</v>
      </c>
      <c r="B418" s="1">
        <f t="shared" si="42"/>
        <v>334.75</v>
      </c>
      <c r="C418" s="1" t="s">
        <v>434</v>
      </c>
      <c r="D418" s="1">
        <v>1.2545599999999999</v>
      </c>
      <c r="E418" s="1">
        <f t="shared" si="43"/>
        <v>1254.56</v>
      </c>
      <c r="F418" s="1">
        <f t="shared" si="44"/>
        <v>1256.7503080070051</v>
      </c>
      <c r="G418" s="1">
        <f t="shared" si="45"/>
        <v>0.17428346689475457</v>
      </c>
      <c r="H418" s="8">
        <f t="shared" si="46"/>
        <v>2351.1010259999998</v>
      </c>
      <c r="I418" s="1">
        <f t="shared" si="47"/>
        <v>1266.71</v>
      </c>
      <c r="J418" s="2">
        <f t="shared" si="48"/>
        <v>7.9249568745197885E-3</v>
      </c>
    </row>
    <row r="419" spans="1:10">
      <c r="A419" s="1">
        <v>61.7</v>
      </c>
      <c r="B419" s="1">
        <f t="shared" si="42"/>
        <v>334.85</v>
      </c>
      <c r="C419" s="1" t="s">
        <v>435</v>
      </c>
      <c r="D419" s="1">
        <v>1.25204</v>
      </c>
      <c r="E419" s="1">
        <f t="shared" si="43"/>
        <v>1252.04</v>
      </c>
      <c r="F419" s="1">
        <f t="shared" si="44"/>
        <v>1254.3515294564704</v>
      </c>
      <c r="G419" s="1">
        <f t="shared" si="45"/>
        <v>0.18428083373662194</v>
      </c>
      <c r="H419" s="8">
        <f t="shared" si="46"/>
        <v>2342.719685</v>
      </c>
      <c r="I419" s="1">
        <f t="shared" si="47"/>
        <v>1264.346</v>
      </c>
      <c r="J419" s="2">
        <f t="shared" si="48"/>
        <v>7.9678386073004145E-3</v>
      </c>
    </row>
    <row r="420" spans="1:10">
      <c r="A420" s="1">
        <v>61.8</v>
      </c>
      <c r="B420" s="1">
        <f t="shared" si="42"/>
        <v>334.95</v>
      </c>
      <c r="C420" s="1" t="s">
        <v>436</v>
      </c>
      <c r="D420" s="1">
        <v>1.2498</v>
      </c>
      <c r="E420" s="1">
        <f t="shared" si="43"/>
        <v>1249.8</v>
      </c>
      <c r="F420" s="1">
        <f t="shared" si="44"/>
        <v>1251.9546307530311</v>
      </c>
      <c r="G420" s="1">
        <f t="shared" si="45"/>
        <v>0.17210134457789142</v>
      </c>
      <c r="H420" s="8">
        <f t="shared" si="46"/>
        <v>2334.372648</v>
      </c>
      <c r="I420" s="1">
        <f t="shared" si="47"/>
        <v>1261.982</v>
      </c>
      <c r="J420" s="2">
        <f t="shared" si="48"/>
        <v>8.0093711071123792E-3</v>
      </c>
    </row>
    <row r="421" spans="1:10">
      <c r="A421" s="1">
        <v>61.9</v>
      </c>
      <c r="B421" s="1">
        <f t="shared" si="42"/>
        <v>335.05</v>
      </c>
      <c r="C421" s="1" t="s">
        <v>437</v>
      </c>
      <c r="D421" s="1">
        <v>1.2472700000000001</v>
      </c>
      <c r="E421" s="1">
        <f t="shared" si="43"/>
        <v>1247.27</v>
      </c>
      <c r="F421" s="1">
        <f t="shared" si="44"/>
        <v>1249.5596247444298</v>
      </c>
      <c r="G421" s="1">
        <f t="shared" si="45"/>
        <v>0.18323453311786722</v>
      </c>
      <c r="H421" s="8">
        <f t="shared" si="46"/>
        <v>2326.059757</v>
      </c>
      <c r="I421" s="1">
        <f t="shared" si="47"/>
        <v>1259.6179999999999</v>
      </c>
      <c r="J421" s="2">
        <f t="shared" si="48"/>
        <v>8.0495360576549897E-3</v>
      </c>
    </row>
    <row r="422" spans="1:10">
      <c r="A422" s="1">
        <v>62</v>
      </c>
      <c r="B422" s="1">
        <f t="shared" si="42"/>
        <v>335.15</v>
      </c>
      <c r="C422" s="1" t="s">
        <v>438</v>
      </c>
      <c r="D422" s="1">
        <v>1.2450300000000001</v>
      </c>
      <c r="E422" s="1">
        <f t="shared" si="43"/>
        <v>1245.03</v>
      </c>
      <c r="F422" s="1">
        <f t="shared" si="44"/>
        <v>1247.1665245637423</v>
      </c>
      <c r="G422" s="1">
        <f t="shared" si="45"/>
        <v>0.17131028789356703</v>
      </c>
      <c r="H422" s="8">
        <f t="shared" si="46"/>
        <v>2317.7808559999999</v>
      </c>
      <c r="I422" s="1">
        <f t="shared" si="47"/>
        <v>1257.2539999999999</v>
      </c>
      <c r="J422" s="2">
        <f t="shared" si="48"/>
        <v>8.0883147820105111E-3</v>
      </c>
    </row>
    <row r="423" spans="1:10">
      <c r="A423" s="1">
        <v>62.1</v>
      </c>
      <c r="B423" s="1">
        <f t="shared" si="42"/>
        <v>335.25</v>
      </c>
      <c r="C423" s="1" t="s">
        <v>439</v>
      </c>
      <c r="D423" s="1">
        <v>1.2424900000000001</v>
      </c>
      <c r="E423" s="1">
        <f t="shared" si="43"/>
        <v>1242.49</v>
      </c>
      <c r="F423" s="1">
        <f t="shared" si="44"/>
        <v>1244.7753433457353</v>
      </c>
      <c r="G423" s="1">
        <f t="shared" si="45"/>
        <v>0.18359484367618739</v>
      </c>
      <c r="H423" s="8">
        <f t="shared" si="46"/>
        <v>2309.5357899999999</v>
      </c>
      <c r="I423" s="1">
        <f t="shared" si="47"/>
        <v>1254.8900000000001</v>
      </c>
      <c r="J423" s="2">
        <f t="shared" si="48"/>
        <v>8.1256884692770016E-3</v>
      </c>
    </row>
    <row r="424" spans="1:10">
      <c r="A424" s="1">
        <v>62.2</v>
      </c>
      <c r="B424" s="1">
        <f t="shared" si="42"/>
        <v>335.35</v>
      </c>
      <c r="C424" s="1" t="s">
        <v>440</v>
      </c>
      <c r="D424" s="1">
        <v>1.24024</v>
      </c>
      <c r="E424" s="1">
        <f t="shared" si="43"/>
        <v>1240.24</v>
      </c>
      <c r="F424" s="1">
        <f t="shared" si="44"/>
        <v>1242.386093937529</v>
      </c>
      <c r="G424" s="1">
        <f t="shared" si="45"/>
        <v>0.17273969404529918</v>
      </c>
      <c r="H424" s="8">
        <f t="shared" si="46"/>
        <v>2301.324404</v>
      </c>
      <c r="I424" s="1">
        <f t="shared" si="47"/>
        <v>1252.5260000000001</v>
      </c>
      <c r="J424" s="2">
        <f t="shared" si="48"/>
        <v>8.161638408503381E-3</v>
      </c>
    </row>
    <row r="425" spans="1:10">
      <c r="A425" s="1">
        <v>62.3</v>
      </c>
      <c r="B425" s="1">
        <f t="shared" si="42"/>
        <v>335.45</v>
      </c>
      <c r="C425" s="1" t="s">
        <v>441</v>
      </c>
      <c r="D425" s="1">
        <v>1.2377</v>
      </c>
      <c r="E425" s="1">
        <f t="shared" si="43"/>
        <v>1237.7</v>
      </c>
      <c r="F425" s="1">
        <f t="shared" si="44"/>
        <v>1239.9987888959499</v>
      </c>
      <c r="G425" s="1">
        <f t="shared" si="45"/>
        <v>0.18538638235257002</v>
      </c>
      <c r="H425" s="8">
        <f t="shared" si="46"/>
        <v>2293.1465429999998</v>
      </c>
      <c r="I425" s="1">
        <f t="shared" si="47"/>
        <v>1250.162</v>
      </c>
      <c r="J425" s="2">
        <f t="shared" si="48"/>
        <v>8.196145992286864E-3</v>
      </c>
    </row>
    <row r="426" spans="1:10">
      <c r="A426" s="1">
        <v>62.4</v>
      </c>
      <c r="B426" s="1">
        <f t="shared" si="42"/>
        <v>335.55</v>
      </c>
      <c r="C426" s="1" t="s">
        <v>442</v>
      </c>
      <c r="D426" s="1">
        <v>1.2354400000000001</v>
      </c>
      <c r="E426" s="1">
        <f t="shared" si="43"/>
        <v>1235.44</v>
      </c>
      <c r="F426" s="1">
        <f t="shared" si="44"/>
        <v>1237.6134413649704</v>
      </c>
      <c r="G426" s="1">
        <f t="shared" si="45"/>
        <v>0.17561552681370834</v>
      </c>
      <c r="H426" s="8">
        <f t="shared" si="46"/>
        <v>2285.0020549999999</v>
      </c>
      <c r="I426" s="1">
        <f t="shared" si="47"/>
        <v>1247.798</v>
      </c>
      <c r="J426" s="2">
        <f t="shared" si="48"/>
        <v>8.2291920034392851E-3</v>
      </c>
    </row>
    <row r="427" spans="1:10">
      <c r="A427" s="1">
        <v>62.5</v>
      </c>
      <c r="B427" s="1">
        <f t="shared" si="42"/>
        <v>335.65</v>
      </c>
      <c r="C427" s="1" t="s">
        <v>443</v>
      </c>
      <c r="D427" s="1">
        <v>1.2330300000000001</v>
      </c>
      <c r="E427" s="1">
        <f t="shared" si="43"/>
        <v>1233.03</v>
      </c>
      <c r="F427" s="1">
        <f t="shared" si="44"/>
        <v>1235.2300636158666</v>
      </c>
      <c r="G427" s="1">
        <f t="shared" si="45"/>
        <v>0.17810962351631929</v>
      </c>
      <c r="H427" s="8">
        <f t="shared" si="46"/>
        <v>2276.8907859999999</v>
      </c>
      <c r="I427" s="1">
        <f t="shared" si="47"/>
        <v>1245.434</v>
      </c>
      <c r="J427" s="2">
        <f t="shared" si="48"/>
        <v>8.260757801071961E-3</v>
      </c>
    </row>
    <row r="428" spans="1:10">
      <c r="A428" s="1">
        <v>62.6</v>
      </c>
      <c r="B428" s="1">
        <f t="shared" si="42"/>
        <v>335.75</v>
      </c>
      <c r="C428" s="1" t="s">
        <v>444</v>
      </c>
      <c r="D428" s="1">
        <v>1.2307600000000001</v>
      </c>
      <c r="E428" s="1">
        <f t="shared" si="43"/>
        <v>1230.76</v>
      </c>
      <c r="F428" s="1">
        <f t="shared" si="44"/>
        <v>1232.8486685114128</v>
      </c>
      <c r="G428" s="1">
        <f t="shared" si="45"/>
        <v>0.16941807739750978</v>
      </c>
      <c r="H428" s="8">
        <f t="shared" si="46"/>
        <v>2268.8125850000001</v>
      </c>
      <c r="I428" s="1">
        <f t="shared" si="47"/>
        <v>1243.07</v>
      </c>
      <c r="J428" s="2">
        <f t="shared" si="48"/>
        <v>8.2908241292329304E-3</v>
      </c>
    </row>
    <row r="429" spans="1:10">
      <c r="A429" s="1">
        <v>62.7</v>
      </c>
      <c r="B429" s="1">
        <f t="shared" si="42"/>
        <v>335.85</v>
      </c>
      <c r="C429" s="1" t="s">
        <v>445</v>
      </c>
      <c r="D429" s="1">
        <v>1.2282</v>
      </c>
      <c r="E429" s="1">
        <f t="shared" si="43"/>
        <v>1228.2</v>
      </c>
      <c r="F429" s="1">
        <f t="shared" si="44"/>
        <v>1230.4692686289741</v>
      </c>
      <c r="G429" s="1">
        <f t="shared" si="45"/>
        <v>0.18442302354308449</v>
      </c>
      <c r="H429" s="8">
        <f t="shared" si="46"/>
        <v>2260.7673009999999</v>
      </c>
      <c r="I429" s="1">
        <f t="shared" si="47"/>
        <v>1240.7059999999999</v>
      </c>
      <c r="J429" s="2">
        <f t="shared" si="48"/>
        <v>8.319371829929487E-3</v>
      </c>
    </row>
    <row r="430" spans="1:10">
      <c r="A430" s="1">
        <v>62.8</v>
      </c>
      <c r="B430" s="1">
        <f t="shared" si="42"/>
        <v>335.95</v>
      </c>
      <c r="C430" s="1" t="s">
        <v>446</v>
      </c>
      <c r="D430" s="1">
        <v>1.22593</v>
      </c>
      <c r="E430" s="1">
        <f t="shared" si="43"/>
        <v>1225.93</v>
      </c>
      <c r="F430" s="1">
        <f t="shared" si="44"/>
        <v>1228.0918762579486</v>
      </c>
      <c r="G430" s="1">
        <f t="shared" si="45"/>
        <v>0.17603538462739785</v>
      </c>
      <c r="H430" s="8">
        <f t="shared" si="46"/>
        <v>2252.7547829999999</v>
      </c>
      <c r="I430" s="1">
        <f t="shared" si="47"/>
        <v>1238.3420000000001</v>
      </c>
      <c r="J430" s="2">
        <f t="shared" si="48"/>
        <v>8.3463818466775613E-3</v>
      </c>
    </row>
    <row r="431" spans="1:10">
      <c r="A431" s="1">
        <v>62.9</v>
      </c>
      <c r="B431" s="1">
        <f t="shared" si="42"/>
        <v>336.05</v>
      </c>
      <c r="C431" s="1" t="s">
        <v>447</v>
      </c>
      <c r="D431" s="1">
        <v>1.2236499999999999</v>
      </c>
      <c r="E431" s="1">
        <f t="shared" si="43"/>
        <v>1223.6500000000001</v>
      </c>
      <c r="F431" s="1">
        <f t="shared" si="44"/>
        <v>1225.7165042916677</v>
      </c>
      <c r="G431" s="1">
        <f t="shared" si="45"/>
        <v>0.16859561606880602</v>
      </c>
      <c r="H431" s="8">
        <f t="shared" si="46"/>
        <v>2244.774883</v>
      </c>
      <c r="I431" s="1">
        <f t="shared" si="47"/>
        <v>1235.9780000000001</v>
      </c>
      <c r="J431" s="2">
        <f t="shared" si="48"/>
        <v>8.3718344922363956E-3</v>
      </c>
    </row>
    <row r="432" spans="1:10">
      <c r="A432" s="1">
        <v>63</v>
      </c>
      <c r="B432" s="1">
        <f t="shared" si="42"/>
        <v>336.15</v>
      </c>
      <c r="C432" s="1" t="s">
        <v>448</v>
      </c>
      <c r="D432" s="1">
        <v>1.2213700000000001</v>
      </c>
      <c r="E432" s="1">
        <f t="shared" si="43"/>
        <v>1221.3699999999999</v>
      </c>
      <c r="F432" s="1">
        <f t="shared" si="44"/>
        <v>1223.3431647437176</v>
      </c>
      <c r="G432" s="1">
        <f t="shared" si="45"/>
        <v>0.16129282449794485</v>
      </c>
      <c r="H432" s="8">
        <f t="shared" si="46"/>
        <v>2236.8274510000001</v>
      </c>
      <c r="I432" s="1">
        <f t="shared" si="47"/>
        <v>1233.614</v>
      </c>
      <c r="J432" s="2">
        <f t="shared" si="48"/>
        <v>8.3957106658899966E-3</v>
      </c>
    </row>
    <row r="433" spans="1:10">
      <c r="A433" s="1">
        <v>63.1</v>
      </c>
      <c r="B433" s="1">
        <f t="shared" si="42"/>
        <v>336.25</v>
      </c>
      <c r="C433" s="1" t="s">
        <v>449</v>
      </c>
      <c r="D433" s="1">
        <v>1.2188000000000001</v>
      </c>
      <c r="E433" s="1">
        <f t="shared" si="43"/>
        <v>1218.8</v>
      </c>
      <c r="F433" s="1">
        <f t="shared" si="44"/>
        <v>1220.9718702361829</v>
      </c>
      <c r="G433" s="1">
        <f t="shared" si="45"/>
        <v>0.17788044828279434</v>
      </c>
      <c r="H433" s="8">
        <f t="shared" si="46"/>
        <v>2228.9123399999999</v>
      </c>
      <c r="I433" s="1">
        <f t="shared" si="47"/>
        <v>1231.25</v>
      </c>
      <c r="J433" s="2">
        <f t="shared" si="48"/>
        <v>8.4179906305531186E-3</v>
      </c>
    </row>
    <row r="434" spans="1:10">
      <c r="A434" s="1">
        <v>63.2</v>
      </c>
      <c r="B434" s="1">
        <f t="shared" si="42"/>
        <v>336.35</v>
      </c>
      <c r="C434" s="1" t="s">
        <v>450</v>
      </c>
      <c r="D434" s="1">
        <v>1.21637</v>
      </c>
      <c r="E434" s="1">
        <f t="shared" si="43"/>
        <v>1216.3699999999999</v>
      </c>
      <c r="F434" s="1">
        <f t="shared" si="44"/>
        <v>1218.6026328074354</v>
      </c>
      <c r="G434" s="1">
        <f t="shared" si="45"/>
        <v>0.18321253764994089</v>
      </c>
      <c r="H434" s="8">
        <f t="shared" si="46"/>
        <v>2221.0294020000001</v>
      </c>
      <c r="I434" s="1">
        <f t="shared" si="47"/>
        <v>1228.886</v>
      </c>
      <c r="J434" s="2">
        <f t="shared" si="48"/>
        <v>8.4386549936082151E-3</v>
      </c>
    </row>
    <row r="435" spans="1:10">
      <c r="A435" s="1">
        <v>63.3</v>
      </c>
      <c r="B435" s="1">
        <f t="shared" si="42"/>
        <v>336.45</v>
      </c>
      <c r="C435" s="1" t="s">
        <v>451</v>
      </c>
      <c r="D435" s="1">
        <v>1.21407</v>
      </c>
      <c r="E435" s="1">
        <f t="shared" si="43"/>
        <v>1214.07</v>
      </c>
      <c r="F435" s="1">
        <f t="shared" si="44"/>
        <v>1216.2354648108387</v>
      </c>
      <c r="G435" s="1">
        <f t="shared" si="45"/>
        <v>0.17804651101631702</v>
      </c>
      <c r="H435" s="8">
        <f t="shared" si="46"/>
        <v>2213.1784910000001</v>
      </c>
      <c r="I435" s="1">
        <f t="shared" si="47"/>
        <v>1226.5219999999999</v>
      </c>
      <c r="J435" s="2">
        <f t="shared" si="48"/>
        <v>8.4576839656300262E-3</v>
      </c>
    </row>
    <row r="436" spans="1:10">
      <c r="A436" s="1">
        <v>63.4</v>
      </c>
      <c r="B436" s="1">
        <f t="shared" si="42"/>
        <v>336.55</v>
      </c>
      <c r="C436" s="1" t="s">
        <v>452</v>
      </c>
      <c r="D436" s="1">
        <v>1.2117800000000001</v>
      </c>
      <c r="E436" s="1">
        <f t="shared" si="43"/>
        <v>1211.78</v>
      </c>
      <c r="F436" s="1">
        <f t="shared" si="44"/>
        <v>1213.8703780130315</v>
      </c>
      <c r="G436" s="1">
        <f t="shared" si="45"/>
        <v>0.17220767974034265</v>
      </c>
      <c r="H436" s="8">
        <f t="shared" si="46"/>
        <v>2205.3594600000001</v>
      </c>
      <c r="I436" s="1">
        <f t="shared" si="47"/>
        <v>1224.1579999999999</v>
      </c>
      <c r="J436" s="2">
        <f t="shared" si="48"/>
        <v>8.475058106128296E-3</v>
      </c>
    </row>
    <row r="437" spans="1:10">
      <c r="A437" s="1">
        <v>63.5</v>
      </c>
      <c r="B437" s="1">
        <f t="shared" si="42"/>
        <v>336.65</v>
      </c>
      <c r="C437" s="1" t="s">
        <v>453</v>
      </c>
      <c r="D437" s="1">
        <v>1.2094800000000001</v>
      </c>
      <c r="E437" s="1">
        <f t="shared" si="43"/>
        <v>1209.48</v>
      </c>
      <c r="F437" s="1">
        <f t="shared" si="44"/>
        <v>1211.5073851062882</v>
      </c>
      <c r="G437" s="1">
        <f t="shared" si="45"/>
        <v>0.16734401549771205</v>
      </c>
      <c r="H437" s="8">
        <f t="shared" si="46"/>
        <v>2197.5721659999999</v>
      </c>
      <c r="I437" s="1">
        <f t="shared" si="47"/>
        <v>1221.7940000000001</v>
      </c>
      <c r="J437" s="2">
        <f t="shared" si="48"/>
        <v>8.4907570685666244E-3</v>
      </c>
    </row>
    <row r="438" spans="1:10">
      <c r="A438" s="1">
        <v>63.6</v>
      </c>
      <c r="B438" s="1">
        <f t="shared" si="42"/>
        <v>336.75</v>
      </c>
      <c r="C438" s="1" t="s">
        <v>454</v>
      </c>
      <c r="D438" s="1">
        <v>1.2071700000000001</v>
      </c>
      <c r="E438" s="1">
        <f t="shared" si="43"/>
        <v>1207.17</v>
      </c>
      <c r="F438" s="1">
        <f t="shared" si="44"/>
        <v>1209.146497591151</v>
      </c>
      <c r="G438" s="1">
        <f t="shared" si="45"/>
        <v>0.1634622103350199</v>
      </c>
      <c r="H438" s="8">
        <f t="shared" si="46"/>
        <v>2189.8164630000001</v>
      </c>
      <c r="I438" s="1">
        <f t="shared" si="47"/>
        <v>1219.43</v>
      </c>
      <c r="J438" s="2">
        <f t="shared" si="48"/>
        <v>8.5047613579791216E-3</v>
      </c>
    </row>
    <row r="439" spans="1:10">
      <c r="A439" s="1">
        <v>63.7</v>
      </c>
      <c r="B439" s="1">
        <f t="shared" si="42"/>
        <v>336.85</v>
      </c>
      <c r="C439" s="1" t="s">
        <v>455</v>
      </c>
      <c r="D439" s="1">
        <v>1.20458</v>
      </c>
      <c r="E439" s="1">
        <f t="shared" si="43"/>
        <v>1204.58</v>
      </c>
      <c r="F439" s="1">
        <f t="shared" si="44"/>
        <v>1206.7877275946771</v>
      </c>
      <c r="G439" s="1">
        <f t="shared" si="45"/>
        <v>0.18294249636409035</v>
      </c>
      <c r="H439" s="8">
        <f t="shared" si="46"/>
        <v>2182.092208</v>
      </c>
      <c r="I439" s="1">
        <f t="shared" si="47"/>
        <v>1217.066</v>
      </c>
      <c r="J439" s="2">
        <f t="shared" si="48"/>
        <v>8.5170508203701902E-3</v>
      </c>
    </row>
    <row r="440" spans="1:10">
      <c r="A440" s="1">
        <v>63.8</v>
      </c>
      <c r="B440" s="1">
        <f t="shared" si="42"/>
        <v>336.95</v>
      </c>
      <c r="C440" s="1" t="s">
        <v>456</v>
      </c>
      <c r="D440" s="1">
        <v>1.2022699999999999</v>
      </c>
      <c r="E440" s="1">
        <f t="shared" si="43"/>
        <v>1202.27</v>
      </c>
      <c r="F440" s="1">
        <f t="shared" si="44"/>
        <v>1204.4310869620604</v>
      </c>
      <c r="G440" s="1">
        <f t="shared" si="45"/>
        <v>0.17942802917112477</v>
      </c>
      <c r="H440" s="8">
        <f t="shared" si="46"/>
        <v>2174.3992579999999</v>
      </c>
      <c r="I440" s="1">
        <f t="shared" si="47"/>
        <v>1214.702</v>
      </c>
      <c r="J440" s="2">
        <f t="shared" si="48"/>
        <v>8.5276053973714558E-3</v>
      </c>
    </row>
    <row r="441" spans="1:10">
      <c r="A441" s="1">
        <v>63.9</v>
      </c>
      <c r="B441" s="1">
        <f t="shared" si="42"/>
        <v>337.05</v>
      </c>
      <c r="C441" s="1" t="s">
        <v>457</v>
      </c>
      <c r="D441" s="1">
        <v>1.1999500000000001</v>
      </c>
      <c r="E441" s="1">
        <f t="shared" si="43"/>
        <v>1199.95</v>
      </c>
      <c r="F441" s="1">
        <f t="shared" si="44"/>
        <v>1202.0765875620414</v>
      </c>
      <c r="G441" s="1">
        <f t="shared" si="45"/>
        <v>0.17690949013109911</v>
      </c>
      <c r="H441" s="8">
        <f t="shared" si="46"/>
        <v>2166.7374709999999</v>
      </c>
      <c r="I441" s="1">
        <f t="shared" si="47"/>
        <v>1212.338</v>
      </c>
      <c r="J441" s="2">
        <f t="shared" si="48"/>
        <v>8.5364048714816083E-3</v>
      </c>
    </row>
    <row r="442" spans="1:10">
      <c r="A442" s="1">
        <v>64</v>
      </c>
      <c r="B442" s="1">
        <f t="shared" si="42"/>
        <v>337.15</v>
      </c>
      <c r="C442" s="1" t="s">
        <v>458</v>
      </c>
      <c r="D442" s="1">
        <v>1.19763</v>
      </c>
      <c r="E442" s="1">
        <f t="shared" si="43"/>
        <v>1197.6300000000001</v>
      </c>
      <c r="F442" s="1">
        <f t="shared" si="44"/>
        <v>1199.724240980627</v>
      </c>
      <c r="G442" s="1">
        <f t="shared" si="45"/>
        <v>0.17456019550918467</v>
      </c>
      <c r="H442" s="8">
        <f t="shared" si="46"/>
        <v>2159.1067050000001</v>
      </c>
      <c r="I442" s="1">
        <f t="shared" si="47"/>
        <v>1209.9739999999999</v>
      </c>
      <c r="J442" s="2">
        <f t="shared" si="48"/>
        <v>8.5434291225082205E-3</v>
      </c>
    </row>
    <row r="443" spans="1:10">
      <c r="A443" s="1">
        <v>64.099999999999994</v>
      </c>
      <c r="B443" s="1">
        <f t="shared" si="42"/>
        <v>337.25</v>
      </c>
      <c r="C443" s="1" t="s">
        <v>459</v>
      </c>
      <c r="D443" s="1">
        <v>1.1953100000000001</v>
      </c>
      <c r="E443" s="1">
        <f t="shared" si="43"/>
        <v>1195.31</v>
      </c>
      <c r="F443" s="1">
        <f t="shared" si="44"/>
        <v>1197.3740594479111</v>
      </c>
      <c r="G443" s="1">
        <f t="shared" si="45"/>
        <v>0.17238217511266946</v>
      </c>
      <c r="H443" s="8">
        <f t="shared" si="46"/>
        <v>2151.5068209999999</v>
      </c>
      <c r="I443" s="1">
        <f t="shared" si="47"/>
        <v>1207.6099999999999</v>
      </c>
      <c r="J443" s="2">
        <f t="shared" si="48"/>
        <v>8.5486573484048894E-3</v>
      </c>
    </row>
    <row r="444" spans="1:10">
      <c r="A444" s="1">
        <v>64.2</v>
      </c>
      <c r="B444" s="1">
        <f t="shared" si="42"/>
        <v>337.35</v>
      </c>
      <c r="C444" s="1" t="s">
        <v>460</v>
      </c>
      <c r="D444" s="1">
        <v>1.1929799999999999</v>
      </c>
      <c r="E444" s="1">
        <f t="shared" si="43"/>
        <v>1192.98</v>
      </c>
      <c r="F444" s="1">
        <f t="shared" si="44"/>
        <v>1195.0260539861192</v>
      </c>
      <c r="G444" s="1">
        <f t="shared" si="45"/>
        <v>0.17121417389138952</v>
      </c>
      <c r="H444" s="8">
        <f t="shared" si="46"/>
        <v>2143.9376769999999</v>
      </c>
      <c r="I444" s="1">
        <f t="shared" si="47"/>
        <v>1205.2460000000001</v>
      </c>
      <c r="J444" s="2">
        <f t="shared" si="48"/>
        <v>8.5520696220733449E-3</v>
      </c>
    </row>
    <row r="445" spans="1:10">
      <c r="A445" s="1">
        <v>64.3</v>
      </c>
      <c r="B445" s="1">
        <f t="shared" si="42"/>
        <v>337.45</v>
      </c>
      <c r="C445" s="1" t="s">
        <v>461</v>
      </c>
      <c r="D445" s="1">
        <v>1.19065</v>
      </c>
      <c r="E445" s="1">
        <f t="shared" si="43"/>
        <v>1190.6500000000001</v>
      </c>
      <c r="F445" s="1">
        <f t="shared" si="44"/>
        <v>1192.6802362627336</v>
      </c>
      <c r="G445" s="1">
        <f t="shared" si="45"/>
        <v>0.1702246923362522</v>
      </c>
      <c r="H445" s="8">
        <f t="shared" si="46"/>
        <v>2136.3991339999998</v>
      </c>
      <c r="I445" s="1">
        <f t="shared" si="47"/>
        <v>1202.8820000000001</v>
      </c>
      <c r="J445" s="2">
        <f t="shared" si="48"/>
        <v>8.5536453335000318E-3</v>
      </c>
    </row>
    <row r="446" spans="1:10">
      <c r="A446" s="1">
        <v>64.400000000000006</v>
      </c>
      <c r="B446" s="1">
        <f t="shared" si="42"/>
        <v>337.55</v>
      </c>
      <c r="C446" s="1" t="s">
        <v>462</v>
      </c>
      <c r="D446" s="1">
        <v>1.18832</v>
      </c>
      <c r="E446" s="1">
        <f t="shared" si="43"/>
        <v>1188.32</v>
      </c>
      <c r="F446" s="1">
        <f t="shared" si="44"/>
        <v>1190.3366179774659</v>
      </c>
      <c r="G446" s="1">
        <f t="shared" si="45"/>
        <v>0.16941577256461318</v>
      </c>
      <c r="H446" s="8">
        <f t="shared" si="46"/>
        <v>2128.8910540000002</v>
      </c>
      <c r="I446" s="1">
        <f t="shared" si="47"/>
        <v>1200.518</v>
      </c>
      <c r="J446" s="2">
        <f t="shared" si="48"/>
        <v>8.5533637029780278E-3</v>
      </c>
    </row>
    <row r="447" spans="1:10">
      <c r="A447" s="1">
        <v>64.5</v>
      </c>
      <c r="B447" s="1">
        <f t="shared" si="42"/>
        <v>337.65</v>
      </c>
      <c r="C447" s="1" t="s">
        <v>463</v>
      </c>
      <c r="D447" s="1">
        <v>1.18584</v>
      </c>
      <c r="E447" s="1">
        <f t="shared" si="43"/>
        <v>1185.8399999999999</v>
      </c>
      <c r="F447" s="1">
        <f t="shared" si="44"/>
        <v>1187.9952105512286</v>
      </c>
      <c r="G447" s="1">
        <f t="shared" si="45"/>
        <v>0.18141576094643549</v>
      </c>
      <c r="H447" s="8">
        <f t="shared" si="46"/>
        <v>2121.4132989999998</v>
      </c>
      <c r="I447" s="1">
        <f t="shared" si="47"/>
        <v>1198.154</v>
      </c>
      <c r="J447" s="2">
        <f t="shared" si="48"/>
        <v>8.5512040440446635E-3</v>
      </c>
    </row>
    <row r="448" spans="1:10">
      <c r="A448" s="1">
        <v>64.599999999999994</v>
      </c>
      <c r="B448" s="1">
        <f t="shared" si="42"/>
        <v>337.75</v>
      </c>
      <c r="C448" s="1" t="s">
        <v>464</v>
      </c>
      <c r="D448" s="1">
        <v>1.18336</v>
      </c>
      <c r="E448" s="1">
        <f t="shared" si="43"/>
        <v>1183.3599999999999</v>
      </c>
      <c r="F448" s="1">
        <f t="shared" si="44"/>
        <v>1185.656025438446</v>
      </c>
      <c r="G448" s="1">
        <f t="shared" si="45"/>
        <v>0.19365021466466809</v>
      </c>
      <c r="H448" s="8">
        <f t="shared" si="46"/>
        <v>2113.9657320000001</v>
      </c>
      <c r="I448" s="1">
        <f t="shared" si="47"/>
        <v>1195.79</v>
      </c>
      <c r="J448" s="2">
        <f t="shared" si="48"/>
        <v>8.5471454993082657E-3</v>
      </c>
    </row>
    <row r="449" spans="1:10">
      <c r="A449" s="1">
        <v>64.7</v>
      </c>
      <c r="B449" s="1">
        <f t="shared" si="42"/>
        <v>337.85</v>
      </c>
      <c r="C449" s="1" t="s">
        <v>465</v>
      </c>
      <c r="D449" s="1">
        <v>1.18102</v>
      </c>
      <c r="E449" s="1">
        <f t="shared" si="43"/>
        <v>1181.02</v>
      </c>
      <c r="F449" s="1">
        <f t="shared" si="44"/>
        <v>1183.3190738141136</v>
      </c>
      <c r="G449" s="1">
        <f t="shared" si="45"/>
        <v>0.19429026920889347</v>
      </c>
      <c r="H449" s="8">
        <f t="shared" si="46"/>
        <v>2106.5482160000001</v>
      </c>
      <c r="I449" s="1">
        <f t="shared" si="47"/>
        <v>1193.4259999999999</v>
      </c>
      <c r="J449" s="2">
        <f t="shared" si="48"/>
        <v>8.5411673060498718E-3</v>
      </c>
    </row>
    <row r="450" spans="1:10">
      <c r="A450" s="1">
        <v>64.8</v>
      </c>
      <c r="B450" s="1">
        <f t="shared" si="42"/>
        <v>337.95</v>
      </c>
      <c r="C450" s="1" t="s">
        <v>466</v>
      </c>
      <c r="D450" s="1">
        <v>1.1789499999999999</v>
      </c>
      <c r="E450" s="1">
        <f t="shared" si="43"/>
        <v>1178.95</v>
      </c>
      <c r="F450" s="1">
        <f t="shared" si="44"/>
        <v>1180.9843665715664</v>
      </c>
      <c r="G450" s="1">
        <f t="shared" si="45"/>
        <v>0.17226024570267429</v>
      </c>
      <c r="H450" s="8">
        <f t="shared" si="46"/>
        <v>2099.1606139999999</v>
      </c>
      <c r="I450" s="1">
        <f t="shared" si="47"/>
        <v>1191.0619999999999</v>
      </c>
      <c r="J450" s="2">
        <f t="shared" si="48"/>
        <v>8.5332487996341369E-3</v>
      </c>
    </row>
    <row r="451" spans="1:10">
      <c r="A451" s="1">
        <v>64.900000000000006</v>
      </c>
      <c r="B451" s="1">
        <f t="shared" ref="B451:B514" si="49">A451+273.15</f>
        <v>338.05</v>
      </c>
      <c r="C451" s="1" t="s">
        <v>467</v>
      </c>
      <c r="D451" s="1">
        <v>1.1766000000000001</v>
      </c>
      <c r="E451" s="1">
        <f t="shared" ref="E451:E514" si="50">D451/0.001</f>
        <v>1176.5999999999999</v>
      </c>
      <c r="F451" s="1">
        <f t="shared" ref="F451:F514" si="51">(H451*2700)/(H451+2700)</f>
        <v>1178.6519155902165</v>
      </c>
      <c r="G451" s="1">
        <f t="shared" ref="G451:G514" si="52">ABS(E451-F451)*100/F451</f>
        <v>0.17409003990708205</v>
      </c>
      <c r="H451" s="8">
        <f t="shared" ref="H451:H514" si="53">ROUND(10000*EXP(($L$3)+($M$3/B451)+($N$3/(B451^2))+($O$3/(B451^3))),6)</f>
        <v>2091.8027929999998</v>
      </c>
      <c r="I451" s="1">
        <f t="shared" ref="I451:I514" si="54">-23.64*B451+9180.2</f>
        <v>1188.6980000000001</v>
      </c>
      <c r="J451" s="2">
        <f t="shared" ref="J451:J514" si="55">ABS(I451-F451)/F451</f>
        <v>8.5233683302953413E-3</v>
      </c>
    </row>
    <row r="452" spans="1:10">
      <c r="A452" s="1">
        <v>65</v>
      </c>
      <c r="B452" s="1">
        <f t="shared" si="49"/>
        <v>338.15</v>
      </c>
      <c r="C452" s="1" t="s">
        <v>468</v>
      </c>
      <c r="D452" s="1">
        <v>1.17424</v>
      </c>
      <c r="E452" s="1">
        <f t="shared" si="50"/>
        <v>1174.24</v>
      </c>
      <c r="F452" s="1">
        <f t="shared" si="51"/>
        <v>1176.3217312051052</v>
      </c>
      <c r="G452" s="1">
        <f t="shared" si="52"/>
        <v>0.1769695441205931</v>
      </c>
      <c r="H452" s="8">
        <f t="shared" si="53"/>
        <v>2084.474616</v>
      </c>
      <c r="I452" s="1">
        <f t="shared" si="54"/>
        <v>1186.3340000000001</v>
      </c>
      <c r="J452" s="2">
        <f t="shared" si="55"/>
        <v>8.5115054234674806E-3</v>
      </c>
    </row>
    <row r="453" spans="1:10">
      <c r="A453" s="1">
        <v>65.099999999999994</v>
      </c>
      <c r="B453" s="1">
        <f t="shared" si="49"/>
        <v>338.25</v>
      </c>
      <c r="C453" s="1" t="s">
        <v>469</v>
      </c>
      <c r="D453" s="1">
        <v>1.17188</v>
      </c>
      <c r="E453" s="1">
        <f t="shared" si="50"/>
        <v>1171.8800000000001</v>
      </c>
      <c r="F453" s="1">
        <f t="shared" si="51"/>
        <v>1173.9938250601815</v>
      </c>
      <c r="G453" s="1">
        <f t="shared" si="52"/>
        <v>0.18005418896245376</v>
      </c>
      <c r="H453" s="8">
        <f t="shared" si="53"/>
        <v>2077.1759510000002</v>
      </c>
      <c r="I453" s="1">
        <f t="shared" si="54"/>
        <v>1183.97</v>
      </c>
      <c r="J453" s="2">
        <f t="shared" si="55"/>
        <v>8.4976383409061957E-3</v>
      </c>
    </row>
    <row r="454" spans="1:10">
      <c r="A454" s="1">
        <v>65.2</v>
      </c>
      <c r="B454" s="1">
        <f t="shared" si="49"/>
        <v>338.35</v>
      </c>
      <c r="C454" s="1" t="s">
        <v>470</v>
      </c>
      <c r="D454" s="1">
        <v>1.1693800000000001</v>
      </c>
      <c r="E454" s="1">
        <f t="shared" si="50"/>
        <v>1169.3800000000001</v>
      </c>
      <c r="F454" s="1">
        <f t="shared" si="51"/>
        <v>1171.668208208011</v>
      </c>
      <c r="G454" s="1">
        <f t="shared" si="52"/>
        <v>0.19529489594247773</v>
      </c>
      <c r="H454" s="8">
        <f t="shared" si="53"/>
        <v>2069.906665</v>
      </c>
      <c r="I454" s="1">
        <f t="shared" si="54"/>
        <v>1181.606</v>
      </c>
      <c r="J454" s="2">
        <f t="shared" si="55"/>
        <v>8.481745704432957E-3</v>
      </c>
    </row>
    <row r="455" spans="1:10">
      <c r="A455" s="1">
        <v>65.3</v>
      </c>
      <c r="B455" s="1">
        <f t="shared" si="49"/>
        <v>338.45</v>
      </c>
      <c r="C455" s="1" t="s">
        <v>471</v>
      </c>
      <c r="D455" s="1">
        <v>1.1670199999999999</v>
      </c>
      <c r="E455" s="1">
        <f t="shared" si="50"/>
        <v>1167.02</v>
      </c>
      <c r="F455" s="1">
        <f t="shared" si="51"/>
        <v>1169.344891102754</v>
      </c>
      <c r="G455" s="1">
        <f t="shared" si="52"/>
        <v>0.19881996496016791</v>
      </c>
      <c r="H455" s="8">
        <f t="shared" si="53"/>
        <v>2062.666624</v>
      </c>
      <c r="I455" s="1">
        <f t="shared" si="54"/>
        <v>1179.242</v>
      </c>
      <c r="J455" s="2">
        <f t="shared" si="55"/>
        <v>8.4638065061476211E-3</v>
      </c>
    </row>
    <row r="456" spans="1:10">
      <c r="A456" s="1">
        <v>65.400000000000006</v>
      </c>
      <c r="B456" s="1">
        <f t="shared" si="49"/>
        <v>338.55</v>
      </c>
      <c r="C456" s="1" t="s">
        <v>472</v>
      </c>
      <c r="D456" s="1">
        <v>1.16492</v>
      </c>
      <c r="E456" s="1">
        <f t="shared" si="50"/>
        <v>1164.92</v>
      </c>
      <c r="F456" s="1">
        <f t="shared" si="51"/>
        <v>1167.0238848825932</v>
      </c>
      <c r="G456" s="1">
        <f t="shared" si="52"/>
        <v>0.1802777912128809</v>
      </c>
      <c r="H456" s="8">
        <f t="shared" si="53"/>
        <v>2055.4556969999999</v>
      </c>
      <c r="I456" s="1">
        <f t="shared" si="54"/>
        <v>1176.8779999999999</v>
      </c>
      <c r="J456" s="2">
        <f t="shared" si="55"/>
        <v>8.4437990045063416E-3</v>
      </c>
    </row>
    <row r="457" spans="1:10">
      <c r="A457" s="1">
        <v>65.5</v>
      </c>
      <c r="B457" s="1">
        <f t="shared" si="49"/>
        <v>338.65</v>
      </c>
      <c r="C457" s="1" t="s">
        <v>473</v>
      </c>
      <c r="D457" s="1">
        <v>1.16255</v>
      </c>
      <c r="E457" s="1">
        <f t="shared" si="50"/>
        <v>1162.55</v>
      </c>
      <c r="F457" s="1">
        <f t="shared" si="51"/>
        <v>1164.7052000888932</v>
      </c>
      <c r="G457" s="1">
        <f t="shared" si="52"/>
        <v>0.18504254026931127</v>
      </c>
      <c r="H457" s="8">
        <f t="shared" si="53"/>
        <v>2048.2737520000001</v>
      </c>
      <c r="I457" s="1">
        <f t="shared" si="54"/>
        <v>1174.5139999999999</v>
      </c>
      <c r="J457" s="2">
        <f t="shared" si="55"/>
        <v>8.4217018266579888E-3</v>
      </c>
    </row>
    <row r="458" spans="1:10">
      <c r="A458" s="1">
        <v>65.599999999999994</v>
      </c>
      <c r="B458" s="1">
        <f t="shared" si="49"/>
        <v>338.75</v>
      </c>
      <c r="C458" s="1" t="s">
        <v>474</v>
      </c>
      <c r="D458" s="1">
        <v>1.16018</v>
      </c>
      <c r="E458" s="1">
        <f t="shared" si="50"/>
        <v>1160.18</v>
      </c>
      <c r="F458" s="1">
        <f t="shared" si="51"/>
        <v>1162.388847956466</v>
      </c>
      <c r="G458" s="1">
        <f t="shared" si="52"/>
        <v>0.19002659569120492</v>
      </c>
      <c r="H458" s="8">
        <f t="shared" si="53"/>
        <v>2041.12066</v>
      </c>
      <c r="I458" s="1">
        <f t="shared" si="54"/>
        <v>1172.1500000000001</v>
      </c>
      <c r="J458" s="2">
        <f t="shared" si="55"/>
        <v>8.3974928533551412E-3</v>
      </c>
    </row>
    <row r="459" spans="1:10">
      <c r="A459" s="1">
        <v>65.7</v>
      </c>
      <c r="B459" s="1">
        <f t="shared" si="49"/>
        <v>338.85</v>
      </c>
      <c r="C459" s="1" t="s">
        <v>475</v>
      </c>
      <c r="D459" s="1">
        <v>1.1580699999999999</v>
      </c>
      <c r="E459" s="1">
        <f t="shared" si="50"/>
        <v>1158.07</v>
      </c>
      <c r="F459" s="1">
        <f t="shared" si="51"/>
        <v>1160.074838799673</v>
      </c>
      <c r="G459" s="1">
        <f t="shared" si="52"/>
        <v>0.17281978132957829</v>
      </c>
      <c r="H459" s="8">
        <f t="shared" si="53"/>
        <v>2033.99629</v>
      </c>
      <c r="I459" s="1">
        <f t="shared" si="54"/>
        <v>1169.7860000000001</v>
      </c>
      <c r="J459" s="2">
        <f t="shared" si="55"/>
        <v>8.3711506150544457E-3</v>
      </c>
    </row>
    <row r="460" spans="1:10">
      <c r="A460" s="1">
        <v>65.8</v>
      </c>
      <c r="B460" s="1">
        <f t="shared" si="49"/>
        <v>338.95</v>
      </c>
      <c r="C460" s="1" t="s">
        <v>476</v>
      </c>
      <c r="D460" s="1">
        <v>1.1556900000000001</v>
      </c>
      <c r="E460" s="1">
        <f t="shared" si="50"/>
        <v>1155.69</v>
      </c>
      <c r="F460" s="1">
        <f t="shared" si="51"/>
        <v>1157.7631829793838</v>
      </c>
      <c r="G460" s="1">
        <f t="shared" si="52"/>
        <v>0.17906796569991554</v>
      </c>
      <c r="H460" s="8">
        <f t="shared" si="53"/>
        <v>2026.9005119999999</v>
      </c>
      <c r="I460" s="1">
        <f t="shared" si="54"/>
        <v>1167.422</v>
      </c>
      <c r="J460" s="2">
        <f t="shared" si="55"/>
        <v>8.3426534567805407E-3</v>
      </c>
    </row>
    <row r="461" spans="1:10">
      <c r="A461" s="1">
        <v>65.900000000000006</v>
      </c>
      <c r="B461" s="1">
        <f t="shared" si="49"/>
        <v>339.05</v>
      </c>
      <c r="C461" s="1" t="s">
        <v>477</v>
      </c>
      <c r="D461" s="1">
        <v>1.15344</v>
      </c>
      <c r="E461" s="1">
        <f t="shared" si="50"/>
        <v>1153.44</v>
      </c>
      <c r="F461" s="1">
        <f t="shared" si="51"/>
        <v>1155.4538912330436</v>
      </c>
      <c r="G461" s="1">
        <f t="shared" si="52"/>
        <v>0.17429438321371679</v>
      </c>
      <c r="H461" s="8">
        <f t="shared" si="53"/>
        <v>2019.833198</v>
      </c>
      <c r="I461" s="1">
        <f t="shared" si="54"/>
        <v>1165.058</v>
      </c>
      <c r="J461" s="2">
        <f t="shared" si="55"/>
        <v>8.3119792488710927E-3</v>
      </c>
    </row>
    <row r="462" spans="1:10">
      <c r="A462" s="1">
        <v>66</v>
      </c>
      <c r="B462" s="1">
        <f t="shared" si="49"/>
        <v>339.15</v>
      </c>
      <c r="C462" s="1" t="s">
        <v>478</v>
      </c>
      <c r="D462" s="1">
        <v>1.1510499999999999</v>
      </c>
      <c r="E462" s="1">
        <f t="shared" si="50"/>
        <v>1151.05</v>
      </c>
      <c r="F462" s="1">
        <f t="shared" si="51"/>
        <v>1153.146974354177</v>
      </c>
      <c r="G462" s="1">
        <f t="shared" si="52"/>
        <v>0.1818479691499412</v>
      </c>
      <c r="H462" s="8">
        <f t="shared" si="53"/>
        <v>2012.7942210000001</v>
      </c>
      <c r="I462" s="1">
        <f t="shared" si="54"/>
        <v>1162.694</v>
      </c>
      <c r="J462" s="2">
        <f t="shared" si="55"/>
        <v>8.2791056631525903E-3</v>
      </c>
    </row>
    <row r="463" spans="1:10">
      <c r="A463" s="1">
        <v>66.099999999999994</v>
      </c>
      <c r="B463" s="1">
        <f t="shared" si="49"/>
        <v>339.25</v>
      </c>
      <c r="C463" s="1" t="s">
        <v>479</v>
      </c>
      <c r="D463" s="1">
        <v>1.14879</v>
      </c>
      <c r="E463" s="1">
        <f t="shared" si="50"/>
        <v>1148.79</v>
      </c>
      <c r="F463" s="1">
        <f t="shared" si="51"/>
        <v>1150.8424422076446</v>
      </c>
      <c r="G463" s="1">
        <f t="shared" si="52"/>
        <v>0.17834258907826223</v>
      </c>
      <c r="H463" s="8">
        <f t="shared" si="53"/>
        <v>2005.7834519999999</v>
      </c>
      <c r="I463" s="1">
        <f t="shared" si="54"/>
        <v>1160.33</v>
      </c>
      <c r="J463" s="2">
        <f t="shared" si="55"/>
        <v>8.2440110343475863E-3</v>
      </c>
    </row>
    <row r="464" spans="1:10">
      <c r="A464" s="1">
        <v>66.2</v>
      </c>
      <c r="B464" s="1">
        <f t="shared" si="49"/>
        <v>339.35</v>
      </c>
      <c r="C464" s="1" t="s">
        <v>480</v>
      </c>
      <c r="D464" s="1">
        <v>1.1464000000000001</v>
      </c>
      <c r="E464" s="1">
        <f t="shared" si="50"/>
        <v>1146.4000000000001</v>
      </c>
      <c r="F464" s="1">
        <f t="shared" si="51"/>
        <v>1148.5403056989287</v>
      </c>
      <c r="G464" s="1">
        <f t="shared" si="52"/>
        <v>0.18635007307176391</v>
      </c>
      <c r="H464" s="8">
        <f t="shared" si="53"/>
        <v>1998.8007660000001</v>
      </c>
      <c r="I464" s="1">
        <f t="shared" si="54"/>
        <v>1157.9659999999999</v>
      </c>
      <c r="J464" s="2">
        <f t="shared" si="55"/>
        <v>8.2066726385673604E-3</v>
      </c>
    </row>
    <row r="465" spans="1:10">
      <c r="A465" s="1">
        <v>66.3</v>
      </c>
      <c r="B465" s="1">
        <f t="shared" si="49"/>
        <v>339.45</v>
      </c>
      <c r="C465" s="1" t="s">
        <v>481</v>
      </c>
      <c r="D465" s="1">
        <v>1.1439999999999999</v>
      </c>
      <c r="E465" s="1">
        <f t="shared" si="50"/>
        <v>1144</v>
      </c>
      <c r="F465" s="1">
        <f t="shared" si="51"/>
        <v>1146.2405744735822</v>
      </c>
      <c r="G465" s="1">
        <f t="shared" si="52"/>
        <v>0.19547157232775722</v>
      </c>
      <c r="H465" s="8">
        <f t="shared" si="53"/>
        <v>1991.846035</v>
      </c>
      <c r="I465" s="1">
        <f t="shared" si="54"/>
        <v>1155.6020000000001</v>
      </c>
      <c r="J465" s="2">
        <f t="shared" si="55"/>
        <v>8.1670687069484958E-3</v>
      </c>
    </row>
    <row r="466" spans="1:10">
      <c r="A466" s="1">
        <v>66.400000000000006</v>
      </c>
      <c r="B466" s="1">
        <f t="shared" si="49"/>
        <v>339.55</v>
      </c>
      <c r="C466" s="1" t="s">
        <v>482</v>
      </c>
      <c r="D466" s="1">
        <v>1.1418699999999999</v>
      </c>
      <c r="E466" s="1">
        <f t="shared" si="50"/>
        <v>1141.8699999999999</v>
      </c>
      <c r="F466" s="1">
        <f t="shared" si="51"/>
        <v>1143.9432592255405</v>
      </c>
      <c r="G466" s="1">
        <f t="shared" si="52"/>
        <v>0.18123794242593907</v>
      </c>
      <c r="H466" s="8">
        <f t="shared" si="53"/>
        <v>1984.9191350000001</v>
      </c>
      <c r="I466" s="1">
        <f t="shared" si="54"/>
        <v>1153.2380000000001</v>
      </c>
      <c r="J466" s="2">
        <f t="shared" si="55"/>
        <v>8.1251764014521055E-3</v>
      </c>
    </row>
    <row r="467" spans="1:10">
      <c r="A467" s="1">
        <v>66.5</v>
      </c>
      <c r="B467" s="1">
        <f t="shared" si="49"/>
        <v>339.65</v>
      </c>
      <c r="C467" s="1" t="s">
        <v>483</v>
      </c>
      <c r="D467" s="1">
        <v>1.1395999999999999</v>
      </c>
      <c r="E467" s="1">
        <f t="shared" si="50"/>
        <v>1139.5999999999999</v>
      </c>
      <c r="F467" s="1">
        <f t="shared" si="51"/>
        <v>1141.6483697160127</v>
      </c>
      <c r="G467" s="1">
        <f t="shared" si="52"/>
        <v>0.1794221207115019</v>
      </c>
      <c r="H467" s="8">
        <f t="shared" si="53"/>
        <v>1978.0199399999999</v>
      </c>
      <c r="I467" s="1">
        <f t="shared" si="54"/>
        <v>1150.874</v>
      </c>
      <c r="J467" s="2">
        <f t="shared" si="55"/>
        <v>8.0809735543022326E-3</v>
      </c>
    </row>
    <row r="468" spans="1:10">
      <c r="A468" s="1">
        <v>66.599999999999994</v>
      </c>
      <c r="B468" s="1">
        <f t="shared" si="49"/>
        <v>339.75</v>
      </c>
      <c r="C468" s="1" t="s">
        <v>484</v>
      </c>
      <c r="D468" s="1">
        <v>1.1371899999999999</v>
      </c>
      <c r="E468" s="1">
        <f t="shared" si="50"/>
        <v>1137.19</v>
      </c>
      <c r="F468" s="1">
        <f t="shared" si="51"/>
        <v>1139.355916432238</v>
      </c>
      <c r="G468" s="1">
        <f t="shared" si="52"/>
        <v>0.19010007329582154</v>
      </c>
      <c r="H468" s="8">
        <f t="shared" si="53"/>
        <v>1971.1483270000001</v>
      </c>
      <c r="I468" s="1">
        <f t="shared" si="54"/>
        <v>1148.51</v>
      </c>
      <c r="J468" s="2">
        <f t="shared" si="55"/>
        <v>8.0344372076698676E-3</v>
      </c>
    </row>
    <row r="469" spans="1:10">
      <c r="A469" s="1">
        <v>66.7</v>
      </c>
      <c r="B469" s="1">
        <f t="shared" si="49"/>
        <v>339.85</v>
      </c>
      <c r="C469" s="1" t="s">
        <v>485</v>
      </c>
      <c r="D469" s="1">
        <v>1.1350499999999999</v>
      </c>
      <c r="E469" s="1">
        <f t="shared" si="50"/>
        <v>1135.05</v>
      </c>
      <c r="F469" s="1">
        <f t="shared" si="51"/>
        <v>1137.065908924832</v>
      </c>
      <c r="G469" s="1">
        <f t="shared" si="52"/>
        <v>0.17729041993161301</v>
      </c>
      <c r="H469" s="8">
        <f t="shared" si="53"/>
        <v>1964.304171</v>
      </c>
      <c r="I469" s="1">
        <f t="shared" si="54"/>
        <v>1146.146</v>
      </c>
      <c r="J469" s="2">
        <f t="shared" si="55"/>
        <v>7.9855450804551514E-3</v>
      </c>
    </row>
    <row r="470" spans="1:10">
      <c r="A470" s="1">
        <v>66.8</v>
      </c>
      <c r="B470" s="1">
        <f t="shared" si="49"/>
        <v>339.95</v>
      </c>
      <c r="C470" s="1" t="s">
        <v>486</v>
      </c>
      <c r="D470" s="1">
        <v>1.13263</v>
      </c>
      <c r="E470" s="1">
        <f t="shared" si="50"/>
        <v>1132.6300000000001</v>
      </c>
      <c r="F470" s="1">
        <f t="shared" si="51"/>
        <v>1134.7783574763762</v>
      </c>
      <c r="G470" s="1">
        <f t="shared" si="52"/>
        <v>0.18931956731654548</v>
      </c>
      <c r="H470" s="8">
        <f t="shared" si="53"/>
        <v>1957.4873500000001</v>
      </c>
      <c r="I470" s="1">
        <f t="shared" si="54"/>
        <v>1143.7819999999999</v>
      </c>
      <c r="J470" s="2">
        <f t="shared" si="55"/>
        <v>7.9342740935303552E-3</v>
      </c>
    </row>
    <row r="471" spans="1:10">
      <c r="A471" s="1">
        <v>66.900000000000006</v>
      </c>
      <c r="B471" s="1">
        <f t="shared" si="49"/>
        <v>340.05</v>
      </c>
      <c r="C471" s="1" t="s">
        <v>487</v>
      </c>
      <c r="D471" s="1">
        <v>1.1304799999999999</v>
      </c>
      <c r="E471" s="1">
        <f t="shared" si="50"/>
        <v>1130.48</v>
      </c>
      <c r="F471" s="1">
        <f t="shared" si="51"/>
        <v>1132.493272103083</v>
      </c>
      <c r="G471" s="1">
        <f t="shared" si="52"/>
        <v>0.17777342724025474</v>
      </c>
      <c r="H471" s="8">
        <f t="shared" si="53"/>
        <v>1950.6977420000001</v>
      </c>
      <c r="I471" s="1">
        <f t="shared" si="54"/>
        <v>1141.4179999999999</v>
      </c>
      <c r="J471" s="2">
        <f t="shared" si="55"/>
        <v>7.8806012510285045E-3</v>
      </c>
    </row>
    <row r="472" spans="1:10">
      <c r="A472" s="1">
        <v>67</v>
      </c>
      <c r="B472" s="1">
        <f t="shared" si="49"/>
        <v>340.15</v>
      </c>
      <c r="C472" s="1" t="s">
        <v>488</v>
      </c>
      <c r="D472" s="1">
        <v>1.1280600000000001</v>
      </c>
      <c r="E472" s="1">
        <f t="shared" si="50"/>
        <v>1128.06</v>
      </c>
      <c r="F472" s="1">
        <f t="shared" si="51"/>
        <v>1130.2106618768398</v>
      </c>
      <c r="G472" s="1">
        <f t="shared" si="52"/>
        <v>0.19028858507390689</v>
      </c>
      <c r="H472" s="8">
        <f t="shared" si="53"/>
        <v>1943.935223</v>
      </c>
      <c r="I472" s="1">
        <f t="shared" si="54"/>
        <v>1139.0540000000001</v>
      </c>
      <c r="J472" s="2">
        <f t="shared" si="55"/>
        <v>7.8245042463808683E-3</v>
      </c>
    </row>
    <row r="473" spans="1:10">
      <c r="A473" s="1">
        <v>67.099999999999994</v>
      </c>
      <c r="B473" s="1">
        <f t="shared" si="49"/>
        <v>340.25</v>
      </c>
      <c r="C473" s="1" t="s">
        <v>489</v>
      </c>
      <c r="D473" s="1">
        <v>1.1257699999999999</v>
      </c>
      <c r="E473" s="1">
        <f t="shared" si="50"/>
        <v>1125.77</v>
      </c>
      <c r="F473" s="1">
        <f t="shared" si="51"/>
        <v>1127.9305372865856</v>
      </c>
      <c r="G473" s="1">
        <f t="shared" si="52"/>
        <v>0.19154878914646065</v>
      </c>
      <c r="H473" s="8">
        <f t="shared" si="53"/>
        <v>1937.199674</v>
      </c>
      <c r="I473" s="1">
        <f t="shared" si="54"/>
        <v>1136.69</v>
      </c>
      <c r="J473" s="2">
        <f t="shared" si="55"/>
        <v>7.7659593599502287E-3</v>
      </c>
    </row>
    <row r="474" spans="1:10">
      <c r="A474" s="1">
        <v>67.2</v>
      </c>
      <c r="B474" s="1">
        <f t="shared" si="49"/>
        <v>340.35</v>
      </c>
      <c r="C474" s="1" t="s">
        <v>490</v>
      </c>
      <c r="D474" s="1">
        <v>1.12348</v>
      </c>
      <c r="E474" s="1">
        <f t="shared" si="50"/>
        <v>1123.48</v>
      </c>
      <c r="F474" s="1">
        <f t="shared" si="51"/>
        <v>1125.6529078810379</v>
      </c>
      <c r="G474" s="1">
        <f t="shared" si="52"/>
        <v>0.19303533672099848</v>
      </c>
      <c r="H474" s="8">
        <f t="shared" si="53"/>
        <v>1930.4909740000001</v>
      </c>
      <c r="I474" s="1">
        <f t="shared" si="54"/>
        <v>1134.326</v>
      </c>
      <c r="J474" s="2">
        <f t="shared" si="55"/>
        <v>7.7049435560812563E-3</v>
      </c>
    </row>
    <row r="475" spans="1:10">
      <c r="A475" s="1">
        <v>67.3</v>
      </c>
      <c r="B475" s="1">
        <f t="shared" si="49"/>
        <v>340.45</v>
      </c>
      <c r="C475" s="1" t="s">
        <v>491</v>
      </c>
      <c r="D475" s="1">
        <v>1.12131</v>
      </c>
      <c r="E475" s="1">
        <f t="shared" si="50"/>
        <v>1121.31</v>
      </c>
      <c r="F475" s="1">
        <f t="shared" si="51"/>
        <v>1123.3777829389676</v>
      </c>
      <c r="G475" s="1">
        <f t="shared" si="52"/>
        <v>0.18406834907825306</v>
      </c>
      <c r="H475" s="8">
        <f t="shared" si="53"/>
        <v>1923.809002</v>
      </c>
      <c r="I475" s="1">
        <f t="shared" si="54"/>
        <v>1131.962</v>
      </c>
      <c r="J475" s="2">
        <f t="shared" si="55"/>
        <v>7.6414338892963314E-3</v>
      </c>
    </row>
    <row r="476" spans="1:10">
      <c r="A476" s="1">
        <v>67.400000000000006</v>
      </c>
      <c r="B476" s="1">
        <f t="shared" si="49"/>
        <v>340.55</v>
      </c>
      <c r="C476" s="1" t="s">
        <v>492</v>
      </c>
      <c r="D476" s="1">
        <v>1.1191500000000001</v>
      </c>
      <c r="E476" s="1">
        <f t="shared" si="50"/>
        <v>1119.1500000000001</v>
      </c>
      <c r="F476" s="1">
        <f t="shared" si="51"/>
        <v>1121.1051721512792</v>
      </c>
      <c r="G476" s="1">
        <f t="shared" si="52"/>
        <v>0.17439685409062863</v>
      </c>
      <c r="H476" s="8">
        <f t="shared" si="53"/>
        <v>1917.1536390000001</v>
      </c>
      <c r="I476" s="1">
        <f t="shared" si="54"/>
        <v>1129.598</v>
      </c>
      <c r="J476" s="2">
        <f t="shared" si="55"/>
        <v>7.5754068928465404E-3</v>
      </c>
    </row>
    <row r="477" spans="1:10">
      <c r="A477" s="1">
        <v>67.5</v>
      </c>
      <c r="B477" s="1">
        <f t="shared" si="49"/>
        <v>340.65</v>
      </c>
      <c r="C477" s="1" t="s">
        <v>493</v>
      </c>
      <c r="D477" s="1">
        <v>1.1168400000000001</v>
      </c>
      <c r="E477" s="1">
        <f t="shared" si="50"/>
        <v>1116.8399999999999</v>
      </c>
      <c r="F477" s="1">
        <f t="shared" si="51"/>
        <v>1118.8350852860738</v>
      </c>
      <c r="G477" s="1">
        <f t="shared" si="52"/>
        <v>0.17831808389917661</v>
      </c>
      <c r="H477" s="8">
        <f t="shared" si="53"/>
        <v>1910.5247670000001</v>
      </c>
      <c r="I477" s="1">
        <f t="shared" si="54"/>
        <v>1127.2339999999999</v>
      </c>
      <c r="J477" s="2">
        <f t="shared" si="55"/>
        <v>7.5068388758819183E-3</v>
      </c>
    </row>
    <row r="478" spans="1:10">
      <c r="A478" s="1">
        <v>67.599999999999994</v>
      </c>
      <c r="B478" s="1">
        <f t="shared" si="49"/>
        <v>340.75</v>
      </c>
      <c r="C478" s="1" t="s">
        <v>494</v>
      </c>
      <c r="D478" s="1">
        <v>1.1144000000000001</v>
      </c>
      <c r="E478" s="1">
        <f t="shared" si="50"/>
        <v>1114.4000000000001</v>
      </c>
      <c r="F478" s="1">
        <f t="shared" si="51"/>
        <v>1116.5675315038936</v>
      </c>
      <c r="G478" s="1">
        <f t="shared" si="52"/>
        <v>0.19412453279687578</v>
      </c>
      <c r="H478" s="8">
        <f t="shared" si="53"/>
        <v>1903.9222669999999</v>
      </c>
      <c r="I478" s="1">
        <f t="shared" si="54"/>
        <v>1124.8699999999999</v>
      </c>
      <c r="J478" s="2">
        <f t="shared" si="55"/>
        <v>7.4357065397770844E-3</v>
      </c>
    </row>
    <row r="479" spans="1:10">
      <c r="A479" s="1">
        <v>67.7</v>
      </c>
      <c r="B479" s="1">
        <f t="shared" si="49"/>
        <v>340.85</v>
      </c>
      <c r="C479" s="1" t="s">
        <v>495</v>
      </c>
      <c r="D479" s="1">
        <v>1.11249</v>
      </c>
      <c r="E479" s="1">
        <f t="shared" si="50"/>
        <v>1112.49</v>
      </c>
      <c r="F479" s="1">
        <f t="shared" si="51"/>
        <v>1114.3025200408338</v>
      </c>
      <c r="G479" s="1">
        <f t="shared" si="52"/>
        <v>0.16265960170020441</v>
      </c>
      <c r="H479" s="8">
        <f t="shared" si="53"/>
        <v>1897.3460210000001</v>
      </c>
      <c r="I479" s="1">
        <f t="shared" si="54"/>
        <v>1122.5060000000001</v>
      </c>
      <c r="J479" s="2">
        <f t="shared" si="55"/>
        <v>7.3619863651261403E-3</v>
      </c>
    </row>
    <row r="480" spans="1:10">
      <c r="A480" s="1">
        <v>67.8</v>
      </c>
      <c r="B480" s="1">
        <f t="shared" si="49"/>
        <v>340.95</v>
      </c>
      <c r="C480" s="1" t="s">
        <v>496</v>
      </c>
      <c r="D480" s="1">
        <v>1.1100399999999999</v>
      </c>
      <c r="E480" s="1">
        <f t="shared" si="50"/>
        <v>1110.04</v>
      </c>
      <c r="F480" s="1">
        <f t="shared" si="51"/>
        <v>1112.0400605575776</v>
      </c>
      <c r="G480" s="1">
        <f t="shared" si="52"/>
        <v>0.17985508153139687</v>
      </c>
      <c r="H480" s="8">
        <f t="shared" si="53"/>
        <v>1890.7959129999999</v>
      </c>
      <c r="I480" s="1">
        <f t="shared" si="54"/>
        <v>1120.1420000000001</v>
      </c>
      <c r="J480" s="2">
        <f t="shared" si="55"/>
        <v>7.2856542941089238E-3</v>
      </c>
    </row>
    <row r="481" spans="1:10">
      <c r="A481" s="1">
        <v>67.900000000000006</v>
      </c>
      <c r="B481" s="1">
        <f t="shared" si="49"/>
        <v>341.05</v>
      </c>
      <c r="C481" s="1" t="s">
        <v>497</v>
      </c>
      <c r="D481" s="1">
        <v>1.1077300000000001</v>
      </c>
      <c r="E481" s="1">
        <f t="shared" si="50"/>
        <v>1107.73</v>
      </c>
      <c r="F481" s="1">
        <f t="shared" si="51"/>
        <v>1109.7801617599323</v>
      </c>
      <c r="G481" s="1">
        <f t="shared" si="52"/>
        <v>0.18473584504169313</v>
      </c>
      <c r="H481" s="8">
        <f t="shared" si="53"/>
        <v>1884.271825</v>
      </c>
      <c r="I481" s="1">
        <f t="shared" si="54"/>
        <v>1117.778</v>
      </c>
      <c r="J481" s="2">
        <f t="shared" si="55"/>
        <v>7.2066869778825756E-3</v>
      </c>
    </row>
    <row r="482" spans="1:10">
      <c r="A482" s="1">
        <v>68</v>
      </c>
      <c r="B482" s="1">
        <f t="shared" si="49"/>
        <v>341.15</v>
      </c>
      <c r="C482" s="1" t="s">
        <v>498</v>
      </c>
      <c r="D482" s="1">
        <v>1.10541</v>
      </c>
      <c r="E482" s="1">
        <f t="shared" si="50"/>
        <v>1105.4100000000001</v>
      </c>
      <c r="F482" s="1">
        <f t="shared" si="51"/>
        <v>1107.5228331265751</v>
      </c>
      <c r="G482" s="1">
        <f t="shared" si="52"/>
        <v>0.19077106704973015</v>
      </c>
      <c r="H482" s="8">
        <f t="shared" si="53"/>
        <v>1877.7736420000001</v>
      </c>
      <c r="I482" s="1">
        <f t="shared" si="54"/>
        <v>1115.414</v>
      </c>
      <c r="J482" s="2">
        <f t="shared" si="55"/>
        <v>7.1250602131135311E-3</v>
      </c>
    </row>
    <row r="483" spans="1:10">
      <c r="A483" s="1">
        <v>68.099999999999994</v>
      </c>
      <c r="B483" s="1">
        <f t="shared" si="49"/>
        <v>341.25</v>
      </c>
      <c r="C483" s="1" t="s">
        <v>499</v>
      </c>
      <c r="D483" s="1">
        <v>1.10321</v>
      </c>
      <c r="E483" s="1">
        <f t="shared" si="50"/>
        <v>1103.21</v>
      </c>
      <c r="F483" s="1">
        <f t="shared" si="51"/>
        <v>1105.2680838755198</v>
      </c>
      <c r="G483" s="1">
        <f t="shared" si="52"/>
        <v>0.18620675884381482</v>
      </c>
      <c r="H483" s="8">
        <f t="shared" si="53"/>
        <v>1871.3012490000001</v>
      </c>
      <c r="I483" s="1">
        <f t="shared" si="54"/>
        <v>1113.05</v>
      </c>
      <c r="J483" s="2">
        <f t="shared" si="55"/>
        <v>7.0407498759881048E-3</v>
      </c>
    </row>
    <row r="484" spans="1:10">
      <c r="A484" s="1">
        <v>68.2</v>
      </c>
      <c r="B484" s="1">
        <f t="shared" si="49"/>
        <v>341.35</v>
      </c>
      <c r="C484" s="1" t="s">
        <v>500</v>
      </c>
      <c r="D484" s="1">
        <v>1.1010200000000001</v>
      </c>
      <c r="E484" s="1">
        <f t="shared" si="50"/>
        <v>1101.02</v>
      </c>
      <c r="F484" s="1">
        <f t="shared" si="51"/>
        <v>1103.0159226125438</v>
      </c>
      <c r="G484" s="1">
        <f t="shared" si="52"/>
        <v>0.18095138715825626</v>
      </c>
      <c r="H484" s="8">
        <f t="shared" si="53"/>
        <v>1864.8545300000001</v>
      </c>
      <c r="I484" s="1">
        <f t="shared" si="54"/>
        <v>1110.6859999999999</v>
      </c>
      <c r="J484" s="2">
        <f t="shared" si="55"/>
        <v>6.9537322446707513E-3</v>
      </c>
    </row>
    <row r="485" spans="1:10">
      <c r="A485" s="1">
        <v>68.3</v>
      </c>
      <c r="B485" s="1">
        <f t="shared" si="49"/>
        <v>341.45</v>
      </c>
      <c r="C485" s="1" t="s">
        <v>501</v>
      </c>
      <c r="D485" s="1">
        <v>1.0988199999999999</v>
      </c>
      <c r="E485" s="1">
        <f t="shared" si="50"/>
        <v>1098.82</v>
      </c>
      <c r="F485" s="1">
        <f t="shared" si="51"/>
        <v>1100.7663587278598</v>
      </c>
      <c r="G485" s="1">
        <f t="shared" si="52"/>
        <v>0.17681851488532654</v>
      </c>
      <c r="H485" s="8">
        <f t="shared" si="53"/>
        <v>1858.433372</v>
      </c>
      <c r="I485" s="1">
        <f t="shared" si="54"/>
        <v>1108.3219999999999</v>
      </c>
      <c r="J485" s="2">
        <f t="shared" si="55"/>
        <v>6.8639827264270802E-3</v>
      </c>
    </row>
    <row r="486" spans="1:10">
      <c r="A486" s="1">
        <v>68.400000000000006</v>
      </c>
      <c r="B486" s="1">
        <f t="shared" si="49"/>
        <v>341.55</v>
      </c>
      <c r="C486" s="1" t="s">
        <v>502</v>
      </c>
      <c r="D486" s="1">
        <v>1.09649</v>
      </c>
      <c r="E486" s="1">
        <f t="shared" si="50"/>
        <v>1096.49</v>
      </c>
      <c r="F486" s="1">
        <f t="shared" si="51"/>
        <v>1098.5194006501256</v>
      </c>
      <c r="G486" s="1">
        <f t="shared" si="52"/>
        <v>0.18473962762282953</v>
      </c>
      <c r="H486" s="8">
        <f t="shared" si="53"/>
        <v>1852.03766</v>
      </c>
      <c r="I486" s="1">
        <f t="shared" si="54"/>
        <v>1105.9580000000001</v>
      </c>
      <c r="J486" s="2">
        <f t="shared" si="55"/>
        <v>6.771477449986029E-3</v>
      </c>
    </row>
    <row r="487" spans="1:10">
      <c r="A487" s="1">
        <v>68.5</v>
      </c>
      <c r="B487" s="1">
        <f t="shared" si="49"/>
        <v>341.65</v>
      </c>
      <c r="C487" s="1" t="s">
        <v>503</v>
      </c>
      <c r="D487" s="1">
        <v>1.0942799999999999</v>
      </c>
      <c r="E487" s="1">
        <f t="shared" si="50"/>
        <v>1094.28</v>
      </c>
      <c r="F487" s="1">
        <f t="shared" si="51"/>
        <v>1096.2750579517062</v>
      </c>
      <c r="G487" s="1">
        <f t="shared" si="52"/>
        <v>0.18198516305149262</v>
      </c>
      <c r="H487" s="8">
        <f t="shared" si="53"/>
        <v>1845.667283</v>
      </c>
      <c r="I487" s="1">
        <f t="shared" si="54"/>
        <v>1103.5940000000001</v>
      </c>
      <c r="J487" s="2">
        <f t="shared" si="55"/>
        <v>6.6761913401264658E-3</v>
      </c>
    </row>
    <row r="488" spans="1:10">
      <c r="A488" s="1">
        <v>68.599999999999994</v>
      </c>
      <c r="B488" s="1">
        <f t="shared" si="49"/>
        <v>341.75</v>
      </c>
      <c r="C488" s="1" t="s">
        <v>504</v>
      </c>
      <c r="D488" s="1">
        <v>1.0919399999999999</v>
      </c>
      <c r="E488" s="1">
        <f t="shared" si="50"/>
        <v>1091.94</v>
      </c>
      <c r="F488" s="1">
        <f t="shared" si="51"/>
        <v>1094.0333385364156</v>
      </c>
      <c r="G488" s="1">
        <f t="shared" si="52"/>
        <v>0.19134138446055043</v>
      </c>
      <c r="H488" s="8">
        <f t="shared" si="53"/>
        <v>1839.322126</v>
      </c>
      <c r="I488" s="1">
        <f t="shared" si="54"/>
        <v>1101.23</v>
      </c>
      <c r="J488" s="2">
        <f t="shared" si="55"/>
        <v>6.5781006940903745E-3</v>
      </c>
    </row>
    <row r="489" spans="1:10">
      <c r="A489" s="1">
        <v>68.7</v>
      </c>
      <c r="B489" s="1">
        <f t="shared" si="49"/>
        <v>341.85</v>
      </c>
      <c r="C489" s="1" t="s">
        <v>505</v>
      </c>
      <c r="D489" s="1">
        <v>1.0897300000000001</v>
      </c>
      <c r="E489" s="1">
        <f t="shared" si="50"/>
        <v>1089.73</v>
      </c>
      <c r="F489" s="1">
        <f t="shared" si="51"/>
        <v>1091.7942514563306</v>
      </c>
      <c r="G489" s="1">
        <f t="shared" si="52"/>
        <v>0.18906963959345707</v>
      </c>
      <c r="H489" s="8">
        <f t="shared" si="53"/>
        <v>1833.002078</v>
      </c>
      <c r="I489" s="1">
        <f t="shared" si="54"/>
        <v>1098.866</v>
      </c>
      <c r="J489" s="2">
        <f t="shared" si="55"/>
        <v>6.4771805990336403E-3</v>
      </c>
    </row>
    <row r="490" spans="1:10">
      <c r="A490" s="1">
        <v>68.8</v>
      </c>
      <c r="B490" s="1">
        <f t="shared" si="49"/>
        <v>341.95</v>
      </c>
      <c r="C490" s="1" t="s">
        <v>506</v>
      </c>
      <c r="D490" s="1">
        <v>1.08751</v>
      </c>
      <c r="E490" s="1">
        <f t="shared" si="50"/>
        <v>1087.51</v>
      </c>
      <c r="F490" s="1">
        <f t="shared" si="51"/>
        <v>1089.5578055068247</v>
      </c>
      <c r="G490" s="1">
        <f t="shared" si="52"/>
        <v>0.18794831228547323</v>
      </c>
      <c r="H490" s="8">
        <f t="shared" si="53"/>
        <v>1826.707028</v>
      </c>
      <c r="I490" s="1">
        <f t="shared" si="54"/>
        <v>1096.502</v>
      </c>
      <c r="J490" s="2">
        <f t="shared" si="55"/>
        <v>6.3734062186310949E-3</v>
      </c>
    </row>
    <row r="491" spans="1:10">
      <c r="A491" s="1">
        <v>68.900000000000006</v>
      </c>
      <c r="B491" s="1">
        <f t="shared" si="49"/>
        <v>342.05</v>
      </c>
      <c r="C491" s="1" t="s">
        <v>507</v>
      </c>
      <c r="D491" s="1">
        <v>1.0854200000000001</v>
      </c>
      <c r="E491" s="1">
        <f t="shared" si="50"/>
        <v>1085.42</v>
      </c>
      <c r="F491" s="1">
        <f t="shared" si="51"/>
        <v>1087.3240092249357</v>
      </c>
      <c r="G491" s="1">
        <f t="shared" si="52"/>
        <v>0.17510964613876659</v>
      </c>
      <c r="H491" s="8">
        <f t="shared" si="53"/>
        <v>1820.4368649999999</v>
      </c>
      <c r="I491" s="1">
        <f t="shared" si="54"/>
        <v>1094.1379999999999</v>
      </c>
      <c r="J491" s="2">
        <f t="shared" si="55"/>
        <v>6.2667527960882131E-3</v>
      </c>
    </row>
    <row r="492" spans="1:10">
      <c r="A492" s="1">
        <v>69</v>
      </c>
      <c r="B492" s="1">
        <f t="shared" si="49"/>
        <v>342.15</v>
      </c>
      <c r="C492" s="1" t="s">
        <v>508</v>
      </c>
      <c r="D492" s="1">
        <v>1.0831999999999999</v>
      </c>
      <c r="E492" s="1">
        <f t="shared" si="50"/>
        <v>1083.2</v>
      </c>
      <c r="F492" s="1">
        <f t="shared" si="51"/>
        <v>1085.0928708877423</v>
      </c>
      <c r="G492" s="1">
        <f t="shared" si="52"/>
        <v>0.17444321481843425</v>
      </c>
      <c r="H492" s="8">
        <f t="shared" si="53"/>
        <v>1814.191478</v>
      </c>
      <c r="I492" s="1">
        <f t="shared" si="54"/>
        <v>1091.7739999999999</v>
      </c>
      <c r="J492" s="2">
        <f t="shared" si="55"/>
        <v>6.157195657171371E-3</v>
      </c>
    </row>
    <row r="493" spans="1:10">
      <c r="A493" s="1">
        <v>69.099999999999994</v>
      </c>
      <c r="B493" s="1">
        <f t="shared" si="49"/>
        <v>342.25</v>
      </c>
      <c r="C493" s="1" t="s">
        <v>509</v>
      </c>
      <c r="D493" s="1">
        <v>1.08097</v>
      </c>
      <c r="E493" s="1">
        <f t="shared" si="50"/>
        <v>1080.97</v>
      </c>
      <c r="F493" s="1">
        <f t="shared" si="51"/>
        <v>1082.8643988694801</v>
      </c>
      <c r="G493" s="1">
        <f t="shared" si="52"/>
        <v>0.17494331436676627</v>
      </c>
      <c r="H493" s="8">
        <f t="shared" si="53"/>
        <v>1807.970757</v>
      </c>
      <c r="I493" s="1">
        <f t="shared" si="54"/>
        <v>1089.4100000000001</v>
      </c>
      <c r="J493" s="2">
        <f t="shared" si="55"/>
        <v>6.0447098799754533E-3</v>
      </c>
    </row>
    <row r="494" spans="1:10">
      <c r="A494" s="1">
        <v>69.2</v>
      </c>
      <c r="B494" s="1">
        <f t="shared" si="49"/>
        <v>342.35</v>
      </c>
      <c r="C494" s="1" t="s">
        <v>510</v>
      </c>
      <c r="D494" s="1">
        <v>1.07874</v>
      </c>
      <c r="E494" s="1">
        <f t="shared" si="50"/>
        <v>1078.74</v>
      </c>
      <c r="F494" s="1">
        <f t="shared" si="51"/>
        <v>1080.6386020046029</v>
      </c>
      <c r="G494" s="1">
        <f t="shared" si="52"/>
        <v>0.17569259520074484</v>
      </c>
      <c r="H494" s="8">
        <f t="shared" si="53"/>
        <v>1801.774594</v>
      </c>
      <c r="I494" s="1">
        <f t="shared" si="54"/>
        <v>1087.046</v>
      </c>
      <c r="J494" s="2">
        <f t="shared" si="55"/>
        <v>5.9292699552942795E-3</v>
      </c>
    </row>
    <row r="495" spans="1:10">
      <c r="A495" s="1">
        <v>69.3</v>
      </c>
      <c r="B495" s="1">
        <f t="shared" si="49"/>
        <v>342.45</v>
      </c>
      <c r="C495" s="1" t="s">
        <v>511</v>
      </c>
      <c r="D495" s="1">
        <v>1.0765100000000001</v>
      </c>
      <c r="E495" s="1">
        <f t="shared" si="50"/>
        <v>1076.51</v>
      </c>
      <c r="F495" s="1">
        <f t="shared" si="51"/>
        <v>1078.4154877925585</v>
      </c>
      <c r="G495" s="1">
        <f t="shared" si="52"/>
        <v>0.17669328882311044</v>
      </c>
      <c r="H495" s="8">
        <f t="shared" si="53"/>
        <v>1795.6028779999999</v>
      </c>
      <c r="I495" s="1">
        <f t="shared" si="54"/>
        <v>1084.682</v>
      </c>
      <c r="J495" s="2">
        <f t="shared" si="55"/>
        <v>5.8108514560271012E-3</v>
      </c>
    </row>
    <row r="496" spans="1:10">
      <c r="A496" s="1">
        <v>69.400000000000006</v>
      </c>
      <c r="B496" s="1">
        <f t="shared" si="49"/>
        <v>342.55</v>
      </c>
      <c r="C496" s="1" t="s">
        <v>512</v>
      </c>
      <c r="D496" s="1">
        <v>1.0742799999999999</v>
      </c>
      <c r="E496" s="1">
        <f t="shared" si="50"/>
        <v>1074.28</v>
      </c>
      <c r="F496" s="1">
        <f t="shared" si="51"/>
        <v>1076.1950652749347</v>
      </c>
      <c r="G496" s="1">
        <f t="shared" si="52"/>
        <v>0.17794778444235521</v>
      </c>
      <c r="H496" s="8">
        <f t="shared" si="53"/>
        <v>1789.4555029999999</v>
      </c>
      <c r="I496" s="1">
        <f t="shared" si="54"/>
        <v>1082.318</v>
      </c>
      <c r="J496" s="2">
        <f t="shared" si="55"/>
        <v>5.6894283598123404E-3</v>
      </c>
    </row>
    <row r="497" spans="1:10">
      <c r="A497" s="1">
        <v>69.5</v>
      </c>
      <c r="B497" s="1">
        <f t="shared" si="49"/>
        <v>342.65</v>
      </c>
      <c r="C497" s="1" t="s">
        <v>513</v>
      </c>
      <c r="D497" s="1">
        <v>1.0720400000000001</v>
      </c>
      <c r="E497" s="1">
        <f t="shared" si="50"/>
        <v>1072.04</v>
      </c>
      <c r="F497" s="1">
        <f t="shared" si="51"/>
        <v>1073.9773425198443</v>
      </c>
      <c r="G497" s="1">
        <f t="shared" si="52"/>
        <v>0.18038951504310541</v>
      </c>
      <c r="H497" s="8">
        <f t="shared" si="53"/>
        <v>1783.332361</v>
      </c>
      <c r="I497" s="1">
        <f t="shared" si="54"/>
        <v>1079.954</v>
      </c>
      <c r="J497" s="2">
        <f t="shared" si="55"/>
        <v>5.5649753896415887E-3</v>
      </c>
    </row>
    <row r="498" spans="1:10">
      <c r="A498" s="1">
        <v>69.599999999999994</v>
      </c>
      <c r="B498" s="1">
        <f t="shared" si="49"/>
        <v>342.75</v>
      </c>
      <c r="C498" s="1" t="s">
        <v>514</v>
      </c>
      <c r="D498" s="1">
        <v>1.06992</v>
      </c>
      <c r="E498" s="1">
        <f t="shared" si="50"/>
        <v>1069.92</v>
      </c>
      <c r="F498" s="1">
        <f t="shared" si="51"/>
        <v>1071.762326974165</v>
      </c>
      <c r="G498" s="1">
        <f t="shared" si="52"/>
        <v>0.17189697079260852</v>
      </c>
      <c r="H498" s="8">
        <f t="shared" si="53"/>
        <v>1777.2333430000001</v>
      </c>
      <c r="I498" s="1">
        <f t="shared" si="54"/>
        <v>1077.5899999999999</v>
      </c>
      <c r="J498" s="2">
        <f t="shared" si="55"/>
        <v>5.4374676914496177E-3</v>
      </c>
    </row>
    <row r="499" spans="1:10">
      <c r="A499" s="1">
        <v>69.7</v>
      </c>
      <c r="B499" s="1">
        <f t="shared" si="49"/>
        <v>342.85</v>
      </c>
      <c r="C499" s="1" t="s">
        <v>515</v>
      </c>
      <c r="D499" s="1">
        <v>1.06755</v>
      </c>
      <c r="E499" s="1">
        <f t="shared" si="50"/>
        <v>1067.55</v>
      </c>
      <c r="F499" s="1">
        <f t="shared" si="51"/>
        <v>1069.5500276450175</v>
      </c>
      <c r="G499" s="1">
        <f t="shared" si="52"/>
        <v>0.18699711031014626</v>
      </c>
      <c r="H499" s="8">
        <f t="shared" si="53"/>
        <v>1771.1583450000001</v>
      </c>
      <c r="I499" s="1">
        <f t="shared" si="54"/>
        <v>1075.2260000000001</v>
      </c>
      <c r="J499" s="2">
        <f t="shared" si="55"/>
        <v>5.3068787885314833E-3</v>
      </c>
    </row>
    <row r="500" spans="1:10">
      <c r="A500" s="1">
        <v>69.8</v>
      </c>
      <c r="B500" s="1">
        <f t="shared" si="49"/>
        <v>342.95</v>
      </c>
      <c r="C500" s="1" t="s">
        <v>516</v>
      </c>
      <c r="D500" s="1">
        <v>1.0652999999999999</v>
      </c>
      <c r="E500" s="1">
        <f t="shared" si="50"/>
        <v>1065.3</v>
      </c>
      <c r="F500" s="1">
        <f t="shared" si="51"/>
        <v>1067.3404514664851</v>
      </c>
      <c r="G500" s="1">
        <f t="shared" si="52"/>
        <v>0.19117156701796836</v>
      </c>
      <c r="H500" s="8">
        <f t="shared" si="53"/>
        <v>1765.107258</v>
      </c>
      <c r="I500" s="1">
        <f t="shared" si="54"/>
        <v>1072.8620000000001</v>
      </c>
      <c r="J500" s="2">
        <f t="shared" si="55"/>
        <v>5.1731839882284891E-3</v>
      </c>
    </row>
    <row r="501" spans="1:10">
      <c r="A501" s="1">
        <v>69.900000000000006</v>
      </c>
      <c r="B501" s="1">
        <f t="shared" si="49"/>
        <v>343.05</v>
      </c>
      <c r="C501" s="1" t="s">
        <v>517</v>
      </c>
      <c r="D501" s="1">
        <v>1.06318</v>
      </c>
      <c r="E501" s="1">
        <f t="shared" si="50"/>
        <v>1063.18</v>
      </c>
      <c r="F501" s="1">
        <f t="shared" si="51"/>
        <v>1065.1336073063965</v>
      </c>
      <c r="G501" s="1">
        <f t="shared" si="52"/>
        <v>0.18341429591512567</v>
      </c>
      <c r="H501" s="8">
        <f t="shared" si="53"/>
        <v>1759.0799790000001</v>
      </c>
      <c r="I501" s="1">
        <f t="shared" si="54"/>
        <v>1070.498</v>
      </c>
      <c r="J501" s="2">
        <f t="shared" si="55"/>
        <v>5.0363566193066846E-3</v>
      </c>
    </row>
    <row r="502" spans="1:10">
      <c r="A502" s="1">
        <v>70</v>
      </c>
      <c r="B502" s="1">
        <f t="shared" si="49"/>
        <v>343.15</v>
      </c>
      <c r="C502" s="1" t="s">
        <v>518</v>
      </c>
      <c r="D502" s="1">
        <v>1.0609200000000001</v>
      </c>
      <c r="E502" s="1">
        <f t="shared" si="50"/>
        <v>1060.92</v>
      </c>
      <c r="F502" s="1">
        <f t="shared" si="51"/>
        <v>1062.9295023182335</v>
      </c>
      <c r="G502" s="1">
        <f t="shared" si="52"/>
        <v>0.18905320755993221</v>
      </c>
      <c r="H502" s="8">
        <f t="shared" si="53"/>
        <v>1753.076401</v>
      </c>
      <c r="I502" s="1">
        <f t="shared" si="54"/>
        <v>1068.134</v>
      </c>
      <c r="J502" s="2">
        <f t="shared" si="55"/>
        <v>4.8963714624681741E-3</v>
      </c>
    </row>
    <row r="503" spans="1:10">
      <c r="A503" s="1">
        <v>70.099999999999994</v>
      </c>
      <c r="B503" s="1">
        <f t="shared" si="49"/>
        <v>343.25</v>
      </c>
      <c r="C503" s="1" t="s">
        <v>519</v>
      </c>
      <c r="D503" s="1">
        <v>1.0589200000000001</v>
      </c>
      <c r="E503" s="1">
        <f t="shared" si="50"/>
        <v>1058.92</v>
      </c>
      <c r="F503" s="1">
        <f t="shared" si="51"/>
        <v>1060.7281445001815</v>
      </c>
      <c r="G503" s="1">
        <f t="shared" si="52"/>
        <v>0.17046257418138683</v>
      </c>
      <c r="H503" s="8">
        <f t="shared" si="53"/>
        <v>1747.0964200000001</v>
      </c>
      <c r="I503" s="1">
        <f t="shared" si="54"/>
        <v>1065.77</v>
      </c>
      <c r="J503" s="2">
        <f t="shared" si="55"/>
        <v>4.7532023412032469E-3</v>
      </c>
    </row>
    <row r="504" spans="1:10">
      <c r="A504" s="1">
        <v>70.2</v>
      </c>
      <c r="B504" s="1">
        <f t="shared" si="49"/>
        <v>343.35</v>
      </c>
      <c r="C504" s="1" t="s">
        <v>520</v>
      </c>
      <c r="D504" s="1">
        <v>1.05653</v>
      </c>
      <c r="E504" s="1">
        <f t="shared" si="50"/>
        <v>1056.53</v>
      </c>
      <c r="F504" s="1">
        <f t="shared" si="51"/>
        <v>1058.5295419692868</v>
      </c>
      <c r="G504" s="1">
        <f t="shared" si="52"/>
        <v>0.18889807889224264</v>
      </c>
      <c r="H504" s="8">
        <f t="shared" si="53"/>
        <v>1741.1399329999999</v>
      </c>
      <c r="I504" s="1">
        <f t="shared" si="54"/>
        <v>1063.4059999999999</v>
      </c>
      <c r="J504" s="2">
        <f t="shared" si="55"/>
        <v>4.6068228021685469E-3</v>
      </c>
    </row>
    <row r="505" spans="1:10">
      <c r="A505" s="1">
        <v>70.3</v>
      </c>
      <c r="B505" s="1">
        <f t="shared" si="49"/>
        <v>343.45</v>
      </c>
      <c r="C505" s="1" t="s">
        <v>521</v>
      </c>
      <c r="D505" s="1">
        <v>1.0543899999999999</v>
      </c>
      <c r="E505" s="1">
        <f t="shared" si="50"/>
        <v>1054.3900000000001</v>
      </c>
      <c r="F505" s="1">
        <f t="shared" si="51"/>
        <v>1056.3337014825674</v>
      </c>
      <c r="G505" s="1">
        <f t="shared" si="52"/>
        <v>0.18400449401920604</v>
      </c>
      <c r="H505" s="8">
        <f t="shared" si="53"/>
        <v>1735.2068340000001</v>
      </c>
      <c r="I505" s="1">
        <f t="shared" si="54"/>
        <v>1061.0419999999999</v>
      </c>
      <c r="J505" s="2">
        <f t="shared" si="55"/>
        <v>4.4572075195786678E-3</v>
      </c>
    </row>
    <row r="506" spans="1:10">
      <c r="A506" s="1">
        <v>70.400000000000006</v>
      </c>
      <c r="B506" s="1">
        <f t="shared" si="49"/>
        <v>343.55</v>
      </c>
      <c r="C506" s="1" t="s">
        <v>522</v>
      </c>
      <c r="D506" s="1">
        <v>1.05237</v>
      </c>
      <c r="E506" s="1">
        <f t="shared" si="50"/>
        <v>1052.3699999999999</v>
      </c>
      <c r="F506" s="1">
        <f t="shared" si="51"/>
        <v>1054.1406317649878</v>
      </c>
      <c r="G506" s="1">
        <f t="shared" si="52"/>
        <v>0.16796921697470998</v>
      </c>
      <c r="H506" s="8">
        <f t="shared" si="53"/>
        <v>1729.2970230000001</v>
      </c>
      <c r="I506" s="1">
        <f t="shared" si="54"/>
        <v>1058.6780000000001</v>
      </c>
      <c r="J506" s="2">
        <f t="shared" si="55"/>
        <v>4.3043291362512238E-3</v>
      </c>
    </row>
    <row r="507" spans="1:10">
      <c r="A507" s="1">
        <v>70.5</v>
      </c>
      <c r="B507" s="1">
        <f t="shared" si="49"/>
        <v>343.65</v>
      </c>
      <c r="C507" s="1" t="s">
        <v>523</v>
      </c>
      <c r="D507" s="1">
        <v>1.0501100000000001</v>
      </c>
      <c r="E507" s="1">
        <f t="shared" si="50"/>
        <v>1050.1099999999999</v>
      </c>
      <c r="F507" s="1">
        <f t="shared" si="51"/>
        <v>1051.9503394393955</v>
      </c>
      <c r="G507" s="1">
        <f t="shared" si="52"/>
        <v>0.17494546751858767</v>
      </c>
      <c r="H507" s="8">
        <f t="shared" si="53"/>
        <v>1723.4103950000001</v>
      </c>
      <c r="I507" s="1">
        <f t="shared" si="54"/>
        <v>1056.3140000000001</v>
      </c>
      <c r="J507" s="2">
        <f t="shared" si="55"/>
        <v>4.1481621299062806E-3</v>
      </c>
    </row>
    <row r="508" spans="1:10">
      <c r="A508" s="1">
        <v>70.599999999999994</v>
      </c>
      <c r="B508" s="1">
        <f t="shared" si="49"/>
        <v>343.75</v>
      </c>
      <c r="C508" s="1" t="s">
        <v>524</v>
      </c>
      <c r="D508" s="1">
        <v>1.04783</v>
      </c>
      <c r="E508" s="1">
        <f t="shared" si="50"/>
        <v>1047.83</v>
      </c>
      <c r="F508" s="1">
        <f t="shared" si="51"/>
        <v>1049.7628319888731</v>
      </c>
      <c r="G508" s="1">
        <f t="shared" si="52"/>
        <v>0.18412082519737094</v>
      </c>
      <c r="H508" s="8">
        <f t="shared" si="53"/>
        <v>1717.546848</v>
      </c>
      <c r="I508" s="1">
        <f t="shared" si="54"/>
        <v>1053.95</v>
      </c>
      <c r="J508" s="2">
        <f t="shared" si="55"/>
        <v>3.9886799985039819E-3</v>
      </c>
    </row>
    <row r="509" spans="1:10">
      <c r="A509" s="1">
        <v>70.7</v>
      </c>
      <c r="B509" s="1">
        <f t="shared" si="49"/>
        <v>343.85</v>
      </c>
      <c r="C509" s="1" t="s">
        <v>525</v>
      </c>
      <c r="D509" s="1">
        <v>1.04556</v>
      </c>
      <c r="E509" s="1">
        <f t="shared" si="50"/>
        <v>1045.56</v>
      </c>
      <c r="F509" s="1">
        <f t="shared" si="51"/>
        <v>1047.5781173956223</v>
      </c>
      <c r="G509" s="1">
        <f t="shared" si="52"/>
        <v>0.19264600530598536</v>
      </c>
      <c r="H509" s="8">
        <f t="shared" si="53"/>
        <v>1711.7062820000001</v>
      </c>
      <c r="I509" s="1">
        <f t="shared" si="54"/>
        <v>1051.586</v>
      </c>
      <c r="J509" s="2">
        <f t="shared" si="55"/>
        <v>3.8258555976156973E-3</v>
      </c>
    </row>
    <row r="510" spans="1:10">
      <c r="A510" s="1">
        <v>70.8</v>
      </c>
      <c r="B510" s="1">
        <f t="shared" si="49"/>
        <v>343.95</v>
      </c>
      <c r="C510" s="1" t="s">
        <v>526</v>
      </c>
      <c r="D510" s="1">
        <v>1.0435300000000001</v>
      </c>
      <c r="E510" s="1">
        <f t="shared" si="50"/>
        <v>1043.53</v>
      </c>
      <c r="F510" s="1">
        <f t="shared" si="51"/>
        <v>1045.3962026472889</v>
      </c>
      <c r="G510" s="1">
        <f t="shared" si="52"/>
        <v>0.17851630248541739</v>
      </c>
      <c r="H510" s="8">
        <f t="shared" si="53"/>
        <v>1705.8885949999999</v>
      </c>
      <c r="I510" s="1">
        <f t="shared" si="54"/>
        <v>1049.222</v>
      </c>
      <c r="J510" s="2">
        <f t="shared" si="55"/>
        <v>3.6596625691033909E-3</v>
      </c>
    </row>
    <row r="511" spans="1:10">
      <c r="A511" s="1">
        <v>70.900000000000006</v>
      </c>
      <c r="B511" s="1">
        <f t="shared" si="49"/>
        <v>344.05</v>
      </c>
      <c r="C511" s="1" t="s">
        <v>527</v>
      </c>
      <c r="D511" s="1">
        <v>1.0413699999999999</v>
      </c>
      <c r="E511" s="1">
        <f t="shared" si="50"/>
        <v>1041.3699999999999</v>
      </c>
      <c r="F511" s="1">
        <f t="shared" si="51"/>
        <v>1043.2170948552844</v>
      </c>
      <c r="G511" s="1">
        <f t="shared" si="52"/>
        <v>0.1770575716592046</v>
      </c>
      <c r="H511" s="8">
        <f t="shared" si="53"/>
        <v>1700.0936859999999</v>
      </c>
      <c r="I511" s="1">
        <f t="shared" si="54"/>
        <v>1046.8579999999999</v>
      </c>
      <c r="J511" s="2">
        <f t="shared" si="55"/>
        <v>3.4900742737739138E-3</v>
      </c>
    </row>
    <row r="512" spans="1:10">
      <c r="A512" s="1">
        <v>71</v>
      </c>
      <c r="B512" s="1">
        <f t="shared" si="49"/>
        <v>344.15</v>
      </c>
      <c r="C512" s="1" t="s">
        <v>528</v>
      </c>
      <c r="D512" s="1">
        <v>1.0390900000000001</v>
      </c>
      <c r="E512" s="1">
        <f t="shared" si="50"/>
        <v>1039.0899999999999</v>
      </c>
      <c r="F512" s="1">
        <f t="shared" si="51"/>
        <v>1041.0408016358829</v>
      </c>
      <c r="G512" s="1">
        <f t="shared" si="52"/>
        <v>0.18738954638641253</v>
      </c>
      <c r="H512" s="8">
        <f t="shared" si="53"/>
        <v>1694.3214559999999</v>
      </c>
      <c r="I512" s="1">
        <f t="shared" si="54"/>
        <v>1044.4939999999999</v>
      </c>
      <c r="J512" s="2">
        <f t="shared" si="55"/>
        <v>3.3170634221931701E-3</v>
      </c>
    </row>
    <row r="513" spans="1:10">
      <c r="A513" s="1">
        <v>71.099999999999994</v>
      </c>
      <c r="B513" s="1">
        <f t="shared" si="49"/>
        <v>344.25</v>
      </c>
      <c r="C513" s="1" t="s">
        <v>529</v>
      </c>
      <c r="D513" s="1">
        <v>1.0369200000000001</v>
      </c>
      <c r="E513" s="1">
        <f t="shared" si="50"/>
        <v>1036.92</v>
      </c>
      <c r="F513" s="1">
        <f t="shared" si="51"/>
        <v>1038.8673296047089</v>
      </c>
      <c r="G513" s="1">
        <f t="shared" si="52"/>
        <v>0.1874473813176652</v>
      </c>
      <c r="H513" s="8">
        <f t="shared" si="53"/>
        <v>1688.5718039999999</v>
      </c>
      <c r="I513" s="1">
        <f t="shared" si="54"/>
        <v>1042.1300000000001</v>
      </c>
      <c r="J513" s="2">
        <f t="shared" si="55"/>
        <v>3.1406035230049103E-3</v>
      </c>
    </row>
    <row r="514" spans="1:10">
      <c r="A514" s="1">
        <v>71.2</v>
      </c>
      <c r="B514" s="1">
        <f t="shared" si="49"/>
        <v>344.35</v>
      </c>
      <c r="C514" s="1" t="s">
        <v>530</v>
      </c>
      <c r="D514" s="1">
        <v>1.0347599999999999</v>
      </c>
      <c r="E514" s="1">
        <f t="shared" si="50"/>
        <v>1034.76</v>
      </c>
      <c r="F514" s="1">
        <f t="shared" si="51"/>
        <v>1036.6966862630052</v>
      </c>
      <c r="G514" s="1">
        <f t="shared" si="52"/>
        <v>0.18681320087810691</v>
      </c>
      <c r="H514" s="8">
        <f t="shared" si="53"/>
        <v>1682.844632</v>
      </c>
      <c r="I514" s="1">
        <f t="shared" si="54"/>
        <v>1039.7660000000001</v>
      </c>
      <c r="J514" s="2">
        <f t="shared" si="55"/>
        <v>2.9606670665254051E-3</v>
      </c>
    </row>
    <row r="515" spans="1:10">
      <c r="A515" s="1">
        <v>71.3</v>
      </c>
      <c r="B515" s="1">
        <f t="shared" ref="B515:B578" si="56">A515+273.15</f>
        <v>344.45</v>
      </c>
      <c r="C515" s="1" t="s">
        <v>531</v>
      </c>
      <c r="D515" s="1">
        <v>1.03271</v>
      </c>
      <c r="E515" s="1">
        <f t="shared" ref="E515:E578" si="57">D515/0.001</f>
        <v>1032.71</v>
      </c>
      <c r="F515" s="1">
        <f t="shared" ref="F515:F578" si="58">(H515*2700)/(H515+2700)</f>
        <v>1034.5288784891713</v>
      </c>
      <c r="G515" s="1">
        <f t="shared" ref="G515:G578" si="59">ABS(E515-F515)*100/F515</f>
        <v>0.17581708224787365</v>
      </c>
      <c r="H515" s="8">
        <f t="shared" ref="H515:H578" si="60">ROUND(10000*EXP(($L$3)+($M$3/B515)+($N$3/(B515^2))+($O$3/(B515^3))),6)</f>
        <v>1677.1398409999999</v>
      </c>
      <c r="I515" s="1">
        <f t="shared" ref="I515:I578" si="61">-23.64*B515+9180.2</f>
        <v>1037.402</v>
      </c>
      <c r="J515" s="2">
        <f t="shared" ref="J515:J578" si="62">ABS(I515-F515)/F515</f>
        <v>2.7772269779695372E-3</v>
      </c>
    </row>
    <row r="516" spans="1:10">
      <c r="A516" s="1">
        <v>71.400000000000006</v>
      </c>
      <c r="B516" s="1">
        <f t="shared" si="56"/>
        <v>344.55</v>
      </c>
      <c r="C516" s="1" t="s">
        <v>532</v>
      </c>
      <c r="D516" s="1">
        <v>1.03041</v>
      </c>
      <c r="E516" s="1">
        <f t="shared" si="57"/>
        <v>1030.4100000000001</v>
      </c>
      <c r="F516" s="1">
        <f t="shared" si="58"/>
        <v>1032.3639132954565</v>
      </c>
      <c r="G516" s="1">
        <f t="shared" si="59"/>
        <v>0.18926594297734434</v>
      </c>
      <c r="H516" s="8">
        <f t="shared" si="60"/>
        <v>1671.4573330000001</v>
      </c>
      <c r="I516" s="1">
        <f t="shared" si="61"/>
        <v>1035.038</v>
      </c>
      <c r="J516" s="2">
        <f t="shared" si="62"/>
        <v>2.5902558875846348E-3</v>
      </c>
    </row>
    <row r="517" spans="1:10">
      <c r="A517" s="1">
        <v>71.5</v>
      </c>
      <c r="B517" s="1">
        <f t="shared" si="56"/>
        <v>344.65</v>
      </c>
      <c r="C517" s="1" t="s">
        <v>533</v>
      </c>
      <c r="D517" s="1">
        <v>1.0281199999999999</v>
      </c>
      <c r="E517" s="1">
        <f t="shared" si="57"/>
        <v>1028.1199999999999</v>
      </c>
      <c r="F517" s="1">
        <f t="shared" si="58"/>
        <v>1030.2017970666489</v>
      </c>
      <c r="G517" s="1">
        <f t="shared" si="59"/>
        <v>0.20207662931442918</v>
      </c>
      <c r="H517" s="8">
        <f t="shared" si="60"/>
        <v>1665.7970089999999</v>
      </c>
      <c r="I517" s="1">
        <f t="shared" si="61"/>
        <v>1032.674</v>
      </c>
      <c r="J517" s="2">
        <f t="shared" si="62"/>
        <v>2.3997268694253581E-3</v>
      </c>
    </row>
    <row r="518" spans="1:10">
      <c r="A518" s="1">
        <v>71.599999999999994</v>
      </c>
      <c r="B518" s="1">
        <f t="shared" si="56"/>
        <v>344.75</v>
      </c>
      <c r="C518" s="1" t="s">
        <v>534</v>
      </c>
      <c r="D518" s="1">
        <v>1.02606</v>
      </c>
      <c r="E518" s="1">
        <f t="shared" si="57"/>
        <v>1026.06</v>
      </c>
      <c r="F518" s="1">
        <f t="shared" si="58"/>
        <v>1028.0425374711367</v>
      </c>
      <c r="G518" s="1">
        <f t="shared" si="59"/>
        <v>0.19284585986233352</v>
      </c>
      <c r="H518" s="8">
        <f t="shared" si="60"/>
        <v>1660.158774</v>
      </c>
      <c r="I518" s="1">
        <f t="shared" si="61"/>
        <v>1030.31</v>
      </c>
      <c r="J518" s="2">
        <f t="shared" si="62"/>
        <v>2.2056115833892676E-3</v>
      </c>
    </row>
    <row r="519" spans="1:10">
      <c r="A519" s="1">
        <v>71.7</v>
      </c>
      <c r="B519" s="1">
        <f t="shared" si="56"/>
        <v>344.85</v>
      </c>
      <c r="C519" s="1" t="s">
        <v>535</v>
      </c>
      <c r="D519" s="1">
        <v>1.0238799999999999</v>
      </c>
      <c r="E519" s="1">
        <f t="shared" si="57"/>
        <v>1023.88</v>
      </c>
      <c r="F519" s="1">
        <f t="shared" si="58"/>
        <v>1025.8861404037971</v>
      </c>
      <c r="G519" s="1">
        <f t="shared" si="59"/>
        <v>0.19555195501592829</v>
      </c>
      <c r="H519" s="8">
        <f t="shared" si="60"/>
        <v>1654.5425290000001</v>
      </c>
      <c r="I519" s="1">
        <f t="shared" si="61"/>
        <v>1027.9459999999999</v>
      </c>
      <c r="J519" s="2">
        <f t="shared" si="62"/>
        <v>2.0078832485172903E-3</v>
      </c>
    </row>
    <row r="520" spans="1:10">
      <c r="A520" s="1">
        <v>71.8</v>
      </c>
      <c r="B520" s="1">
        <f t="shared" si="56"/>
        <v>344.95</v>
      </c>
      <c r="C520" s="1" t="s">
        <v>536</v>
      </c>
      <c r="D520" s="1">
        <v>1.02169</v>
      </c>
      <c r="E520" s="1">
        <f t="shared" si="57"/>
        <v>1021.69</v>
      </c>
      <c r="F520" s="1">
        <f t="shared" si="58"/>
        <v>1023.7326134338992</v>
      </c>
      <c r="G520" s="1">
        <f t="shared" si="59"/>
        <v>0.19952606834001971</v>
      </c>
      <c r="H520" s="8">
        <f t="shared" si="60"/>
        <v>1648.9481800000001</v>
      </c>
      <c r="I520" s="1">
        <f t="shared" si="61"/>
        <v>1025.5820000000001</v>
      </c>
      <c r="J520" s="2">
        <f t="shared" si="62"/>
        <v>1.8065132846529883E-3</v>
      </c>
    </row>
    <row r="521" spans="1:10">
      <c r="A521" s="1">
        <v>71.900000000000006</v>
      </c>
      <c r="B521" s="1">
        <f t="shared" si="56"/>
        <v>345.05</v>
      </c>
      <c r="C521" s="1" t="s">
        <v>537</v>
      </c>
      <c r="D521" s="1">
        <v>1.01962</v>
      </c>
      <c r="E521" s="1">
        <f t="shared" si="57"/>
        <v>1019.62</v>
      </c>
      <c r="F521" s="1">
        <f t="shared" si="58"/>
        <v>1021.5819623506939</v>
      </c>
      <c r="G521" s="1">
        <f t="shared" si="59"/>
        <v>0.19205138921788636</v>
      </c>
      <c r="H521" s="8">
        <f t="shared" si="60"/>
        <v>1643.3756289999999</v>
      </c>
      <c r="I521" s="1">
        <f t="shared" si="61"/>
        <v>1023.218</v>
      </c>
      <c r="J521" s="2">
        <f t="shared" si="62"/>
        <v>1.6014746829921774E-3</v>
      </c>
    </row>
    <row r="522" spans="1:10">
      <c r="A522" s="1">
        <v>72</v>
      </c>
      <c r="B522" s="1">
        <f t="shared" si="56"/>
        <v>345.15</v>
      </c>
      <c r="C522" s="1" t="s">
        <v>538</v>
      </c>
      <c r="D522" s="1">
        <v>1.0176700000000001</v>
      </c>
      <c r="E522" s="1">
        <f t="shared" si="57"/>
        <v>1017.67</v>
      </c>
      <c r="F522" s="1">
        <f t="shared" si="58"/>
        <v>1019.4341938543138</v>
      </c>
      <c r="G522" s="1">
        <f t="shared" si="59"/>
        <v>0.17305617811814694</v>
      </c>
      <c r="H522" s="8">
        <f t="shared" si="60"/>
        <v>1637.824781</v>
      </c>
      <c r="I522" s="1">
        <f t="shared" si="61"/>
        <v>1020.854</v>
      </c>
      <c r="J522" s="2">
        <f t="shared" si="62"/>
        <v>1.39273937861375E-3</v>
      </c>
    </row>
    <row r="523" spans="1:10">
      <c r="A523" s="1">
        <v>72.099999999999994</v>
      </c>
      <c r="B523" s="1">
        <f t="shared" si="56"/>
        <v>345.25</v>
      </c>
      <c r="C523" s="1" t="s">
        <v>539</v>
      </c>
      <c r="D523" s="1">
        <v>1.0154799999999999</v>
      </c>
      <c r="E523" s="1">
        <f t="shared" si="57"/>
        <v>1015.48</v>
      </c>
      <c r="F523" s="1">
        <f t="shared" si="58"/>
        <v>1017.289315180961</v>
      </c>
      <c r="G523" s="1">
        <f t="shared" si="59"/>
        <v>0.17785650099344086</v>
      </c>
      <c r="H523" s="8">
        <f t="shared" si="60"/>
        <v>1632.295543</v>
      </c>
      <c r="I523" s="1">
        <f t="shared" si="61"/>
        <v>1018.49</v>
      </c>
      <c r="J523" s="2">
        <f t="shared" si="62"/>
        <v>1.1802786101468223E-3</v>
      </c>
    </row>
    <row r="524" spans="1:10">
      <c r="A524" s="1">
        <v>72.2</v>
      </c>
      <c r="B524" s="1">
        <f t="shared" si="56"/>
        <v>345.35</v>
      </c>
      <c r="C524" s="1" t="s">
        <v>540</v>
      </c>
      <c r="D524" s="1">
        <v>1.01328</v>
      </c>
      <c r="E524" s="1">
        <f t="shared" si="57"/>
        <v>1013.28</v>
      </c>
      <c r="F524" s="1">
        <f t="shared" si="58"/>
        <v>1015.1473317751678</v>
      </c>
      <c r="G524" s="1">
        <f t="shared" si="59"/>
        <v>0.18394687319942626</v>
      </c>
      <c r="H524" s="8">
        <f t="shared" si="60"/>
        <v>1626.787818</v>
      </c>
      <c r="I524" s="1">
        <f t="shared" si="61"/>
        <v>1016.126</v>
      </c>
      <c r="J524" s="2">
        <f t="shared" si="62"/>
        <v>9.6406520925469924E-4</v>
      </c>
    </row>
    <row r="525" spans="1:10">
      <c r="A525" s="1">
        <v>72.3</v>
      </c>
      <c r="B525" s="1">
        <f t="shared" si="56"/>
        <v>345.45</v>
      </c>
      <c r="C525" s="1" t="s">
        <v>541</v>
      </c>
      <c r="D525" s="1">
        <v>1.0112000000000001</v>
      </c>
      <c r="E525" s="1">
        <f t="shared" si="57"/>
        <v>1011.2</v>
      </c>
      <c r="F525" s="1">
        <f t="shared" si="58"/>
        <v>1013.0082507822897</v>
      </c>
      <c r="G525" s="1">
        <f t="shared" si="59"/>
        <v>0.17850306558640783</v>
      </c>
      <c r="H525" s="8">
        <f t="shared" si="60"/>
        <v>1621.301514</v>
      </c>
      <c r="I525" s="1">
        <f t="shared" si="61"/>
        <v>1013.7619999999999</v>
      </c>
      <c r="J525" s="2">
        <f t="shared" si="62"/>
        <v>7.44070166386292E-4</v>
      </c>
    </row>
    <row r="526" spans="1:10">
      <c r="A526" s="1">
        <v>72.400000000000006</v>
      </c>
      <c r="B526" s="1">
        <f t="shared" si="56"/>
        <v>345.55</v>
      </c>
      <c r="C526" s="1" t="s">
        <v>542</v>
      </c>
      <c r="D526" s="1">
        <v>1.00911</v>
      </c>
      <c r="E526" s="1">
        <f t="shared" si="57"/>
        <v>1009.11</v>
      </c>
      <c r="F526" s="1">
        <f t="shared" si="58"/>
        <v>1010.8720779409985</v>
      </c>
      <c r="G526" s="1">
        <f t="shared" si="59"/>
        <v>0.17431265334655777</v>
      </c>
      <c r="H526" s="8">
        <f t="shared" si="60"/>
        <v>1615.836536</v>
      </c>
      <c r="I526" s="1">
        <f t="shared" si="61"/>
        <v>1011.398</v>
      </c>
      <c r="J526" s="2">
        <f t="shared" si="62"/>
        <v>5.2026568987126526E-4</v>
      </c>
    </row>
    <row r="527" spans="1:10">
      <c r="A527" s="1">
        <v>72.5</v>
      </c>
      <c r="B527" s="1">
        <f t="shared" si="56"/>
        <v>345.65</v>
      </c>
      <c r="C527" s="1" t="s">
        <v>543</v>
      </c>
      <c r="D527" s="1">
        <v>1.0067900000000001</v>
      </c>
      <c r="E527" s="1">
        <f t="shared" si="57"/>
        <v>1006.79</v>
      </c>
      <c r="F527" s="1">
        <f t="shared" si="58"/>
        <v>1008.7388199214489</v>
      </c>
      <c r="G527" s="1">
        <f t="shared" si="59"/>
        <v>0.19319370712834269</v>
      </c>
      <c r="H527" s="8">
        <f t="shared" si="60"/>
        <v>1610.3927920000001</v>
      </c>
      <c r="I527" s="1">
        <f t="shared" si="61"/>
        <v>1009.034</v>
      </c>
      <c r="J527" s="2">
        <f t="shared" si="62"/>
        <v>2.9262289972549081E-4</v>
      </c>
    </row>
    <row r="528" spans="1:10">
      <c r="A528" s="1">
        <v>72.599999999999994</v>
      </c>
      <c r="B528" s="1">
        <f t="shared" si="56"/>
        <v>345.75</v>
      </c>
      <c r="C528" s="1" t="s">
        <v>544</v>
      </c>
      <c r="D528" s="1">
        <v>1.0049399999999999</v>
      </c>
      <c r="E528" s="1">
        <f t="shared" si="57"/>
        <v>1004.94</v>
      </c>
      <c r="F528" s="1">
        <f t="shared" si="58"/>
        <v>1006.6084827655004</v>
      </c>
      <c r="G528" s="1">
        <f t="shared" si="59"/>
        <v>0.16575290135807919</v>
      </c>
      <c r="H528" s="8">
        <f t="shared" si="60"/>
        <v>1604.9701889999999</v>
      </c>
      <c r="I528" s="1">
        <f t="shared" si="61"/>
        <v>1006.67</v>
      </c>
      <c r="J528" s="2">
        <f t="shared" si="62"/>
        <v>6.1113367861294115E-5</v>
      </c>
    </row>
    <row r="529" spans="1:10">
      <c r="A529" s="1">
        <v>72.7</v>
      </c>
      <c r="B529" s="1">
        <f t="shared" si="56"/>
        <v>345.85</v>
      </c>
      <c r="C529" s="1" t="s">
        <v>545</v>
      </c>
      <c r="D529" s="1">
        <v>1.00261</v>
      </c>
      <c r="E529" s="1">
        <f t="shared" si="57"/>
        <v>1002.61</v>
      </c>
      <c r="F529" s="1">
        <f t="shared" si="58"/>
        <v>1004.4810722749356</v>
      </c>
      <c r="G529" s="1">
        <f t="shared" si="59"/>
        <v>0.18627252683796555</v>
      </c>
      <c r="H529" s="8">
        <f t="shared" si="60"/>
        <v>1599.568634</v>
      </c>
      <c r="I529" s="1">
        <f t="shared" si="61"/>
        <v>1004.306</v>
      </c>
      <c r="J529" s="2">
        <f t="shared" si="62"/>
        <v>1.7429126318835048E-4</v>
      </c>
    </row>
    <row r="530" spans="1:10">
      <c r="A530" s="1">
        <v>72.8</v>
      </c>
      <c r="B530" s="1">
        <f t="shared" si="56"/>
        <v>345.95</v>
      </c>
      <c r="C530" s="1" t="s">
        <v>546</v>
      </c>
      <c r="D530" s="1">
        <v>1.00051</v>
      </c>
      <c r="E530" s="1">
        <f t="shared" si="57"/>
        <v>1000.51</v>
      </c>
      <c r="F530" s="1">
        <f t="shared" si="58"/>
        <v>1002.3565951962992</v>
      </c>
      <c r="G530" s="1">
        <f t="shared" si="59"/>
        <v>0.18422537499616529</v>
      </c>
      <c r="H530" s="8">
        <f t="shared" si="60"/>
        <v>1594.1880369999999</v>
      </c>
      <c r="I530" s="1">
        <f t="shared" si="61"/>
        <v>1001.942</v>
      </c>
      <c r="J530" s="2">
        <f t="shared" si="62"/>
        <v>4.1362046030930436E-4</v>
      </c>
    </row>
    <row r="531" spans="1:10">
      <c r="A531" s="1">
        <v>72.900000000000006</v>
      </c>
      <c r="B531" s="1">
        <f t="shared" si="56"/>
        <v>346.05</v>
      </c>
      <c r="C531" s="1" t="s">
        <v>547</v>
      </c>
      <c r="D531" s="1">
        <v>0.99841248999999999</v>
      </c>
      <c r="E531" s="1">
        <f t="shared" si="57"/>
        <v>998.41249000000005</v>
      </c>
      <c r="F531" s="1">
        <f t="shared" si="58"/>
        <v>1000.2350568566301</v>
      </c>
      <c r="G531" s="1">
        <f t="shared" si="59"/>
        <v>0.18221385504700149</v>
      </c>
      <c r="H531" s="8">
        <f t="shared" si="60"/>
        <v>1588.828305</v>
      </c>
      <c r="I531" s="1">
        <f t="shared" si="61"/>
        <v>999.578000000001</v>
      </c>
      <c r="J531" s="2">
        <f t="shared" si="62"/>
        <v>6.569024472047305E-4</v>
      </c>
    </row>
    <row r="532" spans="1:10">
      <c r="A532" s="1">
        <v>73</v>
      </c>
      <c r="B532" s="1">
        <f t="shared" si="56"/>
        <v>346.15</v>
      </c>
      <c r="C532" s="1" t="s">
        <v>548</v>
      </c>
      <c r="D532" s="1">
        <v>0.99619325000000003</v>
      </c>
      <c r="E532" s="1">
        <f t="shared" si="57"/>
        <v>996.19325000000003</v>
      </c>
      <c r="F532" s="1">
        <f t="shared" si="58"/>
        <v>998.11646353135745</v>
      </c>
      <c r="G532" s="1">
        <f t="shared" si="59"/>
        <v>0.19268428100595078</v>
      </c>
      <c r="H532" s="8">
        <f t="shared" si="60"/>
        <v>1583.4893480000001</v>
      </c>
      <c r="I532" s="1">
        <f t="shared" si="61"/>
        <v>997.21400000000096</v>
      </c>
      <c r="J532" s="2">
        <f t="shared" si="62"/>
        <v>9.0416656204983666E-4</v>
      </c>
    </row>
    <row r="533" spans="1:10">
      <c r="A533" s="1">
        <v>73.099999999999994</v>
      </c>
      <c r="B533" s="1">
        <f t="shared" si="56"/>
        <v>346.25</v>
      </c>
      <c r="C533" s="1" t="s">
        <v>549</v>
      </c>
      <c r="D533" s="1">
        <v>0.99408821999999997</v>
      </c>
      <c r="E533" s="1">
        <f t="shared" si="57"/>
        <v>994.08821999999998</v>
      </c>
      <c r="F533" s="1">
        <f t="shared" si="58"/>
        <v>996.00082086478972</v>
      </c>
      <c r="G533" s="1">
        <f t="shared" si="59"/>
        <v>0.19202804101397217</v>
      </c>
      <c r="H533" s="8">
        <f t="shared" si="60"/>
        <v>1578.171075</v>
      </c>
      <c r="I533" s="1">
        <f t="shared" si="61"/>
        <v>994.85</v>
      </c>
      <c r="J533" s="2">
        <f t="shared" si="62"/>
        <v>1.1554416830605416E-3</v>
      </c>
    </row>
    <row r="534" spans="1:10">
      <c r="A534" s="1">
        <v>73.2</v>
      </c>
      <c r="B534" s="1">
        <f t="shared" si="56"/>
        <v>346.35</v>
      </c>
      <c r="C534" s="1" t="s">
        <v>550</v>
      </c>
      <c r="D534" s="1">
        <v>0.99198021999999997</v>
      </c>
      <c r="E534" s="1">
        <f t="shared" si="57"/>
        <v>991.98022000000003</v>
      </c>
      <c r="F534" s="1">
        <f t="shared" si="58"/>
        <v>993.88813506191514</v>
      </c>
      <c r="G534" s="1">
        <f t="shared" si="59"/>
        <v>0.19196476893209413</v>
      </c>
      <c r="H534" s="8">
        <f t="shared" si="60"/>
        <v>1572.8733970000001</v>
      </c>
      <c r="I534" s="1">
        <f t="shared" si="61"/>
        <v>992.48600000000204</v>
      </c>
      <c r="J534" s="2">
        <f t="shared" si="62"/>
        <v>1.4107574207289965E-3</v>
      </c>
    </row>
    <row r="535" spans="1:10">
      <c r="A535" s="1">
        <v>73.3</v>
      </c>
      <c r="B535" s="1">
        <f t="shared" si="56"/>
        <v>346.45</v>
      </c>
      <c r="C535" s="1" t="s">
        <v>551</v>
      </c>
      <c r="D535" s="1">
        <v>0.98986925000000003</v>
      </c>
      <c r="E535" s="1">
        <f t="shared" si="57"/>
        <v>989.86924999999997</v>
      </c>
      <c r="F535" s="1">
        <f t="shared" si="58"/>
        <v>991.77841129605838</v>
      </c>
      <c r="G535" s="1">
        <f t="shared" si="59"/>
        <v>0.19249877536288754</v>
      </c>
      <c r="H535" s="8">
        <f t="shared" si="60"/>
        <v>1567.596223</v>
      </c>
      <c r="I535" s="1">
        <f t="shared" si="61"/>
        <v>990.12200000000098</v>
      </c>
      <c r="J535" s="2">
        <f t="shared" si="62"/>
        <v>1.670142520941545E-3</v>
      </c>
    </row>
    <row r="536" spans="1:10">
      <c r="A536" s="1">
        <v>73.400000000000006</v>
      </c>
      <c r="B536" s="1">
        <f t="shared" si="56"/>
        <v>346.55</v>
      </c>
      <c r="C536" s="1" t="s">
        <v>552</v>
      </c>
      <c r="D536" s="1">
        <v>0.98775537999999996</v>
      </c>
      <c r="E536" s="1">
        <f t="shared" si="57"/>
        <v>987.75537999999995</v>
      </c>
      <c r="F536" s="1">
        <f t="shared" si="58"/>
        <v>989.67165570422242</v>
      </c>
      <c r="G536" s="1">
        <f t="shared" si="59"/>
        <v>0.19362742109239287</v>
      </c>
      <c r="H536" s="8">
        <f t="shared" si="60"/>
        <v>1562.339465</v>
      </c>
      <c r="I536" s="1">
        <f t="shared" si="61"/>
        <v>987.75800000000197</v>
      </c>
      <c r="J536" s="2">
        <f t="shared" si="62"/>
        <v>1.9336268682553534E-3</v>
      </c>
    </row>
    <row r="537" spans="1:10">
      <c r="A537" s="1">
        <v>73.5</v>
      </c>
      <c r="B537" s="1">
        <f t="shared" si="56"/>
        <v>346.65</v>
      </c>
      <c r="C537" s="1" t="s">
        <v>553</v>
      </c>
      <c r="D537" s="1">
        <v>0.98587000999999996</v>
      </c>
      <c r="E537" s="1">
        <f t="shared" si="57"/>
        <v>985.87000999999998</v>
      </c>
      <c r="F537" s="1">
        <f t="shared" si="58"/>
        <v>987.56787379179991</v>
      </c>
      <c r="G537" s="1">
        <f t="shared" si="59"/>
        <v>0.17192375702552243</v>
      </c>
      <c r="H537" s="8">
        <f t="shared" si="60"/>
        <v>1557.103034</v>
      </c>
      <c r="I537" s="1">
        <f t="shared" si="61"/>
        <v>985.39400000000001</v>
      </c>
      <c r="J537" s="2">
        <f t="shared" si="62"/>
        <v>2.2012398838504588E-3</v>
      </c>
    </row>
    <row r="538" spans="1:10">
      <c r="A538" s="1">
        <v>73.599999999999994</v>
      </c>
      <c r="B538" s="1">
        <f t="shared" si="56"/>
        <v>346.75</v>
      </c>
      <c r="C538" s="1" t="s">
        <v>554</v>
      </c>
      <c r="D538" s="1">
        <v>0.98374994000000004</v>
      </c>
      <c r="E538" s="1">
        <f t="shared" si="57"/>
        <v>983.74994000000004</v>
      </c>
      <c r="F538" s="1">
        <f t="shared" si="58"/>
        <v>985.46707123303065</v>
      </c>
      <c r="G538" s="1">
        <f t="shared" si="59"/>
        <v>0.17424541957369657</v>
      </c>
      <c r="H538" s="8">
        <f t="shared" si="60"/>
        <v>1551.8868419999999</v>
      </c>
      <c r="I538" s="1">
        <f t="shared" si="61"/>
        <v>983.030000000001</v>
      </c>
      <c r="J538" s="2">
        <f t="shared" si="62"/>
        <v>2.473011330536247E-3</v>
      </c>
    </row>
    <row r="539" spans="1:10">
      <c r="A539" s="1">
        <v>73.7</v>
      </c>
      <c r="B539" s="1">
        <f t="shared" si="56"/>
        <v>346.85</v>
      </c>
      <c r="C539" s="1" t="s">
        <v>555</v>
      </c>
      <c r="D539" s="1">
        <v>0.98162700999999997</v>
      </c>
      <c r="E539" s="1">
        <f t="shared" si="57"/>
        <v>981.62701000000004</v>
      </c>
      <c r="F539" s="1">
        <f t="shared" si="58"/>
        <v>983.36925306641115</v>
      </c>
      <c r="G539" s="1">
        <f t="shared" si="59"/>
        <v>0.17717078920032545</v>
      </c>
      <c r="H539" s="8">
        <f t="shared" si="60"/>
        <v>1546.6908000000001</v>
      </c>
      <c r="I539" s="1">
        <f t="shared" si="61"/>
        <v>980.66600000000096</v>
      </c>
      <c r="J539" s="2">
        <f t="shared" si="62"/>
        <v>2.7489704991087633E-3</v>
      </c>
    </row>
    <row r="540" spans="1:10">
      <c r="A540" s="1">
        <v>73.8</v>
      </c>
      <c r="B540" s="1">
        <f t="shared" si="56"/>
        <v>346.95</v>
      </c>
      <c r="C540" s="1" t="s">
        <v>556</v>
      </c>
      <c r="D540" s="1">
        <v>0.97950128999999997</v>
      </c>
      <c r="E540" s="1">
        <f t="shared" si="57"/>
        <v>979.50129000000004</v>
      </c>
      <c r="F540" s="1">
        <f t="shared" si="58"/>
        <v>981.27442530955273</v>
      </c>
      <c r="G540" s="1">
        <f t="shared" si="59"/>
        <v>0.18069718967691761</v>
      </c>
      <c r="H540" s="8">
        <f t="shared" si="60"/>
        <v>1541.5148220000001</v>
      </c>
      <c r="I540" s="1">
        <f t="shared" si="61"/>
        <v>978.30200000000195</v>
      </c>
      <c r="J540" s="2">
        <f t="shared" si="62"/>
        <v>3.0291478437472689E-3</v>
      </c>
    </row>
    <row r="541" spans="1:10">
      <c r="A541" s="1">
        <v>73.900000000000006</v>
      </c>
      <c r="B541" s="1">
        <f t="shared" si="56"/>
        <v>347.05</v>
      </c>
      <c r="C541" s="1" t="s">
        <v>557</v>
      </c>
      <c r="D541" s="1">
        <v>0.97725810999999996</v>
      </c>
      <c r="E541" s="1">
        <f t="shared" si="57"/>
        <v>977.25810999999999</v>
      </c>
      <c r="F541" s="1">
        <f t="shared" si="58"/>
        <v>979.1825929419266</v>
      </c>
      <c r="G541" s="1">
        <f t="shared" si="59"/>
        <v>0.19653974200506952</v>
      </c>
      <c r="H541" s="8">
        <f t="shared" si="60"/>
        <v>1536.3588199999999</v>
      </c>
      <c r="I541" s="1">
        <f t="shared" si="61"/>
        <v>975.93800000000203</v>
      </c>
      <c r="J541" s="2">
        <f t="shared" si="62"/>
        <v>3.313572938604104E-3</v>
      </c>
    </row>
    <row r="542" spans="1:10">
      <c r="A542" s="1">
        <v>74</v>
      </c>
      <c r="B542" s="1">
        <f t="shared" si="56"/>
        <v>347.15</v>
      </c>
      <c r="C542" s="1" t="s">
        <v>558</v>
      </c>
      <c r="D542" s="1">
        <v>0.97524158999999999</v>
      </c>
      <c r="E542" s="1">
        <f t="shared" si="57"/>
        <v>975.24158999999997</v>
      </c>
      <c r="F542" s="1">
        <f t="shared" si="58"/>
        <v>977.09376152270352</v>
      </c>
      <c r="G542" s="1">
        <f t="shared" si="59"/>
        <v>0.18955924146083153</v>
      </c>
      <c r="H542" s="8">
        <f t="shared" si="60"/>
        <v>1531.222708</v>
      </c>
      <c r="I542" s="1">
        <f t="shared" si="61"/>
        <v>973.57400000000098</v>
      </c>
      <c r="J542" s="2">
        <f t="shared" si="62"/>
        <v>3.6022761185347655E-3</v>
      </c>
    </row>
    <row r="543" spans="1:10">
      <c r="A543" s="1">
        <v>74.099999999999994</v>
      </c>
      <c r="B543" s="1">
        <f t="shared" si="56"/>
        <v>347.25</v>
      </c>
      <c r="C543" s="1" t="s">
        <v>559</v>
      </c>
      <c r="D543" s="1">
        <v>0.97322189000000003</v>
      </c>
      <c r="E543" s="1">
        <f t="shared" si="57"/>
        <v>973.22189000000003</v>
      </c>
      <c r="F543" s="1">
        <f t="shared" si="58"/>
        <v>975.0079359750639</v>
      </c>
      <c r="G543" s="1">
        <f t="shared" si="59"/>
        <v>0.18318271156200616</v>
      </c>
      <c r="H543" s="8">
        <f t="shared" si="60"/>
        <v>1526.106399</v>
      </c>
      <c r="I543" s="1">
        <f t="shared" si="61"/>
        <v>971.21000000000095</v>
      </c>
      <c r="J543" s="2">
        <f t="shared" si="62"/>
        <v>3.8952872432415657E-3</v>
      </c>
    </row>
    <row r="544" spans="1:10">
      <c r="A544" s="1">
        <v>74.2</v>
      </c>
      <c r="B544" s="1">
        <f t="shared" si="56"/>
        <v>347.35</v>
      </c>
      <c r="C544" s="1" t="s">
        <v>560</v>
      </c>
      <c r="D544" s="1">
        <v>0.97131296</v>
      </c>
      <c r="E544" s="1">
        <f t="shared" si="57"/>
        <v>971.31295999999998</v>
      </c>
      <c r="F544" s="1">
        <f t="shared" si="58"/>
        <v>972.92512180772462</v>
      </c>
      <c r="G544" s="1">
        <f t="shared" si="59"/>
        <v>0.16570255732827627</v>
      </c>
      <c r="H544" s="8">
        <f t="shared" si="60"/>
        <v>1521.009808</v>
      </c>
      <c r="I544" s="1">
        <f t="shared" si="61"/>
        <v>968.84600000000103</v>
      </c>
      <c r="J544" s="2">
        <f t="shared" si="62"/>
        <v>4.1926369422391543E-3</v>
      </c>
    </row>
    <row r="545" spans="1:10">
      <c r="A545" s="1">
        <v>74.3</v>
      </c>
      <c r="B545" s="1">
        <f t="shared" si="56"/>
        <v>347.45</v>
      </c>
      <c r="C545" s="1" t="s">
        <v>561</v>
      </c>
      <c r="D545" s="1">
        <v>0.96905927999999997</v>
      </c>
      <c r="E545" s="1">
        <f t="shared" si="57"/>
        <v>969.05927999999994</v>
      </c>
      <c r="F545" s="1">
        <f t="shared" si="58"/>
        <v>970.84532430349304</v>
      </c>
      <c r="G545" s="1">
        <f t="shared" si="59"/>
        <v>0.18396795645840383</v>
      </c>
      <c r="H545" s="8">
        <f t="shared" si="60"/>
        <v>1515.9328499999999</v>
      </c>
      <c r="I545" s="1">
        <f t="shared" si="61"/>
        <v>966.48199999999997</v>
      </c>
      <c r="J545" s="2">
        <f t="shared" si="62"/>
        <v>4.4943557889856687E-3</v>
      </c>
    </row>
    <row r="546" spans="1:10">
      <c r="A546" s="1">
        <v>74.400000000000006</v>
      </c>
      <c r="B546" s="1">
        <f t="shared" si="56"/>
        <v>347.55</v>
      </c>
      <c r="C546" s="1" t="s">
        <v>562</v>
      </c>
      <c r="D546" s="1">
        <v>0.96703039000000002</v>
      </c>
      <c r="E546" s="1">
        <f t="shared" si="57"/>
        <v>967.03039000000001</v>
      </c>
      <c r="F546" s="1">
        <f t="shared" si="58"/>
        <v>968.76854810712916</v>
      </c>
      <c r="G546" s="1">
        <f t="shared" si="59"/>
        <v>0.17941933710846913</v>
      </c>
      <c r="H546" s="8">
        <f t="shared" si="60"/>
        <v>1510.8754389999999</v>
      </c>
      <c r="I546" s="1">
        <f t="shared" si="61"/>
        <v>964.11800000000198</v>
      </c>
      <c r="J546" s="2">
        <f t="shared" si="62"/>
        <v>4.8004738760500185E-3</v>
      </c>
    </row>
    <row r="547" spans="1:10">
      <c r="A547" s="1">
        <v>74.5</v>
      </c>
      <c r="B547" s="1">
        <f t="shared" si="56"/>
        <v>347.65</v>
      </c>
      <c r="C547" s="1" t="s">
        <v>563</v>
      </c>
      <c r="D547" s="1">
        <v>0.96488523999999998</v>
      </c>
      <c r="E547" s="1">
        <f t="shared" si="57"/>
        <v>964.88523999999995</v>
      </c>
      <c r="F547" s="1">
        <f t="shared" si="58"/>
        <v>966.69479845577791</v>
      </c>
      <c r="G547" s="1">
        <f t="shared" si="59"/>
        <v>0.18719025473899245</v>
      </c>
      <c r="H547" s="8">
        <f t="shared" si="60"/>
        <v>1505.837491</v>
      </c>
      <c r="I547" s="1">
        <f t="shared" si="61"/>
        <v>961.75400000000104</v>
      </c>
      <c r="J547" s="2">
        <f t="shared" si="62"/>
        <v>5.1110220761189824E-3</v>
      </c>
    </row>
    <row r="548" spans="1:10">
      <c r="A548" s="1">
        <v>74.599999999999994</v>
      </c>
      <c r="B548" s="1">
        <f t="shared" si="56"/>
        <v>347.75</v>
      </c>
      <c r="C548" s="1" t="s">
        <v>564</v>
      </c>
      <c r="D548" s="1">
        <v>0.96273750000000002</v>
      </c>
      <c r="E548" s="1">
        <f t="shared" si="57"/>
        <v>962.73749999999995</v>
      </c>
      <c r="F548" s="1">
        <f t="shared" si="58"/>
        <v>964.6240799485297</v>
      </c>
      <c r="G548" s="1">
        <f t="shared" si="59"/>
        <v>0.19557670057649887</v>
      </c>
      <c r="H548" s="8">
        <f t="shared" si="60"/>
        <v>1500.818921</v>
      </c>
      <c r="I548" s="1">
        <f t="shared" si="61"/>
        <v>959.39000000000101</v>
      </c>
      <c r="J548" s="2">
        <f t="shared" si="62"/>
        <v>5.426030779584071E-3</v>
      </c>
    </row>
    <row r="549" spans="1:10">
      <c r="A549" s="1">
        <v>74.7</v>
      </c>
      <c r="B549" s="1">
        <f t="shared" si="56"/>
        <v>347.85</v>
      </c>
      <c r="C549" s="1" t="s">
        <v>565</v>
      </c>
      <c r="D549" s="1">
        <v>0.96081274000000005</v>
      </c>
      <c r="E549" s="1">
        <f t="shared" si="57"/>
        <v>960.81273999999996</v>
      </c>
      <c r="F549" s="1">
        <f t="shared" si="58"/>
        <v>962.55639819687406</v>
      </c>
      <c r="G549" s="1">
        <f t="shared" si="59"/>
        <v>0.18114867867902937</v>
      </c>
      <c r="H549" s="8">
        <f t="shared" si="60"/>
        <v>1495.819647</v>
      </c>
      <c r="I549" s="1">
        <f t="shared" si="61"/>
        <v>957.026000000002</v>
      </c>
      <c r="J549" s="2">
        <f t="shared" si="62"/>
        <v>5.745531594026047E-3</v>
      </c>
    </row>
    <row r="550" spans="1:10">
      <c r="A550" s="1">
        <v>74.8</v>
      </c>
      <c r="B550" s="1">
        <f t="shared" si="56"/>
        <v>347.95</v>
      </c>
      <c r="C550" s="1" t="s">
        <v>566</v>
      </c>
      <c r="D550" s="1">
        <v>0.95865948999999995</v>
      </c>
      <c r="E550" s="1">
        <f t="shared" si="57"/>
        <v>958.65949000000001</v>
      </c>
      <c r="F550" s="1">
        <f t="shared" si="58"/>
        <v>960.49175734806647</v>
      </c>
      <c r="G550" s="1">
        <f t="shared" si="59"/>
        <v>0.19076346403277697</v>
      </c>
      <c r="H550" s="8">
        <f t="shared" si="60"/>
        <v>1490.8395840000001</v>
      </c>
      <c r="I550" s="1">
        <f t="shared" si="61"/>
        <v>954.66200000000003</v>
      </c>
      <c r="J550" s="2">
        <f t="shared" si="62"/>
        <v>6.0695547915606196E-3</v>
      </c>
    </row>
    <row r="551" spans="1:10">
      <c r="A551" s="1">
        <v>74.900000000000006</v>
      </c>
      <c r="B551" s="1">
        <f t="shared" si="56"/>
        <v>348.05</v>
      </c>
      <c r="C551" s="1" t="s">
        <v>567</v>
      </c>
      <c r="D551" s="1">
        <v>0.95672829000000004</v>
      </c>
      <c r="E551" s="1">
        <f t="shared" si="57"/>
        <v>956.72829000000002</v>
      </c>
      <c r="F551" s="1">
        <f t="shared" si="58"/>
        <v>958.43016256574947</v>
      </c>
      <c r="G551" s="1">
        <f t="shared" si="59"/>
        <v>0.17756876110758918</v>
      </c>
      <c r="H551" s="8">
        <f t="shared" si="60"/>
        <v>1485.8786500000001</v>
      </c>
      <c r="I551" s="1">
        <f t="shared" si="61"/>
        <v>952.29800000000296</v>
      </c>
      <c r="J551" s="2">
        <f t="shared" si="62"/>
        <v>6.3981318673553729E-3</v>
      </c>
    </row>
    <row r="552" spans="1:10">
      <c r="A552" s="1">
        <v>75</v>
      </c>
      <c r="B552" s="1">
        <f t="shared" si="56"/>
        <v>348.15</v>
      </c>
      <c r="C552" s="1" t="s">
        <v>568</v>
      </c>
      <c r="D552" s="1">
        <v>0.95468165999999999</v>
      </c>
      <c r="E552" s="1">
        <f t="shared" si="57"/>
        <v>954.68165999999997</v>
      </c>
      <c r="F552" s="1">
        <f t="shared" si="58"/>
        <v>956.3716183756045</v>
      </c>
      <c r="G552" s="1">
        <f t="shared" si="59"/>
        <v>0.17670519943648311</v>
      </c>
      <c r="H552" s="8">
        <f t="shared" si="60"/>
        <v>1480.936762</v>
      </c>
      <c r="I552" s="1">
        <f t="shared" si="61"/>
        <v>949.93400000000099</v>
      </c>
      <c r="J552" s="2">
        <f t="shared" si="62"/>
        <v>6.7312938317197132E-3</v>
      </c>
    </row>
    <row r="553" spans="1:10">
      <c r="A553" s="1">
        <v>75.099999999999994</v>
      </c>
      <c r="B553" s="1">
        <f t="shared" si="56"/>
        <v>348.25</v>
      </c>
      <c r="C553" s="1" t="s">
        <v>569</v>
      </c>
      <c r="D553" s="1">
        <v>0.95263211000000003</v>
      </c>
      <c r="E553" s="1">
        <f t="shared" si="57"/>
        <v>952.63211000000001</v>
      </c>
      <c r="F553" s="1">
        <f t="shared" si="58"/>
        <v>954.31612949554608</v>
      </c>
      <c r="G553" s="1">
        <f t="shared" si="59"/>
        <v>0.17646348453067059</v>
      </c>
      <c r="H553" s="8">
        <f t="shared" si="60"/>
        <v>1476.0138380000001</v>
      </c>
      <c r="I553" s="1">
        <f t="shared" si="61"/>
        <v>947.57</v>
      </c>
      <c r="J553" s="2">
        <f t="shared" si="62"/>
        <v>7.0690720685105159E-3</v>
      </c>
    </row>
    <row r="554" spans="1:10">
      <c r="A554" s="1">
        <v>75.2</v>
      </c>
      <c r="B554" s="1">
        <f t="shared" si="56"/>
        <v>348.35</v>
      </c>
      <c r="C554" s="1" t="s">
        <v>570</v>
      </c>
      <c r="D554" s="1">
        <v>0.95057972000000002</v>
      </c>
      <c r="E554" s="1">
        <f t="shared" si="57"/>
        <v>950.57971999999995</v>
      </c>
      <c r="F554" s="1">
        <f t="shared" si="58"/>
        <v>952.26370042070209</v>
      </c>
      <c r="G554" s="1">
        <f t="shared" si="59"/>
        <v>0.17683971571720872</v>
      </c>
      <c r="H554" s="8">
        <f t="shared" si="60"/>
        <v>1471.109796</v>
      </c>
      <c r="I554" s="1">
        <f t="shared" si="61"/>
        <v>945.20600000000195</v>
      </c>
      <c r="J554" s="2">
        <f t="shared" si="62"/>
        <v>7.4114979050257934E-3</v>
      </c>
    </row>
    <row r="555" spans="1:10">
      <c r="A555" s="1">
        <v>75.3</v>
      </c>
      <c r="B555" s="1">
        <f t="shared" si="56"/>
        <v>348.45</v>
      </c>
      <c r="C555" s="1" t="s">
        <v>571</v>
      </c>
      <c r="D555" s="1">
        <v>0.94852451000000004</v>
      </c>
      <c r="E555" s="1">
        <f t="shared" si="57"/>
        <v>948.52450999999996</v>
      </c>
      <c r="F555" s="1">
        <f t="shared" si="58"/>
        <v>950.21433584249041</v>
      </c>
      <c r="G555" s="1">
        <f t="shared" si="59"/>
        <v>0.17783628164188831</v>
      </c>
      <c r="H555" s="8">
        <f t="shared" si="60"/>
        <v>1466.224555</v>
      </c>
      <c r="I555" s="1">
        <f t="shared" si="61"/>
        <v>942.84200000000101</v>
      </c>
      <c r="J555" s="2">
        <f t="shared" si="62"/>
        <v>7.7586030481773963E-3</v>
      </c>
    </row>
    <row r="556" spans="1:10">
      <c r="A556" s="1">
        <v>75.400000000000006</v>
      </c>
      <c r="B556" s="1">
        <f t="shared" si="56"/>
        <v>348.55</v>
      </c>
      <c r="C556" s="1" t="s">
        <v>572</v>
      </c>
      <c r="D556" s="1">
        <v>0.94646646999999995</v>
      </c>
      <c r="E556" s="1">
        <f t="shared" si="57"/>
        <v>946.46646999999996</v>
      </c>
      <c r="F556" s="1">
        <f t="shared" si="58"/>
        <v>948.16804023164718</v>
      </c>
      <c r="G556" s="1">
        <f t="shared" si="59"/>
        <v>0.17945872033732685</v>
      </c>
      <c r="H556" s="8">
        <f t="shared" si="60"/>
        <v>1461.3580340000001</v>
      </c>
      <c r="I556" s="1">
        <f t="shared" si="61"/>
        <v>940.47800000000097</v>
      </c>
      <c r="J556" s="2">
        <f t="shared" si="62"/>
        <v>8.1104191507735818E-3</v>
      </c>
    </row>
    <row r="557" spans="1:10">
      <c r="A557" s="1">
        <v>75.5</v>
      </c>
      <c r="B557" s="1">
        <f t="shared" si="56"/>
        <v>348.65</v>
      </c>
      <c r="C557" s="1" t="s">
        <v>573</v>
      </c>
      <c r="D557" s="1">
        <v>0.94451649999999998</v>
      </c>
      <c r="E557" s="1">
        <f t="shared" si="57"/>
        <v>944.51649999999995</v>
      </c>
      <c r="F557" s="1">
        <f t="shared" si="58"/>
        <v>946.12481783732699</v>
      </c>
      <c r="G557" s="1">
        <f t="shared" si="59"/>
        <v>0.16999002742612376</v>
      </c>
      <c r="H557" s="8">
        <f t="shared" si="60"/>
        <v>1456.5101520000001</v>
      </c>
      <c r="I557" s="1">
        <f t="shared" si="61"/>
        <v>938.11400000000106</v>
      </c>
      <c r="J557" s="2">
        <f t="shared" si="62"/>
        <v>8.4669778091618353E-3</v>
      </c>
    </row>
    <row r="558" spans="1:10">
      <c r="A558" s="1">
        <v>75.599999999999994</v>
      </c>
      <c r="B558" s="1">
        <f t="shared" si="56"/>
        <v>348.75</v>
      </c>
      <c r="C558" s="1" t="s">
        <v>574</v>
      </c>
      <c r="D558" s="1">
        <v>0.94234213</v>
      </c>
      <c r="E558" s="1">
        <f t="shared" si="57"/>
        <v>942.34213</v>
      </c>
      <c r="F558" s="1">
        <f t="shared" si="58"/>
        <v>944.08467310915239</v>
      </c>
      <c r="G558" s="1">
        <f t="shared" si="59"/>
        <v>0.18457487540960485</v>
      </c>
      <c r="H558" s="8">
        <f t="shared" si="60"/>
        <v>1451.6808289999999</v>
      </c>
      <c r="I558" s="1">
        <f t="shared" si="61"/>
        <v>935.75</v>
      </c>
      <c r="J558" s="2">
        <f t="shared" si="62"/>
        <v>8.828311004884579E-3</v>
      </c>
    </row>
    <row r="559" spans="1:10">
      <c r="A559" s="1">
        <v>75.7</v>
      </c>
      <c r="B559" s="1">
        <f t="shared" si="56"/>
        <v>348.85</v>
      </c>
      <c r="C559" s="1" t="s">
        <v>575</v>
      </c>
      <c r="D559" s="1">
        <v>0.94027587999999995</v>
      </c>
      <c r="E559" s="1">
        <f t="shared" si="57"/>
        <v>940.27588000000003</v>
      </c>
      <c r="F559" s="1">
        <f t="shared" si="58"/>
        <v>942.04761027732104</v>
      </c>
      <c r="G559" s="1">
        <f t="shared" si="59"/>
        <v>0.18807226492506554</v>
      </c>
      <c r="H559" s="8">
        <f t="shared" si="60"/>
        <v>1446.869985</v>
      </c>
      <c r="I559" s="1">
        <f t="shared" si="61"/>
        <v>933.38600000000201</v>
      </c>
      <c r="J559" s="2">
        <f t="shared" si="62"/>
        <v>9.1944506655764601E-3</v>
      </c>
    </row>
    <row r="560" spans="1:10">
      <c r="A560" s="1">
        <v>75.8</v>
      </c>
      <c r="B560" s="1">
        <f t="shared" si="56"/>
        <v>348.95</v>
      </c>
      <c r="C560" s="1" t="s">
        <v>576</v>
      </c>
      <c r="D560" s="1">
        <v>0.93820689999999995</v>
      </c>
      <c r="E560" s="1">
        <f t="shared" si="57"/>
        <v>938.20690000000002</v>
      </c>
      <c r="F560" s="1">
        <f t="shared" si="58"/>
        <v>940.01363335173096</v>
      </c>
      <c r="G560" s="1">
        <f t="shared" si="59"/>
        <v>0.19220288808884792</v>
      </c>
      <c r="H560" s="8">
        <f t="shared" si="60"/>
        <v>1442.07754</v>
      </c>
      <c r="I560" s="1">
        <f t="shared" si="61"/>
        <v>931.02200000000096</v>
      </c>
      <c r="J560" s="2">
        <f t="shared" si="62"/>
        <v>9.5654286626346667E-3</v>
      </c>
    </row>
    <row r="561" spans="1:10">
      <c r="A561" s="1">
        <v>75.900000000000006</v>
      </c>
      <c r="B561" s="1">
        <f t="shared" si="56"/>
        <v>349.05</v>
      </c>
      <c r="C561" s="1" t="s">
        <v>577</v>
      </c>
      <c r="D561" s="1">
        <v>0.93613528999999995</v>
      </c>
      <c r="E561" s="1">
        <f t="shared" si="57"/>
        <v>936.13529000000005</v>
      </c>
      <c r="F561" s="1">
        <f t="shared" si="58"/>
        <v>937.98274739877513</v>
      </c>
      <c r="G561" s="1">
        <f t="shared" si="59"/>
        <v>0.19696070145196892</v>
      </c>
      <c r="H561" s="8">
        <f t="shared" si="60"/>
        <v>1437.3034170000001</v>
      </c>
      <c r="I561" s="1">
        <f t="shared" si="61"/>
        <v>928.65800000000104</v>
      </c>
      <c r="J561" s="2">
        <f t="shared" si="62"/>
        <v>9.9412781574432941E-3</v>
      </c>
    </row>
    <row r="562" spans="1:10">
      <c r="A562" s="1">
        <v>76</v>
      </c>
      <c r="B562" s="1">
        <f t="shared" si="56"/>
        <v>349.15</v>
      </c>
      <c r="C562" s="1" t="s">
        <v>578</v>
      </c>
      <c r="D562" s="1">
        <v>0.93428021999999999</v>
      </c>
      <c r="E562" s="1">
        <f t="shared" si="57"/>
        <v>934.28021999999999</v>
      </c>
      <c r="F562" s="1">
        <f t="shared" si="58"/>
        <v>935.95495556713536</v>
      </c>
      <c r="G562" s="1">
        <f t="shared" si="59"/>
        <v>0.17893335113767064</v>
      </c>
      <c r="H562" s="8">
        <f t="shared" si="60"/>
        <v>1432.5475349999999</v>
      </c>
      <c r="I562" s="1">
        <f t="shared" si="61"/>
        <v>926.29400000000203</v>
      </c>
      <c r="J562" s="2">
        <f t="shared" si="62"/>
        <v>1.032203046703176E-2</v>
      </c>
    </row>
    <row r="563" spans="1:10">
      <c r="A563" s="1">
        <v>76.099999999999994</v>
      </c>
      <c r="B563" s="1">
        <f t="shared" si="56"/>
        <v>349.25</v>
      </c>
      <c r="C563" s="1" t="s">
        <v>579</v>
      </c>
      <c r="D563" s="1">
        <v>0.93220287999999996</v>
      </c>
      <c r="E563" s="1">
        <f t="shared" si="57"/>
        <v>932.20288000000005</v>
      </c>
      <c r="F563" s="1">
        <f t="shared" si="58"/>
        <v>933.93026249009472</v>
      </c>
      <c r="G563" s="1">
        <f t="shared" si="59"/>
        <v>0.18495840208550796</v>
      </c>
      <c r="H563" s="8">
        <f t="shared" si="60"/>
        <v>1427.8098170000001</v>
      </c>
      <c r="I563" s="1">
        <f t="shared" si="61"/>
        <v>923.93</v>
      </c>
      <c r="J563" s="2">
        <f t="shared" si="62"/>
        <v>1.0707718650674769E-2</v>
      </c>
    </row>
    <row r="564" spans="1:10">
      <c r="A564" s="1">
        <v>76.2</v>
      </c>
      <c r="B564" s="1">
        <f t="shared" si="56"/>
        <v>349.35</v>
      </c>
      <c r="C564" s="1" t="s">
        <v>580</v>
      </c>
      <c r="D564" s="1">
        <v>0.93023212</v>
      </c>
      <c r="E564" s="1">
        <f t="shared" si="57"/>
        <v>930.23212000000001</v>
      </c>
      <c r="F564" s="1">
        <f t="shared" si="58"/>
        <v>931.90867173134825</v>
      </c>
      <c r="G564" s="1">
        <f t="shared" si="59"/>
        <v>0.17990515403547602</v>
      </c>
      <c r="H564" s="8">
        <f t="shared" si="60"/>
        <v>1423.0901839999999</v>
      </c>
      <c r="I564" s="1">
        <f t="shared" si="61"/>
        <v>921.56600000000105</v>
      </c>
      <c r="J564" s="2">
        <f t="shared" si="62"/>
        <v>1.1098374814059883E-2</v>
      </c>
    </row>
    <row r="565" spans="1:10">
      <c r="A565" s="1">
        <v>76.3</v>
      </c>
      <c r="B565" s="1">
        <f t="shared" si="56"/>
        <v>349.45</v>
      </c>
      <c r="C565" s="1" t="s">
        <v>581</v>
      </c>
      <c r="D565" s="1">
        <v>0.92804054999999996</v>
      </c>
      <c r="E565" s="1">
        <f t="shared" si="57"/>
        <v>928.04055000000005</v>
      </c>
      <c r="F565" s="1">
        <f t="shared" si="58"/>
        <v>929.89018792340471</v>
      </c>
      <c r="G565" s="1">
        <f t="shared" si="59"/>
        <v>0.1989092849269867</v>
      </c>
      <c r="H565" s="8">
        <f t="shared" si="60"/>
        <v>1418.3885600000001</v>
      </c>
      <c r="I565" s="1">
        <f t="shared" si="61"/>
        <v>919.20200000000102</v>
      </c>
      <c r="J565" s="2">
        <f t="shared" si="62"/>
        <v>1.1494032373082828E-2</v>
      </c>
    </row>
    <row r="566" spans="1:10">
      <c r="A566" s="1">
        <v>76.400000000000006</v>
      </c>
      <c r="B566" s="1">
        <f t="shared" si="56"/>
        <v>349.55</v>
      </c>
      <c r="C566" s="1" t="s">
        <v>582</v>
      </c>
      <c r="D566" s="1">
        <v>0.92628149999999998</v>
      </c>
      <c r="E566" s="1">
        <f t="shared" si="57"/>
        <v>926.28150000000005</v>
      </c>
      <c r="F566" s="1">
        <f t="shared" si="58"/>
        <v>927.874814196746</v>
      </c>
      <c r="G566" s="1">
        <f t="shared" si="59"/>
        <v>0.1717165044645888</v>
      </c>
      <c r="H566" s="8">
        <f t="shared" si="60"/>
        <v>1413.704866</v>
      </c>
      <c r="I566" s="1">
        <f t="shared" si="61"/>
        <v>916.83800000000201</v>
      </c>
      <c r="J566" s="2">
        <f t="shared" si="62"/>
        <v>1.1894723326765232E-2</v>
      </c>
    </row>
    <row r="567" spans="1:10">
      <c r="A567" s="1">
        <v>76.5</v>
      </c>
      <c r="B567" s="1">
        <f t="shared" si="56"/>
        <v>349.65</v>
      </c>
      <c r="C567" s="1" t="s">
        <v>583</v>
      </c>
      <c r="D567" s="1">
        <v>0.92408495999999996</v>
      </c>
      <c r="E567" s="1">
        <f t="shared" si="57"/>
        <v>924.08496000000002</v>
      </c>
      <c r="F567" s="1">
        <f t="shared" si="58"/>
        <v>925.86255475491305</v>
      </c>
      <c r="G567" s="1">
        <f t="shared" si="59"/>
        <v>0.19199337372311981</v>
      </c>
      <c r="H567" s="8">
        <f t="shared" si="60"/>
        <v>1409.0390259999999</v>
      </c>
      <c r="I567" s="1">
        <f t="shared" si="61"/>
        <v>914.47400000000005</v>
      </c>
      <c r="J567" s="2">
        <f t="shared" si="62"/>
        <v>1.2300480990861208E-2</v>
      </c>
    </row>
    <row r="568" spans="1:10">
      <c r="A568" s="1">
        <v>76.599999999999994</v>
      </c>
      <c r="B568" s="1">
        <f t="shared" si="56"/>
        <v>349.75</v>
      </c>
      <c r="C568" s="1" t="s">
        <v>584</v>
      </c>
      <c r="D568" s="1">
        <v>0.92210276000000002</v>
      </c>
      <c r="E568" s="1">
        <f t="shared" si="57"/>
        <v>922.10275999999999</v>
      </c>
      <c r="F568" s="1">
        <f t="shared" si="58"/>
        <v>923.85341315741516</v>
      </c>
      <c r="G568" s="1">
        <f t="shared" si="59"/>
        <v>0.18949468957765045</v>
      </c>
      <c r="H568" s="8">
        <f t="shared" si="60"/>
        <v>1404.3909630000001</v>
      </c>
      <c r="I568" s="1">
        <f t="shared" si="61"/>
        <v>912.11000000000104</v>
      </c>
      <c r="J568" s="2">
        <f t="shared" si="62"/>
        <v>1.2711338173530314E-2</v>
      </c>
    </row>
    <row r="569" spans="1:10">
      <c r="A569" s="1">
        <v>76.7</v>
      </c>
      <c r="B569" s="1">
        <f t="shared" si="56"/>
        <v>349.85</v>
      </c>
      <c r="C569" s="1" t="s">
        <v>585</v>
      </c>
      <c r="D569" s="1">
        <v>0.92011761999999997</v>
      </c>
      <c r="E569" s="1">
        <f t="shared" si="57"/>
        <v>920.11761999999999</v>
      </c>
      <c r="F569" s="1">
        <f t="shared" si="58"/>
        <v>921.84739361520406</v>
      </c>
      <c r="G569" s="1">
        <f t="shared" si="59"/>
        <v>0.18764207906695088</v>
      </c>
      <c r="H569" s="8">
        <f t="shared" si="60"/>
        <v>1399.7606020000001</v>
      </c>
      <c r="I569" s="1">
        <f t="shared" si="61"/>
        <v>909.746000000001</v>
      </c>
      <c r="J569" s="2">
        <f t="shared" si="62"/>
        <v>1.3127328556785391E-2</v>
      </c>
    </row>
    <row r="570" spans="1:10">
      <c r="A570" s="1">
        <v>76.8</v>
      </c>
      <c r="B570" s="1">
        <f t="shared" si="56"/>
        <v>349.95</v>
      </c>
      <c r="C570" s="1" t="s">
        <v>586</v>
      </c>
      <c r="D570" s="1">
        <v>0.91823736</v>
      </c>
      <c r="E570" s="1">
        <f t="shared" si="57"/>
        <v>918.23735999999997</v>
      </c>
      <c r="F570" s="1">
        <f t="shared" si="58"/>
        <v>919.84449926087234</v>
      </c>
      <c r="G570" s="1">
        <f t="shared" si="59"/>
        <v>0.17471858147369104</v>
      </c>
      <c r="H570" s="8">
        <f t="shared" si="60"/>
        <v>1395.147866</v>
      </c>
      <c r="I570" s="1">
        <f t="shared" si="61"/>
        <v>907.38200000000097</v>
      </c>
      <c r="J570" s="2">
        <f t="shared" si="62"/>
        <v>1.3548484848129688E-2</v>
      </c>
    </row>
    <row r="571" spans="1:10">
      <c r="A571" s="1">
        <v>76.900000000000006</v>
      </c>
      <c r="B571" s="1">
        <f t="shared" si="56"/>
        <v>350.05</v>
      </c>
      <c r="C571" s="1" t="s">
        <v>587</v>
      </c>
      <c r="D571" s="1">
        <v>0.91613886</v>
      </c>
      <c r="E571" s="1">
        <f t="shared" si="57"/>
        <v>916.13886000000002</v>
      </c>
      <c r="F571" s="1">
        <f t="shared" si="58"/>
        <v>917.84473388080175</v>
      </c>
      <c r="G571" s="1">
        <f t="shared" si="59"/>
        <v>0.18585647635510322</v>
      </c>
      <c r="H571" s="8">
        <f t="shared" si="60"/>
        <v>1390.55268</v>
      </c>
      <c r="I571" s="1">
        <f t="shared" si="61"/>
        <v>905.01800000000196</v>
      </c>
      <c r="J571" s="2">
        <f t="shared" si="62"/>
        <v>1.3974840631885751E-2</v>
      </c>
    </row>
    <row r="572" spans="1:10">
      <c r="A572" s="1">
        <v>77</v>
      </c>
      <c r="B572" s="1">
        <f t="shared" si="56"/>
        <v>350.15</v>
      </c>
      <c r="C572" s="1" t="s">
        <v>588</v>
      </c>
      <c r="D572" s="1">
        <v>0.91425241999999995</v>
      </c>
      <c r="E572" s="1">
        <f t="shared" si="57"/>
        <v>914.25242000000003</v>
      </c>
      <c r="F572" s="1">
        <f t="shared" si="58"/>
        <v>915.84810148751342</v>
      </c>
      <c r="G572" s="1">
        <f t="shared" si="59"/>
        <v>0.17422992796749756</v>
      </c>
      <c r="H572" s="8">
        <f t="shared" si="60"/>
        <v>1385.97497</v>
      </c>
      <c r="I572" s="1">
        <f t="shared" si="61"/>
        <v>902.654</v>
      </c>
      <c r="J572" s="2">
        <f t="shared" si="62"/>
        <v>1.4406429915707271E-2</v>
      </c>
    </row>
    <row r="573" spans="1:10">
      <c r="A573" s="1">
        <v>77.099999999999994</v>
      </c>
      <c r="B573" s="1">
        <f t="shared" si="56"/>
        <v>350.25</v>
      </c>
      <c r="C573" s="1" t="s">
        <v>589</v>
      </c>
      <c r="D573" s="1">
        <v>0.91236276999999999</v>
      </c>
      <c r="E573" s="1">
        <f t="shared" si="57"/>
        <v>912.36276999999995</v>
      </c>
      <c r="F573" s="1">
        <f t="shared" si="58"/>
        <v>913.85460457327179</v>
      </c>
      <c r="G573" s="1">
        <f t="shared" si="59"/>
        <v>0.16324638140532752</v>
      </c>
      <c r="H573" s="8">
        <f t="shared" si="60"/>
        <v>1381.414659</v>
      </c>
      <c r="I573" s="1">
        <f t="shared" si="61"/>
        <v>900.29000000000099</v>
      </c>
      <c r="J573" s="2">
        <f t="shared" si="62"/>
        <v>1.4843285250616916E-2</v>
      </c>
    </row>
    <row r="574" spans="1:10">
      <c r="A574" s="1">
        <v>77.2</v>
      </c>
      <c r="B574" s="1">
        <f t="shared" si="56"/>
        <v>350.35</v>
      </c>
      <c r="C574" s="1" t="s">
        <v>590</v>
      </c>
      <c r="D574" s="1">
        <v>0.91025637000000004</v>
      </c>
      <c r="E574" s="1">
        <f t="shared" si="57"/>
        <v>910.25636999999995</v>
      </c>
      <c r="F574" s="1">
        <f t="shared" si="58"/>
        <v>911.86424760352554</v>
      </c>
      <c r="G574" s="1">
        <f t="shared" si="59"/>
        <v>0.17632861555338575</v>
      </c>
      <c r="H574" s="8">
        <f t="shared" si="60"/>
        <v>1376.8716750000001</v>
      </c>
      <c r="I574" s="1">
        <f t="shared" si="61"/>
        <v>897.92600000000095</v>
      </c>
      <c r="J574" s="2">
        <f t="shared" si="62"/>
        <v>1.5285441489953968E-2</v>
      </c>
    </row>
    <row r="575" spans="1:10">
      <c r="A575" s="1">
        <v>77.3</v>
      </c>
      <c r="B575" s="1">
        <f t="shared" si="56"/>
        <v>350.45</v>
      </c>
      <c r="C575" s="1" t="s">
        <v>591</v>
      </c>
      <c r="D575" s="1">
        <v>0.90825425999999998</v>
      </c>
      <c r="E575" s="1">
        <f t="shared" si="57"/>
        <v>908.25426000000004</v>
      </c>
      <c r="F575" s="1">
        <f t="shared" si="58"/>
        <v>909.87703308433709</v>
      </c>
      <c r="G575" s="1">
        <f t="shared" si="59"/>
        <v>0.17835081283853277</v>
      </c>
      <c r="H575" s="8">
        <f t="shared" si="60"/>
        <v>1372.3459419999999</v>
      </c>
      <c r="I575" s="1">
        <f t="shared" si="61"/>
        <v>895.56200000000001</v>
      </c>
      <c r="J575" s="2">
        <f t="shared" si="62"/>
        <v>1.5732931554290813E-2</v>
      </c>
    </row>
    <row r="576" spans="1:10">
      <c r="A576" s="1">
        <v>77.400000000000006</v>
      </c>
      <c r="B576" s="1">
        <f t="shared" si="56"/>
        <v>350.55</v>
      </c>
      <c r="C576" s="1" t="s">
        <v>592</v>
      </c>
      <c r="D576" s="1">
        <v>0.90624941000000003</v>
      </c>
      <c r="E576" s="1">
        <f t="shared" si="57"/>
        <v>906.24941000000001</v>
      </c>
      <c r="F576" s="1">
        <f t="shared" si="58"/>
        <v>907.89296462602181</v>
      </c>
      <c r="G576" s="1">
        <f t="shared" si="59"/>
        <v>0.18102955855581579</v>
      </c>
      <c r="H576" s="8">
        <f t="shared" si="60"/>
        <v>1367.837387</v>
      </c>
      <c r="I576" s="1">
        <f t="shared" si="61"/>
        <v>893.19800000000203</v>
      </c>
      <c r="J576" s="2">
        <f t="shared" si="62"/>
        <v>1.6185789733565031E-2</v>
      </c>
    </row>
    <row r="577" spans="1:10">
      <c r="A577" s="1">
        <v>77.5</v>
      </c>
      <c r="B577" s="1">
        <f t="shared" si="56"/>
        <v>350.65</v>
      </c>
      <c r="C577" s="1" t="s">
        <v>593</v>
      </c>
      <c r="D577" s="1">
        <v>0.90424194000000002</v>
      </c>
      <c r="E577" s="1">
        <f t="shared" si="57"/>
        <v>904.24194</v>
      </c>
      <c r="F577" s="1">
        <f t="shared" si="58"/>
        <v>905.91204607398606</v>
      </c>
      <c r="G577" s="1">
        <f t="shared" si="59"/>
        <v>0.1843563159606848</v>
      </c>
      <c r="H577" s="8">
        <f t="shared" si="60"/>
        <v>1363.3459379999999</v>
      </c>
      <c r="I577" s="1">
        <f t="shared" si="61"/>
        <v>890.83400000000097</v>
      </c>
      <c r="J577" s="2">
        <f t="shared" si="62"/>
        <v>1.6644050754518462E-2</v>
      </c>
    </row>
    <row r="578" spans="1:10">
      <c r="A578" s="1">
        <v>77.599999999999994</v>
      </c>
      <c r="B578" s="1">
        <f t="shared" si="56"/>
        <v>350.75</v>
      </c>
      <c r="C578" s="1" t="s">
        <v>594</v>
      </c>
      <c r="D578" s="1">
        <v>0.90244343999999999</v>
      </c>
      <c r="E578" s="1">
        <f t="shared" si="57"/>
        <v>902.44344000000001</v>
      </c>
      <c r="F578" s="1">
        <f t="shared" si="58"/>
        <v>903.9342801853619</v>
      </c>
      <c r="G578" s="1">
        <f t="shared" si="59"/>
        <v>0.16492793978962456</v>
      </c>
      <c r="H578" s="8">
        <f t="shared" si="60"/>
        <v>1358.871521</v>
      </c>
      <c r="I578" s="1">
        <f t="shared" si="61"/>
        <v>888.47000000000105</v>
      </c>
      <c r="J578" s="2">
        <f t="shared" si="62"/>
        <v>1.7107748344481109E-2</v>
      </c>
    </row>
    <row r="579" spans="1:10">
      <c r="A579" s="1">
        <v>77.7</v>
      </c>
      <c r="B579" s="1">
        <f t="shared" ref="B579:B602" si="63">A579+273.15</f>
        <v>350.85</v>
      </c>
      <c r="C579" s="1" t="s">
        <v>595</v>
      </c>
      <c r="D579" s="1">
        <v>0.90021909</v>
      </c>
      <c r="E579" s="1">
        <f t="shared" ref="E579:E602" si="64">D579/0.001</f>
        <v>900.21909000000005</v>
      </c>
      <c r="F579" s="1">
        <f t="shared" ref="F579:F602" si="65">(H579*2700)/(H579+2700)</f>
        <v>901.95966994898413</v>
      </c>
      <c r="G579" s="1">
        <f t="shared" ref="G579:G602" si="66">ABS(E579-F579)*100/F579</f>
        <v>0.19297758059210415</v>
      </c>
      <c r="H579" s="8">
        <f t="shared" ref="H579:H602" si="67">ROUND(10000*EXP(($L$3)+($M$3/B579)+($N$3/(B579^2))+($O$3/(B579^3))),6)</f>
        <v>1354.4140629999999</v>
      </c>
      <c r="I579" s="1">
        <f t="shared" ref="I579:I602" si="68">-23.64*B579+9180.2</f>
        <v>886.10600000000204</v>
      </c>
      <c r="J579" s="2">
        <f t="shared" ref="J579:J602" si="69">ABS(I579-F579)/F579</f>
        <v>1.7576916659565043E-2</v>
      </c>
    </row>
    <row r="580" spans="1:10">
      <c r="A580" s="1">
        <v>77.8</v>
      </c>
      <c r="B580" s="1">
        <f t="shared" si="63"/>
        <v>350.95</v>
      </c>
      <c r="C580" s="1" t="s">
        <v>596</v>
      </c>
      <c r="D580" s="1">
        <v>0.89830911000000002</v>
      </c>
      <c r="E580" s="1">
        <f t="shared" si="64"/>
        <v>898.30911000000003</v>
      </c>
      <c r="F580" s="1">
        <f t="shared" si="65"/>
        <v>899.98821858955512</v>
      </c>
      <c r="G580" s="1">
        <f t="shared" si="66"/>
        <v>0.18657006334889059</v>
      </c>
      <c r="H580" s="8">
        <f t="shared" si="67"/>
        <v>1349.9734920000001</v>
      </c>
      <c r="I580" s="1">
        <f t="shared" si="68"/>
        <v>883.74199999999996</v>
      </c>
      <c r="J580" s="2">
        <f t="shared" si="69"/>
        <v>1.8051590291943965E-2</v>
      </c>
    </row>
    <row r="581" spans="1:10">
      <c r="A581" s="1">
        <v>77.900000000000006</v>
      </c>
      <c r="B581" s="1">
        <f t="shared" si="63"/>
        <v>351.05</v>
      </c>
      <c r="C581" s="1" t="s">
        <v>597</v>
      </c>
      <c r="D581" s="1">
        <v>0.89639612999999996</v>
      </c>
      <c r="E581" s="1">
        <f t="shared" si="64"/>
        <v>896.39612999999997</v>
      </c>
      <c r="F581" s="1">
        <f t="shared" si="65"/>
        <v>898.01992912638855</v>
      </c>
      <c r="G581" s="1">
        <f t="shared" si="66"/>
        <v>0.18081994326876907</v>
      </c>
      <c r="H581" s="8">
        <f t="shared" si="67"/>
        <v>1345.5497359999999</v>
      </c>
      <c r="I581" s="1">
        <f t="shared" si="68"/>
        <v>881.37800000000198</v>
      </c>
      <c r="J581" s="2">
        <f t="shared" si="69"/>
        <v>1.8531803790341455E-2</v>
      </c>
    </row>
    <row r="582" spans="1:10">
      <c r="A582" s="1">
        <v>78</v>
      </c>
      <c r="B582" s="1">
        <f t="shared" si="63"/>
        <v>351.15</v>
      </c>
      <c r="C582" s="1" t="s">
        <v>598</v>
      </c>
      <c r="D582" s="1">
        <v>0.89427038999999997</v>
      </c>
      <c r="E582" s="1">
        <f t="shared" si="64"/>
        <v>894.27039000000002</v>
      </c>
      <c r="F582" s="1">
        <f t="shared" si="65"/>
        <v>896.05480481911331</v>
      </c>
      <c r="G582" s="1">
        <f t="shared" si="66"/>
        <v>0.19914125894046342</v>
      </c>
      <c r="H582" s="8">
        <f t="shared" si="67"/>
        <v>1341.142724</v>
      </c>
      <c r="I582" s="1">
        <f t="shared" si="68"/>
        <v>879.01400000000103</v>
      </c>
      <c r="J582" s="2">
        <f t="shared" si="69"/>
        <v>1.9017592146668205E-2</v>
      </c>
    </row>
    <row r="583" spans="1:10">
      <c r="A583" s="1">
        <v>78.099999999999994</v>
      </c>
      <c r="B583" s="1">
        <f t="shared" si="63"/>
        <v>351.25</v>
      </c>
      <c r="C583" s="1" t="s">
        <v>599</v>
      </c>
      <c r="D583" s="1">
        <v>0.89245658000000005</v>
      </c>
      <c r="E583" s="1">
        <f t="shared" si="64"/>
        <v>892.45658000000003</v>
      </c>
      <c r="F583" s="1">
        <f t="shared" si="65"/>
        <v>894.09284827711645</v>
      </c>
      <c r="G583" s="1">
        <f t="shared" si="66"/>
        <v>0.18300876472386984</v>
      </c>
      <c r="H583" s="8">
        <f t="shared" si="67"/>
        <v>1336.7523839999999</v>
      </c>
      <c r="I583" s="1">
        <f t="shared" si="68"/>
        <v>876.65</v>
      </c>
      <c r="J583" s="2">
        <f t="shared" si="69"/>
        <v>1.9508989822173597E-2</v>
      </c>
    </row>
    <row r="584" spans="1:10">
      <c r="A584" s="1">
        <v>78.2</v>
      </c>
      <c r="B584" s="1">
        <f t="shared" si="63"/>
        <v>351.35</v>
      </c>
      <c r="C584" s="1" t="s">
        <v>600</v>
      </c>
      <c r="D584" s="1">
        <v>0.89063934</v>
      </c>
      <c r="E584" s="1">
        <f t="shared" si="64"/>
        <v>890.63933999999995</v>
      </c>
      <c r="F584" s="1">
        <f t="shared" si="65"/>
        <v>892.13406235068487</v>
      </c>
      <c r="G584" s="1">
        <f t="shared" si="66"/>
        <v>0.16754458929036728</v>
      </c>
      <c r="H584" s="8">
        <f t="shared" si="67"/>
        <v>1332.378645</v>
      </c>
      <c r="I584" s="1">
        <f t="shared" si="68"/>
        <v>874.28600000000199</v>
      </c>
      <c r="J584" s="2">
        <f t="shared" si="69"/>
        <v>2.0006031720899663E-2</v>
      </c>
    </row>
    <row r="585" spans="1:10">
      <c r="A585" s="1">
        <v>78.3</v>
      </c>
      <c r="B585" s="1">
        <f t="shared" si="63"/>
        <v>351.45</v>
      </c>
      <c r="C585" s="1" t="s">
        <v>601</v>
      </c>
      <c r="D585" s="1">
        <v>0.88840205999999999</v>
      </c>
      <c r="E585" s="1">
        <f t="shared" si="64"/>
        <v>888.40206000000001</v>
      </c>
      <c r="F585" s="1">
        <f t="shared" si="65"/>
        <v>890.17845058450268</v>
      </c>
      <c r="G585" s="1">
        <f t="shared" si="66"/>
        <v>0.19955443578040755</v>
      </c>
      <c r="H585" s="8">
        <f t="shared" si="67"/>
        <v>1328.021438</v>
      </c>
      <c r="I585" s="1">
        <f t="shared" si="68"/>
        <v>871.92200000000003</v>
      </c>
      <c r="J585" s="2">
        <f t="shared" si="69"/>
        <v>2.0508753691482015E-2</v>
      </c>
    </row>
    <row r="586" spans="1:10">
      <c r="A586" s="1">
        <v>78.400000000000006</v>
      </c>
      <c r="B586" s="1">
        <f t="shared" si="63"/>
        <v>351.55</v>
      </c>
      <c r="C586" s="1" t="s">
        <v>602</v>
      </c>
      <c r="D586" s="1">
        <v>0.88657909999999995</v>
      </c>
      <c r="E586" s="1">
        <f t="shared" si="64"/>
        <v>886.57910000000004</v>
      </c>
      <c r="F586" s="1">
        <f t="shared" si="65"/>
        <v>888.22601452502431</v>
      </c>
      <c r="G586" s="1">
        <f t="shared" si="66"/>
        <v>0.18541615513310017</v>
      </c>
      <c r="H586" s="8">
        <f t="shared" si="67"/>
        <v>1323.6806899999999</v>
      </c>
      <c r="I586" s="1">
        <f t="shared" si="68"/>
        <v>869.55800000000102</v>
      </c>
      <c r="J586" s="2">
        <f t="shared" si="69"/>
        <v>2.1017189566335713E-2</v>
      </c>
    </row>
    <row r="587" spans="1:10">
      <c r="A587" s="1">
        <v>78.5</v>
      </c>
      <c r="B587" s="1">
        <f t="shared" si="63"/>
        <v>351.65</v>
      </c>
      <c r="C587" s="1" t="s">
        <v>603</v>
      </c>
      <c r="D587" s="1">
        <v>0.88475280999999995</v>
      </c>
      <c r="E587" s="1">
        <f t="shared" si="64"/>
        <v>884.75280999999995</v>
      </c>
      <c r="F587" s="1">
        <f t="shared" si="65"/>
        <v>886.27675821289859</v>
      </c>
      <c r="G587" s="1">
        <f t="shared" si="66"/>
        <v>0.17194947275516312</v>
      </c>
      <c r="H587" s="8">
        <f t="shared" si="67"/>
        <v>1319.3563340000001</v>
      </c>
      <c r="I587" s="1">
        <f t="shared" si="68"/>
        <v>867.19400000000098</v>
      </c>
      <c r="J587" s="2">
        <f t="shared" si="69"/>
        <v>2.1531376103528153E-2</v>
      </c>
    </row>
    <row r="588" spans="1:10">
      <c r="A588" s="1">
        <v>78.599999999999994</v>
      </c>
      <c r="B588" s="1">
        <f t="shared" si="63"/>
        <v>351.75</v>
      </c>
      <c r="C588" s="1" t="s">
        <v>604</v>
      </c>
      <c r="D588" s="1">
        <v>0.88281978000000005</v>
      </c>
      <c r="E588" s="1">
        <f t="shared" si="64"/>
        <v>882.81978000000004</v>
      </c>
      <c r="F588" s="1">
        <f t="shared" si="65"/>
        <v>884.33068323702651</v>
      </c>
      <c r="G588" s="1">
        <f t="shared" si="66"/>
        <v>0.1708527438509676</v>
      </c>
      <c r="H588" s="8">
        <f t="shared" si="67"/>
        <v>1315.0482979999999</v>
      </c>
      <c r="I588" s="1">
        <f t="shared" si="68"/>
        <v>864.83</v>
      </c>
      <c r="J588" s="2">
        <f t="shared" si="69"/>
        <v>2.2051347540770233E-2</v>
      </c>
    </row>
    <row r="589" spans="1:10">
      <c r="A589" s="1">
        <v>78.7</v>
      </c>
      <c r="B589" s="1">
        <f t="shared" si="63"/>
        <v>351.85</v>
      </c>
      <c r="C589" s="1" t="s">
        <v>605</v>
      </c>
      <c r="D589" s="1">
        <v>0.88088396000000002</v>
      </c>
      <c r="E589" s="1">
        <f t="shared" si="64"/>
        <v>880.88396</v>
      </c>
      <c r="F589" s="1">
        <f t="shared" si="65"/>
        <v>882.38779324154507</v>
      </c>
      <c r="G589" s="1">
        <f t="shared" si="66"/>
        <v>0.17042770231675305</v>
      </c>
      <c r="H589" s="8">
        <f t="shared" si="67"/>
        <v>1310.756515</v>
      </c>
      <c r="I589" s="1">
        <f t="shared" si="68"/>
        <v>862.46600000000205</v>
      </c>
      <c r="J589" s="2">
        <f t="shared" si="69"/>
        <v>2.2577140565780262E-2</v>
      </c>
    </row>
    <row r="590" spans="1:10">
      <c r="A590" s="1">
        <v>78.8</v>
      </c>
      <c r="B590" s="1">
        <f t="shared" si="63"/>
        <v>351.95</v>
      </c>
      <c r="C590" s="1" t="s">
        <v>606</v>
      </c>
      <c r="D590" s="1">
        <v>0.87894538</v>
      </c>
      <c r="E590" s="1">
        <f t="shared" si="64"/>
        <v>878.94538</v>
      </c>
      <c r="F590" s="1">
        <f t="shared" si="65"/>
        <v>880.44808986203498</v>
      </c>
      <c r="G590" s="1">
        <f t="shared" si="66"/>
        <v>0.1706755775085444</v>
      </c>
      <c r="H590" s="8">
        <f t="shared" si="67"/>
        <v>1306.480914</v>
      </c>
      <c r="I590" s="1">
        <f t="shared" si="68"/>
        <v>860.102000000001</v>
      </c>
      <c r="J590" s="2">
        <f t="shared" si="69"/>
        <v>2.310878982680533E-2</v>
      </c>
    </row>
    <row r="591" spans="1:10">
      <c r="A591" s="1">
        <v>78.900000000000006</v>
      </c>
      <c r="B591" s="1">
        <f t="shared" si="63"/>
        <v>352.05</v>
      </c>
      <c r="C591" s="1" t="s">
        <v>607</v>
      </c>
      <c r="D591" s="1">
        <v>0.87690126000000002</v>
      </c>
      <c r="E591" s="1">
        <f t="shared" si="64"/>
        <v>876.90125999999998</v>
      </c>
      <c r="F591" s="1">
        <f t="shared" si="65"/>
        <v>878.51157589137551</v>
      </c>
      <c r="G591" s="1">
        <f t="shared" si="66"/>
        <v>0.183300474981407</v>
      </c>
      <c r="H591" s="8">
        <f t="shared" si="67"/>
        <v>1302.2214269999999</v>
      </c>
      <c r="I591" s="1">
        <f t="shared" si="68"/>
        <v>857.73800000000097</v>
      </c>
      <c r="J591" s="2">
        <f t="shared" si="69"/>
        <v>2.364633143313654E-2</v>
      </c>
    </row>
    <row r="592" spans="1:10">
      <c r="A592" s="1">
        <v>79</v>
      </c>
      <c r="B592" s="1">
        <f t="shared" si="63"/>
        <v>352.15</v>
      </c>
      <c r="C592" s="1" t="s">
        <v>608</v>
      </c>
      <c r="D592" s="1">
        <v>0.87506008999999996</v>
      </c>
      <c r="E592" s="1">
        <f t="shared" si="64"/>
        <v>875.06008999999995</v>
      </c>
      <c r="F592" s="1">
        <f t="shared" si="65"/>
        <v>876.57825392538325</v>
      </c>
      <c r="G592" s="1">
        <f t="shared" si="66"/>
        <v>0.17319205884755337</v>
      </c>
      <c r="H592" s="8">
        <f t="shared" si="67"/>
        <v>1297.9779860000001</v>
      </c>
      <c r="I592" s="1">
        <f t="shared" si="68"/>
        <v>855.37400000000196</v>
      </c>
      <c r="J592" s="2">
        <f t="shared" si="69"/>
        <v>2.4189801458600019E-2</v>
      </c>
    </row>
    <row r="593" spans="1:10">
      <c r="A593" s="1">
        <v>79.099999999999994</v>
      </c>
      <c r="B593" s="1">
        <f t="shared" si="63"/>
        <v>352.25</v>
      </c>
      <c r="C593" s="1" t="s">
        <v>609</v>
      </c>
      <c r="D593" s="1">
        <v>0.87321576999999995</v>
      </c>
      <c r="E593" s="1">
        <f t="shared" si="64"/>
        <v>873.21577000000002</v>
      </c>
      <c r="F593" s="1">
        <f t="shared" si="65"/>
        <v>874.64812590514634</v>
      </c>
      <c r="G593" s="1">
        <f t="shared" si="66"/>
        <v>0.1637636739533424</v>
      </c>
      <c r="H593" s="8">
        <f t="shared" si="67"/>
        <v>1293.750522</v>
      </c>
      <c r="I593" s="1">
        <f t="shared" si="68"/>
        <v>853.01</v>
      </c>
      <c r="J593" s="2">
        <f t="shared" si="69"/>
        <v>2.473923542996645E-2</v>
      </c>
    </row>
    <row r="594" spans="1:10">
      <c r="A594" s="1">
        <v>79.2</v>
      </c>
      <c r="B594" s="1">
        <f t="shared" si="63"/>
        <v>352.35</v>
      </c>
      <c r="C594" s="1" t="s">
        <v>610</v>
      </c>
      <c r="D594" s="1">
        <v>0.87116413000000004</v>
      </c>
      <c r="E594" s="1">
        <f t="shared" si="64"/>
        <v>871.16413</v>
      </c>
      <c r="F594" s="1">
        <f t="shared" si="65"/>
        <v>872.72119494366564</v>
      </c>
      <c r="G594" s="1">
        <f t="shared" si="66"/>
        <v>0.17841493396595526</v>
      </c>
      <c r="H594" s="8">
        <f t="shared" si="67"/>
        <v>1289.538969</v>
      </c>
      <c r="I594" s="1">
        <f t="shared" si="68"/>
        <v>850.64600000000098</v>
      </c>
      <c r="J594" s="2">
        <f t="shared" si="69"/>
        <v>2.52946703615805E-2</v>
      </c>
    </row>
    <row r="595" spans="1:10">
      <c r="A595" s="1">
        <v>79.3</v>
      </c>
      <c r="B595" s="1">
        <f t="shared" si="63"/>
        <v>352.45</v>
      </c>
      <c r="C595" s="1" t="s">
        <v>611</v>
      </c>
      <c r="D595" s="1">
        <v>0.86931413999999996</v>
      </c>
      <c r="E595" s="1">
        <f t="shared" si="64"/>
        <v>869.31413999999995</v>
      </c>
      <c r="F595" s="1">
        <f t="shared" si="65"/>
        <v>870.79746304482626</v>
      </c>
      <c r="G595" s="1">
        <f t="shared" si="66"/>
        <v>0.17034076324013694</v>
      </c>
      <c r="H595" s="8">
        <f t="shared" si="67"/>
        <v>1285.343259</v>
      </c>
      <c r="I595" s="1">
        <f t="shared" si="68"/>
        <v>848.28200000000095</v>
      </c>
      <c r="J595" s="2">
        <f t="shared" si="69"/>
        <v>2.5856142214858838E-2</v>
      </c>
    </row>
    <row r="596" spans="1:10">
      <c r="A596" s="1">
        <v>79.400000000000006</v>
      </c>
      <c r="B596" s="1">
        <f t="shared" si="63"/>
        <v>352.55</v>
      </c>
      <c r="C596" s="1" t="s">
        <v>612</v>
      </c>
      <c r="D596" s="1">
        <v>0.86746108</v>
      </c>
      <c r="E596" s="1">
        <f t="shared" si="64"/>
        <v>867.46108000000004</v>
      </c>
      <c r="F596" s="1">
        <f t="shared" si="65"/>
        <v>868.87693247299774</v>
      </c>
      <c r="G596" s="1">
        <f t="shared" si="66"/>
        <v>0.16295201542155105</v>
      </c>
      <c r="H596" s="8">
        <f t="shared" si="67"/>
        <v>1281.163325</v>
      </c>
      <c r="I596" s="1">
        <f t="shared" si="68"/>
        <v>845.91800000000103</v>
      </c>
      <c r="J596" s="2">
        <f t="shared" si="69"/>
        <v>2.6423687423316657E-2</v>
      </c>
    </row>
    <row r="597" spans="1:10">
      <c r="A597" s="1">
        <v>79.5</v>
      </c>
      <c r="B597" s="1">
        <f t="shared" si="63"/>
        <v>352.65</v>
      </c>
      <c r="C597" s="1" t="s">
        <v>613</v>
      </c>
      <c r="D597" s="1">
        <v>0.86550358999999999</v>
      </c>
      <c r="E597" s="1">
        <f t="shared" si="64"/>
        <v>865.50359000000003</v>
      </c>
      <c r="F597" s="1">
        <f t="shared" si="65"/>
        <v>866.95960529636523</v>
      </c>
      <c r="G597" s="1">
        <f t="shared" si="66"/>
        <v>0.16794499852936792</v>
      </c>
      <c r="H597" s="8">
        <f t="shared" si="67"/>
        <v>1276.9991</v>
      </c>
      <c r="I597" s="1">
        <f t="shared" si="68"/>
        <v>843.55400000000202</v>
      </c>
      <c r="J597" s="2">
        <f t="shared" si="69"/>
        <v>2.6997342382938515E-2</v>
      </c>
    </row>
    <row r="598" spans="1:10">
      <c r="A598" s="1">
        <v>79.599999999999994</v>
      </c>
      <c r="B598" s="1">
        <f t="shared" si="63"/>
        <v>352.75</v>
      </c>
      <c r="C598" s="1" t="s">
        <v>614</v>
      </c>
      <c r="D598" s="1">
        <v>0.86344237999999995</v>
      </c>
      <c r="E598" s="1">
        <f t="shared" si="64"/>
        <v>863.44237999999996</v>
      </c>
      <c r="F598" s="1">
        <f t="shared" si="65"/>
        <v>865.0454833863563</v>
      </c>
      <c r="G598" s="1">
        <f t="shared" si="66"/>
        <v>0.18532012676151297</v>
      </c>
      <c r="H598" s="8">
        <f t="shared" si="67"/>
        <v>1272.8505170000001</v>
      </c>
      <c r="I598" s="1">
        <f t="shared" si="68"/>
        <v>841.19000000000096</v>
      </c>
      <c r="J598" s="2">
        <f t="shared" si="69"/>
        <v>2.7577143450271884E-2</v>
      </c>
    </row>
    <row r="599" spans="1:10">
      <c r="A599" s="1">
        <v>79.7</v>
      </c>
      <c r="B599" s="1">
        <f t="shared" si="63"/>
        <v>352.85</v>
      </c>
      <c r="C599" s="1" t="s">
        <v>615</v>
      </c>
      <c r="D599" s="1">
        <v>0.86148009000000003</v>
      </c>
      <c r="E599" s="1">
        <f t="shared" si="64"/>
        <v>861.48009000000002</v>
      </c>
      <c r="F599" s="1">
        <f t="shared" si="65"/>
        <v>863.1345693427462</v>
      </c>
      <c r="G599" s="1">
        <f t="shared" si="66"/>
        <v>0.19168266473280371</v>
      </c>
      <c r="H599" s="8">
        <f t="shared" si="67"/>
        <v>1268.7175110000001</v>
      </c>
      <c r="I599" s="1">
        <f t="shared" si="68"/>
        <v>838.82600000000105</v>
      </c>
      <c r="J599" s="2">
        <f t="shared" si="69"/>
        <v>2.8163127982761115E-2</v>
      </c>
    </row>
    <row r="600" spans="1:10">
      <c r="A600" s="1">
        <v>79.8</v>
      </c>
      <c r="B600" s="1">
        <f t="shared" si="63"/>
        <v>352.95</v>
      </c>
      <c r="C600" s="1" t="s">
        <v>616</v>
      </c>
      <c r="D600" s="1">
        <v>0.85971688999999996</v>
      </c>
      <c r="E600" s="1">
        <f t="shared" si="64"/>
        <v>859.71689000000003</v>
      </c>
      <c r="F600" s="1">
        <f t="shared" si="65"/>
        <v>861.22686511132781</v>
      </c>
      <c r="G600" s="1">
        <f t="shared" si="66"/>
        <v>0.17532838007005122</v>
      </c>
      <c r="H600" s="8">
        <f t="shared" si="67"/>
        <v>1264.6000160000001</v>
      </c>
      <c r="I600" s="1">
        <f t="shared" si="68"/>
        <v>836.46200000000101</v>
      </c>
      <c r="J600" s="2">
        <f t="shared" si="69"/>
        <v>2.8755332786937076E-2</v>
      </c>
    </row>
    <row r="601" spans="1:10">
      <c r="A601" s="1">
        <v>79.900000000000006</v>
      </c>
      <c r="B601" s="1">
        <f t="shared" si="63"/>
        <v>353.05</v>
      </c>
      <c r="C601" s="1" t="s">
        <v>617</v>
      </c>
      <c r="D601" s="1">
        <v>0.85764870000000004</v>
      </c>
      <c r="E601" s="1">
        <f t="shared" si="64"/>
        <v>857.64869999999996</v>
      </c>
      <c r="F601" s="1">
        <f t="shared" si="65"/>
        <v>859.32237244330395</v>
      </c>
      <c r="G601" s="1">
        <f t="shared" si="66"/>
        <v>0.19476653895851062</v>
      </c>
      <c r="H601" s="8">
        <f t="shared" si="67"/>
        <v>1260.4979659999999</v>
      </c>
      <c r="I601" s="1">
        <f t="shared" si="68"/>
        <v>834.098000000002</v>
      </c>
      <c r="J601" s="2">
        <f t="shared" si="69"/>
        <v>2.9353794631904791E-2</v>
      </c>
    </row>
    <row r="602" spans="1:10">
      <c r="A602" s="1">
        <v>80</v>
      </c>
      <c r="B602" s="1">
        <f t="shared" si="63"/>
        <v>353.15</v>
      </c>
      <c r="C602" s="1" t="s">
        <v>618</v>
      </c>
      <c r="D602" s="1">
        <v>0.85597986000000004</v>
      </c>
      <c r="E602" s="1">
        <f t="shared" si="64"/>
        <v>855.97986000000003</v>
      </c>
      <c r="F602" s="1">
        <f t="shared" si="65"/>
        <v>857.42109336046133</v>
      </c>
      <c r="G602" s="1">
        <f t="shared" si="66"/>
        <v>0.16808932875825575</v>
      </c>
      <c r="H602" s="8">
        <f t="shared" si="67"/>
        <v>1256.411296</v>
      </c>
      <c r="I602" s="1">
        <f t="shared" si="68"/>
        <v>831.73400000000004</v>
      </c>
      <c r="J602" s="2">
        <f t="shared" si="69"/>
        <v>2.995855077437708E-2</v>
      </c>
    </row>
  </sheetData>
  <pageMargins left="0.75" right="0.75" top="1" bottom="1" header="0.5" footer="0.5"/>
  <pageSetup paperSize="9" scale="5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AF4C-728E-4E42-A38E-01DC012AB35A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SANG</dc:creator>
  <cp:lastModifiedBy>nguyen dong</cp:lastModifiedBy>
  <cp:lastPrinted>2025-11-29T17:05:05Z</cp:lastPrinted>
  <dcterms:created xsi:type="dcterms:W3CDTF">2025-11-18T17:04:00Z</dcterms:created>
  <dcterms:modified xsi:type="dcterms:W3CDTF">2025-11-29T17:55:40Z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15E7A0C56460465791578F3362C58AF0_11</vt:lpwstr>
  </property>
  <property fmtid="{D5CDD505-2E9C-101B-9397-08002B2CF9AE}" pid="3" name="KSOProductBuildVer">
    <vt:lpwstr>1033-12.2.0.23155</vt:lpwstr>
  </property>
</Properties>
</file>