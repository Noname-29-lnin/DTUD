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_forme\project_tiny\Cource_report\DTUD\Homework2\my-simulation\"/>
    </mc:Choice>
  </mc:AlternateContent>
  <xr:revisionPtr revIDLastSave="0" documentId="13_ncr:1_{715CAFEB-1113-495C-A439-04F19D32888A}" xr6:coauthVersionLast="47" xr6:coauthVersionMax="47" xr10:uidLastSave="{00000000-0000-0000-0000-000000000000}"/>
  <bookViews>
    <workbookView xWindow="-120" yWindow="-120" windowWidth="29040" windowHeight="15720" xr2:uid="{B2724B8F-81E9-4CBD-8F1B-A41AC12963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H2" i="1" s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H3" i="1" s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2" i="1"/>
  <c r="F3" i="1"/>
  <c r="F4" i="1"/>
  <c r="F5" i="1"/>
  <c r="F6" i="1"/>
  <c r="F7" i="1"/>
  <c r="F8" i="1"/>
  <c r="F9" i="1"/>
  <c r="F10" i="1"/>
  <c r="H5" i="1" s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2" i="1"/>
  <c r="H12" i="1"/>
  <c r="H11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2" i="1"/>
  <c r="H6" i="1" l="1"/>
  <c r="H8" i="1"/>
  <c r="H9" i="1"/>
</calcChain>
</file>

<file path=xl/sharedStrings.xml><?xml version="1.0" encoding="utf-8"?>
<sst xmlns="http://schemas.openxmlformats.org/spreadsheetml/2006/main" count="14" uniqueCount="14">
  <si>
    <t>X--Trace 1::[V(vo)]</t>
  </si>
  <si>
    <t>Y--Trace 1::[V(vo)]</t>
  </si>
  <si>
    <t>V_o (ideal)</t>
  </si>
  <si>
    <t>Delta V</t>
  </si>
  <si>
    <t>MAX Delta V</t>
  </si>
  <si>
    <t>MIN Delta V</t>
  </si>
  <si>
    <t>Error_input</t>
  </si>
  <si>
    <t>Error_output</t>
  </si>
  <si>
    <t>Max Error Input</t>
  </si>
  <si>
    <t>Min Error Input</t>
  </si>
  <si>
    <t>Max Error Output</t>
  </si>
  <si>
    <t>Min Error Output</t>
  </si>
  <si>
    <t>MAX V_o</t>
  </si>
  <si>
    <t>MIN V_o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</si>
</sst>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%"/>
    <numFmt numFmtId="165" formatCode="0.0000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165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EACAA-FEE5-48D9-B306-0374D5937AC0}">
  <dimension ref="A1:H90"/>
  <sheetViews>
    <sheetView tabSelected="1" zoomScaleNormal="100" workbookViewId="0">
      <selection activeCell="H6" sqref="H6"/>
    </sheetView>
  </sheetViews>
  <sheetFormatPr defaultRowHeight="15" x14ac:dyDescent="0.25"/>
  <cols>
    <col min="1" max="1" width="16.85546875" bestFit="1" customWidth="1"/>
    <col min="2" max="2" width="16.7109375" bestFit="1" customWidth="1"/>
    <col min="3" max="3" width="10.42578125" bestFit="1" customWidth="1"/>
    <col min="4" max="4" width="12.7109375" bestFit="1" customWidth="1"/>
    <col min="5" max="5" width="10.85546875" bestFit="1" customWidth="1"/>
    <col min="6" max="6" width="11.85546875" bestFit="1" customWidth="1"/>
    <col min="7" max="7" width="15.85546875" bestFit="1" customWidth="1"/>
    <col min="8" max="8" width="12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</row>
    <row r="2" spans="1:8" x14ac:dyDescent="0.25">
      <c r="A2">
        <v>1E-3</v>
      </c>
      <c r="B2">
        <v>0.10000002805782975</v>
      </c>
      <c r="C2">
        <f>A2*100</f>
        <v>0.1</v>
      </c>
      <c r="D2">
        <f>ABS(B2-C2)</f>
        <v>2.8057829740135709E-8</v>
      </c>
      <c r="E2" s="1">
        <f>ABS(B2/100-A2)/A2</f>
        <v>2.80578297357989E-7</v>
      </c>
      <c r="F2" s="1">
        <f>ABS(B2-C2)/C2</f>
        <v>2.8057829740135709E-7</v>
      </c>
      <c r="G2" t="s">
        <v>8</v>
      </c>
      <c r="H2" s="2">
        <f>MAX($E:$E)</f>
        <v>2.9713142320736078E-6</v>
      </c>
    </row>
    <row r="3" spans="1:8" x14ac:dyDescent="0.25">
      <c r="A3">
        <v>1.1000000000000001E-3</v>
      </c>
      <c r="B3">
        <v>0.10999999474394437</v>
      </c>
      <c r="C3">
        <f t="shared" ref="C3:C66" si="0">A3*100</f>
        <v>0.11</v>
      </c>
      <c r="D3">
        <f t="shared" ref="D3:D66" si="1">ABS(B3-C3)</f>
        <v>5.2560556323966168E-9</v>
      </c>
      <c r="E3" s="1">
        <f t="shared" ref="E3:E66" si="2">ABS(B3/100-A3)/A3</f>
        <v>4.7782323986074078E-8</v>
      </c>
      <c r="F3" s="1">
        <f t="shared" ref="F3:F66" si="3">ABS(B3-C3)/C3</f>
        <v>4.7782323930878334E-8</v>
      </c>
      <c r="G3" t="s">
        <v>9</v>
      </c>
      <c r="H3" s="2">
        <f>MIN($E:$E)</f>
        <v>4.7782323986074078E-8</v>
      </c>
    </row>
    <row r="4" spans="1:8" x14ac:dyDescent="0.25">
      <c r="A4">
        <v>1.2000000000000001E-3</v>
      </c>
      <c r="B4">
        <v>0.11999996133437907</v>
      </c>
      <c r="C4">
        <f t="shared" si="0"/>
        <v>0.12000000000000001</v>
      </c>
      <c r="D4">
        <f t="shared" si="1"/>
        <v>3.8665620941125134E-8</v>
      </c>
      <c r="E4" s="1">
        <f t="shared" si="2"/>
        <v>3.2221350786439346E-7</v>
      </c>
      <c r="F4" s="1">
        <f t="shared" si="3"/>
        <v>3.2221350784270941E-7</v>
      </c>
    </row>
    <row r="5" spans="1:8" x14ac:dyDescent="0.25">
      <c r="A5">
        <v>1.3000000000000002E-3</v>
      </c>
      <c r="B5">
        <v>0.12999992792481829</v>
      </c>
      <c r="C5">
        <f t="shared" si="0"/>
        <v>0.13</v>
      </c>
      <c r="D5">
        <f t="shared" si="1"/>
        <v>7.2075181711817038E-8</v>
      </c>
      <c r="E5" s="1">
        <f t="shared" si="2"/>
        <v>5.5442447474631691E-7</v>
      </c>
      <c r="F5" s="1">
        <f t="shared" si="3"/>
        <v>5.5442447470628486E-7</v>
      </c>
      <c r="G5" t="s">
        <v>10</v>
      </c>
      <c r="H5" s="2">
        <f>MAX($F:$F)</f>
        <v>2.9713142321868959E-6</v>
      </c>
    </row>
    <row r="6" spans="1:8" x14ac:dyDescent="0.25">
      <c r="A6">
        <v>1.4000000000000002E-3</v>
      </c>
      <c r="B6">
        <v>0.13999989451525646</v>
      </c>
      <c r="C6">
        <f t="shared" si="0"/>
        <v>0.14000000000000001</v>
      </c>
      <c r="D6">
        <f t="shared" si="1"/>
        <v>1.054847435510986E-7</v>
      </c>
      <c r="E6" s="1">
        <f t="shared" si="2"/>
        <v>7.5346245394880938E-7</v>
      </c>
      <c r="F6" s="1">
        <f t="shared" si="3"/>
        <v>7.5346245393641856E-7</v>
      </c>
      <c r="G6" t="s">
        <v>11</v>
      </c>
      <c r="H6" s="2">
        <f>MIN($F:$F)</f>
        <v>4.7782323930878334E-8</v>
      </c>
    </row>
    <row r="7" spans="1:8" x14ac:dyDescent="0.25">
      <c r="A7">
        <v>1.5000000000000002E-3</v>
      </c>
      <c r="B7">
        <v>0.14999986110569188</v>
      </c>
      <c r="C7">
        <f t="shared" si="0"/>
        <v>0.15000000000000002</v>
      </c>
      <c r="D7">
        <f t="shared" si="1"/>
        <v>1.3889430813818215E-7</v>
      </c>
      <c r="E7" s="1">
        <f t="shared" si="2"/>
        <v>9.2596205428345958E-7</v>
      </c>
      <c r="F7" s="1">
        <f t="shared" si="3"/>
        <v>9.2596205425454759E-7</v>
      </c>
    </row>
    <row r="8" spans="1:8" x14ac:dyDescent="0.25">
      <c r="A8">
        <v>1.6000000000000003E-3</v>
      </c>
      <c r="B8">
        <v>0.15999982769613308</v>
      </c>
      <c r="C8">
        <f t="shared" si="0"/>
        <v>0.16000000000000003</v>
      </c>
      <c r="D8">
        <f t="shared" si="1"/>
        <v>1.7230386695210598E-7</v>
      </c>
      <c r="E8" s="1">
        <f t="shared" si="2"/>
        <v>1.076899168391031E-6</v>
      </c>
      <c r="F8" s="1">
        <f t="shared" si="3"/>
        <v>1.0768991684506621E-6</v>
      </c>
      <c r="G8" t="s">
        <v>4</v>
      </c>
      <c r="H8">
        <f>MAX(D2:D202)</f>
        <v>2.9118879475431569E-6</v>
      </c>
    </row>
    <row r="9" spans="1:8" x14ac:dyDescent="0.25">
      <c r="A9">
        <v>1.7000000000000003E-3</v>
      </c>
      <c r="B9">
        <v>0.16999979428656939</v>
      </c>
      <c r="C9">
        <f t="shared" si="0"/>
        <v>0.17000000000000004</v>
      </c>
      <c r="D9">
        <f t="shared" si="1"/>
        <v>2.0571343065101111E-7</v>
      </c>
      <c r="E9" s="1">
        <f t="shared" si="2"/>
        <v>1.2100790037835578E-6</v>
      </c>
      <c r="F9" s="1">
        <f t="shared" si="3"/>
        <v>1.2100790038294767E-6</v>
      </c>
      <c r="G9" t="s">
        <v>5</v>
      </c>
      <c r="H9">
        <f>MIN(D2:D202)</f>
        <v>5.2560556323966168E-9</v>
      </c>
    </row>
    <row r="10" spans="1:8" x14ac:dyDescent="0.25">
      <c r="A10">
        <v>1.8000000000000004E-3</v>
      </c>
      <c r="B10">
        <v>0.17999976087700861</v>
      </c>
      <c r="C10">
        <f t="shared" si="0"/>
        <v>0.18000000000000005</v>
      </c>
      <c r="D10">
        <f t="shared" si="1"/>
        <v>2.391229914355808E-7</v>
      </c>
      <c r="E10" s="1">
        <f t="shared" si="2"/>
        <v>1.3284610634249932E-6</v>
      </c>
      <c r="F10" s="1">
        <f t="shared" si="3"/>
        <v>1.3284610635310041E-6</v>
      </c>
    </row>
    <row r="11" spans="1:8" x14ac:dyDescent="0.25">
      <c r="A11">
        <v>1.9000000000000004E-3</v>
      </c>
      <c r="B11">
        <v>0.1899997274674467</v>
      </c>
      <c r="C11">
        <f t="shared" si="0"/>
        <v>0.19000000000000003</v>
      </c>
      <c r="D11">
        <f t="shared" si="1"/>
        <v>2.7253255333037352E-7</v>
      </c>
      <c r="E11" s="1">
        <f t="shared" si="2"/>
        <v>1.4343818596791952E-6</v>
      </c>
      <c r="F11" s="1">
        <f t="shared" si="3"/>
        <v>1.4343818596335446E-6</v>
      </c>
      <c r="G11" t="s">
        <v>12</v>
      </c>
      <c r="H11">
        <f>MAX($B$2:$B$202)</f>
        <v>0.97999708811205211</v>
      </c>
    </row>
    <row r="12" spans="1:8" x14ac:dyDescent="0.25">
      <c r="A12">
        <v>2.0000000000000005E-3</v>
      </c>
      <c r="B12">
        <v>0.19999969405788404</v>
      </c>
      <c r="C12">
        <f t="shared" si="0"/>
        <v>0.20000000000000004</v>
      </c>
      <c r="D12">
        <f t="shared" si="1"/>
        <v>3.0594211600232235E-7</v>
      </c>
      <c r="E12" s="1">
        <f t="shared" si="2"/>
        <v>1.5297105799942641E-6</v>
      </c>
      <c r="F12" s="1">
        <f t="shared" si="3"/>
        <v>1.5297105800116115E-6</v>
      </c>
      <c r="G12" t="s">
        <v>13</v>
      </c>
      <c r="H12">
        <f>MIN($B$2:$B$202)</f>
        <v>0.10000002805782975</v>
      </c>
    </row>
    <row r="13" spans="1:8" x14ac:dyDescent="0.25">
      <c r="A13">
        <v>2.1000000000000003E-3</v>
      </c>
      <c r="B13">
        <v>0.20999966064832315</v>
      </c>
      <c r="C13">
        <f t="shared" si="0"/>
        <v>0.21000000000000002</v>
      </c>
      <c r="D13">
        <f t="shared" si="1"/>
        <v>3.3935167687015877E-7</v>
      </c>
      <c r="E13" s="1">
        <f t="shared" si="2"/>
        <v>1.6159603660979385E-6</v>
      </c>
      <c r="F13" s="1">
        <f t="shared" si="3"/>
        <v>1.615960366048375E-6</v>
      </c>
    </row>
    <row r="14" spans="1:8" x14ac:dyDescent="0.25">
      <c r="A14">
        <v>2.2000000000000001E-3</v>
      </c>
      <c r="B14">
        <v>0.21999962723876321</v>
      </c>
      <c r="C14">
        <f t="shared" si="0"/>
        <v>0.22</v>
      </c>
      <c r="D14">
        <f t="shared" si="1"/>
        <v>3.7276123679430562E-7</v>
      </c>
      <c r="E14" s="1">
        <f t="shared" si="2"/>
        <v>1.6943692582190153E-6</v>
      </c>
      <c r="F14" s="1">
        <f t="shared" si="3"/>
        <v>1.6943692581559346E-6</v>
      </c>
    </row>
    <row r="15" spans="1:8" x14ac:dyDescent="0.25">
      <c r="A15">
        <v>2.3E-3</v>
      </c>
      <c r="B15">
        <v>0.22999959382920052</v>
      </c>
      <c r="C15">
        <f t="shared" si="0"/>
        <v>0.22999999999999998</v>
      </c>
      <c r="D15">
        <f t="shared" si="1"/>
        <v>4.0617079946625445E-7</v>
      </c>
      <c r="E15" s="1">
        <f t="shared" si="2"/>
        <v>1.7659599976869096E-6</v>
      </c>
      <c r="F15" s="1">
        <f t="shared" si="3"/>
        <v>1.7659599976793674E-6</v>
      </c>
    </row>
    <row r="16" spans="1:8" x14ac:dyDescent="0.25">
      <c r="A16">
        <v>2.3999999999999998E-3</v>
      </c>
      <c r="B16">
        <v>0.23999956041963866</v>
      </c>
      <c r="C16">
        <f t="shared" si="0"/>
        <v>0.24</v>
      </c>
      <c r="D16">
        <f t="shared" si="1"/>
        <v>4.3958036133329159E-7</v>
      </c>
      <c r="E16" s="1">
        <f t="shared" si="2"/>
        <v>1.8315848387658389E-6</v>
      </c>
      <c r="F16" s="1">
        <f t="shared" si="3"/>
        <v>1.831584838888715E-6</v>
      </c>
    </row>
    <row r="17" spans="1:6" x14ac:dyDescent="0.25">
      <c r="A17">
        <v>2.4999999999999996E-3</v>
      </c>
      <c r="B17">
        <v>0.2499995270100748</v>
      </c>
      <c r="C17">
        <f t="shared" si="0"/>
        <v>0.24999999999999997</v>
      </c>
      <c r="D17">
        <f t="shared" si="1"/>
        <v>4.729899251709746E-7</v>
      </c>
      <c r="E17" s="1">
        <f t="shared" si="2"/>
        <v>1.8919597007116542E-6</v>
      </c>
      <c r="F17" s="1">
        <f t="shared" si="3"/>
        <v>1.8919597006838986E-6</v>
      </c>
    </row>
    <row r="18" spans="1:6" x14ac:dyDescent="0.25">
      <c r="A18">
        <v>2.5999999999999994E-3</v>
      </c>
      <c r="B18">
        <v>0.25999949360051494</v>
      </c>
      <c r="C18">
        <f t="shared" si="0"/>
        <v>0.25999999999999995</v>
      </c>
      <c r="D18">
        <f t="shared" si="1"/>
        <v>5.0639948501185472E-7</v>
      </c>
      <c r="E18" s="1">
        <f t="shared" si="2"/>
        <v>1.9476903269953605E-6</v>
      </c>
      <c r="F18" s="1">
        <f t="shared" si="3"/>
        <v>1.9476903269686722E-6</v>
      </c>
    </row>
    <row r="19" spans="1:6" x14ac:dyDescent="0.25">
      <c r="A19">
        <v>2.6999999999999993E-3</v>
      </c>
      <c r="B19">
        <v>0.269999460190953</v>
      </c>
      <c r="C19">
        <f t="shared" si="0"/>
        <v>0.26999999999999991</v>
      </c>
      <c r="D19">
        <f t="shared" si="1"/>
        <v>5.3980904690664744E-7</v>
      </c>
      <c r="E19" s="1">
        <f t="shared" si="2"/>
        <v>1.9992927664494148E-6</v>
      </c>
      <c r="F19" s="1">
        <f t="shared" si="3"/>
        <v>1.9992927663209169E-6</v>
      </c>
    </row>
    <row r="20" spans="1:6" x14ac:dyDescent="0.25">
      <c r="A20">
        <v>2.7999999999999991E-3</v>
      </c>
      <c r="B20">
        <v>0.27999942678138995</v>
      </c>
      <c r="C20">
        <f t="shared" si="0"/>
        <v>0.27999999999999992</v>
      </c>
      <c r="D20">
        <f t="shared" si="1"/>
        <v>5.7321860996717433E-7</v>
      </c>
      <c r="E20" s="1">
        <f t="shared" si="2"/>
        <v>2.0472093212431877E-6</v>
      </c>
      <c r="F20" s="1">
        <f t="shared" si="3"/>
        <v>2.0472093213113374E-6</v>
      </c>
    </row>
    <row r="21" spans="1:6" x14ac:dyDescent="0.25">
      <c r="A21">
        <v>2.8999999999999989E-3</v>
      </c>
      <c r="B21">
        <v>0.28999939337182906</v>
      </c>
      <c r="C21">
        <f t="shared" si="0"/>
        <v>0.28999999999999987</v>
      </c>
      <c r="D21">
        <f t="shared" si="1"/>
        <v>6.0662817080725517E-7</v>
      </c>
      <c r="E21" s="1">
        <f t="shared" si="2"/>
        <v>2.0918212787234719E-6</v>
      </c>
      <c r="F21" s="1">
        <f t="shared" si="3"/>
        <v>2.0918212786457084E-6</v>
      </c>
    </row>
    <row r="22" spans="1:6" x14ac:dyDescent="0.25">
      <c r="A22">
        <v>2.9999999999999988E-3</v>
      </c>
      <c r="B22">
        <v>0.29999935996226929</v>
      </c>
      <c r="C22">
        <f t="shared" si="0"/>
        <v>0.29999999999999988</v>
      </c>
      <c r="D22">
        <f t="shared" si="1"/>
        <v>6.4003773059262414E-7</v>
      </c>
      <c r="E22" s="1">
        <f t="shared" si="2"/>
        <v>2.1334591019465027E-6</v>
      </c>
      <c r="F22" s="1">
        <f t="shared" si="3"/>
        <v>2.1334591019754145E-6</v>
      </c>
    </row>
    <row r="23" spans="1:6" x14ac:dyDescent="0.25">
      <c r="A23">
        <v>3.0999999999999986E-3</v>
      </c>
      <c r="B23">
        <v>0.30999932655270718</v>
      </c>
      <c r="C23">
        <f t="shared" si="0"/>
        <v>0.30999999999999983</v>
      </c>
      <c r="D23">
        <f t="shared" si="1"/>
        <v>6.7344729265395031E-7</v>
      </c>
      <c r="E23" s="1">
        <f t="shared" si="2"/>
        <v>2.1724106215482951E-6</v>
      </c>
      <c r="F23" s="1">
        <f t="shared" si="3"/>
        <v>2.1724106214643571E-6</v>
      </c>
    </row>
    <row r="24" spans="1:6" x14ac:dyDescent="0.25">
      <c r="A24">
        <v>3.1999999999999984E-3</v>
      </c>
      <c r="B24">
        <v>0.3199992931431444</v>
      </c>
      <c r="C24">
        <f t="shared" si="0"/>
        <v>0.31999999999999984</v>
      </c>
      <c r="D24">
        <f t="shared" si="1"/>
        <v>7.0685685543692145E-7</v>
      </c>
      <c r="E24" s="1">
        <f t="shared" si="2"/>
        <v>2.2089276732078547E-6</v>
      </c>
      <c r="F24" s="1">
        <f t="shared" si="3"/>
        <v>2.2089276732403808E-6</v>
      </c>
    </row>
    <row r="25" spans="1:6" x14ac:dyDescent="0.25">
      <c r="A25">
        <v>3.2999999999999982E-3</v>
      </c>
      <c r="B25">
        <v>0.32999925973358263</v>
      </c>
      <c r="C25">
        <f t="shared" si="0"/>
        <v>0.32999999999999985</v>
      </c>
      <c r="D25">
        <f t="shared" si="1"/>
        <v>7.4026641722069186E-7</v>
      </c>
      <c r="E25" s="1">
        <f t="shared" si="2"/>
        <v>2.2432315671987561E-6</v>
      </c>
      <c r="F25" s="1">
        <f t="shared" si="3"/>
        <v>2.2432315673354308E-6</v>
      </c>
    </row>
    <row r="26" spans="1:6" x14ac:dyDescent="0.25">
      <c r="A26">
        <v>3.3999999999999981E-3</v>
      </c>
      <c r="B26">
        <v>0.33999922632401958</v>
      </c>
      <c r="C26">
        <f t="shared" si="0"/>
        <v>0.3399999999999998</v>
      </c>
      <c r="D26">
        <f t="shared" si="1"/>
        <v>7.736759802257076E-7</v>
      </c>
      <c r="E26" s="1">
        <f t="shared" si="2"/>
        <v>2.2755175888991415E-6</v>
      </c>
      <c r="F26" s="1">
        <f t="shared" si="3"/>
        <v>2.2755175888991415E-6</v>
      </c>
    </row>
    <row r="27" spans="1:6" x14ac:dyDescent="0.25">
      <c r="A27">
        <v>3.4999999999999979E-3</v>
      </c>
      <c r="B27">
        <v>0.34999919291445852</v>
      </c>
      <c r="C27">
        <f t="shared" si="0"/>
        <v>0.34999999999999981</v>
      </c>
      <c r="D27">
        <f t="shared" si="1"/>
        <v>8.0708554128783305E-7</v>
      </c>
      <c r="E27" s="1">
        <f t="shared" si="2"/>
        <v>2.3059586893739845E-6</v>
      </c>
      <c r="F27" s="1">
        <f t="shared" si="3"/>
        <v>2.3059586893938102E-6</v>
      </c>
    </row>
    <row r="28" spans="1:6" x14ac:dyDescent="0.25">
      <c r="A28">
        <v>3.5999999999999977E-3</v>
      </c>
      <c r="B28">
        <v>0.35999915950489653</v>
      </c>
      <c r="C28">
        <f t="shared" si="0"/>
        <v>0.35999999999999976</v>
      </c>
      <c r="D28">
        <f t="shared" si="1"/>
        <v>8.4049510323813692E-7</v>
      </c>
      <c r="E28" s="1">
        <f t="shared" si="2"/>
        <v>2.3347086201300308E-6</v>
      </c>
      <c r="F28" s="1">
        <f t="shared" si="3"/>
        <v>2.3347086201059373E-6</v>
      </c>
    </row>
    <row r="29" spans="1:6" x14ac:dyDescent="0.25">
      <c r="A29">
        <v>3.6999999999999976E-3</v>
      </c>
      <c r="B29">
        <v>0.36999912609533558</v>
      </c>
      <c r="C29">
        <f t="shared" si="0"/>
        <v>0.36999999999999977</v>
      </c>
      <c r="D29">
        <f t="shared" si="1"/>
        <v>8.7390466418924007E-7</v>
      </c>
      <c r="E29" s="1">
        <f t="shared" si="2"/>
        <v>2.3619044977618743E-6</v>
      </c>
      <c r="F29" s="1">
        <f t="shared" si="3"/>
        <v>2.3619044978087584E-6</v>
      </c>
    </row>
    <row r="30" spans="1:6" x14ac:dyDescent="0.25">
      <c r="A30">
        <v>3.7999999999999974E-3</v>
      </c>
      <c r="B30">
        <v>0.37999909268577264</v>
      </c>
      <c r="C30">
        <f t="shared" si="0"/>
        <v>0.37999999999999973</v>
      </c>
      <c r="D30">
        <f t="shared" si="1"/>
        <v>9.073142270832335E-7</v>
      </c>
      <c r="E30" s="1">
        <f t="shared" si="2"/>
        <v>2.3876690186629152E-6</v>
      </c>
      <c r="F30" s="1">
        <f t="shared" si="3"/>
        <v>2.3876690186400898E-6</v>
      </c>
    </row>
    <row r="31" spans="1:6" x14ac:dyDescent="0.25">
      <c r="A31">
        <v>3.8999999999999972E-3</v>
      </c>
      <c r="B31">
        <v>0.38999905927621081</v>
      </c>
      <c r="C31">
        <f t="shared" si="0"/>
        <v>0.38999999999999974</v>
      </c>
      <c r="D31">
        <f t="shared" si="1"/>
        <v>9.4072378892251507E-7</v>
      </c>
      <c r="E31" s="1">
        <f t="shared" si="2"/>
        <v>2.412112279301846E-6</v>
      </c>
      <c r="F31" s="1">
        <f t="shared" si="3"/>
        <v>2.4121122792885019E-6</v>
      </c>
    </row>
    <row r="32" spans="1:6" x14ac:dyDescent="0.25">
      <c r="A32">
        <v>3.9999999999999975E-3</v>
      </c>
      <c r="B32">
        <v>0.39999902586664882</v>
      </c>
      <c r="C32">
        <f t="shared" si="0"/>
        <v>0.39999999999999974</v>
      </c>
      <c r="D32">
        <f t="shared" si="1"/>
        <v>9.7413335092833009E-7</v>
      </c>
      <c r="E32" s="1">
        <f t="shared" si="2"/>
        <v>2.4353333772340907E-6</v>
      </c>
      <c r="F32" s="1">
        <f t="shared" si="3"/>
        <v>2.4353333773208269E-6</v>
      </c>
    </row>
    <row r="33" spans="1:6" x14ac:dyDescent="0.25">
      <c r="A33">
        <v>4.0999999999999977E-3</v>
      </c>
      <c r="B33">
        <v>0.40999899245708865</v>
      </c>
      <c r="C33">
        <f t="shared" si="0"/>
        <v>0.40999999999999975</v>
      </c>
      <c r="D33">
        <f t="shared" si="1"/>
        <v>1.0075429111022771E-6</v>
      </c>
      <c r="E33" s="1">
        <f t="shared" si="2"/>
        <v>2.4574217343450268E-6</v>
      </c>
      <c r="F33" s="1">
        <f t="shared" si="3"/>
        <v>2.4574217343957993E-6</v>
      </c>
    </row>
    <row r="34" spans="1:6" x14ac:dyDescent="0.25">
      <c r="A34">
        <v>4.199999999999998E-3</v>
      </c>
      <c r="B34">
        <v>0.41999895904752571</v>
      </c>
      <c r="C34">
        <f t="shared" si="0"/>
        <v>0.41999999999999982</v>
      </c>
      <c r="D34">
        <f t="shared" si="1"/>
        <v>1.0409524741072929E-6</v>
      </c>
      <c r="E34" s="1">
        <f t="shared" si="2"/>
        <v>2.478458271741856E-6</v>
      </c>
      <c r="F34" s="1">
        <f t="shared" si="3"/>
        <v>2.4784582716840316E-6</v>
      </c>
    </row>
    <row r="35" spans="1:6" x14ac:dyDescent="0.25">
      <c r="A35">
        <v>4.2999999999999983E-3</v>
      </c>
      <c r="B35">
        <v>0.42999892563796488</v>
      </c>
      <c r="C35">
        <f t="shared" si="0"/>
        <v>0.42999999999999983</v>
      </c>
      <c r="D35">
        <f t="shared" si="1"/>
        <v>1.0743620349473737E-6</v>
      </c>
      <c r="E35" s="1">
        <f t="shared" si="2"/>
        <v>2.4985163602943197E-6</v>
      </c>
      <c r="F35" s="1">
        <f t="shared" si="3"/>
        <v>2.4985163603427306E-6</v>
      </c>
    </row>
    <row r="36" spans="1:6" x14ac:dyDescent="0.25">
      <c r="A36">
        <v>4.3999999999999985E-3</v>
      </c>
      <c r="B36">
        <v>0.43999889222840094</v>
      </c>
      <c r="C36">
        <f t="shared" si="0"/>
        <v>0.43999999999999984</v>
      </c>
      <c r="D36">
        <f t="shared" si="1"/>
        <v>1.107771598896079E-6</v>
      </c>
      <c r="E36" s="1">
        <f t="shared" si="2"/>
        <v>2.5176627248426677E-6</v>
      </c>
      <c r="F36" s="1">
        <f t="shared" si="3"/>
        <v>2.517662724763817E-6</v>
      </c>
    </row>
    <row r="37" spans="1:6" x14ac:dyDescent="0.25">
      <c r="A37">
        <v>4.4999999999999988E-3</v>
      </c>
      <c r="B37">
        <v>0.44999885881884072</v>
      </c>
      <c r="C37">
        <f t="shared" si="0"/>
        <v>0.4499999999999999</v>
      </c>
      <c r="D37">
        <f t="shared" si="1"/>
        <v>1.1411811591810483E-6</v>
      </c>
      <c r="E37" s="1">
        <f t="shared" si="2"/>
        <v>2.5359581313746636E-6</v>
      </c>
      <c r="F37" s="1">
        <f t="shared" si="3"/>
        <v>2.5359581315134415E-6</v>
      </c>
    </row>
    <row r="38" spans="1:6" x14ac:dyDescent="0.25">
      <c r="A38">
        <v>4.5999999999999991E-3</v>
      </c>
      <c r="B38">
        <v>0.45999882540927672</v>
      </c>
      <c r="C38">
        <f t="shared" si="0"/>
        <v>0.45999999999999991</v>
      </c>
      <c r="D38">
        <f t="shared" si="1"/>
        <v>1.1745907231852648E-6</v>
      </c>
      <c r="E38" s="1">
        <f t="shared" si="2"/>
        <v>2.5534580939338069E-6</v>
      </c>
      <c r="F38" s="1">
        <f t="shared" si="3"/>
        <v>2.5534580938810109E-6</v>
      </c>
    </row>
    <row r="39" spans="1:6" x14ac:dyDescent="0.25">
      <c r="A39">
        <v>4.6999999999999993E-3</v>
      </c>
      <c r="B39">
        <v>0.4699987919997185</v>
      </c>
      <c r="C39">
        <f t="shared" si="0"/>
        <v>0.46999999999999992</v>
      </c>
      <c r="D39">
        <f t="shared" si="1"/>
        <v>1.2080002814163215E-6</v>
      </c>
      <c r="E39" s="1">
        <f t="shared" si="2"/>
        <v>2.5702133646860511E-6</v>
      </c>
      <c r="F39" s="1">
        <f t="shared" si="3"/>
        <v>2.5702133647155783E-6</v>
      </c>
    </row>
    <row r="40" spans="1:6" x14ac:dyDescent="0.25">
      <c r="A40">
        <v>4.7999999999999996E-3</v>
      </c>
      <c r="B40">
        <v>0.47999875859015562</v>
      </c>
      <c r="C40">
        <f t="shared" si="0"/>
        <v>0.48</v>
      </c>
      <c r="D40">
        <f t="shared" si="1"/>
        <v>1.2414098443658261E-6</v>
      </c>
      <c r="E40" s="1">
        <f t="shared" si="2"/>
        <v>2.5862705090954714E-6</v>
      </c>
      <c r="F40" s="1">
        <f t="shared" si="3"/>
        <v>2.5862705090954714E-6</v>
      </c>
    </row>
    <row r="41" spans="1:6" x14ac:dyDescent="0.25">
      <c r="A41">
        <v>4.8999999999999998E-3</v>
      </c>
      <c r="B41">
        <v>0.48999872518059351</v>
      </c>
      <c r="C41">
        <f t="shared" si="0"/>
        <v>0.49</v>
      </c>
      <c r="D41">
        <f t="shared" si="1"/>
        <v>1.2748194064826635E-6</v>
      </c>
      <c r="E41" s="1">
        <f t="shared" si="2"/>
        <v>2.6016722580854016E-6</v>
      </c>
      <c r="F41" s="1">
        <f t="shared" si="3"/>
        <v>2.6016722581278846E-6</v>
      </c>
    </row>
    <row r="42" spans="1:6" x14ac:dyDescent="0.25">
      <c r="A42">
        <v>5.0000000000000001E-3</v>
      </c>
      <c r="B42">
        <v>0.4999986917710294</v>
      </c>
      <c r="C42">
        <f t="shared" si="0"/>
        <v>0.5</v>
      </c>
      <c r="D42">
        <f t="shared" si="1"/>
        <v>1.3082289705979022E-6</v>
      </c>
      <c r="E42" s="1">
        <f t="shared" si="2"/>
        <v>2.6164579412790712E-6</v>
      </c>
      <c r="F42" s="1">
        <f t="shared" si="3"/>
        <v>2.6164579411958044E-6</v>
      </c>
    </row>
    <row r="43" spans="1:6" x14ac:dyDescent="0.25">
      <c r="A43">
        <v>5.1000000000000004E-3</v>
      </c>
      <c r="B43">
        <v>0.5099986583614684</v>
      </c>
      <c r="C43">
        <f t="shared" si="0"/>
        <v>0.51</v>
      </c>
      <c r="D43">
        <f t="shared" si="1"/>
        <v>1.3416385316045165E-6</v>
      </c>
      <c r="E43" s="1">
        <f t="shared" si="2"/>
        <v>2.630663787466639E-6</v>
      </c>
      <c r="F43" s="1">
        <f t="shared" si="3"/>
        <v>2.6306637874598361E-6</v>
      </c>
    </row>
    <row r="44" spans="1:6" x14ac:dyDescent="0.25">
      <c r="A44">
        <v>5.2000000000000006E-3</v>
      </c>
      <c r="B44">
        <v>0.51999862495190752</v>
      </c>
      <c r="C44">
        <f t="shared" si="0"/>
        <v>0.52</v>
      </c>
      <c r="D44">
        <f t="shared" si="1"/>
        <v>1.3750480925001085E-6</v>
      </c>
      <c r="E44" s="1">
        <f t="shared" si="2"/>
        <v>2.644323254954685E-6</v>
      </c>
      <c r="F44" s="1">
        <f t="shared" si="3"/>
        <v>2.644323254807901E-6</v>
      </c>
    </row>
    <row r="45" spans="1:6" x14ac:dyDescent="0.25">
      <c r="A45">
        <v>5.3000000000000009E-3</v>
      </c>
      <c r="B45">
        <v>0.52999859154234596</v>
      </c>
      <c r="C45">
        <f t="shared" si="0"/>
        <v>0.53000000000000014</v>
      </c>
      <c r="D45">
        <f t="shared" si="1"/>
        <v>1.4084576541728566E-6</v>
      </c>
      <c r="E45" s="1">
        <f t="shared" si="2"/>
        <v>2.6574672719849807E-6</v>
      </c>
      <c r="F45" s="1">
        <f t="shared" si="3"/>
        <v>2.6574672720242572E-6</v>
      </c>
    </row>
    <row r="46" spans="1:6" x14ac:dyDescent="0.25">
      <c r="A46">
        <v>5.4000000000000012E-3</v>
      </c>
      <c r="B46">
        <v>0.53999855813278219</v>
      </c>
      <c r="C46">
        <f t="shared" si="0"/>
        <v>0.54000000000000015</v>
      </c>
      <c r="D46">
        <f t="shared" si="1"/>
        <v>1.4418672179550285E-6</v>
      </c>
      <c r="E46" s="1">
        <f t="shared" si="2"/>
        <v>2.6701244775852733E-6</v>
      </c>
      <c r="F46" s="1">
        <f t="shared" si="3"/>
        <v>2.6701244776944965E-6</v>
      </c>
    </row>
    <row r="47" spans="1:6" x14ac:dyDescent="0.25">
      <c r="A47">
        <v>5.5000000000000014E-3</v>
      </c>
      <c r="B47">
        <v>0.54999852472322219</v>
      </c>
      <c r="C47">
        <f t="shared" si="0"/>
        <v>0.55000000000000016</v>
      </c>
      <c r="D47">
        <f t="shared" si="1"/>
        <v>1.4752767779624421E-6</v>
      </c>
      <c r="E47" s="1">
        <f t="shared" si="2"/>
        <v>2.6823214143825456E-6</v>
      </c>
      <c r="F47" s="1">
        <f t="shared" si="3"/>
        <v>2.6823214144771668E-6</v>
      </c>
    </row>
    <row r="48" spans="1:6" x14ac:dyDescent="0.25">
      <c r="A48">
        <v>5.6000000000000017E-3</v>
      </c>
      <c r="B48">
        <v>0.55999849131365864</v>
      </c>
      <c r="C48">
        <f t="shared" si="0"/>
        <v>0.56000000000000016</v>
      </c>
      <c r="D48">
        <f t="shared" si="1"/>
        <v>1.5086863415225693E-6</v>
      </c>
      <c r="E48" s="1">
        <f t="shared" si="2"/>
        <v>2.6940827527994139E-6</v>
      </c>
      <c r="F48" s="1">
        <f t="shared" si="3"/>
        <v>2.6940827527188729E-6</v>
      </c>
    </row>
    <row r="49" spans="1:6" x14ac:dyDescent="0.25">
      <c r="A49">
        <v>5.7000000000000019E-3</v>
      </c>
      <c r="B49">
        <v>0.56999845790409642</v>
      </c>
      <c r="C49">
        <f t="shared" si="0"/>
        <v>0.57000000000000017</v>
      </c>
      <c r="D49">
        <f t="shared" si="1"/>
        <v>1.5420959037504289E-6</v>
      </c>
      <c r="E49" s="1">
        <f t="shared" si="2"/>
        <v>2.7054314100884711E-6</v>
      </c>
      <c r="F49" s="1">
        <f t="shared" si="3"/>
        <v>2.7054314100884711E-6</v>
      </c>
    </row>
    <row r="50" spans="1:6" x14ac:dyDescent="0.25">
      <c r="A50">
        <v>5.8000000000000022E-3</v>
      </c>
      <c r="B50">
        <v>0.57999842449453642</v>
      </c>
      <c r="C50">
        <f t="shared" si="0"/>
        <v>0.58000000000000018</v>
      </c>
      <c r="D50">
        <f t="shared" si="1"/>
        <v>1.5755054637578425E-6</v>
      </c>
      <c r="E50" s="1">
        <f t="shared" si="2"/>
        <v>2.7163887306289325E-6</v>
      </c>
      <c r="F50" s="1">
        <f t="shared" si="3"/>
        <v>2.716388730616969E-6</v>
      </c>
    </row>
    <row r="51" spans="1:6" x14ac:dyDescent="0.25">
      <c r="A51">
        <v>5.9000000000000025E-3</v>
      </c>
      <c r="B51">
        <v>0.58999839108497421</v>
      </c>
      <c r="C51">
        <f t="shared" si="0"/>
        <v>0.5900000000000003</v>
      </c>
      <c r="D51">
        <f t="shared" si="1"/>
        <v>1.6089150260967244E-6</v>
      </c>
      <c r="E51" s="1">
        <f t="shared" si="2"/>
        <v>2.726974620397074E-6</v>
      </c>
      <c r="F51" s="1">
        <f t="shared" si="3"/>
        <v>2.7269746205029213E-6</v>
      </c>
    </row>
    <row r="52" spans="1:6" x14ac:dyDescent="0.25">
      <c r="A52">
        <v>6.0000000000000027E-3</v>
      </c>
      <c r="B52">
        <v>0.59999835767541332</v>
      </c>
      <c r="C52">
        <f t="shared" si="0"/>
        <v>0.60000000000000031</v>
      </c>
      <c r="D52">
        <f t="shared" si="1"/>
        <v>1.6423245869923164E-6</v>
      </c>
      <c r="E52" s="1">
        <f t="shared" si="2"/>
        <v>2.7372076448599799E-6</v>
      </c>
      <c r="F52" s="1">
        <f t="shared" si="3"/>
        <v>2.7372076449871928E-6</v>
      </c>
    </row>
    <row r="53" spans="1:6" x14ac:dyDescent="0.25">
      <c r="A53">
        <v>6.100000000000003E-3</v>
      </c>
      <c r="B53">
        <v>0.60999832426585088</v>
      </c>
      <c r="C53">
        <f t="shared" si="0"/>
        <v>0.61000000000000032</v>
      </c>
      <c r="D53">
        <f t="shared" si="1"/>
        <v>1.6757341494422207E-6</v>
      </c>
      <c r="E53" s="1">
        <f t="shared" si="2"/>
        <v>2.7471051630257203E-6</v>
      </c>
      <c r="F53" s="1">
        <f t="shared" si="3"/>
        <v>2.7471051630200325E-6</v>
      </c>
    </row>
    <row r="54" spans="1:6" x14ac:dyDescent="0.25">
      <c r="A54">
        <v>6.2000000000000033E-3</v>
      </c>
      <c r="B54">
        <v>0.61999829085628977</v>
      </c>
      <c r="C54">
        <f t="shared" si="0"/>
        <v>0.62000000000000033</v>
      </c>
      <c r="D54">
        <f t="shared" si="1"/>
        <v>1.7091437105598573E-6</v>
      </c>
      <c r="E54" s="1">
        <f t="shared" si="2"/>
        <v>2.7566834041735678E-6</v>
      </c>
      <c r="F54" s="1">
        <f t="shared" si="3"/>
        <v>2.7566834041288004E-6</v>
      </c>
    </row>
    <row r="55" spans="1:6" x14ac:dyDescent="0.25">
      <c r="A55">
        <v>6.3000000000000035E-3</v>
      </c>
      <c r="B55">
        <v>0.62999825744672378</v>
      </c>
      <c r="C55">
        <f t="shared" si="0"/>
        <v>0.63000000000000034</v>
      </c>
      <c r="D55">
        <f t="shared" si="1"/>
        <v>1.7425532765624752E-6</v>
      </c>
      <c r="E55" s="1">
        <f t="shared" si="2"/>
        <v>2.7659575818837464E-6</v>
      </c>
      <c r="F55" s="1">
        <f t="shared" si="3"/>
        <v>2.765957581845197E-6</v>
      </c>
    </row>
    <row r="56" spans="1:6" x14ac:dyDescent="0.25">
      <c r="A56">
        <v>6.4000000000000038E-3</v>
      </c>
      <c r="B56">
        <v>0.63999822403716244</v>
      </c>
      <c r="C56">
        <f t="shared" si="0"/>
        <v>0.64000000000000035</v>
      </c>
      <c r="D56">
        <f t="shared" si="1"/>
        <v>1.7759628379021564E-6</v>
      </c>
      <c r="E56" s="1">
        <f t="shared" si="2"/>
        <v>2.7749419342221176E-6</v>
      </c>
      <c r="F56" s="1">
        <f t="shared" si="3"/>
        <v>2.7749419342221176E-6</v>
      </c>
    </row>
    <row r="57" spans="1:6" x14ac:dyDescent="0.25">
      <c r="A57">
        <v>6.500000000000004E-3</v>
      </c>
      <c r="B57">
        <v>0.64999819062760211</v>
      </c>
      <c r="C57">
        <f t="shared" si="0"/>
        <v>0.65000000000000036</v>
      </c>
      <c r="D57">
        <f t="shared" si="1"/>
        <v>1.8093723982426368E-6</v>
      </c>
      <c r="E57" s="1">
        <f t="shared" si="2"/>
        <v>2.7836498434822345E-6</v>
      </c>
      <c r="F57" s="1">
        <f t="shared" si="3"/>
        <v>2.783649843450209E-6</v>
      </c>
    </row>
    <row r="58" spans="1:6" x14ac:dyDescent="0.25">
      <c r="A58">
        <v>6.6000000000000043E-3</v>
      </c>
      <c r="B58">
        <v>0.65999815721804012</v>
      </c>
      <c r="C58">
        <f t="shared" si="0"/>
        <v>0.66000000000000048</v>
      </c>
      <c r="D58">
        <f t="shared" si="1"/>
        <v>1.8427819603594742E-6</v>
      </c>
      <c r="E58" s="1">
        <f t="shared" si="2"/>
        <v>2.7920938792011164E-6</v>
      </c>
      <c r="F58" s="1">
        <f t="shared" si="3"/>
        <v>2.7920938793325348E-6</v>
      </c>
    </row>
    <row r="59" spans="1:6" x14ac:dyDescent="0.25">
      <c r="A59">
        <v>6.7000000000000046E-3</v>
      </c>
      <c r="B59">
        <v>0.66999812380847767</v>
      </c>
      <c r="C59">
        <f t="shared" si="0"/>
        <v>0.67000000000000048</v>
      </c>
      <c r="D59">
        <f t="shared" si="1"/>
        <v>1.8761915228093784E-6</v>
      </c>
      <c r="E59" s="1">
        <f t="shared" si="2"/>
        <v>2.8002858549290124E-6</v>
      </c>
      <c r="F59" s="1">
        <f t="shared" si="3"/>
        <v>2.8002858549393687E-6</v>
      </c>
    </row>
    <row r="60" spans="1:6" x14ac:dyDescent="0.25">
      <c r="A60">
        <v>6.8000000000000048E-3</v>
      </c>
      <c r="B60">
        <v>0.67999809039891623</v>
      </c>
      <c r="C60">
        <f t="shared" si="0"/>
        <v>0.68000000000000049</v>
      </c>
      <c r="D60">
        <f t="shared" si="1"/>
        <v>1.9096010842600819E-6</v>
      </c>
      <c r="E60" s="1">
        <f t="shared" si="2"/>
        <v>2.8082368886636847E-6</v>
      </c>
      <c r="F60" s="1">
        <f t="shared" si="3"/>
        <v>2.8082368886177653E-6</v>
      </c>
    </row>
    <row r="61" spans="1:6" x14ac:dyDescent="0.25">
      <c r="A61">
        <v>6.9000000000000051E-3</v>
      </c>
      <c r="B61">
        <v>0.68999805698935268</v>
      </c>
      <c r="C61">
        <f t="shared" si="0"/>
        <v>0.6900000000000005</v>
      </c>
      <c r="D61">
        <f t="shared" si="1"/>
        <v>1.9430106478202092E-6</v>
      </c>
      <c r="E61" s="1">
        <f t="shared" si="2"/>
        <v>2.8159574606693348E-6</v>
      </c>
      <c r="F61" s="1">
        <f t="shared" si="3"/>
        <v>2.8159574606089969E-6</v>
      </c>
    </row>
    <row r="62" spans="1:6" x14ac:dyDescent="0.25">
      <c r="A62">
        <v>7.0000000000000053E-3</v>
      </c>
      <c r="B62">
        <v>0.69999802357979379</v>
      </c>
      <c r="C62">
        <f t="shared" si="0"/>
        <v>0.70000000000000051</v>
      </c>
      <c r="D62">
        <f t="shared" si="1"/>
        <v>1.9764202067173997E-6</v>
      </c>
      <c r="E62" s="1">
        <f t="shared" si="2"/>
        <v>2.8234574382123187E-6</v>
      </c>
      <c r="F62" s="1">
        <f t="shared" si="3"/>
        <v>2.8234574381677118E-6</v>
      </c>
    </row>
    <row r="63" spans="1:6" x14ac:dyDescent="0.25">
      <c r="A63">
        <v>7.1000000000000056E-3</v>
      </c>
      <c r="B63">
        <v>0.7099979901702288</v>
      </c>
      <c r="C63">
        <f t="shared" si="0"/>
        <v>0.71000000000000052</v>
      </c>
      <c r="D63">
        <f t="shared" si="1"/>
        <v>2.0098297717208169E-6</v>
      </c>
      <c r="E63" s="1">
        <f t="shared" si="2"/>
        <v>2.8307461574558785E-6</v>
      </c>
      <c r="F63" s="1">
        <f t="shared" si="3"/>
        <v>2.8307461573532613E-6</v>
      </c>
    </row>
    <row r="64" spans="1:6" x14ac:dyDescent="0.25">
      <c r="A64">
        <v>7.2000000000000059E-3</v>
      </c>
      <c r="B64">
        <v>0.71999795676067047</v>
      </c>
      <c r="C64">
        <f t="shared" si="0"/>
        <v>0.72000000000000064</v>
      </c>
      <c r="D64">
        <f t="shared" si="1"/>
        <v>2.0432393301739182E-6</v>
      </c>
      <c r="E64" s="1">
        <f t="shared" si="2"/>
        <v>2.8378324030000539E-6</v>
      </c>
      <c r="F64" s="1">
        <f t="shared" si="3"/>
        <v>2.8378324030193285E-6</v>
      </c>
    </row>
    <row r="65" spans="1:6" x14ac:dyDescent="0.25">
      <c r="A65">
        <v>7.3000000000000061E-3</v>
      </c>
      <c r="B65">
        <v>0.72999792335110614</v>
      </c>
      <c r="C65">
        <f t="shared" si="0"/>
        <v>0.73000000000000065</v>
      </c>
      <c r="D65">
        <f t="shared" si="1"/>
        <v>2.0766488945112016E-6</v>
      </c>
      <c r="E65" s="1">
        <f t="shared" si="2"/>
        <v>2.8447245130290409E-6</v>
      </c>
      <c r="F65" s="1">
        <f t="shared" si="3"/>
        <v>2.8447245130290409E-6</v>
      </c>
    </row>
    <row r="66" spans="1:6" x14ac:dyDescent="0.25">
      <c r="A66">
        <v>7.4000000000000064E-3</v>
      </c>
      <c r="B66">
        <v>0.73999788994154436</v>
      </c>
      <c r="C66">
        <f t="shared" si="0"/>
        <v>0.74000000000000066</v>
      </c>
      <c r="D66">
        <f t="shared" si="1"/>
        <v>2.110058456294972E-6</v>
      </c>
      <c r="E66" s="1">
        <f t="shared" si="2"/>
        <v>2.8514303462976699E-6</v>
      </c>
      <c r="F66" s="1">
        <f t="shared" si="3"/>
        <v>2.851430346344554E-6</v>
      </c>
    </row>
    <row r="67" spans="1:6" x14ac:dyDescent="0.25">
      <c r="A67">
        <v>7.5000000000000067E-3</v>
      </c>
      <c r="B67">
        <v>0.74999785653198137</v>
      </c>
      <c r="C67">
        <f t="shared" ref="C67:C90" si="4">A67*100</f>
        <v>0.75000000000000067</v>
      </c>
      <c r="D67">
        <f t="shared" ref="D67:D90" si="5">ABS(B67-C67)</f>
        <v>2.1434680192999878E-6</v>
      </c>
      <c r="E67" s="1">
        <f t="shared" ref="E67:E90" si="6">ABS(B67/100-A67)/A67</f>
        <v>2.8579573590805257E-6</v>
      </c>
      <c r="F67" s="1">
        <f t="shared" ref="F67:F90" si="7">ABS(B67-C67)/C67</f>
        <v>2.8579573590666479E-6</v>
      </c>
    </row>
    <row r="68" spans="1:6" x14ac:dyDescent="0.25">
      <c r="A68">
        <v>7.6000000000000069E-3</v>
      </c>
      <c r="B68">
        <v>0.75999782312241981</v>
      </c>
      <c r="C68">
        <f t="shared" si="4"/>
        <v>0.76000000000000068</v>
      </c>
      <c r="D68">
        <f t="shared" si="5"/>
        <v>2.1768775808617136E-6</v>
      </c>
      <c r="E68" s="1">
        <f t="shared" si="6"/>
        <v>2.8643126064289443E-6</v>
      </c>
      <c r="F68" s="1">
        <f t="shared" si="7"/>
        <v>2.8643126063969891E-6</v>
      </c>
    </row>
    <row r="69" spans="1:6" x14ac:dyDescent="0.25">
      <c r="A69">
        <v>7.7000000000000072E-3</v>
      </c>
      <c r="B69">
        <v>0.76999778971285671</v>
      </c>
      <c r="C69">
        <f t="shared" si="4"/>
        <v>0.77000000000000068</v>
      </c>
      <c r="D69">
        <f t="shared" si="5"/>
        <v>2.2102871439777516E-6</v>
      </c>
      <c r="E69" s="1">
        <f t="shared" si="6"/>
        <v>2.870502784445263E-6</v>
      </c>
      <c r="F69" s="1">
        <f t="shared" si="7"/>
        <v>2.8705027843866877E-6</v>
      </c>
    </row>
    <row r="70" spans="1:6" x14ac:dyDescent="0.25">
      <c r="A70">
        <v>7.8000000000000074E-3</v>
      </c>
      <c r="B70">
        <v>0.77999775630329582</v>
      </c>
      <c r="C70">
        <f t="shared" si="4"/>
        <v>0.78000000000000069</v>
      </c>
      <c r="D70">
        <f t="shared" si="5"/>
        <v>2.2436967048733436E-6</v>
      </c>
      <c r="E70" s="1">
        <f t="shared" si="6"/>
        <v>2.8765342370571365E-6</v>
      </c>
      <c r="F70" s="1">
        <f t="shared" si="7"/>
        <v>2.8765342370171045E-6</v>
      </c>
    </row>
    <row r="71" spans="1:6" x14ac:dyDescent="0.25">
      <c r="A71">
        <v>7.9000000000000077E-3</v>
      </c>
      <c r="B71">
        <v>0.78999772289373338</v>
      </c>
      <c r="C71">
        <f t="shared" si="4"/>
        <v>0.79000000000000081</v>
      </c>
      <c r="D71">
        <f t="shared" si="5"/>
        <v>2.2771062674342701E-6</v>
      </c>
      <c r="E71" s="1">
        <f t="shared" si="6"/>
        <v>2.8824129967522379E-6</v>
      </c>
      <c r="F71" s="1">
        <f t="shared" si="7"/>
        <v>2.8824129967522375E-6</v>
      </c>
    </row>
    <row r="72" spans="1:6" x14ac:dyDescent="0.25">
      <c r="A72">
        <v>8.0000000000000071E-3</v>
      </c>
      <c r="B72">
        <v>0.7999976894841736</v>
      </c>
      <c r="C72">
        <f t="shared" si="4"/>
        <v>0.80000000000000071</v>
      </c>
      <c r="D72">
        <f t="shared" si="5"/>
        <v>2.3105158271086168E-6</v>
      </c>
      <c r="E72" s="1">
        <f t="shared" si="6"/>
        <v>2.8881447838770948E-6</v>
      </c>
      <c r="F72" s="1">
        <f t="shared" si="7"/>
        <v>2.8881447838857685E-6</v>
      </c>
    </row>
    <row r="73" spans="1:6" x14ac:dyDescent="0.25">
      <c r="A73">
        <v>8.1000000000000065E-3</v>
      </c>
      <c r="B73">
        <v>0.80999765607460938</v>
      </c>
      <c r="C73">
        <f t="shared" si="4"/>
        <v>0.81000000000000061</v>
      </c>
      <c r="D73">
        <f t="shared" si="5"/>
        <v>2.3439253912238556E-6</v>
      </c>
      <c r="E73" s="1">
        <f t="shared" si="6"/>
        <v>2.8937350509621788E-6</v>
      </c>
      <c r="F73" s="1">
        <f t="shared" si="7"/>
        <v>2.8937350508936467E-6</v>
      </c>
    </row>
    <row r="74" spans="1:6" x14ac:dyDescent="0.25">
      <c r="A74">
        <v>8.2000000000000059E-3</v>
      </c>
      <c r="B74">
        <v>0.8199976226650495</v>
      </c>
      <c r="C74">
        <f t="shared" si="4"/>
        <v>0.82000000000000062</v>
      </c>
      <c r="D74">
        <f t="shared" si="5"/>
        <v>2.3773349511202468E-6</v>
      </c>
      <c r="E74" s="1">
        <f t="shared" si="6"/>
        <v>2.8991889647807868E-6</v>
      </c>
      <c r="F74" s="1">
        <f t="shared" si="7"/>
        <v>2.8991889647807868E-6</v>
      </c>
    </row>
    <row r="75" spans="1:6" x14ac:dyDescent="0.25">
      <c r="A75">
        <v>8.3000000000000053E-3</v>
      </c>
      <c r="B75">
        <v>0.82999758925548572</v>
      </c>
      <c r="C75">
        <f t="shared" si="4"/>
        <v>0.83000000000000052</v>
      </c>
      <c r="D75">
        <f t="shared" si="5"/>
        <v>2.4107445147913964E-6</v>
      </c>
      <c r="E75" s="1">
        <f t="shared" si="6"/>
        <v>2.90451146358737E-6</v>
      </c>
      <c r="F75" s="1">
        <f t="shared" si="7"/>
        <v>2.9045114636040904E-6</v>
      </c>
    </row>
    <row r="76" spans="1:6" x14ac:dyDescent="0.25">
      <c r="A76">
        <v>8.4000000000000047E-3</v>
      </c>
      <c r="B76">
        <v>0.83999755584592495</v>
      </c>
      <c r="C76">
        <f t="shared" si="4"/>
        <v>0.84000000000000052</v>
      </c>
      <c r="D76">
        <f t="shared" si="5"/>
        <v>2.4441540755759661E-6</v>
      </c>
      <c r="E76" s="1">
        <f t="shared" si="6"/>
        <v>2.9097072327211417E-6</v>
      </c>
      <c r="F76" s="1">
        <f t="shared" si="7"/>
        <v>2.9097072328285293E-6</v>
      </c>
    </row>
    <row r="77" spans="1:6" x14ac:dyDescent="0.25">
      <c r="A77">
        <v>8.5000000000000041E-3</v>
      </c>
      <c r="B77">
        <v>0.84999752243636162</v>
      </c>
      <c r="C77">
        <f t="shared" si="4"/>
        <v>0.85000000000000042</v>
      </c>
      <c r="D77">
        <f t="shared" si="5"/>
        <v>2.4775636388030264E-6</v>
      </c>
      <c r="E77" s="1">
        <f t="shared" si="6"/>
        <v>2.9147807515248074E-6</v>
      </c>
      <c r="F77" s="1">
        <f t="shared" si="7"/>
        <v>2.9147807515329707E-6</v>
      </c>
    </row>
    <row r="78" spans="1:6" x14ac:dyDescent="0.25">
      <c r="A78">
        <v>8.6000000000000035E-3</v>
      </c>
      <c r="B78">
        <v>0.85999748902679851</v>
      </c>
      <c r="C78">
        <f t="shared" si="4"/>
        <v>0.86000000000000032</v>
      </c>
      <c r="D78">
        <f t="shared" si="5"/>
        <v>2.5109732018080422E-6</v>
      </c>
      <c r="E78" s="1">
        <f t="shared" si="6"/>
        <v>2.9197362811156615E-6</v>
      </c>
      <c r="F78" s="1">
        <f t="shared" si="7"/>
        <v>2.9197362811721408E-6</v>
      </c>
    </row>
    <row r="79" spans="1:6" x14ac:dyDescent="0.25">
      <c r="A79">
        <v>8.7000000000000029E-3</v>
      </c>
      <c r="B79">
        <v>0.8699974556172374</v>
      </c>
      <c r="C79">
        <f t="shared" si="4"/>
        <v>0.87000000000000033</v>
      </c>
      <c r="D79">
        <f t="shared" si="5"/>
        <v>2.5443827629256788E-6</v>
      </c>
      <c r="E79" s="1">
        <f t="shared" si="6"/>
        <v>2.9245778882927077E-6</v>
      </c>
      <c r="F79" s="1">
        <f t="shared" si="7"/>
        <v>2.9245778884203195E-6</v>
      </c>
    </row>
    <row r="80" spans="1:6" x14ac:dyDescent="0.25">
      <c r="A80">
        <v>8.8000000000000023E-3</v>
      </c>
      <c r="B80">
        <v>0.87999742220767585</v>
      </c>
      <c r="C80">
        <f t="shared" si="4"/>
        <v>0.88000000000000023</v>
      </c>
      <c r="D80">
        <f t="shared" si="5"/>
        <v>2.5777923243763823E-6</v>
      </c>
      <c r="E80" s="1">
        <f t="shared" si="6"/>
        <v>2.9293094595343856E-6</v>
      </c>
      <c r="F80" s="1">
        <f t="shared" si="7"/>
        <v>2.9293094595186156E-6</v>
      </c>
    </row>
    <row r="81" spans="1:6" x14ac:dyDescent="0.25">
      <c r="A81">
        <v>8.9000000000000017E-3</v>
      </c>
      <c r="B81">
        <v>0.88999738879811241</v>
      </c>
      <c r="C81">
        <f t="shared" si="4"/>
        <v>0.89000000000000012</v>
      </c>
      <c r="D81">
        <f t="shared" si="5"/>
        <v>2.6112018877144649E-6</v>
      </c>
      <c r="E81" s="1">
        <f t="shared" si="6"/>
        <v>2.933934705281558E-6</v>
      </c>
      <c r="F81" s="1">
        <f t="shared" si="7"/>
        <v>2.933934705297151E-6</v>
      </c>
    </row>
    <row r="82" spans="1:6" x14ac:dyDescent="0.25">
      <c r="A82">
        <v>9.0000000000000011E-3</v>
      </c>
      <c r="B82">
        <v>0.89999735538854808</v>
      </c>
      <c r="C82">
        <f t="shared" si="4"/>
        <v>0.90000000000000013</v>
      </c>
      <c r="D82">
        <f t="shared" si="5"/>
        <v>2.6446114520517483E-6</v>
      </c>
      <c r="E82" s="1">
        <f t="shared" si="6"/>
        <v>2.9384571689463865E-6</v>
      </c>
      <c r="F82" s="1">
        <f t="shared" si="7"/>
        <v>2.9384571689463865E-6</v>
      </c>
    </row>
    <row r="83" spans="1:6" x14ac:dyDescent="0.25">
      <c r="A83">
        <v>9.1000000000000004E-3</v>
      </c>
      <c r="B83">
        <v>0.90999732197898964</v>
      </c>
      <c r="C83">
        <f t="shared" si="4"/>
        <v>0.91</v>
      </c>
      <c r="D83">
        <f t="shared" si="5"/>
        <v>2.6780210103938273E-6</v>
      </c>
      <c r="E83" s="1">
        <f t="shared" si="6"/>
        <v>2.9428802311333816E-6</v>
      </c>
      <c r="F83" s="1">
        <f t="shared" si="7"/>
        <v>2.9428802312020078E-6</v>
      </c>
    </row>
    <row r="84" spans="1:6" x14ac:dyDescent="0.25">
      <c r="A84">
        <v>9.1999999999999998E-3</v>
      </c>
      <c r="B84">
        <v>0.91999728856942664</v>
      </c>
      <c r="C84">
        <f t="shared" si="4"/>
        <v>0.91999999999999993</v>
      </c>
      <c r="D84">
        <f t="shared" si="5"/>
        <v>2.7114305732878208E-6</v>
      </c>
      <c r="E84" s="1">
        <f t="shared" si="6"/>
        <v>2.9472071448856085E-6</v>
      </c>
      <c r="F84" s="1">
        <f t="shared" si="7"/>
        <v>2.9472071448780661E-6</v>
      </c>
    </row>
    <row r="85" spans="1:6" x14ac:dyDescent="0.25">
      <c r="A85">
        <v>9.2999999999999992E-3</v>
      </c>
      <c r="B85">
        <v>0.92999725515986564</v>
      </c>
      <c r="C85">
        <f t="shared" si="4"/>
        <v>0.92999999999999994</v>
      </c>
      <c r="D85">
        <f t="shared" si="5"/>
        <v>2.7448401342944351E-6</v>
      </c>
      <c r="E85" s="1">
        <f t="shared" si="6"/>
        <v>2.951441004677362E-6</v>
      </c>
      <c r="F85" s="1">
        <f t="shared" si="7"/>
        <v>2.9514410046176724E-6</v>
      </c>
    </row>
    <row r="86" spans="1:6" x14ac:dyDescent="0.25">
      <c r="A86">
        <v>9.3999999999999986E-3</v>
      </c>
      <c r="B86">
        <v>0.93999722175030298</v>
      </c>
      <c r="C86">
        <f t="shared" si="4"/>
        <v>0.93999999999999984</v>
      </c>
      <c r="D86">
        <f t="shared" si="5"/>
        <v>2.7782496968553616E-6</v>
      </c>
      <c r="E86" s="1">
        <f t="shared" si="6"/>
        <v>2.9555847840067919E-6</v>
      </c>
      <c r="F86" s="1">
        <f t="shared" si="7"/>
        <v>2.9555847838886829E-6</v>
      </c>
    </row>
    <row r="87" spans="1:6" x14ac:dyDescent="0.25">
      <c r="A87">
        <v>9.499999999999998E-3</v>
      </c>
      <c r="B87">
        <v>0.9499971883407391</v>
      </c>
      <c r="C87">
        <f t="shared" si="4"/>
        <v>0.94999999999999984</v>
      </c>
      <c r="D87">
        <f t="shared" si="5"/>
        <v>2.8116592607485558E-6</v>
      </c>
      <c r="E87" s="1">
        <f t="shared" si="6"/>
        <v>2.9596413269722699E-6</v>
      </c>
      <c r="F87" s="1">
        <f t="shared" si="7"/>
        <v>2.9596413271037434E-6</v>
      </c>
    </row>
    <row r="88" spans="1:6" x14ac:dyDescent="0.25">
      <c r="A88">
        <v>9.5999999999999974E-3</v>
      </c>
      <c r="B88">
        <v>0.95999715493117843</v>
      </c>
      <c r="C88">
        <f t="shared" si="4"/>
        <v>0.95999999999999974</v>
      </c>
      <c r="D88">
        <f t="shared" si="5"/>
        <v>2.8450688213110809E-6</v>
      </c>
      <c r="E88" s="1">
        <f t="shared" si="6"/>
        <v>2.9636133555540609E-6</v>
      </c>
      <c r="F88" s="1">
        <f t="shared" si="7"/>
        <v>2.9636133555323769E-6</v>
      </c>
    </row>
    <row r="89" spans="1:6" x14ac:dyDescent="0.25">
      <c r="A89">
        <v>9.6999999999999968E-3</v>
      </c>
      <c r="B89">
        <v>0.96999712152161544</v>
      </c>
      <c r="C89">
        <f t="shared" si="4"/>
        <v>0.96999999999999964</v>
      </c>
      <c r="D89">
        <f t="shared" si="5"/>
        <v>2.8784783842050743E-6</v>
      </c>
      <c r="E89" s="1">
        <f t="shared" si="6"/>
        <v>2.9675034889642072E-6</v>
      </c>
      <c r="F89" s="1">
        <f t="shared" si="7"/>
        <v>2.9675034888712118E-6</v>
      </c>
    </row>
    <row r="90" spans="1:6" x14ac:dyDescent="0.25">
      <c r="A90">
        <v>9.7999999999999962E-3</v>
      </c>
      <c r="B90">
        <v>0.97999708811205211</v>
      </c>
      <c r="C90">
        <f t="shared" si="4"/>
        <v>0.97999999999999965</v>
      </c>
      <c r="D90">
        <f t="shared" si="5"/>
        <v>2.9118879475431569E-6</v>
      </c>
      <c r="E90" s="1">
        <f t="shared" si="6"/>
        <v>2.9713142320736078E-6</v>
      </c>
      <c r="F90" s="1">
        <f t="shared" si="7"/>
        <v>2.9713142321868959E-6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dong</dc:creator>
  <cp:lastModifiedBy>nguyen dong</cp:lastModifiedBy>
  <dcterms:created xsi:type="dcterms:W3CDTF">2025-10-30T15:33:49Z</dcterms:created>
  <dcterms:modified xsi:type="dcterms:W3CDTF">2025-11-10T07:10:16Z</dcterms:modified>
</cp:coreProperties>
</file>