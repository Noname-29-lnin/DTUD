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BigProject2\20_docs\my-ref\"/>
    </mc:Choice>
  </mc:AlternateContent>
  <xr:revisionPtr revIDLastSave="0" documentId="13_ncr:1_{4B82E002-84DC-4F9A-9BA8-90BDA7BF51D9}" xr6:coauthVersionLast="47" xr6:coauthVersionMax="47" xr10:uidLastSave="{00000000-0000-0000-0000-000000000000}"/>
  <bookViews>
    <workbookView xWindow="-120" yWindow="-120" windowWidth="29040" windowHeight="15720" xr2:uid="{660D8288-B9AC-4956-A2E2-E78B5A191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5" i="1"/>
  <c r="F9" i="1"/>
  <c r="F10" i="1"/>
  <c r="E4" i="1"/>
  <c r="F4" i="1" s="1"/>
  <c r="E5" i="1"/>
  <c r="F5" i="1" s="1"/>
  <c r="E6" i="1"/>
  <c r="F6" i="1" s="1"/>
  <c r="E7" i="1"/>
  <c r="F7" i="1" s="1"/>
  <c r="E8" i="1"/>
  <c r="F8" i="1" s="1"/>
  <c r="E9" i="1"/>
  <c r="E10" i="1"/>
  <c r="E11" i="1"/>
  <c r="F11" i="1" s="1"/>
  <c r="E12" i="1"/>
  <c r="F12" i="1" s="1"/>
  <c r="E13" i="1"/>
  <c r="F13" i="1" s="1"/>
  <c r="E14" i="1"/>
  <c r="F14" i="1" s="1"/>
  <c r="E15" i="1"/>
  <c r="F15" i="1" s="1"/>
  <c r="E3" i="1"/>
  <c r="C4" i="1"/>
  <c r="G4" i="1" s="1"/>
  <c r="C5" i="1"/>
  <c r="G5" i="1" s="1"/>
  <c r="C6" i="1"/>
  <c r="G6" i="1" s="1"/>
  <c r="C7" i="1"/>
  <c r="G7" i="1" s="1"/>
  <c r="C8" i="1"/>
  <c r="G8" i="1" s="1"/>
  <c r="C9" i="1"/>
  <c r="G9" i="1" s="1"/>
  <c r="C10" i="1"/>
  <c r="G10" i="1" s="1"/>
  <c r="C11" i="1"/>
  <c r="G11" i="1" s="1"/>
  <c r="C12" i="1"/>
  <c r="G12" i="1" s="1"/>
  <c r="C13" i="1"/>
  <c r="C14" i="1"/>
  <c r="G14" i="1" s="1"/>
  <c r="C15" i="1"/>
  <c r="C3" i="1"/>
  <c r="G3" i="1" s="1"/>
  <c r="F3" i="1" l="1"/>
</calcChain>
</file>

<file path=xl/sharedStrings.xml><?xml version="1.0" encoding="utf-8"?>
<sst xmlns="http://schemas.openxmlformats.org/spreadsheetml/2006/main" count="9" uniqueCount="8">
  <si>
    <t>Nhiệt độ</t>
  </si>
  <si>
    <t>V_sim</t>
  </si>
  <si>
    <t>Đo kiểm chứng</t>
  </si>
  <si>
    <t>Giá trị mô phỏng</t>
  </si>
  <si>
    <t>Voltage</t>
  </si>
  <si>
    <t>Tính giá trị nhiệt độ</t>
  </si>
  <si>
    <t>Sai số với mô phỏng</t>
  </si>
  <si>
    <t>Sai số với nhiệt độ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</si>
</sst>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/>
    </xf>
    <xf numFmtId="166" fontId="0" fillId="0" borderId="3" xfId="1" applyNumberFormat="1" applyFont="1" applyBorder="1"/>
    <xf numFmtId="10" fontId="0" fillId="0" borderId="3" xfId="1" applyNumberFormat="1" applyFont="1" applyBorder="1"/>
    <xf numFmtId="0" fontId="2" fillId="2" borderId="3" xfId="2" applyBorder="1" applyAlignment="1">
      <alignment horizontal="center" vertical="center"/>
    </xf>
    <xf numFmtId="0" fontId="2" fillId="2" borderId="3" xfId="2" applyBorder="1" applyAlignment="1">
      <alignment horizontal="center"/>
    </xf>
    <xf numFmtId="0" fontId="2" fillId="2" borderId="3" xfId="2" applyBorder="1"/>
    <xf numFmtId="0" fontId="2" fillId="2" borderId="3" xfId="2" applyBorder="1" applyAlignment="1">
      <alignment horizontal="center"/>
    </xf>
    <xf numFmtId="0" fontId="4" fillId="4" borderId="2" xfId="4" applyAlignment="1">
      <alignment horizontal="center" vertical="center"/>
    </xf>
    <xf numFmtId="0" fontId="3" fillId="3" borderId="1" xfId="3" applyAlignment="1">
      <alignment horizontal="center"/>
    </xf>
    <xf numFmtId="0" fontId="3" fillId="3" borderId="1" xfId="3"/>
  </cellXfs>
  <cellStyles count="5">
    <cellStyle name="Calculation" xfId="3" builtinId="22"/>
    <cellStyle name="Check Cell" xfId="4" builtinId="23"/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533400</xdr:colOff>
      <xdr:row>13</xdr:row>
      <xdr:rowOff>147637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0E3EDF-885B-40A1-B72E-16A79DD7434C}"/>
            </a:ext>
          </a:extLst>
        </xdr:cNvPr>
        <xdr:cNvSpPr txBox="1"/>
      </xdr:nvSpPr>
      <xdr:spPr>
        <a:xfrm>
          <a:off x="8458200" y="3005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9311-0E46-41DF-807F-8FAD08FB6269}">
  <sheetPr>
    <pageSetUpPr fitToPage="1"/>
  </sheetPr>
  <dimension ref="A1:G55"/>
  <sheetViews>
    <sheetView tabSelected="1" workbookViewId="0">
      <selection activeCell="L9" sqref="L9"/>
    </sheetView>
  </sheetViews>
  <sheetFormatPr defaultRowHeight="15" x14ac:dyDescent="0.25"/>
  <cols>
    <col min="1" max="1" width="26.7109375" style="2" customWidth="1"/>
    <col min="2" max="3" width="22.28515625" style="1" customWidth="1"/>
    <col min="4" max="4" width="17.42578125" customWidth="1"/>
    <col min="5" max="5" width="20" customWidth="1"/>
    <col min="6" max="6" width="20.140625" customWidth="1"/>
    <col min="7" max="7" width="23.28515625" customWidth="1"/>
  </cols>
  <sheetData>
    <row r="1" spans="1:7" x14ac:dyDescent="0.25">
      <c r="A1" s="8" t="s">
        <v>0</v>
      </c>
      <c r="B1" s="9" t="s">
        <v>2</v>
      </c>
      <c r="C1" s="9"/>
      <c r="D1" s="9" t="s">
        <v>3</v>
      </c>
      <c r="E1" s="9"/>
      <c r="F1" s="10"/>
      <c r="G1" s="10"/>
    </row>
    <row r="2" spans="1:7" ht="15.75" thickBot="1" x14ac:dyDescent="0.3">
      <c r="A2" s="8"/>
      <c r="B2" s="11" t="s">
        <v>4</v>
      </c>
      <c r="C2" s="11" t="s">
        <v>5</v>
      </c>
      <c r="D2" s="11" t="s">
        <v>1</v>
      </c>
      <c r="E2" s="11" t="s">
        <v>5</v>
      </c>
      <c r="F2" s="10" t="s">
        <v>6</v>
      </c>
      <c r="G2" s="10" t="s">
        <v>7</v>
      </c>
    </row>
    <row r="3" spans="1:7" ht="16.5" thickTop="1" thickBot="1" x14ac:dyDescent="0.3">
      <c r="A3" s="12">
        <v>20</v>
      </c>
      <c r="B3" s="5">
        <v>0.08</v>
      </c>
      <c r="C3" s="13">
        <f>(B3+5/3)*12</f>
        <v>20.96</v>
      </c>
      <c r="D3" s="4">
        <v>-4.5208037008406731E-3</v>
      </c>
      <c r="E3" s="14">
        <f>(D3+5/3)*12</f>
        <v>19.945750355589915</v>
      </c>
      <c r="F3" s="6">
        <f>ABS(E3-C3)/E3</f>
        <v>5.0850413061839822E-2</v>
      </c>
      <c r="G3" s="7">
        <f>ABS(A3-C3)/A3</f>
        <v>4.8000000000000043E-2</v>
      </c>
    </row>
    <row r="4" spans="1:7" ht="16.5" thickTop="1" thickBot="1" x14ac:dyDescent="0.3">
      <c r="A4" s="12">
        <v>25</v>
      </c>
      <c r="B4" s="5">
        <v>0.39</v>
      </c>
      <c r="C4" s="13">
        <f t="shared" ref="C4:C15" si="0">(B4+5/3)*12</f>
        <v>24.68</v>
      </c>
      <c r="D4" s="4">
        <v>0.34994700535854878</v>
      </c>
      <c r="E4" s="14">
        <f t="shared" ref="E4:E15" si="1">(D4+5/3)*12</f>
        <v>24.199364064302586</v>
      </c>
      <c r="F4" s="6">
        <f t="shared" ref="F4:F15" si="2">ABS(E4-C4)/E4</f>
        <v>1.9861511005837492E-2</v>
      </c>
      <c r="G4" s="7">
        <f t="shared" ref="G4:G15" si="3">ABS(A4-C4)/A4</f>
        <v>1.2800000000000011E-2</v>
      </c>
    </row>
    <row r="5" spans="1:7" ht="16.5" thickTop="1" thickBot="1" x14ac:dyDescent="0.3">
      <c r="A5" s="12">
        <v>30</v>
      </c>
      <c r="B5" s="5">
        <v>0.76</v>
      </c>
      <c r="C5" s="13">
        <f t="shared" si="0"/>
        <v>29.12</v>
      </c>
      <c r="D5" s="4">
        <v>0.73847931083030183</v>
      </c>
      <c r="E5" s="14">
        <f t="shared" si="1"/>
        <v>28.861751729963625</v>
      </c>
      <c r="F5" s="6">
        <f t="shared" si="2"/>
        <v>8.9477683978643596E-3</v>
      </c>
      <c r="G5" s="7">
        <f t="shared" si="3"/>
        <v>2.9333333333333302E-2</v>
      </c>
    </row>
    <row r="6" spans="1:7" ht="16.5" thickTop="1" thickBot="1" x14ac:dyDescent="0.3">
      <c r="A6" s="12">
        <v>35</v>
      </c>
      <c r="B6" s="5">
        <v>1.1299999999999999</v>
      </c>
      <c r="C6" s="13">
        <f t="shared" si="0"/>
        <v>33.56</v>
      </c>
      <c r="D6" s="4">
        <v>1.1584101073283743</v>
      </c>
      <c r="E6" s="14">
        <f t="shared" si="1"/>
        <v>33.900921287940491</v>
      </c>
      <c r="F6" s="6">
        <f t="shared" si="2"/>
        <v>1.0056401861319453E-2</v>
      </c>
      <c r="G6" s="7">
        <f t="shared" si="3"/>
        <v>4.1142857142857078E-2</v>
      </c>
    </row>
    <row r="7" spans="1:7" ht="16.5" thickTop="1" thickBot="1" x14ac:dyDescent="0.3">
      <c r="A7" s="12">
        <v>40</v>
      </c>
      <c r="B7" s="5">
        <v>1.53</v>
      </c>
      <c r="C7" s="13">
        <f t="shared" si="0"/>
        <v>38.36</v>
      </c>
      <c r="D7" s="4">
        <v>1.6026986900020062</v>
      </c>
      <c r="E7" s="14">
        <f t="shared" si="1"/>
        <v>39.232384280024078</v>
      </c>
      <c r="F7" s="6">
        <f t="shared" si="2"/>
        <v>2.2236330930013603E-2</v>
      </c>
      <c r="G7" s="7">
        <f t="shared" si="3"/>
        <v>4.1000000000000016E-2</v>
      </c>
    </row>
    <row r="8" spans="1:7" ht="16.5" thickTop="1" thickBot="1" x14ac:dyDescent="0.3">
      <c r="A8" s="12">
        <v>45</v>
      </c>
      <c r="B8" s="5">
        <v>2.08</v>
      </c>
      <c r="C8" s="13">
        <f t="shared" si="0"/>
        <v>44.960000000000008</v>
      </c>
      <c r="D8" s="4">
        <v>1.9691070674463726</v>
      </c>
      <c r="E8" s="14">
        <f t="shared" si="1"/>
        <v>43.62928480935647</v>
      </c>
      <c r="F8" s="6">
        <f t="shared" si="2"/>
        <v>3.0500504339190104E-2</v>
      </c>
      <c r="G8" s="7">
        <f t="shared" si="3"/>
        <v>8.8888888888871199E-4</v>
      </c>
    </row>
    <row r="9" spans="1:7" ht="16.5" thickTop="1" thickBot="1" x14ac:dyDescent="0.3">
      <c r="A9" s="12">
        <v>50</v>
      </c>
      <c r="B9" s="5">
        <v>2.35</v>
      </c>
      <c r="C9" s="13">
        <f t="shared" si="0"/>
        <v>48.2</v>
      </c>
      <c r="D9" s="4">
        <v>2.529841793448742</v>
      </c>
      <c r="E9" s="14">
        <f t="shared" si="1"/>
        <v>50.358101521384903</v>
      </c>
      <c r="F9" s="6">
        <f t="shared" si="2"/>
        <v>4.2855100891133632E-2</v>
      </c>
      <c r="G9" s="7">
        <f t="shared" si="3"/>
        <v>3.5999999999999942E-2</v>
      </c>
    </row>
    <row r="10" spans="1:7" ht="16.5" thickTop="1" thickBot="1" x14ac:dyDescent="0.3">
      <c r="A10" s="12">
        <v>55</v>
      </c>
      <c r="B10" s="5">
        <v>2.69</v>
      </c>
      <c r="C10" s="13">
        <f t="shared" si="0"/>
        <v>52.28</v>
      </c>
      <c r="D10" s="4">
        <v>2.9962693834161236</v>
      </c>
      <c r="E10" s="14">
        <f t="shared" si="1"/>
        <v>55.955232600993483</v>
      </c>
      <c r="F10" s="6">
        <f t="shared" si="2"/>
        <v>6.5681660680438819E-2</v>
      </c>
      <c r="G10" s="7">
        <f t="shared" si="3"/>
        <v>4.9454545454545432E-2</v>
      </c>
    </row>
    <row r="11" spans="1:7" ht="16.5" thickTop="1" thickBot="1" x14ac:dyDescent="0.3">
      <c r="A11" s="12">
        <v>60</v>
      </c>
      <c r="B11" s="5">
        <v>3.82</v>
      </c>
      <c r="C11" s="13">
        <f t="shared" si="0"/>
        <v>65.84</v>
      </c>
      <c r="D11" s="4">
        <v>3.4532411146600683</v>
      </c>
      <c r="E11" s="14">
        <f t="shared" si="1"/>
        <v>61.438893375920827</v>
      </c>
      <c r="F11" s="6">
        <f t="shared" si="2"/>
        <v>7.1633885023783012E-2</v>
      </c>
      <c r="G11" s="7">
        <f t="shared" si="3"/>
        <v>9.7333333333333397E-2</v>
      </c>
    </row>
    <row r="12" spans="1:7" ht="16.5" thickTop="1" thickBot="1" x14ac:dyDescent="0.3">
      <c r="A12" s="12">
        <v>65</v>
      </c>
      <c r="B12" s="5">
        <v>5.92</v>
      </c>
      <c r="C12" s="13">
        <f t="shared" si="0"/>
        <v>91.04</v>
      </c>
      <c r="D12" s="4">
        <v>3.8951487753759562</v>
      </c>
      <c r="E12" s="14">
        <f t="shared" si="1"/>
        <v>66.741785304511481</v>
      </c>
      <c r="F12" s="6">
        <f t="shared" si="2"/>
        <v>0.36406300168068867</v>
      </c>
      <c r="G12" s="7">
        <f t="shared" si="3"/>
        <v>0.40061538461538471</v>
      </c>
    </row>
    <row r="13" spans="1:7" ht="16.5" thickTop="1" thickBot="1" x14ac:dyDescent="0.3">
      <c r="A13" s="12">
        <v>70</v>
      </c>
      <c r="B13" s="5">
        <v>5.92</v>
      </c>
      <c r="C13" s="13">
        <f t="shared" si="0"/>
        <v>91.04</v>
      </c>
      <c r="D13" s="4">
        <v>4.3148389121820241</v>
      </c>
      <c r="E13" s="14">
        <f t="shared" si="1"/>
        <v>71.778066946184296</v>
      </c>
      <c r="F13" s="6">
        <f t="shared" si="2"/>
        <v>0.26835402335726555</v>
      </c>
      <c r="G13" s="7">
        <f t="shared" si="3"/>
        <v>0.30057142857142866</v>
      </c>
    </row>
    <row r="14" spans="1:7" ht="16.5" thickTop="1" thickBot="1" x14ac:dyDescent="0.3">
      <c r="A14" s="12">
        <v>75</v>
      </c>
      <c r="B14" s="5">
        <v>5.92</v>
      </c>
      <c r="C14" s="13">
        <f t="shared" si="0"/>
        <v>91.04</v>
      </c>
      <c r="D14" s="4">
        <v>4.7088321708578116</v>
      </c>
      <c r="E14" s="14">
        <f t="shared" si="1"/>
        <v>76.505986050293743</v>
      </c>
      <c r="F14" s="6">
        <f t="shared" si="2"/>
        <v>0.18997224531099891</v>
      </c>
      <c r="G14" s="7">
        <f t="shared" si="3"/>
        <v>0.21386666666666676</v>
      </c>
    </row>
    <row r="15" spans="1:7" ht="16.5" thickTop="1" thickBot="1" x14ac:dyDescent="0.3">
      <c r="A15" s="12">
        <v>80</v>
      </c>
      <c r="B15" s="5">
        <v>5.92</v>
      </c>
      <c r="C15" s="13">
        <f t="shared" si="0"/>
        <v>91.04</v>
      </c>
      <c r="D15" s="4">
        <v>5.0741067186410866</v>
      </c>
      <c r="E15" s="14">
        <f t="shared" si="1"/>
        <v>80.88928062369304</v>
      </c>
      <c r="F15" s="6">
        <f t="shared" si="2"/>
        <v>0.12548905489133191</v>
      </c>
      <c r="G15" s="7">
        <f t="shared" si="3"/>
        <v>0.13800000000000007</v>
      </c>
    </row>
    <row r="16" spans="1:7" ht="15.75" thickTop="1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</sheetData>
  <mergeCells count="3">
    <mergeCell ref="A1:A2"/>
    <mergeCell ref="B1:C1"/>
    <mergeCell ref="D1:E1"/>
  </mergeCells>
  <pageMargins left="0.25" right="0.25" top="0.75" bottom="0.75" header="0.3" footer="0.3"/>
  <pageSetup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Ánh</dc:creator>
  <cp:lastModifiedBy>nguyen dong</cp:lastModifiedBy>
  <cp:lastPrinted>2026-01-05T16:27:11Z</cp:lastPrinted>
  <dcterms:created xsi:type="dcterms:W3CDTF">2026-01-05T13:42:25Z</dcterms:created>
  <dcterms:modified xsi:type="dcterms:W3CDTF">2026-01-05T16:45:43Z</dcterms:modified>
</cp:coreProperties>
</file>